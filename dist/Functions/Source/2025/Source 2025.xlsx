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C:\Users\Administrator\Documents\Projects\ALL-IN-ONE-SWIPPER-API\dist\Functions\Source\2025\"/>
    </mc:Choice>
  </mc:AlternateContent>
  <xr:revisionPtr revIDLastSave="0" documentId="13_ncr:1_{44267AF8-7620-4355-9935-4FBECA7053A1}" xr6:coauthVersionLast="47" xr6:coauthVersionMax="47" xr10:uidLastSave="{00000000-0000-0000-0000-000000000000}"/>
  <bookViews>
    <workbookView xWindow="-120" yWindow="-120" windowWidth="29040" windowHeight="15990" tabRatio="923" activeTab="5" xr2:uid="{67CAF1F8-5BD9-4E97-AB37-D83854AC3FB1}"/>
  </bookViews>
  <sheets>
    <sheet name="VENTES" sheetId="1" r:id="rId1"/>
    <sheet name="RECOUVREMENT" sheetId="2" r:id="rId2"/>
    <sheet name="ETAT FINANCIER" sheetId="4" r:id="rId3"/>
    <sheet name="V.RENDUS" sheetId="3" r:id="rId4"/>
    <sheet name="OBJECTIFS" sheetId="6" r:id="rId5"/>
    <sheet name="CREANCES" sheetId="8" r:id="rId6"/>
    <sheet name="Feuil1" sheetId="10" r:id="rId7"/>
    <sheet name="INFO CLIENTS" sheetId="7" r:id="rId8"/>
    <sheet name="COUT REVIEN" sheetId="9" r:id="rId9"/>
  </sheets>
  <definedNames>
    <definedName name="_xlnm._FilterDatabase" localSheetId="5" hidden="1">CREANCES!$A$1:$M$225</definedName>
    <definedName name="_xlnm._FilterDatabase" localSheetId="7" hidden="1">'INFO CLIENTS'!$A$1:$AG$67</definedName>
    <definedName name="_xlnm._FilterDatabase" localSheetId="1" hidden="1">RECOUVREMENT!$A$1:$G$103</definedName>
    <definedName name="_xlnm._FilterDatabase" localSheetId="0" hidden="1">VENTES!$A$1:$AA$3813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89" i="8" l="1"/>
  <c r="M111" i="8"/>
  <c r="M110" i="8"/>
  <c r="M109" i="8"/>
  <c r="M107" i="8"/>
  <c r="M104" i="8"/>
  <c r="M105" i="8"/>
  <c r="M106" i="8"/>
  <c r="M103" i="8"/>
  <c r="M220" i="8"/>
  <c r="M221" i="8"/>
  <c r="K3" i="9"/>
  <c r="L3" i="9"/>
  <c r="M3" i="9"/>
  <c r="N3" i="9"/>
  <c r="O3" i="9"/>
  <c r="J3" i="9"/>
  <c r="I3" i="9"/>
  <c r="H3" i="9"/>
  <c r="D3" i="9"/>
  <c r="E3" i="9"/>
  <c r="F3" i="9"/>
  <c r="G3" i="9"/>
  <c r="C3" i="9"/>
  <c r="X3813" i="1"/>
  <c r="T3813" i="1"/>
  <c r="O3813" i="1"/>
  <c r="R3813" i="1" s="1"/>
  <c r="N3813" i="1"/>
  <c r="X3812" i="1"/>
  <c r="T3812" i="1"/>
  <c r="O3812" i="1"/>
  <c r="R3812" i="1" s="1"/>
  <c r="N3812" i="1"/>
  <c r="T3811" i="1"/>
  <c r="Y3811" i="1" s="1"/>
  <c r="R3811" i="1"/>
  <c r="N3811" i="1"/>
  <c r="X3810" i="1"/>
  <c r="T3810" i="1"/>
  <c r="R3810" i="1"/>
  <c r="N3810" i="1"/>
  <c r="T3809" i="1"/>
  <c r="Y3809" i="1" s="1"/>
  <c r="R3809" i="1"/>
  <c r="N3809" i="1"/>
  <c r="T3808" i="1"/>
  <c r="Y3808" i="1" s="1"/>
  <c r="R3808" i="1"/>
  <c r="N3808" i="1"/>
  <c r="T3807" i="1"/>
  <c r="Y3807" i="1" s="1"/>
  <c r="R3807" i="1"/>
  <c r="N3807" i="1"/>
  <c r="T3806" i="1"/>
  <c r="Y3806" i="1" s="1"/>
  <c r="R3806" i="1"/>
  <c r="N3806" i="1"/>
  <c r="X3805" i="1"/>
  <c r="T3805" i="1"/>
  <c r="R3805" i="1"/>
  <c r="N3805" i="1"/>
  <c r="T3804" i="1"/>
  <c r="Y3804" i="1" s="1"/>
  <c r="R3804" i="1"/>
  <c r="N3804" i="1"/>
  <c r="T3803" i="1"/>
  <c r="Y3803" i="1" s="1"/>
  <c r="R3803" i="1"/>
  <c r="N3803" i="1"/>
  <c r="X3802" i="1"/>
  <c r="T3802" i="1"/>
  <c r="R3802" i="1"/>
  <c r="N3802" i="1"/>
  <c r="T3801" i="1"/>
  <c r="Y3801" i="1" s="1"/>
  <c r="R3801" i="1"/>
  <c r="N3801" i="1"/>
  <c r="X3800" i="1"/>
  <c r="T3800" i="1"/>
  <c r="R3800" i="1"/>
  <c r="N3800" i="1"/>
  <c r="T3799" i="1"/>
  <c r="Y3799" i="1" s="1"/>
  <c r="R3799" i="1"/>
  <c r="N3799" i="1"/>
  <c r="T3798" i="1"/>
  <c r="Y3798" i="1" s="1"/>
  <c r="R3798" i="1"/>
  <c r="N3798" i="1"/>
  <c r="T3797" i="1"/>
  <c r="Y3797" i="1" s="1"/>
  <c r="R3797" i="1"/>
  <c r="N3797" i="1"/>
  <c r="T3796" i="1"/>
  <c r="Y3796" i="1" s="1"/>
  <c r="R3796" i="1"/>
  <c r="N3796" i="1"/>
  <c r="X3795" i="1"/>
  <c r="T3795" i="1"/>
  <c r="R3795" i="1"/>
  <c r="N3795" i="1"/>
  <c r="X3794" i="1"/>
  <c r="T3794" i="1"/>
  <c r="R3794" i="1"/>
  <c r="N3794" i="1"/>
  <c r="T3793" i="1"/>
  <c r="Y3793" i="1" s="1"/>
  <c r="R3793" i="1"/>
  <c r="N3793" i="1"/>
  <c r="N3792" i="1"/>
  <c r="X3791" i="1"/>
  <c r="T3791" i="1"/>
  <c r="R3791" i="1"/>
  <c r="N3791" i="1"/>
  <c r="T3790" i="1"/>
  <c r="Y3790" i="1" s="1"/>
  <c r="R3790" i="1"/>
  <c r="N3790" i="1"/>
  <c r="T3789" i="1"/>
  <c r="Y3789" i="1" s="1"/>
  <c r="R3789" i="1"/>
  <c r="N3789" i="1"/>
  <c r="T3788" i="1"/>
  <c r="Y3788" i="1" s="1"/>
  <c r="R3788" i="1"/>
  <c r="N3788" i="1"/>
  <c r="T3787" i="1"/>
  <c r="R3787" i="1"/>
  <c r="N3787" i="1"/>
  <c r="N3786" i="1"/>
  <c r="T3785" i="1"/>
  <c r="R3785" i="1"/>
  <c r="N3785" i="1"/>
  <c r="T3784" i="1"/>
  <c r="Y3784" i="1" s="1"/>
  <c r="R3784" i="1"/>
  <c r="N3784" i="1"/>
  <c r="T3783" i="1"/>
  <c r="Y3783" i="1" s="1"/>
  <c r="R3783" i="1"/>
  <c r="N3783" i="1"/>
  <c r="T3782" i="1"/>
  <c r="Y3782" i="1" s="1"/>
  <c r="R3782" i="1"/>
  <c r="N3782" i="1"/>
  <c r="T3781" i="1"/>
  <c r="Y3781" i="1" s="1"/>
  <c r="R3781" i="1"/>
  <c r="N3781" i="1"/>
  <c r="T3780" i="1"/>
  <c r="Y3780" i="1" s="1"/>
  <c r="R3780" i="1"/>
  <c r="N3780" i="1"/>
  <c r="T3779" i="1"/>
  <c r="Y3779" i="1" s="1"/>
  <c r="R3779" i="1"/>
  <c r="N3779" i="1"/>
  <c r="X3778" i="1"/>
  <c r="T3778" i="1"/>
  <c r="R3778" i="1"/>
  <c r="N3778" i="1"/>
  <c r="T3777" i="1"/>
  <c r="Y3777" i="1" s="1"/>
  <c r="R3777" i="1"/>
  <c r="N3777" i="1"/>
  <c r="T3776" i="1"/>
  <c r="Y3776" i="1" s="1"/>
  <c r="R3776" i="1"/>
  <c r="N3776" i="1"/>
  <c r="T3775" i="1"/>
  <c r="Y3775" i="1" s="1"/>
  <c r="R3775" i="1"/>
  <c r="N3775" i="1"/>
  <c r="T3774" i="1"/>
  <c r="Y3774" i="1" s="1"/>
  <c r="R3774" i="1"/>
  <c r="N3774" i="1"/>
  <c r="T3773" i="1"/>
  <c r="Y3773" i="1" s="1"/>
  <c r="R3773" i="1"/>
  <c r="N3773" i="1"/>
  <c r="T3772" i="1"/>
  <c r="Y3772" i="1" s="1"/>
  <c r="R3772" i="1"/>
  <c r="N3772" i="1"/>
  <c r="T3771" i="1"/>
  <c r="Y3771" i="1" s="1"/>
  <c r="R3771" i="1"/>
  <c r="N3771" i="1"/>
  <c r="T3770" i="1"/>
  <c r="Y3770" i="1" s="1"/>
  <c r="R3770" i="1"/>
  <c r="N3770" i="1"/>
  <c r="T3769" i="1"/>
  <c r="Y3769" i="1" s="1"/>
  <c r="R3769" i="1"/>
  <c r="N3769" i="1"/>
  <c r="T3768" i="1"/>
  <c r="Y3768" i="1" s="1"/>
  <c r="R3768" i="1"/>
  <c r="N3768" i="1"/>
  <c r="T3767" i="1"/>
  <c r="Y3767" i="1" s="1"/>
  <c r="R3767" i="1"/>
  <c r="N3767" i="1"/>
  <c r="T3766" i="1"/>
  <c r="Y3766" i="1" s="1"/>
  <c r="R3766" i="1"/>
  <c r="N3766" i="1"/>
  <c r="T3765" i="1"/>
  <c r="Y3765" i="1" s="1"/>
  <c r="R3765" i="1"/>
  <c r="N3765" i="1"/>
  <c r="T3764" i="1"/>
  <c r="Y3764" i="1" s="1"/>
  <c r="R3764" i="1"/>
  <c r="N3764" i="1"/>
  <c r="T3763" i="1"/>
  <c r="Y3763" i="1" s="1"/>
  <c r="R3763" i="1"/>
  <c r="N3763" i="1"/>
  <c r="T3762" i="1"/>
  <c r="Y3762" i="1" s="1"/>
  <c r="R3762" i="1"/>
  <c r="N3762" i="1"/>
  <c r="T3761" i="1"/>
  <c r="Y3761" i="1" s="1"/>
  <c r="R3761" i="1"/>
  <c r="N3761" i="1"/>
  <c r="X3760" i="1"/>
  <c r="T3760" i="1"/>
  <c r="R3760" i="1"/>
  <c r="N3760" i="1"/>
  <c r="T3759" i="1"/>
  <c r="Y3759" i="1" s="1"/>
  <c r="R3759" i="1"/>
  <c r="N3759" i="1"/>
  <c r="T3758" i="1"/>
  <c r="Y3758" i="1" s="1"/>
  <c r="R3758" i="1"/>
  <c r="N3758" i="1"/>
  <c r="T3757" i="1"/>
  <c r="Y3757" i="1" s="1"/>
  <c r="R3757" i="1"/>
  <c r="N3757" i="1"/>
  <c r="T3756" i="1"/>
  <c r="Y3756" i="1" s="1"/>
  <c r="R3756" i="1"/>
  <c r="N3756" i="1"/>
  <c r="T3755" i="1"/>
  <c r="Y3755" i="1" s="1"/>
  <c r="R3755" i="1"/>
  <c r="N3755" i="1"/>
  <c r="T3754" i="1"/>
  <c r="Y3754" i="1" s="1"/>
  <c r="R3754" i="1"/>
  <c r="N3754" i="1"/>
  <c r="T3753" i="1"/>
  <c r="Y3753" i="1" s="1"/>
  <c r="R3753" i="1"/>
  <c r="N3753" i="1"/>
  <c r="T3752" i="1"/>
  <c r="Y3752" i="1" s="1"/>
  <c r="R3752" i="1"/>
  <c r="N3752" i="1"/>
  <c r="T3751" i="1"/>
  <c r="Y3751" i="1" s="1"/>
  <c r="R3751" i="1"/>
  <c r="N3751" i="1"/>
  <c r="T3750" i="1"/>
  <c r="Y3750" i="1" s="1"/>
  <c r="R3750" i="1"/>
  <c r="N3750" i="1"/>
  <c r="T3749" i="1"/>
  <c r="Y3749" i="1" s="1"/>
  <c r="R3749" i="1"/>
  <c r="N3749" i="1"/>
  <c r="X3748" i="1"/>
  <c r="T3748" i="1"/>
  <c r="R3748" i="1"/>
  <c r="N3748" i="1"/>
  <c r="T3747" i="1"/>
  <c r="Y3747" i="1" s="1"/>
  <c r="R3747" i="1"/>
  <c r="N3747" i="1"/>
  <c r="T3746" i="1"/>
  <c r="Y3746" i="1" s="1"/>
  <c r="R3746" i="1"/>
  <c r="N3746" i="1"/>
  <c r="T3745" i="1"/>
  <c r="Y3745" i="1" s="1"/>
  <c r="R3745" i="1"/>
  <c r="N3745" i="1"/>
  <c r="T3744" i="1"/>
  <c r="Y3744" i="1" s="1"/>
  <c r="R3744" i="1"/>
  <c r="N3744" i="1"/>
  <c r="T3743" i="1"/>
  <c r="Y3743" i="1" s="1"/>
  <c r="R3743" i="1"/>
  <c r="N3743" i="1"/>
  <c r="Y3812" i="1" l="1"/>
  <c r="Y3810" i="1"/>
  <c r="Y3748" i="1"/>
  <c r="U3769" i="1"/>
  <c r="U3744" i="1"/>
  <c r="V3744" i="1" s="1"/>
  <c r="W3744" i="1" s="1"/>
  <c r="U3757" i="1"/>
  <c r="V3757" i="1" s="1"/>
  <c r="W3757" i="1" s="1"/>
  <c r="U3762" i="1"/>
  <c r="V3762" i="1" s="1"/>
  <c r="W3762" i="1" s="1"/>
  <c r="U3783" i="1"/>
  <c r="V3783" i="1" s="1"/>
  <c r="W3783" i="1" s="1"/>
  <c r="U3804" i="1"/>
  <c r="V3804" i="1" s="1"/>
  <c r="W3804" i="1" s="1"/>
  <c r="U3809" i="1"/>
  <c r="V3809" i="1" s="1"/>
  <c r="W3809" i="1" s="1"/>
  <c r="U3777" i="1"/>
  <c r="V3777" i="1" s="1"/>
  <c r="W3777" i="1" s="1"/>
  <c r="U3750" i="1"/>
  <c r="V3750" i="1" s="1"/>
  <c r="W3750" i="1" s="1"/>
  <c r="U3758" i="1"/>
  <c r="V3758" i="1" s="1"/>
  <c r="W3758" i="1" s="1"/>
  <c r="U3763" i="1"/>
  <c r="V3763" i="1" s="1"/>
  <c r="U3771" i="1"/>
  <c r="V3771" i="1" s="1"/>
  <c r="U3784" i="1"/>
  <c r="V3784" i="1" s="1"/>
  <c r="W3784" i="1" s="1"/>
  <c r="U3790" i="1"/>
  <c r="V3790" i="1" s="1"/>
  <c r="U3793" i="1"/>
  <c r="V3793" i="1" s="1"/>
  <c r="U3812" i="1"/>
  <c r="V3812" i="1" s="1"/>
  <c r="W3812" i="1" s="1"/>
  <c r="U3782" i="1"/>
  <c r="V3782" i="1" s="1"/>
  <c r="W3782" i="1" s="1"/>
  <c r="Y3813" i="1"/>
  <c r="U3747" i="1"/>
  <c r="V3747" i="1" s="1"/>
  <c r="W3747" i="1" s="1"/>
  <c r="U3760" i="1"/>
  <c r="V3760" i="1" s="1"/>
  <c r="W3760" i="1" s="1"/>
  <c r="U3773" i="1"/>
  <c r="V3773" i="1" s="1"/>
  <c r="W3773" i="1" s="1"/>
  <c r="U3797" i="1"/>
  <c r="V3797" i="1" s="1"/>
  <c r="W3797" i="1" s="1"/>
  <c r="Y3791" i="1"/>
  <c r="Y3794" i="1"/>
  <c r="U3788" i="1"/>
  <c r="V3788" i="1" s="1"/>
  <c r="W3788" i="1" s="1"/>
  <c r="U3813" i="1"/>
  <c r="V3813" i="1" s="1"/>
  <c r="W3813" i="1" s="1"/>
  <c r="U3795" i="1"/>
  <c r="V3795" i="1" s="1"/>
  <c r="W3795" i="1" s="1"/>
  <c r="U3810" i="1"/>
  <c r="V3810" i="1" s="1"/>
  <c r="W3810" i="1" s="1"/>
  <c r="U3748" i="1"/>
  <c r="V3748" i="1" s="1"/>
  <c r="W3748" i="1" s="1"/>
  <c r="U3753" i="1"/>
  <c r="V3753" i="1" s="1"/>
  <c r="W3753" i="1" s="1"/>
  <c r="U3766" i="1"/>
  <c r="V3766" i="1" s="1"/>
  <c r="W3766" i="1" s="1"/>
  <c r="U3774" i="1"/>
  <c r="V3774" i="1" s="1"/>
  <c r="W3774" i="1" s="1"/>
  <c r="U3798" i="1"/>
  <c r="V3798" i="1" s="1"/>
  <c r="W3798" i="1" s="1"/>
  <c r="U3803" i="1"/>
  <c r="V3803" i="1" s="1"/>
  <c r="W3803" i="1" s="1"/>
  <c r="U3746" i="1"/>
  <c r="V3746" i="1" s="1"/>
  <c r="W3746" i="1" s="1"/>
  <c r="U3764" i="1"/>
  <c r="V3764" i="1" s="1"/>
  <c r="W3764" i="1" s="1"/>
  <c r="U3791" i="1"/>
  <c r="V3791" i="1" s="1"/>
  <c r="W3791" i="1" s="1"/>
  <c r="U3794" i="1"/>
  <c r="V3794" i="1" s="1"/>
  <c r="W3794" i="1" s="1"/>
  <c r="U3796" i="1"/>
  <c r="V3796" i="1" s="1"/>
  <c r="W3796" i="1" s="1"/>
  <c r="U3754" i="1"/>
  <c r="V3754" i="1" s="1"/>
  <c r="U3767" i="1"/>
  <c r="V3767" i="1" s="1"/>
  <c r="W3767" i="1" s="1"/>
  <c r="U3806" i="1"/>
  <c r="V3806" i="1" s="1"/>
  <c r="U3789" i="1"/>
  <c r="V3789" i="1" s="1"/>
  <c r="W3789" i="1" s="1"/>
  <c r="U3802" i="1"/>
  <c r="V3802" i="1" s="1"/>
  <c r="W3802" i="1" s="1"/>
  <c r="U3743" i="1"/>
  <c r="V3743" i="1" s="1"/>
  <c r="W3743" i="1" s="1"/>
  <c r="Y3805" i="1"/>
  <c r="U3787" i="1"/>
  <c r="V3787" i="1" s="1"/>
  <c r="W3787" i="1" s="1"/>
  <c r="U3745" i="1"/>
  <c r="V3745" i="1" s="1"/>
  <c r="U3755" i="1"/>
  <c r="V3755" i="1" s="1"/>
  <c r="W3755" i="1" s="1"/>
  <c r="U3778" i="1"/>
  <c r="V3778" i="1" s="1"/>
  <c r="W3778" i="1" s="1"/>
  <c r="U3780" i="1"/>
  <c r="V3780" i="1" s="1"/>
  <c r="Y3795" i="1"/>
  <c r="U3761" i="1"/>
  <c r="V3761" i="1" s="1"/>
  <c r="W3761" i="1" s="1"/>
  <c r="U3785" i="1"/>
  <c r="V3785" i="1" s="1"/>
  <c r="W3785" i="1" s="1"/>
  <c r="Y3802" i="1"/>
  <c r="Y3778" i="1"/>
  <c r="Y3785" i="1"/>
  <c r="Y3760" i="1"/>
  <c r="U3801" i="1"/>
  <c r="V3801" i="1" s="1"/>
  <c r="U3749" i="1"/>
  <c r="V3749" i="1" s="1"/>
  <c r="W3749" i="1" s="1"/>
  <c r="U3756" i="1"/>
  <c r="V3756" i="1" s="1"/>
  <c r="W3756" i="1" s="1"/>
  <c r="U3765" i="1"/>
  <c r="V3765" i="1" s="1"/>
  <c r="W3765" i="1" s="1"/>
  <c r="U3772" i="1"/>
  <c r="V3772" i="1" s="1"/>
  <c r="W3772" i="1" s="1"/>
  <c r="U3779" i="1"/>
  <c r="V3779" i="1" s="1"/>
  <c r="W3779" i="1" s="1"/>
  <c r="U3805" i="1"/>
  <c r="V3805" i="1" s="1"/>
  <c r="U3752" i="1"/>
  <c r="Y3787" i="1"/>
  <c r="U3770" i="1"/>
  <c r="V3770" i="1" s="1"/>
  <c r="W3770" i="1" s="1"/>
  <c r="U3775" i="1"/>
  <c r="V3775" i="1" s="1"/>
  <c r="W3775" i="1" s="1"/>
  <c r="U3807" i="1"/>
  <c r="V3807" i="1" s="1"/>
  <c r="W3807" i="1" s="1"/>
  <c r="U3751" i="1"/>
  <c r="U3759" i="1"/>
  <c r="U3768" i="1"/>
  <c r="V3769" i="1"/>
  <c r="W3769" i="1" s="1"/>
  <c r="U3776" i="1"/>
  <c r="U3781" i="1"/>
  <c r="U3799" i="1"/>
  <c r="U3808" i="1"/>
  <c r="U3811" i="1"/>
  <c r="Y3800" i="1"/>
  <c r="U3800" i="1"/>
  <c r="W3763" i="1" l="1"/>
  <c r="W3771" i="1"/>
  <c r="W3790" i="1"/>
  <c r="W3793" i="1"/>
  <c r="W3754" i="1"/>
  <c r="W3805" i="1"/>
  <c r="W3806" i="1"/>
  <c r="W3780" i="1"/>
  <c r="V3752" i="1"/>
  <c r="W3752" i="1" s="1"/>
  <c r="W3745" i="1"/>
  <c r="W3801" i="1"/>
  <c r="V3759" i="1"/>
  <c r="W3759" i="1" s="1"/>
  <c r="V3776" i="1"/>
  <c r="W3776" i="1" s="1"/>
  <c r="V3811" i="1"/>
  <c r="W3811" i="1" s="1"/>
  <c r="V3768" i="1"/>
  <c r="W3768" i="1" s="1"/>
  <c r="V3799" i="1"/>
  <c r="W3799" i="1" s="1"/>
  <c r="V3800" i="1"/>
  <c r="W3800" i="1" s="1"/>
  <c r="V3781" i="1"/>
  <c r="W3781" i="1" s="1"/>
  <c r="V3751" i="1"/>
  <c r="W3751" i="1" s="1"/>
  <c r="V3808" i="1"/>
  <c r="W3808" i="1" s="1"/>
  <c r="D67" i="7" l="1"/>
  <c r="D66" i="7"/>
  <c r="T3742" i="1" l="1"/>
  <c r="Y3742" i="1" s="1"/>
  <c r="R3742" i="1"/>
  <c r="N3742" i="1"/>
  <c r="T3741" i="1"/>
  <c r="Y3741" i="1" s="1"/>
  <c r="R3741" i="1"/>
  <c r="N3741" i="1"/>
  <c r="T3740" i="1"/>
  <c r="Y3740" i="1" s="1"/>
  <c r="R3740" i="1"/>
  <c r="N3740" i="1"/>
  <c r="X3739" i="1"/>
  <c r="T3739" i="1"/>
  <c r="R3739" i="1"/>
  <c r="N3739" i="1"/>
  <c r="T3738" i="1"/>
  <c r="Y3738" i="1" s="1"/>
  <c r="R3738" i="1"/>
  <c r="N3738" i="1"/>
  <c r="T3737" i="1"/>
  <c r="Y3737" i="1" s="1"/>
  <c r="R3737" i="1"/>
  <c r="N3737" i="1"/>
  <c r="T3736" i="1"/>
  <c r="Y3736" i="1" s="1"/>
  <c r="R3736" i="1"/>
  <c r="N3736" i="1"/>
  <c r="T3735" i="1"/>
  <c r="Y3735" i="1" s="1"/>
  <c r="R3735" i="1"/>
  <c r="N3735" i="1"/>
  <c r="T3734" i="1"/>
  <c r="Y3734" i="1" s="1"/>
  <c r="R3734" i="1"/>
  <c r="N3734" i="1"/>
  <c r="T3733" i="1"/>
  <c r="Y3733" i="1" s="1"/>
  <c r="R3733" i="1"/>
  <c r="N3733" i="1"/>
  <c r="T3732" i="1"/>
  <c r="Y3732" i="1" s="1"/>
  <c r="R3732" i="1"/>
  <c r="N3732" i="1"/>
  <c r="T3731" i="1"/>
  <c r="Y3731" i="1" s="1"/>
  <c r="R3731" i="1"/>
  <c r="N3731" i="1"/>
  <c r="T3730" i="1"/>
  <c r="Y3730" i="1" s="1"/>
  <c r="R3730" i="1"/>
  <c r="N3730" i="1"/>
  <c r="T3729" i="1"/>
  <c r="Y3729" i="1" s="1"/>
  <c r="R3729" i="1"/>
  <c r="N3729" i="1"/>
  <c r="T3728" i="1"/>
  <c r="Y3728" i="1" s="1"/>
  <c r="R3728" i="1"/>
  <c r="N3728" i="1"/>
  <c r="T3727" i="1"/>
  <c r="Y3727" i="1" s="1"/>
  <c r="R3727" i="1"/>
  <c r="N3727" i="1"/>
  <c r="T3726" i="1"/>
  <c r="Y3726" i="1" s="1"/>
  <c r="R3726" i="1"/>
  <c r="N3726" i="1"/>
  <c r="T3725" i="1"/>
  <c r="Y3725" i="1" s="1"/>
  <c r="R3725" i="1"/>
  <c r="N3725" i="1"/>
  <c r="T3724" i="1"/>
  <c r="Y3724" i="1" s="1"/>
  <c r="R3724" i="1"/>
  <c r="N3724" i="1"/>
  <c r="T3723" i="1"/>
  <c r="Y3723" i="1" s="1"/>
  <c r="R3723" i="1"/>
  <c r="N3723" i="1"/>
  <c r="T3722" i="1"/>
  <c r="Y3722" i="1" s="1"/>
  <c r="R3722" i="1"/>
  <c r="N3722" i="1"/>
  <c r="T3721" i="1"/>
  <c r="Y3721" i="1" s="1"/>
  <c r="R3721" i="1"/>
  <c r="N3721" i="1"/>
  <c r="T3720" i="1"/>
  <c r="Y3720" i="1" s="1"/>
  <c r="R3720" i="1"/>
  <c r="N3720" i="1"/>
  <c r="T3719" i="1"/>
  <c r="Y3719" i="1" s="1"/>
  <c r="R3719" i="1"/>
  <c r="N3719" i="1"/>
  <c r="T3718" i="1"/>
  <c r="Y3718" i="1" s="1"/>
  <c r="R3718" i="1"/>
  <c r="N3718" i="1"/>
  <c r="T3717" i="1"/>
  <c r="Y3717" i="1" s="1"/>
  <c r="R3717" i="1"/>
  <c r="N3717" i="1"/>
  <c r="X3716" i="1"/>
  <c r="T3716" i="1"/>
  <c r="R3716" i="1"/>
  <c r="N3716" i="1"/>
  <c r="T3715" i="1"/>
  <c r="R3715" i="1"/>
  <c r="N3715" i="1"/>
  <c r="T3714" i="1"/>
  <c r="Y3714" i="1" s="1"/>
  <c r="R3714" i="1"/>
  <c r="N3714" i="1"/>
  <c r="T3713" i="1"/>
  <c r="Y3713" i="1" s="1"/>
  <c r="R3713" i="1"/>
  <c r="N3713" i="1"/>
  <c r="T3712" i="1"/>
  <c r="Y3712" i="1" s="1"/>
  <c r="R3712" i="1"/>
  <c r="N3712" i="1"/>
  <c r="T3711" i="1"/>
  <c r="Y3711" i="1" s="1"/>
  <c r="R3711" i="1"/>
  <c r="N3711" i="1"/>
  <c r="T3710" i="1"/>
  <c r="R3710" i="1"/>
  <c r="N3710" i="1"/>
  <c r="T3709" i="1"/>
  <c r="Y3709" i="1" s="1"/>
  <c r="R3709" i="1"/>
  <c r="N3709" i="1"/>
  <c r="T3708" i="1"/>
  <c r="Y3708" i="1" s="1"/>
  <c r="R3708" i="1"/>
  <c r="N3708" i="1"/>
  <c r="T3707" i="1"/>
  <c r="Y3707" i="1" s="1"/>
  <c r="R3707" i="1"/>
  <c r="N3707" i="1"/>
  <c r="T3706" i="1"/>
  <c r="Y3706" i="1" s="1"/>
  <c r="R3706" i="1"/>
  <c r="N3706" i="1"/>
  <c r="T3705" i="1"/>
  <c r="Y3705" i="1" s="1"/>
  <c r="R3705" i="1"/>
  <c r="N3705" i="1"/>
  <c r="X3704" i="1"/>
  <c r="T3704" i="1"/>
  <c r="R3704" i="1"/>
  <c r="N3704" i="1"/>
  <c r="T3703" i="1"/>
  <c r="Y3703" i="1" s="1"/>
  <c r="R3703" i="1"/>
  <c r="N3703" i="1"/>
  <c r="T3702" i="1"/>
  <c r="Y3702" i="1" s="1"/>
  <c r="R3702" i="1"/>
  <c r="N3702" i="1"/>
  <c r="T3701" i="1"/>
  <c r="Y3701" i="1" s="1"/>
  <c r="R3701" i="1"/>
  <c r="N3701" i="1"/>
  <c r="T3700" i="1"/>
  <c r="Y3700" i="1" s="1"/>
  <c r="R3700" i="1"/>
  <c r="N3700" i="1"/>
  <c r="T3699" i="1"/>
  <c r="Y3699" i="1" s="1"/>
  <c r="R3699" i="1"/>
  <c r="N3699" i="1"/>
  <c r="T3698" i="1"/>
  <c r="Y3698" i="1" s="1"/>
  <c r="R3698" i="1"/>
  <c r="N3698" i="1"/>
  <c r="T3697" i="1"/>
  <c r="Y3697" i="1" s="1"/>
  <c r="R3697" i="1"/>
  <c r="N3697" i="1"/>
  <c r="T3696" i="1"/>
  <c r="Y3696" i="1" s="1"/>
  <c r="R3696" i="1"/>
  <c r="N3696" i="1"/>
  <c r="T3695" i="1"/>
  <c r="Y3695" i="1" s="1"/>
  <c r="R3695" i="1"/>
  <c r="N3695" i="1"/>
  <c r="T3694" i="1"/>
  <c r="Y3694" i="1" s="1"/>
  <c r="R3694" i="1"/>
  <c r="N3694" i="1"/>
  <c r="X3693" i="1"/>
  <c r="T3693" i="1"/>
  <c r="R3693" i="1"/>
  <c r="N3693" i="1"/>
  <c r="T3692" i="1"/>
  <c r="Y3692" i="1" s="1"/>
  <c r="R3692" i="1"/>
  <c r="N3692" i="1"/>
  <c r="T3691" i="1"/>
  <c r="Y3691" i="1" s="1"/>
  <c r="R3691" i="1"/>
  <c r="N3691" i="1"/>
  <c r="T3690" i="1"/>
  <c r="Y3690" i="1" s="1"/>
  <c r="R3690" i="1"/>
  <c r="N3690" i="1"/>
  <c r="T3689" i="1"/>
  <c r="Y3689" i="1" s="1"/>
  <c r="R3689" i="1"/>
  <c r="N3689" i="1"/>
  <c r="T3688" i="1"/>
  <c r="Y3688" i="1" s="1"/>
  <c r="R3688" i="1"/>
  <c r="N3688" i="1"/>
  <c r="T3687" i="1"/>
  <c r="Y3687" i="1" s="1"/>
  <c r="R3687" i="1"/>
  <c r="N3687" i="1"/>
  <c r="T3686" i="1"/>
  <c r="Y3686" i="1" s="1"/>
  <c r="R3686" i="1"/>
  <c r="N3686" i="1"/>
  <c r="T3685" i="1"/>
  <c r="Y3685" i="1" s="1"/>
  <c r="R3685" i="1"/>
  <c r="N3685" i="1"/>
  <c r="T3684" i="1"/>
  <c r="Y3684" i="1" s="1"/>
  <c r="R3684" i="1"/>
  <c r="N3684" i="1"/>
  <c r="T3683" i="1"/>
  <c r="Y3683" i="1" s="1"/>
  <c r="R3683" i="1"/>
  <c r="N3683" i="1"/>
  <c r="T3682" i="1"/>
  <c r="Y3682" i="1" s="1"/>
  <c r="R3682" i="1"/>
  <c r="N3682" i="1"/>
  <c r="T3681" i="1"/>
  <c r="Y3681" i="1" s="1"/>
  <c r="R3681" i="1"/>
  <c r="N3681" i="1"/>
  <c r="T3680" i="1"/>
  <c r="Y3680" i="1" s="1"/>
  <c r="R3680" i="1"/>
  <c r="N3680" i="1"/>
  <c r="T3679" i="1"/>
  <c r="Y3679" i="1" s="1"/>
  <c r="R3679" i="1"/>
  <c r="N3679" i="1"/>
  <c r="T3678" i="1"/>
  <c r="Y3678" i="1" s="1"/>
  <c r="R3678" i="1"/>
  <c r="N3678" i="1"/>
  <c r="T3677" i="1"/>
  <c r="Y3677" i="1" s="1"/>
  <c r="R3677" i="1"/>
  <c r="N3677" i="1"/>
  <c r="T3676" i="1"/>
  <c r="Y3676" i="1" s="1"/>
  <c r="R3676" i="1"/>
  <c r="N3676" i="1"/>
  <c r="X3675" i="1"/>
  <c r="T3675" i="1"/>
  <c r="R3675" i="1"/>
  <c r="N3675" i="1"/>
  <c r="T3674" i="1"/>
  <c r="Y3674" i="1" s="1"/>
  <c r="R3674" i="1"/>
  <c r="N3674" i="1"/>
  <c r="T3673" i="1"/>
  <c r="Y3673" i="1" s="1"/>
  <c r="R3673" i="1"/>
  <c r="N3673" i="1"/>
  <c r="X3672" i="1"/>
  <c r="T3672" i="1"/>
  <c r="R3672" i="1"/>
  <c r="N3672" i="1"/>
  <c r="T3671" i="1"/>
  <c r="Y3671" i="1" s="1"/>
  <c r="R3671" i="1"/>
  <c r="N3671" i="1"/>
  <c r="T3670" i="1"/>
  <c r="Y3670" i="1" s="1"/>
  <c r="R3670" i="1"/>
  <c r="N3670" i="1"/>
  <c r="X3669" i="1"/>
  <c r="T3669" i="1"/>
  <c r="R3669" i="1"/>
  <c r="N3669" i="1"/>
  <c r="T3668" i="1"/>
  <c r="Y3668" i="1" s="1"/>
  <c r="R3668" i="1"/>
  <c r="N3668" i="1"/>
  <c r="T3667" i="1"/>
  <c r="Y3667" i="1" s="1"/>
  <c r="R3667" i="1"/>
  <c r="N3667" i="1"/>
  <c r="T3666" i="1"/>
  <c r="R3666" i="1"/>
  <c r="N3666" i="1"/>
  <c r="T3665" i="1"/>
  <c r="Y3665" i="1" s="1"/>
  <c r="R3665" i="1"/>
  <c r="N3665" i="1"/>
  <c r="T3664" i="1"/>
  <c r="Y3664" i="1" s="1"/>
  <c r="R3664" i="1"/>
  <c r="N3664" i="1"/>
  <c r="T3663" i="1"/>
  <c r="Y3663" i="1" s="1"/>
  <c r="R3663" i="1"/>
  <c r="N3663" i="1"/>
  <c r="T3662" i="1"/>
  <c r="Y3662" i="1" s="1"/>
  <c r="R3662" i="1"/>
  <c r="N3662" i="1"/>
  <c r="T3661" i="1"/>
  <c r="Y3661" i="1" s="1"/>
  <c r="R3661" i="1"/>
  <c r="N3661" i="1"/>
  <c r="T3660" i="1"/>
  <c r="Y3660" i="1" s="1"/>
  <c r="R3660" i="1"/>
  <c r="N3660" i="1"/>
  <c r="T3659" i="1"/>
  <c r="Y3659" i="1" s="1"/>
  <c r="R3659" i="1"/>
  <c r="N3659" i="1"/>
  <c r="T3658" i="1"/>
  <c r="Y3658" i="1" s="1"/>
  <c r="R3658" i="1"/>
  <c r="N3658" i="1"/>
  <c r="T3657" i="1"/>
  <c r="Y3657" i="1" s="1"/>
  <c r="R3657" i="1"/>
  <c r="N3657" i="1"/>
  <c r="T3656" i="1"/>
  <c r="Y3656" i="1" s="1"/>
  <c r="R3656" i="1"/>
  <c r="N3656" i="1"/>
  <c r="T3655" i="1"/>
  <c r="Y3655" i="1" s="1"/>
  <c r="R3655" i="1"/>
  <c r="N3655" i="1"/>
  <c r="X3654" i="1"/>
  <c r="T3654" i="1"/>
  <c r="R3654" i="1"/>
  <c r="N3654" i="1"/>
  <c r="T3653" i="1"/>
  <c r="Y3653" i="1" s="1"/>
  <c r="R3653" i="1"/>
  <c r="N3653" i="1"/>
  <c r="T3652" i="1"/>
  <c r="Y3652" i="1" s="1"/>
  <c r="R3652" i="1"/>
  <c r="N3652" i="1"/>
  <c r="T3651" i="1"/>
  <c r="Y3651" i="1" s="1"/>
  <c r="R3651" i="1"/>
  <c r="N3651" i="1"/>
  <c r="T3650" i="1"/>
  <c r="Y3650" i="1" s="1"/>
  <c r="R3650" i="1"/>
  <c r="N3650" i="1"/>
  <c r="T3649" i="1"/>
  <c r="Y3649" i="1" s="1"/>
  <c r="R3649" i="1"/>
  <c r="N3649" i="1"/>
  <c r="T3648" i="1"/>
  <c r="Y3648" i="1" s="1"/>
  <c r="R3648" i="1"/>
  <c r="N3648" i="1"/>
  <c r="T3647" i="1"/>
  <c r="Y3647" i="1" s="1"/>
  <c r="R3647" i="1"/>
  <c r="N3647" i="1"/>
  <c r="T3646" i="1"/>
  <c r="Y3646" i="1" s="1"/>
  <c r="R3646" i="1"/>
  <c r="N3646" i="1"/>
  <c r="T3645" i="1"/>
  <c r="R3645" i="1"/>
  <c r="N3645" i="1"/>
  <c r="T3644" i="1"/>
  <c r="Y3644" i="1" s="1"/>
  <c r="R3644" i="1"/>
  <c r="N3644" i="1"/>
  <c r="T3643" i="1"/>
  <c r="Y3643" i="1" s="1"/>
  <c r="R3643" i="1"/>
  <c r="N3643" i="1"/>
  <c r="T3642" i="1"/>
  <c r="Y3642" i="1" s="1"/>
  <c r="R3642" i="1"/>
  <c r="N3642" i="1"/>
  <c r="T3641" i="1"/>
  <c r="Y3641" i="1" s="1"/>
  <c r="R3641" i="1"/>
  <c r="N3641" i="1"/>
  <c r="T3640" i="1"/>
  <c r="Y3640" i="1" s="1"/>
  <c r="R3640" i="1"/>
  <c r="N3640" i="1"/>
  <c r="T3639" i="1"/>
  <c r="Y3639" i="1" s="1"/>
  <c r="R3639" i="1"/>
  <c r="N3639" i="1"/>
  <c r="T3638" i="1"/>
  <c r="Y3638" i="1" s="1"/>
  <c r="R3638" i="1"/>
  <c r="N3638" i="1"/>
  <c r="T3637" i="1"/>
  <c r="Y3637" i="1" s="1"/>
  <c r="R3637" i="1"/>
  <c r="N3637" i="1"/>
  <c r="T3636" i="1"/>
  <c r="Y3636" i="1" s="1"/>
  <c r="R3636" i="1"/>
  <c r="N3636" i="1"/>
  <c r="T3635" i="1"/>
  <c r="Y3635" i="1" s="1"/>
  <c r="R3635" i="1"/>
  <c r="N3635" i="1"/>
  <c r="T3634" i="1"/>
  <c r="Y3634" i="1" s="1"/>
  <c r="R3634" i="1"/>
  <c r="N3634" i="1"/>
  <c r="T3633" i="1"/>
  <c r="Y3633" i="1" s="1"/>
  <c r="R3633" i="1"/>
  <c r="N3633" i="1"/>
  <c r="T3632" i="1"/>
  <c r="Y3632" i="1" s="1"/>
  <c r="R3632" i="1"/>
  <c r="N3632" i="1"/>
  <c r="X3631" i="1"/>
  <c r="T3631" i="1"/>
  <c r="R3631" i="1"/>
  <c r="N3631" i="1"/>
  <c r="T3630" i="1"/>
  <c r="Y3630" i="1" s="1"/>
  <c r="R3630" i="1"/>
  <c r="N3630" i="1"/>
  <c r="T3629" i="1"/>
  <c r="Y3629" i="1" s="1"/>
  <c r="R3629" i="1"/>
  <c r="N3629" i="1"/>
  <c r="T3628" i="1"/>
  <c r="Y3628" i="1" s="1"/>
  <c r="R3628" i="1"/>
  <c r="N3628" i="1"/>
  <c r="T3627" i="1"/>
  <c r="Y3627" i="1" s="1"/>
  <c r="R3627" i="1"/>
  <c r="N3627" i="1"/>
  <c r="T3626" i="1"/>
  <c r="Y3626" i="1" s="1"/>
  <c r="R3626" i="1"/>
  <c r="N3626" i="1"/>
  <c r="T3625" i="1"/>
  <c r="Y3625" i="1" s="1"/>
  <c r="R3625" i="1"/>
  <c r="N3625" i="1"/>
  <c r="T3624" i="1"/>
  <c r="R3624" i="1"/>
  <c r="N3624" i="1"/>
  <c r="T3623" i="1"/>
  <c r="Y3623" i="1" s="1"/>
  <c r="R3623" i="1"/>
  <c r="N3623" i="1"/>
  <c r="T3622" i="1"/>
  <c r="Y3622" i="1" s="1"/>
  <c r="R3622" i="1"/>
  <c r="N3622" i="1"/>
  <c r="T3621" i="1"/>
  <c r="Y3621" i="1" s="1"/>
  <c r="R3621" i="1"/>
  <c r="N3621" i="1"/>
  <c r="T3620" i="1"/>
  <c r="Y3620" i="1" s="1"/>
  <c r="R3620" i="1"/>
  <c r="N3620" i="1"/>
  <c r="T3619" i="1"/>
  <c r="Y3619" i="1" s="1"/>
  <c r="R3619" i="1"/>
  <c r="N3619" i="1"/>
  <c r="T3618" i="1"/>
  <c r="Y3618" i="1" s="1"/>
  <c r="R3618" i="1"/>
  <c r="N3618" i="1"/>
  <c r="T3617" i="1"/>
  <c r="Y3617" i="1" s="1"/>
  <c r="R3617" i="1"/>
  <c r="N3617" i="1"/>
  <c r="T3616" i="1"/>
  <c r="Y3616" i="1" s="1"/>
  <c r="R3616" i="1"/>
  <c r="N3616" i="1"/>
  <c r="T3615" i="1"/>
  <c r="Y3615" i="1" s="1"/>
  <c r="R3615" i="1"/>
  <c r="N3615" i="1"/>
  <c r="T3614" i="1"/>
  <c r="R3614" i="1"/>
  <c r="N3614" i="1"/>
  <c r="T3613" i="1"/>
  <c r="Y3613" i="1" s="1"/>
  <c r="R3613" i="1"/>
  <c r="N3613" i="1"/>
  <c r="T3612" i="1"/>
  <c r="Y3612" i="1" s="1"/>
  <c r="R3612" i="1"/>
  <c r="N3612" i="1"/>
  <c r="T3611" i="1"/>
  <c r="Y3611" i="1" s="1"/>
  <c r="R3611" i="1"/>
  <c r="N3611" i="1"/>
  <c r="T3610" i="1"/>
  <c r="Y3610" i="1" s="1"/>
  <c r="R3610" i="1"/>
  <c r="N3610" i="1"/>
  <c r="X3609" i="1"/>
  <c r="T3609" i="1"/>
  <c r="R3609" i="1"/>
  <c r="N3609" i="1"/>
  <c r="X3608" i="1"/>
  <c r="T3608" i="1"/>
  <c r="R3608" i="1"/>
  <c r="N3608" i="1"/>
  <c r="T3607" i="1"/>
  <c r="Y3607" i="1" s="1"/>
  <c r="R3607" i="1"/>
  <c r="N3607" i="1"/>
  <c r="T3606" i="1"/>
  <c r="Y3606" i="1" s="1"/>
  <c r="R3606" i="1"/>
  <c r="N3606" i="1"/>
  <c r="T3605" i="1"/>
  <c r="Y3605" i="1" s="1"/>
  <c r="R3605" i="1"/>
  <c r="N3605" i="1"/>
  <c r="X3604" i="1"/>
  <c r="T3604" i="1"/>
  <c r="R3604" i="1"/>
  <c r="N3604" i="1"/>
  <c r="X3603" i="1"/>
  <c r="T3603" i="1"/>
  <c r="R3603" i="1"/>
  <c r="N3603" i="1"/>
  <c r="T3602" i="1"/>
  <c r="Y3602" i="1" s="1"/>
  <c r="R3602" i="1"/>
  <c r="N3602" i="1"/>
  <c r="X3601" i="1"/>
  <c r="T3601" i="1"/>
  <c r="R3601" i="1"/>
  <c r="N3601" i="1"/>
  <c r="X3600" i="1"/>
  <c r="T3600" i="1"/>
  <c r="R3600" i="1"/>
  <c r="N3600" i="1"/>
  <c r="T3599" i="1"/>
  <c r="Y3599" i="1" s="1"/>
  <c r="R3599" i="1"/>
  <c r="N3599" i="1"/>
  <c r="X3598" i="1"/>
  <c r="T3598" i="1"/>
  <c r="R3598" i="1"/>
  <c r="N3598" i="1"/>
  <c r="T3597" i="1"/>
  <c r="Y3597" i="1" s="1"/>
  <c r="R3597" i="1"/>
  <c r="N3597" i="1"/>
  <c r="T3596" i="1"/>
  <c r="Y3596" i="1" s="1"/>
  <c r="R3596" i="1"/>
  <c r="N3596" i="1"/>
  <c r="T3595" i="1"/>
  <c r="Y3595" i="1" s="1"/>
  <c r="R3595" i="1"/>
  <c r="N3595" i="1"/>
  <c r="T3594" i="1"/>
  <c r="Y3594" i="1" s="1"/>
  <c r="R3594" i="1"/>
  <c r="N3594" i="1"/>
  <c r="T3593" i="1"/>
  <c r="Y3593" i="1" s="1"/>
  <c r="R3593" i="1"/>
  <c r="N3593" i="1"/>
  <c r="T3592" i="1"/>
  <c r="Y3592" i="1" s="1"/>
  <c r="R3592" i="1"/>
  <c r="N3592" i="1"/>
  <c r="T3591" i="1"/>
  <c r="Y3591" i="1" s="1"/>
  <c r="R3591" i="1"/>
  <c r="N3591" i="1"/>
  <c r="T3590" i="1"/>
  <c r="Y3590" i="1" s="1"/>
  <c r="R3590" i="1"/>
  <c r="N3590" i="1"/>
  <c r="T3589" i="1"/>
  <c r="Y3589" i="1" s="1"/>
  <c r="R3589" i="1"/>
  <c r="N3589" i="1"/>
  <c r="T3588" i="1"/>
  <c r="Y3588" i="1" s="1"/>
  <c r="R3588" i="1"/>
  <c r="N3588" i="1"/>
  <c r="T3587" i="1"/>
  <c r="Y3587" i="1" s="1"/>
  <c r="R3587" i="1"/>
  <c r="N3587" i="1"/>
  <c r="T3586" i="1"/>
  <c r="Y3586" i="1" s="1"/>
  <c r="R3586" i="1"/>
  <c r="N3586" i="1"/>
  <c r="X3585" i="1"/>
  <c r="T3585" i="1"/>
  <c r="R3585" i="1"/>
  <c r="N3585" i="1"/>
  <c r="T3584" i="1"/>
  <c r="R3584" i="1"/>
  <c r="N3584" i="1"/>
  <c r="T3583" i="1"/>
  <c r="R3583" i="1"/>
  <c r="N3583" i="1"/>
  <c r="T3582" i="1"/>
  <c r="Y3582" i="1" s="1"/>
  <c r="R3582" i="1"/>
  <c r="N3582" i="1"/>
  <c r="T3581" i="1"/>
  <c r="Y3581" i="1" s="1"/>
  <c r="R3581" i="1"/>
  <c r="N3581" i="1"/>
  <c r="T3580" i="1"/>
  <c r="Y3580" i="1" s="1"/>
  <c r="R3580" i="1"/>
  <c r="N3580" i="1"/>
  <c r="T3579" i="1"/>
  <c r="Y3579" i="1" s="1"/>
  <c r="R3579" i="1"/>
  <c r="N3579" i="1"/>
  <c r="T3578" i="1"/>
  <c r="Y3578" i="1" s="1"/>
  <c r="R3578" i="1"/>
  <c r="N3578" i="1"/>
  <c r="T3577" i="1"/>
  <c r="Y3577" i="1" s="1"/>
  <c r="R3577" i="1"/>
  <c r="N3577" i="1"/>
  <c r="T3576" i="1"/>
  <c r="Y3576" i="1" s="1"/>
  <c r="R3576" i="1"/>
  <c r="N3576" i="1"/>
  <c r="T3575" i="1"/>
  <c r="Y3575" i="1" s="1"/>
  <c r="R3575" i="1"/>
  <c r="N3575" i="1"/>
  <c r="T3574" i="1"/>
  <c r="Y3574" i="1" s="1"/>
  <c r="R3574" i="1"/>
  <c r="N3574" i="1"/>
  <c r="T3573" i="1"/>
  <c r="Y3573" i="1" s="1"/>
  <c r="R3573" i="1"/>
  <c r="N3573" i="1"/>
  <c r="X3572" i="1"/>
  <c r="T3572" i="1"/>
  <c r="R3572" i="1"/>
  <c r="N3572" i="1"/>
  <c r="T3571" i="1"/>
  <c r="R3571" i="1"/>
  <c r="N3571" i="1"/>
  <c r="T3570" i="1"/>
  <c r="Y3570" i="1" s="1"/>
  <c r="R3570" i="1"/>
  <c r="N3570" i="1"/>
  <c r="T3569" i="1"/>
  <c r="Y3569" i="1" s="1"/>
  <c r="R3569" i="1"/>
  <c r="N3569" i="1"/>
  <c r="T3568" i="1"/>
  <c r="Y3568" i="1" s="1"/>
  <c r="R3568" i="1"/>
  <c r="N3568" i="1"/>
  <c r="T3567" i="1"/>
  <c r="Y3567" i="1" s="1"/>
  <c r="R3567" i="1"/>
  <c r="N3567" i="1"/>
  <c r="T3566" i="1"/>
  <c r="Y3566" i="1" s="1"/>
  <c r="R3566" i="1"/>
  <c r="N3566" i="1"/>
  <c r="T3565" i="1"/>
  <c r="Y3565" i="1" s="1"/>
  <c r="R3565" i="1"/>
  <c r="N3565" i="1"/>
  <c r="T3564" i="1"/>
  <c r="Y3564" i="1" s="1"/>
  <c r="R3564" i="1"/>
  <c r="N3564" i="1"/>
  <c r="X3563" i="1"/>
  <c r="T3563" i="1"/>
  <c r="R3563" i="1"/>
  <c r="N3563" i="1"/>
  <c r="X3562" i="1"/>
  <c r="T3562" i="1"/>
  <c r="R3562" i="1"/>
  <c r="N3562" i="1"/>
  <c r="T3561" i="1"/>
  <c r="Y3561" i="1" s="1"/>
  <c r="R3561" i="1"/>
  <c r="N3561" i="1"/>
  <c r="T3560" i="1"/>
  <c r="Y3560" i="1" s="1"/>
  <c r="R3560" i="1"/>
  <c r="N3560" i="1"/>
  <c r="T3559" i="1"/>
  <c r="Y3559" i="1" s="1"/>
  <c r="R3559" i="1"/>
  <c r="N3559" i="1"/>
  <c r="T3558" i="1"/>
  <c r="Y3558" i="1" s="1"/>
  <c r="R3558" i="1"/>
  <c r="N3558" i="1"/>
  <c r="T3557" i="1"/>
  <c r="Y3557" i="1" s="1"/>
  <c r="R3557" i="1"/>
  <c r="N3557" i="1"/>
  <c r="T3556" i="1"/>
  <c r="Y3556" i="1" s="1"/>
  <c r="R3556" i="1"/>
  <c r="N3556" i="1"/>
  <c r="T3555" i="1"/>
  <c r="Y3555" i="1" s="1"/>
  <c r="R3555" i="1"/>
  <c r="N3555" i="1"/>
  <c r="T3554" i="1"/>
  <c r="R3554" i="1"/>
  <c r="N3554" i="1"/>
  <c r="T3553" i="1"/>
  <c r="Y3553" i="1" s="1"/>
  <c r="R3553" i="1"/>
  <c r="N3553" i="1"/>
  <c r="T3552" i="1"/>
  <c r="Y3552" i="1" s="1"/>
  <c r="R3552" i="1"/>
  <c r="N3552" i="1"/>
  <c r="T3551" i="1"/>
  <c r="Y3551" i="1" s="1"/>
  <c r="R3551" i="1"/>
  <c r="N3551" i="1"/>
  <c r="T3550" i="1"/>
  <c r="Y3550" i="1" s="1"/>
  <c r="R3550" i="1"/>
  <c r="N3550" i="1"/>
  <c r="T3549" i="1"/>
  <c r="Y3549" i="1" s="1"/>
  <c r="R3549" i="1"/>
  <c r="N3549" i="1"/>
  <c r="T3548" i="1"/>
  <c r="R3548" i="1"/>
  <c r="N3548" i="1"/>
  <c r="X3547" i="1"/>
  <c r="T3547" i="1"/>
  <c r="R3547" i="1"/>
  <c r="N3547" i="1"/>
  <c r="T3546" i="1"/>
  <c r="Y3546" i="1" s="1"/>
  <c r="R3546" i="1"/>
  <c r="N3546" i="1"/>
  <c r="T3545" i="1"/>
  <c r="Y3545" i="1" s="1"/>
  <c r="R3545" i="1"/>
  <c r="N3545" i="1"/>
  <c r="T3544" i="1"/>
  <c r="Y3544" i="1" s="1"/>
  <c r="R3544" i="1"/>
  <c r="N3544" i="1"/>
  <c r="T3543" i="1"/>
  <c r="Y3543" i="1" s="1"/>
  <c r="R3543" i="1"/>
  <c r="N3543" i="1"/>
  <c r="T3542" i="1"/>
  <c r="Y3542" i="1" s="1"/>
  <c r="R3542" i="1"/>
  <c r="N3542" i="1"/>
  <c r="T3541" i="1"/>
  <c r="Y3541" i="1" s="1"/>
  <c r="R3541" i="1"/>
  <c r="N3541" i="1"/>
  <c r="T3540" i="1"/>
  <c r="Y3540" i="1" s="1"/>
  <c r="R3540" i="1"/>
  <c r="N3540" i="1"/>
  <c r="T3539" i="1"/>
  <c r="R3539" i="1"/>
  <c r="N3539" i="1"/>
  <c r="T3538" i="1"/>
  <c r="Y3538" i="1" s="1"/>
  <c r="R3538" i="1"/>
  <c r="N3538" i="1"/>
  <c r="T3537" i="1"/>
  <c r="Y3537" i="1" s="1"/>
  <c r="R3537" i="1"/>
  <c r="N3537" i="1"/>
  <c r="X3536" i="1"/>
  <c r="T3536" i="1"/>
  <c r="R3536" i="1"/>
  <c r="N3536" i="1"/>
  <c r="T3535" i="1"/>
  <c r="Y3535" i="1" s="1"/>
  <c r="R3535" i="1"/>
  <c r="N3535" i="1"/>
  <c r="X3534" i="1"/>
  <c r="T3534" i="1"/>
  <c r="R3534" i="1"/>
  <c r="N3534" i="1"/>
  <c r="X3533" i="1"/>
  <c r="T3533" i="1"/>
  <c r="R3533" i="1"/>
  <c r="N3533" i="1"/>
  <c r="T3532" i="1"/>
  <c r="Y3532" i="1" s="1"/>
  <c r="R3532" i="1"/>
  <c r="N3532" i="1"/>
  <c r="T3531" i="1"/>
  <c r="Y3531" i="1" s="1"/>
  <c r="R3531" i="1"/>
  <c r="N3531" i="1"/>
  <c r="T3530" i="1"/>
  <c r="Y3530" i="1" s="1"/>
  <c r="R3530" i="1"/>
  <c r="N3530" i="1"/>
  <c r="T3529" i="1"/>
  <c r="Y3529" i="1" s="1"/>
  <c r="R3529" i="1"/>
  <c r="N3529" i="1"/>
  <c r="X3528" i="1"/>
  <c r="T3528" i="1"/>
  <c r="R3528" i="1"/>
  <c r="N3528" i="1"/>
  <c r="T3527" i="1"/>
  <c r="R3527" i="1"/>
  <c r="N3527" i="1"/>
  <c r="T3526" i="1"/>
  <c r="Y3526" i="1" s="1"/>
  <c r="R3526" i="1"/>
  <c r="N3526" i="1"/>
  <c r="X3525" i="1"/>
  <c r="T3525" i="1"/>
  <c r="R3525" i="1"/>
  <c r="N3525" i="1"/>
  <c r="T3524" i="1"/>
  <c r="Y3524" i="1" s="1"/>
  <c r="R3524" i="1"/>
  <c r="N3524" i="1"/>
  <c r="T3523" i="1"/>
  <c r="Y3523" i="1" s="1"/>
  <c r="R3523" i="1"/>
  <c r="N3523" i="1"/>
  <c r="T3522" i="1"/>
  <c r="Y3522" i="1" s="1"/>
  <c r="R3522" i="1"/>
  <c r="N3522" i="1"/>
  <c r="T3521" i="1"/>
  <c r="Y3521" i="1" s="1"/>
  <c r="R3521" i="1"/>
  <c r="N3521" i="1"/>
  <c r="T3520" i="1"/>
  <c r="Y3520" i="1" s="1"/>
  <c r="R3520" i="1"/>
  <c r="N3520" i="1"/>
  <c r="T3519" i="1"/>
  <c r="R3519" i="1"/>
  <c r="N3519" i="1"/>
  <c r="T3518" i="1"/>
  <c r="Y3518" i="1" s="1"/>
  <c r="R3518" i="1"/>
  <c r="N3518" i="1"/>
  <c r="T3517" i="1"/>
  <c r="Y3517" i="1" s="1"/>
  <c r="R3517" i="1"/>
  <c r="N3517" i="1"/>
  <c r="T3516" i="1"/>
  <c r="Y3516" i="1" s="1"/>
  <c r="R3516" i="1"/>
  <c r="N3516" i="1"/>
  <c r="T3515" i="1"/>
  <c r="Y3515" i="1" s="1"/>
  <c r="R3515" i="1"/>
  <c r="N3515" i="1"/>
  <c r="T3514" i="1"/>
  <c r="Y3514" i="1" s="1"/>
  <c r="R3514" i="1"/>
  <c r="N3514" i="1"/>
  <c r="T3513" i="1"/>
  <c r="Y3513" i="1" s="1"/>
  <c r="R3513" i="1"/>
  <c r="N3513" i="1"/>
  <c r="X3512" i="1"/>
  <c r="T3512" i="1"/>
  <c r="R3512" i="1"/>
  <c r="N3512" i="1"/>
  <c r="T3511" i="1"/>
  <c r="Y3511" i="1" s="1"/>
  <c r="R3511" i="1"/>
  <c r="N3511" i="1"/>
  <c r="T3510" i="1"/>
  <c r="Y3510" i="1" s="1"/>
  <c r="R3510" i="1"/>
  <c r="N3510" i="1"/>
  <c r="T3509" i="1"/>
  <c r="Y3509" i="1" s="1"/>
  <c r="R3509" i="1"/>
  <c r="N3509" i="1"/>
  <c r="T3508" i="1"/>
  <c r="R3508" i="1"/>
  <c r="N3508" i="1"/>
  <c r="T3507" i="1"/>
  <c r="Y3507" i="1" s="1"/>
  <c r="R3507" i="1"/>
  <c r="N3507" i="1"/>
  <c r="T3506" i="1"/>
  <c r="Y3506" i="1" s="1"/>
  <c r="R3506" i="1"/>
  <c r="N3506" i="1"/>
  <c r="T3505" i="1"/>
  <c r="R3505" i="1"/>
  <c r="N3505" i="1"/>
  <c r="T3504" i="1"/>
  <c r="Y3504" i="1" s="1"/>
  <c r="R3504" i="1"/>
  <c r="N3504" i="1"/>
  <c r="T3503" i="1"/>
  <c r="Y3503" i="1" s="1"/>
  <c r="R3503" i="1"/>
  <c r="N3503" i="1"/>
  <c r="T3502" i="1"/>
  <c r="Y3502" i="1" s="1"/>
  <c r="R3502" i="1"/>
  <c r="N3502" i="1"/>
  <c r="T3501" i="1"/>
  <c r="Y3501" i="1" s="1"/>
  <c r="R3501" i="1"/>
  <c r="N3501" i="1"/>
  <c r="X3500" i="1"/>
  <c r="T3500" i="1"/>
  <c r="R3500" i="1"/>
  <c r="N3500" i="1"/>
  <c r="T3499" i="1"/>
  <c r="Y3499" i="1" s="1"/>
  <c r="R3499" i="1"/>
  <c r="N3499" i="1"/>
  <c r="T3498" i="1"/>
  <c r="Y3498" i="1" s="1"/>
  <c r="R3498" i="1"/>
  <c r="N3498" i="1"/>
  <c r="T3497" i="1"/>
  <c r="Y3497" i="1" s="1"/>
  <c r="R3497" i="1"/>
  <c r="N3497" i="1"/>
  <c r="T3496" i="1"/>
  <c r="Y3496" i="1" s="1"/>
  <c r="R3496" i="1"/>
  <c r="N3496" i="1"/>
  <c r="X3495" i="1"/>
  <c r="T3495" i="1"/>
  <c r="R3495" i="1"/>
  <c r="N3495" i="1"/>
  <c r="X3494" i="1"/>
  <c r="T3494" i="1"/>
  <c r="R3494" i="1"/>
  <c r="N3494" i="1"/>
  <c r="X3493" i="1"/>
  <c r="T3493" i="1"/>
  <c r="R3493" i="1"/>
  <c r="N3493" i="1"/>
  <c r="T3492" i="1"/>
  <c r="Y3492" i="1" s="1"/>
  <c r="R3492" i="1"/>
  <c r="N3492" i="1"/>
  <c r="X3491" i="1"/>
  <c r="T3491" i="1"/>
  <c r="R3491" i="1"/>
  <c r="N3491" i="1"/>
  <c r="X3490" i="1"/>
  <c r="T3490" i="1"/>
  <c r="R3490" i="1"/>
  <c r="N3490" i="1"/>
  <c r="T3489" i="1"/>
  <c r="Y3489" i="1" s="1"/>
  <c r="R3489" i="1"/>
  <c r="N3489" i="1"/>
  <c r="T3488" i="1"/>
  <c r="Y3488" i="1" s="1"/>
  <c r="R3488" i="1"/>
  <c r="N3488" i="1"/>
  <c r="T3487" i="1"/>
  <c r="Y3487" i="1" s="1"/>
  <c r="R3487" i="1"/>
  <c r="N3487" i="1"/>
  <c r="T3486" i="1"/>
  <c r="Y3486" i="1" s="1"/>
  <c r="R3486" i="1"/>
  <c r="N3486" i="1"/>
  <c r="X3485" i="1"/>
  <c r="T3485" i="1"/>
  <c r="R3485" i="1"/>
  <c r="N3485" i="1"/>
  <c r="T3484" i="1"/>
  <c r="Y3484" i="1" s="1"/>
  <c r="R3484" i="1"/>
  <c r="N3484" i="1"/>
  <c r="T3483" i="1"/>
  <c r="Y3483" i="1" s="1"/>
  <c r="R3483" i="1"/>
  <c r="N3483" i="1"/>
  <c r="T3482" i="1"/>
  <c r="Y3482" i="1" s="1"/>
  <c r="R3482" i="1"/>
  <c r="N3482" i="1"/>
  <c r="T3481" i="1"/>
  <c r="R3481" i="1"/>
  <c r="N3481" i="1"/>
  <c r="T3480" i="1"/>
  <c r="Y3480" i="1" s="1"/>
  <c r="R3480" i="1"/>
  <c r="N3480" i="1"/>
  <c r="T3479" i="1"/>
  <c r="Y3479" i="1" s="1"/>
  <c r="R3479" i="1"/>
  <c r="N3479" i="1"/>
  <c r="T3478" i="1"/>
  <c r="Y3478" i="1" s="1"/>
  <c r="R3478" i="1"/>
  <c r="N3478" i="1"/>
  <c r="T3477" i="1"/>
  <c r="Y3477" i="1" s="1"/>
  <c r="R3477" i="1"/>
  <c r="N3477" i="1"/>
  <c r="T3476" i="1"/>
  <c r="Y3476" i="1" s="1"/>
  <c r="R3476" i="1"/>
  <c r="N3476" i="1"/>
  <c r="T3475" i="1"/>
  <c r="Y3475" i="1" s="1"/>
  <c r="R3475" i="1"/>
  <c r="N3475" i="1"/>
  <c r="Y3474" i="1"/>
  <c r="N3474" i="1"/>
  <c r="T3473" i="1"/>
  <c r="Y3473" i="1" s="1"/>
  <c r="R3473" i="1"/>
  <c r="N3473" i="1"/>
  <c r="T3472" i="1"/>
  <c r="R3472" i="1"/>
  <c r="N3472" i="1"/>
  <c r="T3471" i="1"/>
  <c r="R3471" i="1"/>
  <c r="N3471" i="1"/>
  <c r="T3470" i="1"/>
  <c r="Y3470" i="1" s="1"/>
  <c r="R3470" i="1"/>
  <c r="N3470" i="1"/>
  <c r="T3469" i="1"/>
  <c r="Y3469" i="1" s="1"/>
  <c r="R3469" i="1"/>
  <c r="N3469" i="1"/>
  <c r="T3468" i="1"/>
  <c r="R3468" i="1"/>
  <c r="N3468" i="1"/>
  <c r="T3467" i="1"/>
  <c r="Y3467" i="1" s="1"/>
  <c r="R3467" i="1"/>
  <c r="N3467" i="1"/>
  <c r="T3466" i="1"/>
  <c r="Y3466" i="1" s="1"/>
  <c r="R3466" i="1"/>
  <c r="N3466" i="1"/>
  <c r="T3465" i="1"/>
  <c r="Y3465" i="1" s="1"/>
  <c r="R3465" i="1"/>
  <c r="N3465" i="1"/>
  <c r="T3464" i="1"/>
  <c r="Y3464" i="1" s="1"/>
  <c r="R3464" i="1"/>
  <c r="N3464" i="1"/>
  <c r="T3463" i="1"/>
  <c r="Y3463" i="1" s="1"/>
  <c r="R3463" i="1"/>
  <c r="N3463" i="1"/>
  <c r="T3462" i="1"/>
  <c r="Y3462" i="1" s="1"/>
  <c r="R3462" i="1"/>
  <c r="N3462" i="1"/>
  <c r="T3461" i="1"/>
  <c r="Y3461" i="1" s="1"/>
  <c r="R3461" i="1"/>
  <c r="N3461" i="1"/>
  <c r="T3460" i="1"/>
  <c r="Y3460" i="1" s="1"/>
  <c r="R3460" i="1"/>
  <c r="N3460" i="1"/>
  <c r="T3459" i="1"/>
  <c r="Y3459" i="1" s="1"/>
  <c r="R3459" i="1"/>
  <c r="N3459" i="1"/>
  <c r="T3458" i="1"/>
  <c r="R3458" i="1"/>
  <c r="N3458" i="1"/>
  <c r="T3457" i="1"/>
  <c r="Y3457" i="1" s="1"/>
  <c r="R3457" i="1"/>
  <c r="N3457" i="1"/>
  <c r="T3456" i="1"/>
  <c r="Y3456" i="1" s="1"/>
  <c r="R3456" i="1"/>
  <c r="N3456" i="1"/>
  <c r="X3455" i="1"/>
  <c r="T3455" i="1"/>
  <c r="R3455" i="1"/>
  <c r="N3455" i="1"/>
  <c r="T3454" i="1"/>
  <c r="R3454" i="1"/>
  <c r="N3454" i="1"/>
  <c r="X3453" i="1"/>
  <c r="T3453" i="1"/>
  <c r="R3453" i="1"/>
  <c r="N3453" i="1"/>
  <c r="T3452" i="1"/>
  <c r="Y3452" i="1" s="1"/>
  <c r="R3452" i="1"/>
  <c r="N3452" i="1"/>
  <c r="X3451" i="1"/>
  <c r="T3451" i="1"/>
  <c r="R3451" i="1"/>
  <c r="N3451" i="1"/>
  <c r="T3450" i="1"/>
  <c r="Y3450" i="1" s="1"/>
  <c r="R3450" i="1"/>
  <c r="N3450" i="1"/>
  <c r="T3449" i="1"/>
  <c r="Y3449" i="1" s="1"/>
  <c r="R3449" i="1"/>
  <c r="N3449" i="1"/>
  <c r="T3448" i="1"/>
  <c r="Y3448" i="1" s="1"/>
  <c r="R3448" i="1"/>
  <c r="N3448" i="1"/>
  <c r="T3447" i="1"/>
  <c r="Y3447" i="1" s="1"/>
  <c r="R3447" i="1"/>
  <c r="N3447" i="1"/>
  <c r="T3446" i="1"/>
  <c r="Y3446" i="1" s="1"/>
  <c r="R3446" i="1"/>
  <c r="N3446" i="1"/>
  <c r="T3445" i="1"/>
  <c r="Y3445" i="1" s="1"/>
  <c r="R3445" i="1"/>
  <c r="N3445" i="1"/>
  <c r="T3444" i="1"/>
  <c r="Y3444" i="1" s="1"/>
  <c r="R3444" i="1"/>
  <c r="N3444" i="1"/>
  <c r="T3443" i="1"/>
  <c r="Y3443" i="1" s="1"/>
  <c r="R3443" i="1"/>
  <c r="N3443" i="1"/>
  <c r="T3442" i="1"/>
  <c r="Y3442" i="1" s="1"/>
  <c r="R3442" i="1"/>
  <c r="N3442" i="1"/>
  <c r="T3441" i="1"/>
  <c r="Y3441" i="1" s="1"/>
  <c r="R3441" i="1"/>
  <c r="N3441" i="1"/>
  <c r="T3440" i="1"/>
  <c r="Y3440" i="1" s="1"/>
  <c r="R3440" i="1"/>
  <c r="N3440" i="1"/>
  <c r="T3439" i="1"/>
  <c r="R3439" i="1"/>
  <c r="N3439" i="1"/>
  <c r="T3438" i="1"/>
  <c r="Y3438" i="1" s="1"/>
  <c r="R3438" i="1"/>
  <c r="N3438" i="1"/>
  <c r="T3437" i="1"/>
  <c r="Y3437" i="1" s="1"/>
  <c r="R3437" i="1"/>
  <c r="N3437" i="1"/>
  <c r="T3436" i="1"/>
  <c r="R3436" i="1"/>
  <c r="N3436" i="1"/>
  <c r="X3435" i="1"/>
  <c r="T3435" i="1"/>
  <c r="R3435" i="1"/>
  <c r="N3435" i="1"/>
  <c r="T3434" i="1"/>
  <c r="Y3434" i="1" s="1"/>
  <c r="R3434" i="1"/>
  <c r="N3434" i="1"/>
  <c r="X3433" i="1"/>
  <c r="T3433" i="1"/>
  <c r="R3433" i="1"/>
  <c r="N3433" i="1"/>
  <c r="T3432" i="1"/>
  <c r="Y3432" i="1" s="1"/>
  <c r="R3432" i="1"/>
  <c r="N3432" i="1"/>
  <c r="X3431" i="1"/>
  <c r="T3431" i="1"/>
  <c r="R3431" i="1"/>
  <c r="N3431" i="1"/>
  <c r="T3430" i="1"/>
  <c r="Y3430" i="1" s="1"/>
  <c r="R3430" i="1"/>
  <c r="N3430" i="1"/>
  <c r="X3429" i="1"/>
  <c r="T3429" i="1"/>
  <c r="R3429" i="1"/>
  <c r="N3429" i="1"/>
  <c r="T3428" i="1"/>
  <c r="Y3428" i="1" s="1"/>
  <c r="R3428" i="1"/>
  <c r="N3428" i="1"/>
  <c r="T3427" i="1"/>
  <c r="Y3427" i="1" s="1"/>
  <c r="R3427" i="1"/>
  <c r="N3427" i="1"/>
  <c r="X3426" i="1"/>
  <c r="T3426" i="1"/>
  <c r="R3426" i="1"/>
  <c r="N3426" i="1"/>
  <c r="T3425" i="1"/>
  <c r="Y3425" i="1" s="1"/>
  <c r="R3425" i="1"/>
  <c r="N3425" i="1"/>
  <c r="T3424" i="1"/>
  <c r="Y3424" i="1" s="1"/>
  <c r="R3424" i="1"/>
  <c r="N3424" i="1"/>
  <c r="T3423" i="1"/>
  <c r="R3423" i="1"/>
  <c r="N3423" i="1"/>
  <c r="T3422" i="1"/>
  <c r="R3422" i="1"/>
  <c r="N3422" i="1"/>
  <c r="T3421" i="1"/>
  <c r="Y3421" i="1" s="1"/>
  <c r="R3421" i="1"/>
  <c r="N3421" i="1"/>
  <c r="T3420" i="1"/>
  <c r="Y3420" i="1" s="1"/>
  <c r="R3420" i="1"/>
  <c r="N3420" i="1"/>
  <c r="T3419" i="1"/>
  <c r="R3419" i="1"/>
  <c r="N3419" i="1"/>
  <c r="T3418" i="1"/>
  <c r="Y3418" i="1" s="1"/>
  <c r="R3418" i="1"/>
  <c r="N3418" i="1"/>
  <c r="T3417" i="1"/>
  <c r="Y3417" i="1" s="1"/>
  <c r="R3417" i="1"/>
  <c r="N3417" i="1"/>
  <c r="T3416" i="1"/>
  <c r="Y3416" i="1" s="1"/>
  <c r="R3416" i="1"/>
  <c r="N3416" i="1"/>
  <c r="T3415" i="1"/>
  <c r="Y3415" i="1" s="1"/>
  <c r="R3415" i="1"/>
  <c r="N3415" i="1"/>
  <c r="T3414" i="1"/>
  <c r="Y3414" i="1" s="1"/>
  <c r="R3414" i="1"/>
  <c r="N3414" i="1"/>
  <c r="T3413" i="1"/>
  <c r="Y3413" i="1" s="1"/>
  <c r="R3413" i="1"/>
  <c r="N3413" i="1"/>
  <c r="T3412" i="1"/>
  <c r="Y3412" i="1" s="1"/>
  <c r="R3412" i="1"/>
  <c r="N3412" i="1"/>
  <c r="T3411" i="1"/>
  <c r="Y3411" i="1" s="1"/>
  <c r="R3411" i="1"/>
  <c r="N3411" i="1"/>
  <c r="T3410" i="1"/>
  <c r="Y3410" i="1" s="1"/>
  <c r="R3410" i="1"/>
  <c r="N3410" i="1"/>
  <c r="T3409" i="1"/>
  <c r="Y3409" i="1" s="1"/>
  <c r="R3409" i="1"/>
  <c r="N3409" i="1"/>
  <c r="T3408" i="1"/>
  <c r="Y3408" i="1" s="1"/>
  <c r="R3408" i="1"/>
  <c r="N3408" i="1"/>
  <c r="T3407" i="1"/>
  <c r="R3407" i="1"/>
  <c r="N3407" i="1"/>
  <c r="T3406" i="1"/>
  <c r="Y3406" i="1" s="1"/>
  <c r="R3406" i="1"/>
  <c r="N3406" i="1"/>
  <c r="X3405" i="1"/>
  <c r="T3405" i="1"/>
  <c r="O3405" i="1"/>
  <c r="R3405" i="1" s="1"/>
  <c r="N3405" i="1"/>
  <c r="T3404" i="1"/>
  <c r="Y3404" i="1" s="1"/>
  <c r="R3404" i="1"/>
  <c r="N3404" i="1"/>
  <c r="T3403" i="1"/>
  <c r="Y3403" i="1" s="1"/>
  <c r="R3403" i="1"/>
  <c r="N3403" i="1"/>
  <c r="T3402" i="1"/>
  <c r="Y3402" i="1" s="1"/>
  <c r="R3402" i="1"/>
  <c r="N3402" i="1"/>
  <c r="T3401" i="1"/>
  <c r="Y3401" i="1" s="1"/>
  <c r="R3401" i="1"/>
  <c r="N3401" i="1"/>
  <c r="T3400" i="1"/>
  <c r="Y3400" i="1" s="1"/>
  <c r="R3400" i="1"/>
  <c r="N3400" i="1"/>
  <c r="T3399" i="1"/>
  <c r="Y3399" i="1" s="1"/>
  <c r="R3399" i="1"/>
  <c r="N3399" i="1"/>
  <c r="T3398" i="1"/>
  <c r="Y3398" i="1" s="1"/>
  <c r="R3398" i="1"/>
  <c r="N3398" i="1"/>
  <c r="T3397" i="1"/>
  <c r="R3397" i="1"/>
  <c r="N3397" i="1"/>
  <c r="T3396" i="1"/>
  <c r="Y3396" i="1" s="1"/>
  <c r="R3396" i="1"/>
  <c r="N3396" i="1"/>
  <c r="T3395" i="1"/>
  <c r="Y3395" i="1" s="1"/>
  <c r="R3395" i="1"/>
  <c r="N3395" i="1"/>
  <c r="T3394" i="1"/>
  <c r="Y3394" i="1" s="1"/>
  <c r="R3394" i="1"/>
  <c r="N3394" i="1"/>
  <c r="T3393" i="1"/>
  <c r="Y3393" i="1" s="1"/>
  <c r="R3393" i="1"/>
  <c r="N3393" i="1"/>
  <c r="T3392" i="1"/>
  <c r="Y3392" i="1" s="1"/>
  <c r="R3392" i="1"/>
  <c r="N3392" i="1"/>
  <c r="T3391" i="1"/>
  <c r="Y3391" i="1" s="1"/>
  <c r="R3391" i="1"/>
  <c r="N3391" i="1"/>
  <c r="T3390" i="1"/>
  <c r="Y3390" i="1" s="1"/>
  <c r="R3390" i="1"/>
  <c r="N3390" i="1"/>
  <c r="T3389" i="1"/>
  <c r="Y3389" i="1" s="1"/>
  <c r="R3389" i="1"/>
  <c r="N3389" i="1"/>
  <c r="T3388" i="1"/>
  <c r="Y3388" i="1" s="1"/>
  <c r="R3388" i="1"/>
  <c r="N3388" i="1"/>
  <c r="T3387" i="1"/>
  <c r="Y3387" i="1" s="1"/>
  <c r="R3387" i="1"/>
  <c r="N3387" i="1"/>
  <c r="X3386" i="1"/>
  <c r="T3386" i="1"/>
  <c r="R3386" i="1"/>
  <c r="N3386" i="1"/>
  <c r="X3385" i="1"/>
  <c r="T3385" i="1"/>
  <c r="R3385" i="1"/>
  <c r="N3385" i="1"/>
  <c r="T3384" i="1"/>
  <c r="Y3384" i="1" s="1"/>
  <c r="R3384" i="1"/>
  <c r="N3384" i="1"/>
  <c r="T3383" i="1"/>
  <c r="Y3383" i="1" s="1"/>
  <c r="R3383" i="1"/>
  <c r="N3383" i="1"/>
  <c r="T3382" i="1"/>
  <c r="Y3382" i="1" s="1"/>
  <c r="R3382" i="1"/>
  <c r="N3382" i="1"/>
  <c r="X3381" i="1"/>
  <c r="T3381" i="1"/>
  <c r="O3381" i="1"/>
  <c r="R3381" i="1" s="1"/>
  <c r="N3381" i="1"/>
  <c r="T3380" i="1"/>
  <c r="Y3380" i="1" s="1"/>
  <c r="R3380" i="1"/>
  <c r="N3380" i="1"/>
  <c r="T3379" i="1"/>
  <c r="Y3379" i="1" s="1"/>
  <c r="R3379" i="1"/>
  <c r="N3379" i="1"/>
  <c r="T3378" i="1"/>
  <c r="Y3378" i="1" s="1"/>
  <c r="R3378" i="1"/>
  <c r="N3378" i="1"/>
  <c r="T3377" i="1"/>
  <c r="Y3377" i="1" s="1"/>
  <c r="R3377" i="1"/>
  <c r="N3377" i="1"/>
  <c r="T3376" i="1"/>
  <c r="Y3376" i="1" s="1"/>
  <c r="R3376" i="1"/>
  <c r="N3376" i="1"/>
  <c r="T3375" i="1"/>
  <c r="Y3375" i="1" s="1"/>
  <c r="R3375" i="1"/>
  <c r="N3375" i="1"/>
  <c r="X3374" i="1"/>
  <c r="T3374" i="1"/>
  <c r="O3374" i="1"/>
  <c r="R3374" i="1" s="1"/>
  <c r="N3374" i="1"/>
  <c r="X3373" i="1"/>
  <c r="T3373" i="1"/>
  <c r="R3373" i="1"/>
  <c r="N3373" i="1"/>
  <c r="T3372" i="1"/>
  <c r="Y3372" i="1" s="1"/>
  <c r="R3372" i="1"/>
  <c r="N3372" i="1"/>
  <c r="T3371" i="1"/>
  <c r="Y3371" i="1" s="1"/>
  <c r="R3371" i="1"/>
  <c r="N3371" i="1"/>
  <c r="T3370" i="1"/>
  <c r="Y3370" i="1" s="1"/>
  <c r="R3370" i="1"/>
  <c r="N3370" i="1"/>
  <c r="T3369" i="1"/>
  <c r="Y3369" i="1" s="1"/>
  <c r="R3369" i="1"/>
  <c r="N3369" i="1"/>
  <c r="T3368" i="1"/>
  <c r="Y3368" i="1" s="1"/>
  <c r="R3368" i="1"/>
  <c r="N3368" i="1"/>
  <c r="T3367" i="1"/>
  <c r="Y3367" i="1" s="1"/>
  <c r="R3367" i="1"/>
  <c r="N3367" i="1"/>
  <c r="T3366" i="1"/>
  <c r="Y3366" i="1" s="1"/>
  <c r="R3366" i="1"/>
  <c r="N3366" i="1"/>
  <c r="T3365" i="1"/>
  <c r="R3365" i="1"/>
  <c r="N3365" i="1"/>
  <c r="T3364" i="1"/>
  <c r="Y3364" i="1" s="1"/>
  <c r="R3364" i="1"/>
  <c r="N3364" i="1"/>
  <c r="X3363" i="1"/>
  <c r="T3363" i="1"/>
  <c r="O3363" i="1"/>
  <c r="R3363" i="1" s="1"/>
  <c r="N3363" i="1"/>
  <c r="T3362" i="1"/>
  <c r="Y3362" i="1" s="1"/>
  <c r="R3362" i="1"/>
  <c r="N3362" i="1"/>
  <c r="T3361" i="1"/>
  <c r="Y3361" i="1" s="1"/>
  <c r="R3361" i="1"/>
  <c r="N3361" i="1"/>
  <c r="T3360" i="1"/>
  <c r="Y3360" i="1" s="1"/>
  <c r="R3360" i="1"/>
  <c r="N3360" i="1"/>
  <c r="T3359" i="1"/>
  <c r="R3359" i="1"/>
  <c r="N3359" i="1"/>
  <c r="T3358" i="1"/>
  <c r="Y3358" i="1" s="1"/>
  <c r="R3358" i="1"/>
  <c r="N3358" i="1"/>
  <c r="T3357" i="1"/>
  <c r="Y3357" i="1" s="1"/>
  <c r="R3357" i="1"/>
  <c r="N3357" i="1"/>
  <c r="T3356" i="1"/>
  <c r="Y3356" i="1" s="1"/>
  <c r="R3356" i="1"/>
  <c r="N3356" i="1"/>
  <c r="T3355" i="1"/>
  <c r="Y3355" i="1" s="1"/>
  <c r="R3355" i="1"/>
  <c r="N3355" i="1"/>
  <c r="T3354" i="1"/>
  <c r="Y3354" i="1" s="1"/>
  <c r="R3354" i="1"/>
  <c r="N3354" i="1"/>
  <c r="T3353" i="1"/>
  <c r="Y3353" i="1" s="1"/>
  <c r="R3353" i="1"/>
  <c r="N3353" i="1"/>
  <c r="T3352" i="1"/>
  <c r="Y3352" i="1" s="1"/>
  <c r="R3352" i="1"/>
  <c r="N3352" i="1"/>
  <c r="T3351" i="1"/>
  <c r="Y3351" i="1" s="1"/>
  <c r="R3351" i="1"/>
  <c r="N3351" i="1"/>
  <c r="T3350" i="1"/>
  <c r="Y3350" i="1" s="1"/>
  <c r="R3350" i="1"/>
  <c r="N3350" i="1"/>
  <c r="X3349" i="1"/>
  <c r="T3349" i="1"/>
  <c r="O3349" i="1"/>
  <c r="R3349" i="1" s="1"/>
  <c r="N3349" i="1"/>
  <c r="T3348" i="1"/>
  <c r="Y3348" i="1" s="1"/>
  <c r="R3348" i="1"/>
  <c r="N3348" i="1"/>
  <c r="T3347" i="1"/>
  <c r="Y3347" i="1" s="1"/>
  <c r="R3347" i="1"/>
  <c r="N3347" i="1"/>
  <c r="T3346" i="1"/>
  <c r="Y3346" i="1" s="1"/>
  <c r="R3346" i="1"/>
  <c r="N3346" i="1"/>
  <c r="T3345" i="1"/>
  <c r="Y3345" i="1" s="1"/>
  <c r="R3345" i="1"/>
  <c r="N3345" i="1"/>
  <c r="X3344" i="1"/>
  <c r="T3344" i="1"/>
  <c r="R3344" i="1"/>
  <c r="O3344" i="1"/>
  <c r="N3344" i="1"/>
  <c r="T3343" i="1"/>
  <c r="Y3343" i="1" s="1"/>
  <c r="R3343" i="1"/>
  <c r="N3343" i="1"/>
  <c r="T3342" i="1"/>
  <c r="R3342" i="1"/>
  <c r="N3342" i="1"/>
  <c r="X3341" i="1"/>
  <c r="T3341" i="1"/>
  <c r="R3341" i="1"/>
  <c r="O3341" i="1"/>
  <c r="N3341" i="1"/>
  <c r="T3340" i="1"/>
  <c r="Y3340" i="1" s="1"/>
  <c r="R3340" i="1"/>
  <c r="N3340" i="1"/>
  <c r="T3339" i="1"/>
  <c r="Y3339" i="1" s="1"/>
  <c r="R3339" i="1"/>
  <c r="N3339" i="1"/>
  <c r="T3338" i="1"/>
  <c r="Y3338" i="1" s="1"/>
  <c r="R3338" i="1"/>
  <c r="N3338" i="1"/>
  <c r="T3337" i="1"/>
  <c r="Y3337" i="1" s="1"/>
  <c r="R3337" i="1"/>
  <c r="N3337" i="1"/>
  <c r="T3336" i="1"/>
  <c r="Y3336" i="1" s="1"/>
  <c r="R3336" i="1"/>
  <c r="N3336" i="1"/>
  <c r="T3335" i="1"/>
  <c r="Y3335" i="1" s="1"/>
  <c r="R3335" i="1"/>
  <c r="N3335" i="1"/>
  <c r="T3334" i="1"/>
  <c r="R3334" i="1"/>
  <c r="N3334" i="1"/>
  <c r="T3333" i="1"/>
  <c r="Y3333" i="1" s="1"/>
  <c r="R3333" i="1"/>
  <c r="N3333" i="1"/>
  <c r="T3332" i="1"/>
  <c r="Y3332" i="1" s="1"/>
  <c r="R3332" i="1"/>
  <c r="N3332" i="1"/>
  <c r="T3331" i="1"/>
  <c r="Y3331" i="1" s="1"/>
  <c r="R3331" i="1"/>
  <c r="N3331" i="1"/>
  <c r="T3330" i="1"/>
  <c r="Y3330" i="1" s="1"/>
  <c r="R3330" i="1"/>
  <c r="N3330" i="1"/>
  <c r="T3329" i="1"/>
  <c r="Y3329" i="1" s="1"/>
  <c r="R3329" i="1"/>
  <c r="N3329" i="1"/>
  <c r="T3328" i="1"/>
  <c r="Y3328" i="1" s="1"/>
  <c r="R3328" i="1"/>
  <c r="N3328" i="1"/>
  <c r="T3327" i="1"/>
  <c r="Y3327" i="1" s="1"/>
  <c r="R3327" i="1"/>
  <c r="N3327" i="1"/>
  <c r="T3326" i="1"/>
  <c r="R3326" i="1"/>
  <c r="N3326" i="1"/>
  <c r="T3325" i="1"/>
  <c r="Y3325" i="1" s="1"/>
  <c r="R3325" i="1"/>
  <c r="N3325" i="1"/>
  <c r="X3324" i="1"/>
  <c r="T3324" i="1"/>
  <c r="R3324" i="1"/>
  <c r="N3324" i="1"/>
  <c r="X3323" i="1"/>
  <c r="T3323" i="1"/>
  <c r="R3323" i="1"/>
  <c r="N3323" i="1"/>
  <c r="T3322" i="1"/>
  <c r="Y3322" i="1" s="1"/>
  <c r="R3322" i="1"/>
  <c r="N3322" i="1"/>
  <c r="T3321" i="1"/>
  <c r="Y3321" i="1" s="1"/>
  <c r="R3321" i="1"/>
  <c r="N3321" i="1"/>
  <c r="T3320" i="1"/>
  <c r="Y3320" i="1" s="1"/>
  <c r="R3320" i="1"/>
  <c r="N3320" i="1"/>
  <c r="T3319" i="1"/>
  <c r="Y3319" i="1" s="1"/>
  <c r="R3319" i="1"/>
  <c r="N3319" i="1"/>
  <c r="T3318" i="1"/>
  <c r="Y3318" i="1" s="1"/>
  <c r="R3318" i="1"/>
  <c r="N3318" i="1"/>
  <c r="T3317" i="1"/>
  <c r="Y3317" i="1" s="1"/>
  <c r="R3317" i="1"/>
  <c r="N3317" i="1"/>
  <c r="T3316" i="1"/>
  <c r="Y3316" i="1" s="1"/>
  <c r="R3316" i="1"/>
  <c r="N3316" i="1"/>
  <c r="T3315" i="1"/>
  <c r="R3315" i="1"/>
  <c r="N3315" i="1"/>
  <c r="T3314" i="1"/>
  <c r="Y3314" i="1" s="1"/>
  <c r="R3314" i="1"/>
  <c r="N3314" i="1"/>
  <c r="T3313" i="1"/>
  <c r="Y3313" i="1" s="1"/>
  <c r="R3313" i="1"/>
  <c r="N3313" i="1"/>
  <c r="T3312" i="1"/>
  <c r="Y3312" i="1" s="1"/>
  <c r="R3312" i="1"/>
  <c r="N3312" i="1"/>
  <c r="X3311" i="1"/>
  <c r="T3311" i="1"/>
  <c r="R3311" i="1"/>
  <c r="N3311" i="1"/>
  <c r="X3310" i="1"/>
  <c r="T3310" i="1"/>
  <c r="R3310" i="1"/>
  <c r="N3310" i="1"/>
  <c r="T3309" i="1"/>
  <c r="Y3309" i="1" s="1"/>
  <c r="R3309" i="1"/>
  <c r="N3309" i="1"/>
  <c r="T3308" i="1"/>
  <c r="Y3308" i="1" s="1"/>
  <c r="R3308" i="1"/>
  <c r="N3308" i="1"/>
  <c r="X3307" i="1"/>
  <c r="T3307" i="1"/>
  <c r="R3307" i="1"/>
  <c r="N3307" i="1"/>
  <c r="T3306" i="1"/>
  <c r="Y3306" i="1" s="1"/>
  <c r="R3306" i="1"/>
  <c r="N3306" i="1"/>
  <c r="T3305" i="1"/>
  <c r="Y3305" i="1" s="1"/>
  <c r="R3305" i="1"/>
  <c r="N3305" i="1"/>
  <c r="T3304" i="1"/>
  <c r="R3304" i="1"/>
  <c r="N3304" i="1"/>
  <c r="T3303" i="1"/>
  <c r="R3303" i="1"/>
  <c r="N3303" i="1"/>
  <c r="T3302" i="1"/>
  <c r="Y3302" i="1" s="1"/>
  <c r="R3302" i="1"/>
  <c r="N3302" i="1"/>
  <c r="T3301" i="1"/>
  <c r="Y3301" i="1" s="1"/>
  <c r="R3301" i="1"/>
  <c r="N3301" i="1"/>
  <c r="T3300" i="1"/>
  <c r="Y3300" i="1" s="1"/>
  <c r="R3300" i="1"/>
  <c r="N3300" i="1"/>
  <c r="X3299" i="1"/>
  <c r="T3299" i="1"/>
  <c r="R3299" i="1"/>
  <c r="N3299" i="1"/>
  <c r="X3298" i="1"/>
  <c r="T3298" i="1"/>
  <c r="R3298" i="1"/>
  <c r="N3298" i="1"/>
  <c r="T3297" i="1"/>
  <c r="Y3297" i="1" s="1"/>
  <c r="R3297" i="1"/>
  <c r="N3297" i="1"/>
  <c r="X3296" i="1"/>
  <c r="T3296" i="1"/>
  <c r="R3296" i="1"/>
  <c r="N3296" i="1"/>
  <c r="X3295" i="1"/>
  <c r="T3295" i="1"/>
  <c r="R3295" i="1"/>
  <c r="N3295" i="1"/>
  <c r="X3294" i="1"/>
  <c r="T3294" i="1"/>
  <c r="R3294" i="1"/>
  <c r="N3294" i="1"/>
  <c r="T3293" i="1"/>
  <c r="Y3293" i="1" s="1"/>
  <c r="R3293" i="1"/>
  <c r="N3293" i="1"/>
  <c r="T3292" i="1"/>
  <c r="Y3292" i="1" s="1"/>
  <c r="R3292" i="1"/>
  <c r="N3292" i="1"/>
  <c r="T3291" i="1"/>
  <c r="R3291" i="1"/>
  <c r="N3291" i="1"/>
  <c r="T3290" i="1"/>
  <c r="Y3290" i="1" s="1"/>
  <c r="R3290" i="1"/>
  <c r="N3290" i="1"/>
  <c r="T3289" i="1"/>
  <c r="R3289" i="1"/>
  <c r="N3289" i="1"/>
  <c r="T3288" i="1"/>
  <c r="Y3288" i="1" s="1"/>
  <c r="R3288" i="1"/>
  <c r="N3288" i="1"/>
  <c r="T3287" i="1"/>
  <c r="Y3287" i="1" s="1"/>
  <c r="R3287" i="1"/>
  <c r="N3287" i="1"/>
  <c r="T3286" i="1"/>
  <c r="Y3286" i="1" s="1"/>
  <c r="R3286" i="1"/>
  <c r="N3286" i="1"/>
  <c r="T3285" i="1"/>
  <c r="Y3285" i="1" s="1"/>
  <c r="R3285" i="1"/>
  <c r="N3285" i="1"/>
  <c r="T3284" i="1"/>
  <c r="R3284" i="1"/>
  <c r="N3284" i="1"/>
  <c r="T3283" i="1"/>
  <c r="Y3283" i="1" s="1"/>
  <c r="R3283" i="1"/>
  <c r="N3283" i="1"/>
  <c r="T3282" i="1"/>
  <c r="Y3282" i="1" s="1"/>
  <c r="R3282" i="1"/>
  <c r="N3282" i="1"/>
  <c r="T3281" i="1"/>
  <c r="Y3281" i="1" s="1"/>
  <c r="R3281" i="1"/>
  <c r="N3281" i="1"/>
  <c r="T3280" i="1"/>
  <c r="Y3280" i="1" s="1"/>
  <c r="R3280" i="1"/>
  <c r="N3280" i="1"/>
  <c r="T3279" i="1"/>
  <c r="Y3279" i="1" s="1"/>
  <c r="R3279" i="1"/>
  <c r="N3279" i="1"/>
  <c r="T3278" i="1"/>
  <c r="Y3278" i="1" s="1"/>
  <c r="R3278" i="1"/>
  <c r="N3278" i="1"/>
  <c r="T3277" i="1"/>
  <c r="Y3277" i="1" s="1"/>
  <c r="R3277" i="1"/>
  <c r="N3277" i="1"/>
  <c r="T3276" i="1"/>
  <c r="Y3276" i="1" s="1"/>
  <c r="R3276" i="1"/>
  <c r="N3276" i="1"/>
  <c r="T3275" i="1"/>
  <c r="Y3275" i="1" s="1"/>
  <c r="R3275" i="1"/>
  <c r="N3275" i="1"/>
  <c r="T3274" i="1"/>
  <c r="Y3274" i="1" s="1"/>
  <c r="R3274" i="1"/>
  <c r="N3274" i="1"/>
  <c r="T3273" i="1"/>
  <c r="Y3273" i="1" s="1"/>
  <c r="R3273" i="1"/>
  <c r="N3273" i="1"/>
  <c r="T3272" i="1"/>
  <c r="Y3272" i="1" s="1"/>
  <c r="R3272" i="1"/>
  <c r="N3272" i="1"/>
  <c r="T3271" i="1"/>
  <c r="Y3271" i="1" s="1"/>
  <c r="R3271" i="1"/>
  <c r="N3271" i="1"/>
  <c r="T3270" i="1"/>
  <c r="Y3270" i="1" s="1"/>
  <c r="R3270" i="1"/>
  <c r="N3270" i="1"/>
  <c r="T3269" i="1"/>
  <c r="Y3269" i="1" s="1"/>
  <c r="R3269" i="1"/>
  <c r="N3269" i="1"/>
  <c r="T3268" i="1"/>
  <c r="Y3268" i="1" s="1"/>
  <c r="R3268" i="1"/>
  <c r="N3268" i="1"/>
  <c r="T3267" i="1"/>
  <c r="Y3267" i="1" s="1"/>
  <c r="R3267" i="1"/>
  <c r="N3267" i="1"/>
  <c r="T3266" i="1"/>
  <c r="Y3266" i="1" s="1"/>
  <c r="R3266" i="1"/>
  <c r="N3266" i="1"/>
  <c r="T3265" i="1"/>
  <c r="Y3265" i="1" s="1"/>
  <c r="R3265" i="1"/>
  <c r="N3265" i="1"/>
  <c r="T3264" i="1"/>
  <c r="Y3264" i="1" s="1"/>
  <c r="R3264" i="1"/>
  <c r="N3264" i="1"/>
  <c r="T3263" i="1"/>
  <c r="Y3263" i="1" s="1"/>
  <c r="R3263" i="1"/>
  <c r="N3263" i="1"/>
  <c r="T3262" i="1"/>
  <c r="Y3262" i="1" s="1"/>
  <c r="R3262" i="1"/>
  <c r="N3262" i="1"/>
  <c r="T3261" i="1"/>
  <c r="Y3261" i="1" s="1"/>
  <c r="R3261" i="1"/>
  <c r="N3261" i="1"/>
  <c r="T3260" i="1"/>
  <c r="Y3260" i="1" s="1"/>
  <c r="R3260" i="1"/>
  <c r="N3260" i="1"/>
  <c r="T3259" i="1"/>
  <c r="Y3259" i="1" s="1"/>
  <c r="R3259" i="1"/>
  <c r="N3259" i="1"/>
  <c r="T3258" i="1"/>
  <c r="Y3258" i="1" s="1"/>
  <c r="R3258" i="1"/>
  <c r="N3258" i="1"/>
  <c r="T3257" i="1"/>
  <c r="Y3257" i="1" s="1"/>
  <c r="R3257" i="1"/>
  <c r="N3257" i="1"/>
  <c r="T3256" i="1"/>
  <c r="Y3256" i="1" s="1"/>
  <c r="R3256" i="1"/>
  <c r="N3256" i="1"/>
  <c r="T3255" i="1"/>
  <c r="Y3255" i="1" s="1"/>
  <c r="R3255" i="1"/>
  <c r="N3255" i="1"/>
  <c r="T3254" i="1"/>
  <c r="Y3254" i="1" s="1"/>
  <c r="R3254" i="1"/>
  <c r="N3254" i="1"/>
  <c r="T3253" i="1"/>
  <c r="Y3253" i="1" s="1"/>
  <c r="R3253" i="1"/>
  <c r="N3253" i="1"/>
  <c r="T3252" i="1"/>
  <c r="Y3252" i="1" s="1"/>
  <c r="R3252" i="1"/>
  <c r="N3252" i="1"/>
  <c r="T3251" i="1"/>
  <c r="Y3251" i="1" s="1"/>
  <c r="R3251" i="1"/>
  <c r="N3251" i="1"/>
  <c r="T3250" i="1"/>
  <c r="Y3250" i="1" s="1"/>
  <c r="R3250" i="1"/>
  <c r="N3250" i="1"/>
  <c r="T3249" i="1"/>
  <c r="Y3249" i="1" s="1"/>
  <c r="R3249" i="1"/>
  <c r="N3249" i="1"/>
  <c r="T3248" i="1"/>
  <c r="Y3248" i="1" s="1"/>
  <c r="R3248" i="1"/>
  <c r="N3248" i="1"/>
  <c r="T3247" i="1"/>
  <c r="Y3247" i="1" s="1"/>
  <c r="R3247" i="1"/>
  <c r="N3247" i="1"/>
  <c r="T3246" i="1"/>
  <c r="Y3246" i="1" s="1"/>
  <c r="R3246" i="1"/>
  <c r="N3246" i="1"/>
  <c r="T3245" i="1"/>
  <c r="Y3245" i="1" s="1"/>
  <c r="R3245" i="1"/>
  <c r="N3245" i="1"/>
  <c r="T3244" i="1"/>
  <c r="Y3244" i="1" s="1"/>
  <c r="R3244" i="1"/>
  <c r="N3244" i="1"/>
  <c r="X3243" i="1"/>
  <c r="T3243" i="1"/>
  <c r="R3243" i="1"/>
  <c r="N3243" i="1"/>
  <c r="T3242" i="1"/>
  <c r="Y3242" i="1" s="1"/>
  <c r="R3242" i="1"/>
  <c r="N3242" i="1"/>
  <c r="T3241" i="1"/>
  <c r="Y3241" i="1" s="1"/>
  <c r="R3241" i="1"/>
  <c r="N3241" i="1"/>
  <c r="X3240" i="1"/>
  <c r="T3240" i="1"/>
  <c r="R3240" i="1"/>
  <c r="N3240" i="1"/>
  <c r="X3239" i="1"/>
  <c r="T3239" i="1"/>
  <c r="R3239" i="1"/>
  <c r="N3239" i="1"/>
  <c r="T3238" i="1"/>
  <c r="Y3238" i="1" s="1"/>
  <c r="R3238" i="1"/>
  <c r="N3238" i="1"/>
  <c r="X3237" i="1"/>
  <c r="T3237" i="1"/>
  <c r="R3237" i="1"/>
  <c r="N3237" i="1"/>
  <c r="T3236" i="1"/>
  <c r="Y3236" i="1" s="1"/>
  <c r="R3236" i="1"/>
  <c r="N3236" i="1"/>
  <c r="X3235" i="1"/>
  <c r="T3235" i="1"/>
  <c r="R3235" i="1"/>
  <c r="N3235" i="1"/>
  <c r="X3234" i="1"/>
  <c r="T3234" i="1"/>
  <c r="R3234" i="1"/>
  <c r="N3234" i="1"/>
  <c r="X3233" i="1"/>
  <c r="T3233" i="1"/>
  <c r="R3233" i="1"/>
  <c r="N3233" i="1"/>
  <c r="X3232" i="1"/>
  <c r="T3232" i="1"/>
  <c r="R3232" i="1"/>
  <c r="N3232" i="1"/>
  <c r="T3231" i="1"/>
  <c r="Y3231" i="1" s="1"/>
  <c r="R3231" i="1"/>
  <c r="N3231" i="1"/>
  <c r="T3230" i="1"/>
  <c r="Y3230" i="1" s="1"/>
  <c r="R3230" i="1"/>
  <c r="N3230" i="1"/>
  <c r="T3229" i="1"/>
  <c r="Y3229" i="1" s="1"/>
  <c r="R3229" i="1"/>
  <c r="N3229" i="1"/>
  <c r="T3228" i="1"/>
  <c r="Y3228" i="1" s="1"/>
  <c r="R3228" i="1"/>
  <c r="N3228" i="1"/>
  <c r="T3227" i="1"/>
  <c r="Y3227" i="1" s="1"/>
  <c r="R3227" i="1"/>
  <c r="N3227" i="1"/>
  <c r="T3226" i="1"/>
  <c r="Y3226" i="1" s="1"/>
  <c r="R3226" i="1"/>
  <c r="N3226" i="1"/>
  <c r="T3225" i="1"/>
  <c r="Y3225" i="1" s="1"/>
  <c r="R3225" i="1"/>
  <c r="N3225" i="1"/>
  <c r="T3224" i="1"/>
  <c r="Y3224" i="1" s="1"/>
  <c r="R3224" i="1"/>
  <c r="N3224" i="1"/>
  <c r="T3223" i="1"/>
  <c r="Y3223" i="1" s="1"/>
  <c r="R3223" i="1"/>
  <c r="N3223" i="1"/>
  <c r="T3222" i="1"/>
  <c r="Y3222" i="1" s="1"/>
  <c r="R3222" i="1"/>
  <c r="N3222" i="1"/>
  <c r="T3221" i="1"/>
  <c r="Y3221" i="1" s="1"/>
  <c r="R3221" i="1"/>
  <c r="N3221" i="1"/>
  <c r="T3220" i="1"/>
  <c r="Y3220" i="1" s="1"/>
  <c r="R3220" i="1"/>
  <c r="N3220" i="1"/>
  <c r="T3219" i="1"/>
  <c r="R3219" i="1"/>
  <c r="N3219" i="1"/>
  <c r="T3218" i="1"/>
  <c r="Y3218" i="1" s="1"/>
  <c r="R3218" i="1"/>
  <c r="N3218" i="1"/>
  <c r="T3217" i="1"/>
  <c r="Y3217" i="1" s="1"/>
  <c r="R3217" i="1"/>
  <c r="N3217" i="1"/>
  <c r="T3216" i="1"/>
  <c r="Y3216" i="1" s="1"/>
  <c r="R3216" i="1"/>
  <c r="N3216" i="1"/>
  <c r="T3215" i="1"/>
  <c r="Y3215" i="1" s="1"/>
  <c r="R3215" i="1"/>
  <c r="N3215" i="1"/>
  <c r="T3214" i="1"/>
  <c r="Y3214" i="1" s="1"/>
  <c r="R3214" i="1"/>
  <c r="N3214" i="1"/>
  <c r="T3213" i="1"/>
  <c r="Y3213" i="1" s="1"/>
  <c r="R3213" i="1"/>
  <c r="N3213" i="1"/>
  <c r="T3212" i="1"/>
  <c r="Y3212" i="1" s="1"/>
  <c r="R3212" i="1"/>
  <c r="N3212" i="1"/>
  <c r="T3211" i="1"/>
  <c r="Y3211" i="1" s="1"/>
  <c r="R3211" i="1"/>
  <c r="N3211" i="1"/>
  <c r="T3210" i="1"/>
  <c r="Y3210" i="1" s="1"/>
  <c r="R3210" i="1"/>
  <c r="N3210" i="1"/>
  <c r="T3209" i="1"/>
  <c r="Y3209" i="1" s="1"/>
  <c r="R3209" i="1"/>
  <c r="N3209" i="1"/>
  <c r="T3208" i="1"/>
  <c r="Y3208" i="1" s="1"/>
  <c r="R3208" i="1"/>
  <c r="N3208" i="1"/>
  <c r="T3207" i="1"/>
  <c r="Y3207" i="1" s="1"/>
  <c r="R3207" i="1"/>
  <c r="N3207" i="1"/>
  <c r="T3206" i="1"/>
  <c r="Y3206" i="1" s="1"/>
  <c r="R3206" i="1"/>
  <c r="N3206" i="1"/>
  <c r="T3205" i="1"/>
  <c r="Y3205" i="1" s="1"/>
  <c r="R3205" i="1"/>
  <c r="N3205" i="1"/>
  <c r="T3204" i="1"/>
  <c r="Y3204" i="1" s="1"/>
  <c r="R3204" i="1"/>
  <c r="N3204" i="1"/>
  <c r="T3203" i="1"/>
  <c r="Y3203" i="1" s="1"/>
  <c r="R3203" i="1"/>
  <c r="N3203" i="1"/>
  <c r="X3202" i="1"/>
  <c r="T3202" i="1"/>
  <c r="R3202" i="1"/>
  <c r="N3202" i="1"/>
  <c r="T3201" i="1"/>
  <c r="Y3201" i="1" s="1"/>
  <c r="R3201" i="1"/>
  <c r="N3201" i="1"/>
  <c r="T3200" i="1"/>
  <c r="Y3200" i="1" s="1"/>
  <c r="R3200" i="1"/>
  <c r="N3200" i="1"/>
  <c r="X3199" i="1"/>
  <c r="T3199" i="1"/>
  <c r="R3199" i="1"/>
  <c r="N3199" i="1"/>
  <c r="T3198" i="1"/>
  <c r="Y3198" i="1" s="1"/>
  <c r="R3198" i="1"/>
  <c r="N3198" i="1"/>
  <c r="T3197" i="1"/>
  <c r="R3197" i="1"/>
  <c r="N3197" i="1"/>
  <c r="T3196" i="1"/>
  <c r="Y3196" i="1" s="1"/>
  <c r="R3196" i="1"/>
  <c r="N3196" i="1"/>
  <c r="T3195" i="1"/>
  <c r="Y3195" i="1" s="1"/>
  <c r="R3195" i="1"/>
  <c r="N3195" i="1"/>
  <c r="T3194" i="1"/>
  <c r="Y3194" i="1" s="1"/>
  <c r="R3194" i="1"/>
  <c r="N3194" i="1"/>
  <c r="X3193" i="1"/>
  <c r="T3193" i="1"/>
  <c r="R3193" i="1"/>
  <c r="N3193" i="1"/>
  <c r="T3192" i="1"/>
  <c r="Y3192" i="1" s="1"/>
  <c r="R3192" i="1"/>
  <c r="N3192" i="1"/>
  <c r="T3191" i="1"/>
  <c r="Y3191" i="1" s="1"/>
  <c r="R3191" i="1"/>
  <c r="N3191" i="1"/>
  <c r="T3190" i="1"/>
  <c r="R3190" i="1"/>
  <c r="N3190" i="1"/>
  <c r="T3189" i="1"/>
  <c r="Y3189" i="1" s="1"/>
  <c r="R3189" i="1"/>
  <c r="N3189" i="1"/>
  <c r="T3188" i="1"/>
  <c r="Y3188" i="1" s="1"/>
  <c r="R3188" i="1"/>
  <c r="N3188" i="1"/>
  <c r="X3187" i="1"/>
  <c r="T3187" i="1"/>
  <c r="R3187" i="1"/>
  <c r="N3187" i="1"/>
  <c r="T3186" i="1"/>
  <c r="Y3186" i="1" s="1"/>
  <c r="R3186" i="1"/>
  <c r="N3186" i="1"/>
  <c r="T3185" i="1"/>
  <c r="Y3185" i="1" s="1"/>
  <c r="R3185" i="1"/>
  <c r="N3185" i="1"/>
  <c r="T3184" i="1"/>
  <c r="Y3184" i="1" s="1"/>
  <c r="R3184" i="1"/>
  <c r="N3184" i="1"/>
  <c r="T3183" i="1"/>
  <c r="Y3183" i="1" s="1"/>
  <c r="R3183" i="1"/>
  <c r="N3183" i="1"/>
  <c r="T3182" i="1"/>
  <c r="Y3182" i="1" s="1"/>
  <c r="R3182" i="1"/>
  <c r="N3182" i="1"/>
  <c r="T3181" i="1"/>
  <c r="Y3181" i="1" s="1"/>
  <c r="R3181" i="1"/>
  <c r="N3181" i="1"/>
  <c r="T3180" i="1"/>
  <c r="Y3180" i="1" s="1"/>
  <c r="R3180" i="1"/>
  <c r="N3180" i="1"/>
  <c r="X3179" i="1"/>
  <c r="T3179" i="1"/>
  <c r="R3179" i="1"/>
  <c r="N3179" i="1"/>
  <c r="T3178" i="1"/>
  <c r="Y3178" i="1" s="1"/>
  <c r="R3178" i="1"/>
  <c r="N3178" i="1"/>
  <c r="T3177" i="1"/>
  <c r="Y3177" i="1" s="1"/>
  <c r="R3177" i="1"/>
  <c r="N3177" i="1"/>
  <c r="X3176" i="1"/>
  <c r="T3176" i="1"/>
  <c r="R3176" i="1"/>
  <c r="N3176" i="1"/>
  <c r="T3175" i="1"/>
  <c r="Y3175" i="1" s="1"/>
  <c r="R3175" i="1"/>
  <c r="N3175" i="1"/>
  <c r="X3174" i="1"/>
  <c r="T3174" i="1"/>
  <c r="R3174" i="1"/>
  <c r="N3174" i="1"/>
  <c r="T3173" i="1"/>
  <c r="Y3173" i="1" s="1"/>
  <c r="R3173" i="1"/>
  <c r="N3173" i="1"/>
  <c r="X3172" i="1"/>
  <c r="T3172" i="1"/>
  <c r="R3172" i="1"/>
  <c r="N3172" i="1"/>
  <c r="T3171" i="1"/>
  <c r="Y3171" i="1" s="1"/>
  <c r="R3171" i="1"/>
  <c r="N3171" i="1"/>
  <c r="T3170" i="1"/>
  <c r="Y3170" i="1" s="1"/>
  <c r="R3170" i="1"/>
  <c r="N3170" i="1"/>
  <c r="T3169" i="1"/>
  <c r="Y3169" i="1" s="1"/>
  <c r="R3169" i="1"/>
  <c r="N3169" i="1"/>
  <c r="T3168" i="1"/>
  <c r="Y3168" i="1" s="1"/>
  <c r="R3168" i="1"/>
  <c r="N3168" i="1"/>
  <c r="T3167" i="1"/>
  <c r="Y3167" i="1" s="1"/>
  <c r="R3167" i="1"/>
  <c r="N3167" i="1"/>
  <c r="T3166" i="1"/>
  <c r="Y3166" i="1" s="1"/>
  <c r="R3166" i="1"/>
  <c r="N3166" i="1"/>
  <c r="T3165" i="1"/>
  <c r="Y3165" i="1" s="1"/>
  <c r="R3165" i="1"/>
  <c r="N3165" i="1"/>
  <c r="T3164" i="1"/>
  <c r="Y3164" i="1" s="1"/>
  <c r="R3164" i="1"/>
  <c r="N3164" i="1"/>
  <c r="T3163" i="1"/>
  <c r="Y3163" i="1" s="1"/>
  <c r="R3163" i="1"/>
  <c r="N3163" i="1"/>
  <c r="T3162" i="1"/>
  <c r="Y3162" i="1" s="1"/>
  <c r="R3162" i="1"/>
  <c r="N3162" i="1"/>
  <c r="T3161" i="1"/>
  <c r="Y3161" i="1" s="1"/>
  <c r="R3161" i="1"/>
  <c r="N3161" i="1"/>
  <c r="T3160" i="1"/>
  <c r="Y3160" i="1" s="1"/>
  <c r="R3160" i="1"/>
  <c r="N3160" i="1"/>
  <c r="T3159" i="1"/>
  <c r="Y3159" i="1" s="1"/>
  <c r="R3159" i="1"/>
  <c r="N3159" i="1"/>
  <c r="T3158" i="1"/>
  <c r="Y3158" i="1" s="1"/>
  <c r="R3158" i="1"/>
  <c r="N3158" i="1"/>
  <c r="T3157" i="1"/>
  <c r="Y3157" i="1" s="1"/>
  <c r="R3157" i="1"/>
  <c r="N3157" i="1"/>
  <c r="X3156" i="1"/>
  <c r="T3156" i="1"/>
  <c r="R3156" i="1"/>
  <c r="N3156" i="1"/>
  <c r="X3155" i="1"/>
  <c r="T3155" i="1"/>
  <c r="R3155" i="1"/>
  <c r="N3155" i="1"/>
  <c r="T3154" i="1"/>
  <c r="Y3154" i="1" s="1"/>
  <c r="R3154" i="1"/>
  <c r="N3154" i="1"/>
  <c r="T3153" i="1"/>
  <c r="Y3153" i="1" s="1"/>
  <c r="R3153" i="1"/>
  <c r="N3153" i="1"/>
  <c r="T3152" i="1"/>
  <c r="Y3152" i="1" s="1"/>
  <c r="R3152" i="1"/>
  <c r="N3152" i="1"/>
  <c r="T3151" i="1"/>
  <c r="Y3151" i="1" s="1"/>
  <c r="R3151" i="1"/>
  <c r="N3151" i="1"/>
  <c r="T3150" i="1"/>
  <c r="Y3150" i="1" s="1"/>
  <c r="R3150" i="1"/>
  <c r="N3150" i="1"/>
  <c r="T3149" i="1"/>
  <c r="Y3149" i="1" s="1"/>
  <c r="R3149" i="1"/>
  <c r="N3149" i="1"/>
  <c r="T3148" i="1"/>
  <c r="Y3148" i="1" s="1"/>
  <c r="R3148" i="1"/>
  <c r="N3148" i="1"/>
  <c r="T3147" i="1"/>
  <c r="Y3147" i="1" s="1"/>
  <c r="R3147" i="1"/>
  <c r="N3147" i="1"/>
  <c r="T3146" i="1"/>
  <c r="Y3146" i="1" s="1"/>
  <c r="R3146" i="1"/>
  <c r="N3146" i="1"/>
  <c r="T3145" i="1"/>
  <c r="Y3145" i="1" s="1"/>
  <c r="R3145" i="1"/>
  <c r="N3145" i="1"/>
  <c r="T3144" i="1"/>
  <c r="R3144" i="1"/>
  <c r="N3144" i="1"/>
  <c r="T3143" i="1"/>
  <c r="Y3143" i="1" s="1"/>
  <c r="R3143" i="1"/>
  <c r="N3143" i="1"/>
  <c r="T3142" i="1"/>
  <c r="Y3142" i="1" s="1"/>
  <c r="R3142" i="1"/>
  <c r="N3142" i="1"/>
  <c r="T3141" i="1"/>
  <c r="Y3141" i="1" s="1"/>
  <c r="R3141" i="1"/>
  <c r="N3141" i="1"/>
  <c r="T3140" i="1"/>
  <c r="Y3140" i="1" s="1"/>
  <c r="R3140" i="1"/>
  <c r="N3140" i="1"/>
  <c r="T3139" i="1"/>
  <c r="Y3139" i="1" s="1"/>
  <c r="R3139" i="1"/>
  <c r="N3139" i="1"/>
  <c r="X3138" i="1"/>
  <c r="T3138" i="1"/>
  <c r="R3138" i="1"/>
  <c r="N3138" i="1"/>
  <c r="T3137" i="1"/>
  <c r="Y3137" i="1" s="1"/>
  <c r="R3137" i="1"/>
  <c r="N3137" i="1"/>
  <c r="T3136" i="1"/>
  <c r="Y3136" i="1" s="1"/>
  <c r="R3136" i="1"/>
  <c r="N3136" i="1"/>
  <c r="T3135" i="1"/>
  <c r="Y3135" i="1" s="1"/>
  <c r="R3135" i="1"/>
  <c r="N3135" i="1"/>
  <c r="T3134" i="1"/>
  <c r="R3134" i="1"/>
  <c r="N3134" i="1"/>
  <c r="T3133" i="1"/>
  <c r="Y3133" i="1" s="1"/>
  <c r="R3133" i="1"/>
  <c r="N3133" i="1"/>
  <c r="T3132" i="1"/>
  <c r="Y3132" i="1" s="1"/>
  <c r="R3132" i="1"/>
  <c r="N3132" i="1"/>
  <c r="T3131" i="1"/>
  <c r="Y3131" i="1" s="1"/>
  <c r="R3131" i="1"/>
  <c r="N3131" i="1"/>
  <c r="T3130" i="1"/>
  <c r="Y3130" i="1" s="1"/>
  <c r="R3130" i="1"/>
  <c r="N3130" i="1"/>
  <c r="T3129" i="1"/>
  <c r="Y3129" i="1" s="1"/>
  <c r="R3129" i="1"/>
  <c r="N3129" i="1"/>
  <c r="T3128" i="1"/>
  <c r="Y3128" i="1" s="1"/>
  <c r="R3128" i="1"/>
  <c r="N3128" i="1"/>
  <c r="T3127" i="1"/>
  <c r="Y3127" i="1" s="1"/>
  <c r="R3127" i="1"/>
  <c r="N3127" i="1"/>
  <c r="T3126" i="1"/>
  <c r="Y3126" i="1" s="1"/>
  <c r="R3126" i="1"/>
  <c r="N3126" i="1"/>
  <c r="T3125" i="1"/>
  <c r="Y3125" i="1" s="1"/>
  <c r="R3125" i="1"/>
  <c r="N3125" i="1"/>
  <c r="T3124" i="1"/>
  <c r="Y3124" i="1" s="1"/>
  <c r="R3124" i="1"/>
  <c r="N3124" i="1"/>
  <c r="T3123" i="1"/>
  <c r="Y3123" i="1" s="1"/>
  <c r="R3123" i="1"/>
  <c r="N3123" i="1"/>
  <c r="T3122" i="1"/>
  <c r="Y3122" i="1" s="1"/>
  <c r="R3122" i="1"/>
  <c r="N3122" i="1"/>
  <c r="T3121" i="1"/>
  <c r="Y3121" i="1" s="1"/>
  <c r="R3121" i="1"/>
  <c r="N3121" i="1"/>
  <c r="T3120" i="1"/>
  <c r="Y3120" i="1" s="1"/>
  <c r="R3120" i="1"/>
  <c r="N3120" i="1"/>
  <c r="T3119" i="1"/>
  <c r="Y3119" i="1" s="1"/>
  <c r="R3119" i="1"/>
  <c r="N3119" i="1"/>
  <c r="T3118" i="1"/>
  <c r="R3118" i="1"/>
  <c r="N3118" i="1"/>
  <c r="T3117" i="1"/>
  <c r="Y3117" i="1" s="1"/>
  <c r="R3117" i="1"/>
  <c r="N3117" i="1"/>
  <c r="T3116" i="1"/>
  <c r="Y3116" i="1" s="1"/>
  <c r="R3116" i="1"/>
  <c r="N3116" i="1"/>
  <c r="T3115" i="1"/>
  <c r="Y3115" i="1" s="1"/>
  <c r="R3115" i="1"/>
  <c r="N3115" i="1"/>
  <c r="X3114" i="1"/>
  <c r="T3114" i="1"/>
  <c r="R3114" i="1"/>
  <c r="N3114" i="1"/>
  <c r="X3113" i="1"/>
  <c r="T3113" i="1"/>
  <c r="R3113" i="1"/>
  <c r="N3113" i="1"/>
  <c r="T3112" i="1"/>
  <c r="Y3112" i="1" s="1"/>
  <c r="R3112" i="1"/>
  <c r="N3112" i="1"/>
  <c r="X3111" i="1"/>
  <c r="T3111" i="1"/>
  <c r="R3111" i="1"/>
  <c r="N3111" i="1"/>
  <c r="X3110" i="1"/>
  <c r="T3110" i="1"/>
  <c r="R3110" i="1"/>
  <c r="N3110" i="1"/>
  <c r="X3109" i="1"/>
  <c r="T3109" i="1"/>
  <c r="R3109" i="1"/>
  <c r="N3109" i="1"/>
  <c r="X3108" i="1"/>
  <c r="T3108" i="1"/>
  <c r="R3108" i="1"/>
  <c r="N3108" i="1"/>
  <c r="T3107" i="1"/>
  <c r="Y3107" i="1" s="1"/>
  <c r="R3107" i="1"/>
  <c r="N3107" i="1"/>
  <c r="X3106" i="1"/>
  <c r="T3106" i="1"/>
  <c r="R3106" i="1"/>
  <c r="N3106" i="1"/>
  <c r="T3105" i="1"/>
  <c r="Y3105" i="1" s="1"/>
  <c r="R3105" i="1"/>
  <c r="N3105" i="1"/>
  <c r="T3104" i="1"/>
  <c r="Y3104" i="1" s="1"/>
  <c r="R3104" i="1"/>
  <c r="N3104" i="1"/>
  <c r="T3103" i="1"/>
  <c r="Y3103" i="1" s="1"/>
  <c r="R3103" i="1"/>
  <c r="N3103" i="1"/>
  <c r="T3102" i="1"/>
  <c r="Y3102" i="1" s="1"/>
  <c r="R3102" i="1"/>
  <c r="N3102" i="1"/>
  <c r="T3101" i="1"/>
  <c r="Y3101" i="1" s="1"/>
  <c r="R3101" i="1"/>
  <c r="N3101" i="1"/>
  <c r="T3100" i="1"/>
  <c r="Y3100" i="1" s="1"/>
  <c r="R3100" i="1"/>
  <c r="N3100" i="1"/>
  <c r="T3099" i="1"/>
  <c r="Y3099" i="1" s="1"/>
  <c r="R3099" i="1"/>
  <c r="N3099" i="1"/>
  <c r="T3098" i="1"/>
  <c r="Y3098" i="1" s="1"/>
  <c r="R3098" i="1"/>
  <c r="N3098" i="1"/>
  <c r="T3097" i="1"/>
  <c r="Y3097" i="1" s="1"/>
  <c r="R3097" i="1"/>
  <c r="N3097" i="1"/>
  <c r="T3096" i="1"/>
  <c r="Y3096" i="1" s="1"/>
  <c r="R3096" i="1"/>
  <c r="N3096" i="1"/>
  <c r="X3095" i="1"/>
  <c r="T3095" i="1"/>
  <c r="R3095" i="1"/>
  <c r="N3095" i="1"/>
  <c r="T3094" i="1"/>
  <c r="Y3094" i="1" s="1"/>
  <c r="R3094" i="1"/>
  <c r="N3094" i="1"/>
  <c r="T3093" i="1"/>
  <c r="R3093" i="1"/>
  <c r="N3093" i="1"/>
  <c r="T3092" i="1"/>
  <c r="Y3092" i="1" s="1"/>
  <c r="R3092" i="1"/>
  <c r="N3092" i="1"/>
  <c r="T3091" i="1"/>
  <c r="R3091" i="1"/>
  <c r="N3091" i="1"/>
  <c r="T3090" i="1"/>
  <c r="Y3090" i="1" s="1"/>
  <c r="R3090" i="1"/>
  <c r="N3090" i="1"/>
  <c r="T3089" i="1"/>
  <c r="Y3089" i="1" s="1"/>
  <c r="R3089" i="1"/>
  <c r="N3089" i="1"/>
  <c r="T3088" i="1"/>
  <c r="Y3088" i="1" s="1"/>
  <c r="R3088" i="1"/>
  <c r="N3088" i="1"/>
  <c r="T3087" i="1"/>
  <c r="Y3087" i="1" s="1"/>
  <c r="R3087" i="1"/>
  <c r="N3087" i="1"/>
  <c r="T3086" i="1"/>
  <c r="Y3086" i="1" s="1"/>
  <c r="R3086" i="1"/>
  <c r="N3086" i="1"/>
  <c r="T3085" i="1"/>
  <c r="Y3085" i="1" s="1"/>
  <c r="R3085" i="1"/>
  <c r="N3085" i="1"/>
  <c r="T3084" i="1"/>
  <c r="Y3084" i="1" s="1"/>
  <c r="R3084" i="1"/>
  <c r="N3084" i="1"/>
  <c r="T3083" i="1"/>
  <c r="Y3083" i="1" s="1"/>
  <c r="R3083" i="1"/>
  <c r="N3083" i="1"/>
  <c r="T3082" i="1"/>
  <c r="Y3082" i="1" s="1"/>
  <c r="R3082" i="1"/>
  <c r="N3082" i="1"/>
  <c r="T3081" i="1"/>
  <c r="Y3081" i="1" s="1"/>
  <c r="R3081" i="1"/>
  <c r="N3081" i="1"/>
  <c r="T3080" i="1"/>
  <c r="Y3080" i="1" s="1"/>
  <c r="R3080" i="1"/>
  <c r="N3080" i="1"/>
  <c r="T3079" i="1"/>
  <c r="Y3079" i="1" s="1"/>
  <c r="R3079" i="1"/>
  <c r="N3079" i="1"/>
  <c r="T3078" i="1"/>
  <c r="R3078" i="1"/>
  <c r="N3078" i="1"/>
  <c r="X3077" i="1"/>
  <c r="T3077" i="1"/>
  <c r="R3077" i="1"/>
  <c r="N3077" i="1"/>
  <c r="T3076" i="1"/>
  <c r="Y3076" i="1" s="1"/>
  <c r="R3076" i="1"/>
  <c r="N3076" i="1"/>
  <c r="T3075" i="1"/>
  <c r="Y3075" i="1" s="1"/>
  <c r="R3075" i="1"/>
  <c r="N3075" i="1"/>
  <c r="T3074" i="1"/>
  <c r="Y3074" i="1" s="1"/>
  <c r="R3074" i="1"/>
  <c r="N3074" i="1"/>
  <c r="T3073" i="1"/>
  <c r="Y3073" i="1" s="1"/>
  <c r="R3073" i="1"/>
  <c r="N3073" i="1"/>
  <c r="T3072" i="1"/>
  <c r="R3072" i="1"/>
  <c r="N3072" i="1"/>
  <c r="T3071" i="1"/>
  <c r="Y3071" i="1" s="1"/>
  <c r="R3071" i="1"/>
  <c r="N3071" i="1"/>
  <c r="X3070" i="1"/>
  <c r="T3070" i="1"/>
  <c r="R3070" i="1"/>
  <c r="N3070" i="1"/>
  <c r="T3069" i="1"/>
  <c r="Y3069" i="1" s="1"/>
  <c r="R3069" i="1"/>
  <c r="N3069" i="1"/>
  <c r="T3068" i="1"/>
  <c r="Y3068" i="1" s="1"/>
  <c r="R3068" i="1"/>
  <c r="N3068" i="1"/>
  <c r="T3067" i="1"/>
  <c r="Y3067" i="1" s="1"/>
  <c r="R3067" i="1"/>
  <c r="N3067" i="1"/>
  <c r="T3066" i="1"/>
  <c r="Y3066" i="1" s="1"/>
  <c r="R3066" i="1"/>
  <c r="N3066" i="1"/>
  <c r="T3065" i="1"/>
  <c r="Y3065" i="1" s="1"/>
  <c r="R3065" i="1"/>
  <c r="N3065" i="1"/>
  <c r="T3064" i="1"/>
  <c r="Y3064" i="1" s="1"/>
  <c r="R3064" i="1"/>
  <c r="N3064" i="1"/>
  <c r="T3063" i="1"/>
  <c r="Y3063" i="1" s="1"/>
  <c r="R3063" i="1"/>
  <c r="N3063" i="1"/>
  <c r="T3062" i="1"/>
  <c r="Y3062" i="1" s="1"/>
  <c r="R3062" i="1"/>
  <c r="N3062" i="1"/>
  <c r="T3061" i="1"/>
  <c r="Y3061" i="1" s="1"/>
  <c r="R3061" i="1"/>
  <c r="N3061" i="1"/>
  <c r="T3060" i="1"/>
  <c r="R3060" i="1"/>
  <c r="N3060" i="1"/>
  <c r="T3059" i="1"/>
  <c r="Y3059" i="1" s="1"/>
  <c r="R3059" i="1"/>
  <c r="N3059" i="1"/>
  <c r="T3058" i="1"/>
  <c r="Y3058" i="1" s="1"/>
  <c r="R3058" i="1"/>
  <c r="N3058" i="1"/>
  <c r="T3057" i="1"/>
  <c r="Y3057" i="1" s="1"/>
  <c r="R3057" i="1"/>
  <c r="N3057" i="1"/>
  <c r="T3056" i="1"/>
  <c r="R3056" i="1"/>
  <c r="N3056" i="1"/>
  <c r="T3055" i="1"/>
  <c r="Y3055" i="1" s="1"/>
  <c r="R3055" i="1"/>
  <c r="N3055" i="1"/>
  <c r="T3054" i="1"/>
  <c r="Y3054" i="1" s="1"/>
  <c r="R3054" i="1"/>
  <c r="N3054" i="1"/>
  <c r="T3053" i="1"/>
  <c r="Y3053" i="1" s="1"/>
  <c r="R3053" i="1"/>
  <c r="N3053" i="1"/>
  <c r="T3052" i="1"/>
  <c r="Y3052" i="1" s="1"/>
  <c r="R3052" i="1"/>
  <c r="N3052" i="1"/>
  <c r="T3051" i="1"/>
  <c r="Y3051" i="1" s="1"/>
  <c r="R3051" i="1"/>
  <c r="N3051" i="1"/>
  <c r="T3050" i="1"/>
  <c r="Y3050" i="1" s="1"/>
  <c r="R3050" i="1"/>
  <c r="N3050" i="1"/>
  <c r="T3049" i="1"/>
  <c r="Y3049" i="1" s="1"/>
  <c r="R3049" i="1"/>
  <c r="N3049" i="1"/>
  <c r="T3048" i="1"/>
  <c r="Y3048" i="1" s="1"/>
  <c r="R3048" i="1"/>
  <c r="N3048" i="1"/>
  <c r="T3047" i="1"/>
  <c r="Y3047" i="1" s="1"/>
  <c r="R3047" i="1"/>
  <c r="N3047" i="1"/>
  <c r="T3046" i="1"/>
  <c r="Y3046" i="1" s="1"/>
  <c r="R3046" i="1"/>
  <c r="N3046" i="1"/>
  <c r="T3045" i="1"/>
  <c r="Y3045" i="1" s="1"/>
  <c r="R3045" i="1"/>
  <c r="N3045" i="1"/>
  <c r="T3044" i="1"/>
  <c r="R3044" i="1"/>
  <c r="N3044" i="1"/>
  <c r="T3043" i="1"/>
  <c r="Y3043" i="1" s="1"/>
  <c r="R3043" i="1"/>
  <c r="N3043" i="1"/>
  <c r="T3042" i="1"/>
  <c r="Y3042" i="1" s="1"/>
  <c r="R3042" i="1"/>
  <c r="N3042" i="1"/>
  <c r="T3041" i="1"/>
  <c r="Y3041" i="1" s="1"/>
  <c r="R3041" i="1"/>
  <c r="N3041" i="1"/>
  <c r="T3040" i="1"/>
  <c r="Y3040" i="1" s="1"/>
  <c r="R3040" i="1"/>
  <c r="N3040" i="1"/>
  <c r="T3039" i="1"/>
  <c r="Y3039" i="1" s="1"/>
  <c r="R3039" i="1"/>
  <c r="N3039" i="1"/>
  <c r="T3038" i="1"/>
  <c r="Y3038" i="1" s="1"/>
  <c r="R3038" i="1"/>
  <c r="N3038" i="1"/>
  <c r="X3037" i="1"/>
  <c r="T3037" i="1"/>
  <c r="R3037" i="1"/>
  <c r="N3037" i="1"/>
  <c r="T3036" i="1"/>
  <c r="Y3036" i="1" s="1"/>
  <c r="R3036" i="1"/>
  <c r="N3036" i="1"/>
  <c r="T3035" i="1"/>
  <c r="R3035" i="1"/>
  <c r="N3035" i="1"/>
  <c r="T3034" i="1"/>
  <c r="Y3034" i="1" s="1"/>
  <c r="R3034" i="1"/>
  <c r="N3034" i="1"/>
  <c r="T3033" i="1"/>
  <c r="R3033" i="1"/>
  <c r="N3033" i="1"/>
  <c r="X3032" i="1"/>
  <c r="T3032" i="1"/>
  <c r="R3032" i="1"/>
  <c r="N3032" i="1"/>
  <c r="T3031" i="1"/>
  <c r="Y3031" i="1" s="1"/>
  <c r="R3031" i="1"/>
  <c r="N3031" i="1"/>
  <c r="T3030" i="1"/>
  <c r="Y3030" i="1" s="1"/>
  <c r="R3030" i="1"/>
  <c r="N3030" i="1"/>
  <c r="X3029" i="1"/>
  <c r="T3029" i="1"/>
  <c r="R3029" i="1"/>
  <c r="N3029" i="1"/>
  <c r="T3028" i="1"/>
  <c r="Y3028" i="1" s="1"/>
  <c r="R3028" i="1"/>
  <c r="N3028" i="1"/>
  <c r="X3027" i="1"/>
  <c r="T3027" i="1"/>
  <c r="R3027" i="1"/>
  <c r="N3027" i="1"/>
  <c r="T3026" i="1"/>
  <c r="Y3026" i="1" s="1"/>
  <c r="R3026" i="1"/>
  <c r="N3026" i="1"/>
  <c r="X3025" i="1"/>
  <c r="T3025" i="1"/>
  <c r="R3025" i="1"/>
  <c r="N3025" i="1"/>
  <c r="T3024" i="1"/>
  <c r="Y3024" i="1" s="1"/>
  <c r="R3024" i="1"/>
  <c r="N3024" i="1"/>
  <c r="T3023" i="1"/>
  <c r="Y3023" i="1" s="1"/>
  <c r="R3023" i="1"/>
  <c r="N3023" i="1"/>
  <c r="T3022" i="1"/>
  <c r="Y3022" i="1" s="1"/>
  <c r="R3022" i="1"/>
  <c r="N3022" i="1"/>
  <c r="T3021" i="1"/>
  <c r="Y3021" i="1" s="1"/>
  <c r="R3021" i="1"/>
  <c r="N3021" i="1"/>
  <c r="X3020" i="1"/>
  <c r="T3020" i="1"/>
  <c r="R3020" i="1"/>
  <c r="N3020" i="1"/>
  <c r="T3019" i="1"/>
  <c r="Y3019" i="1" s="1"/>
  <c r="R3019" i="1"/>
  <c r="N3019" i="1"/>
  <c r="X3018" i="1"/>
  <c r="T3018" i="1"/>
  <c r="R3018" i="1"/>
  <c r="N3018" i="1"/>
  <c r="T3017" i="1"/>
  <c r="Y3017" i="1" s="1"/>
  <c r="R3017" i="1"/>
  <c r="N3017" i="1"/>
  <c r="T3016" i="1"/>
  <c r="Y3016" i="1" s="1"/>
  <c r="R3016" i="1"/>
  <c r="N3016" i="1"/>
  <c r="T3015" i="1"/>
  <c r="Y3015" i="1" s="1"/>
  <c r="R3015" i="1"/>
  <c r="N3015" i="1"/>
  <c r="T3014" i="1"/>
  <c r="Y3014" i="1" s="1"/>
  <c r="R3014" i="1"/>
  <c r="N3014" i="1"/>
  <c r="T3013" i="1"/>
  <c r="Y3013" i="1" s="1"/>
  <c r="R3013" i="1"/>
  <c r="N3013" i="1"/>
  <c r="T3012" i="1"/>
  <c r="Y3012" i="1" s="1"/>
  <c r="R3012" i="1"/>
  <c r="N3012" i="1"/>
  <c r="T3011" i="1"/>
  <c r="Y3011" i="1" s="1"/>
  <c r="R3011" i="1"/>
  <c r="N3011" i="1"/>
  <c r="T3010" i="1"/>
  <c r="Y3010" i="1" s="1"/>
  <c r="R3010" i="1"/>
  <c r="N3010" i="1"/>
  <c r="T3009" i="1"/>
  <c r="Y3009" i="1" s="1"/>
  <c r="R3009" i="1"/>
  <c r="N3009" i="1"/>
  <c r="T3008" i="1"/>
  <c r="Y3008" i="1" s="1"/>
  <c r="R3008" i="1"/>
  <c r="N3008" i="1"/>
  <c r="T3007" i="1"/>
  <c r="Y3007" i="1" s="1"/>
  <c r="R3007" i="1"/>
  <c r="N3007" i="1"/>
  <c r="T3006" i="1"/>
  <c r="Y3006" i="1" s="1"/>
  <c r="R3006" i="1"/>
  <c r="N3006" i="1"/>
  <c r="T3005" i="1"/>
  <c r="Y3005" i="1" s="1"/>
  <c r="R3005" i="1"/>
  <c r="N3005" i="1"/>
  <c r="T3004" i="1"/>
  <c r="Y3004" i="1" s="1"/>
  <c r="R3004" i="1"/>
  <c r="N3004" i="1"/>
  <c r="T3003" i="1"/>
  <c r="Y3003" i="1" s="1"/>
  <c r="R3003" i="1"/>
  <c r="N3003" i="1"/>
  <c r="T3002" i="1"/>
  <c r="Y3002" i="1" s="1"/>
  <c r="R3002" i="1"/>
  <c r="N3002" i="1"/>
  <c r="X3001" i="1"/>
  <c r="T3001" i="1"/>
  <c r="R3001" i="1"/>
  <c r="N3001" i="1"/>
  <c r="T3000" i="1"/>
  <c r="Y3000" i="1" s="1"/>
  <c r="R3000" i="1"/>
  <c r="N3000" i="1"/>
  <c r="T2999" i="1"/>
  <c r="Y2999" i="1" s="1"/>
  <c r="R2999" i="1"/>
  <c r="N2999" i="1"/>
  <c r="T2998" i="1"/>
  <c r="Y2998" i="1" s="1"/>
  <c r="R2998" i="1"/>
  <c r="N2998" i="1"/>
  <c r="T2997" i="1"/>
  <c r="Y2997" i="1" s="1"/>
  <c r="R2997" i="1"/>
  <c r="N2997" i="1"/>
  <c r="T2996" i="1"/>
  <c r="Y2996" i="1" s="1"/>
  <c r="R2996" i="1"/>
  <c r="N2996" i="1"/>
  <c r="T2995" i="1"/>
  <c r="Y2995" i="1" s="1"/>
  <c r="R2995" i="1"/>
  <c r="N2995" i="1"/>
  <c r="T2994" i="1"/>
  <c r="Y2994" i="1" s="1"/>
  <c r="R2994" i="1"/>
  <c r="N2994" i="1"/>
  <c r="T2993" i="1"/>
  <c r="Y2993" i="1" s="1"/>
  <c r="R2993" i="1"/>
  <c r="N2993" i="1"/>
  <c r="T2992" i="1"/>
  <c r="Y2992" i="1" s="1"/>
  <c r="R2992" i="1"/>
  <c r="N2992" i="1"/>
  <c r="T2991" i="1"/>
  <c r="Y2991" i="1" s="1"/>
  <c r="R2991" i="1"/>
  <c r="N2991" i="1"/>
  <c r="T2990" i="1"/>
  <c r="Y2990" i="1" s="1"/>
  <c r="R2990" i="1"/>
  <c r="N2990" i="1"/>
  <c r="T2989" i="1"/>
  <c r="Y2989" i="1" s="1"/>
  <c r="R2989" i="1"/>
  <c r="N2989" i="1"/>
  <c r="T2988" i="1"/>
  <c r="Y2988" i="1" s="1"/>
  <c r="R2988" i="1"/>
  <c r="N2988" i="1"/>
  <c r="X2987" i="1"/>
  <c r="T2987" i="1"/>
  <c r="R2987" i="1"/>
  <c r="N2987" i="1"/>
  <c r="T2986" i="1"/>
  <c r="Y2986" i="1" s="1"/>
  <c r="R2986" i="1"/>
  <c r="N2986" i="1"/>
  <c r="T2985" i="1"/>
  <c r="Y2985" i="1" s="1"/>
  <c r="R2985" i="1"/>
  <c r="N2985" i="1"/>
  <c r="T2984" i="1"/>
  <c r="Y2984" i="1" s="1"/>
  <c r="R2984" i="1"/>
  <c r="N2984" i="1"/>
  <c r="T2983" i="1"/>
  <c r="Y2983" i="1" s="1"/>
  <c r="R2983" i="1"/>
  <c r="N2983" i="1"/>
  <c r="T2982" i="1"/>
  <c r="Y2982" i="1" s="1"/>
  <c r="R2982" i="1"/>
  <c r="N2982" i="1"/>
  <c r="T2981" i="1"/>
  <c r="Y2981" i="1" s="1"/>
  <c r="R2981" i="1"/>
  <c r="N2981" i="1"/>
  <c r="T2980" i="1"/>
  <c r="Y2980" i="1" s="1"/>
  <c r="R2980" i="1"/>
  <c r="N2980" i="1"/>
  <c r="T2979" i="1"/>
  <c r="Y2979" i="1" s="1"/>
  <c r="R2979" i="1"/>
  <c r="N2979" i="1"/>
  <c r="T2978" i="1"/>
  <c r="Y2978" i="1" s="1"/>
  <c r="R2978" i="1"/>
  <c r="N2978" i="1"/>
  <c r="T2977" i="1"/>
  <c r="Y2977" i="1" s="1"/>
  <c r="R2977" i="1"/>
  <c r="N2977" i="1"/>
  <c r="T2976" i="1"/>
  <c r="Y2976" i="1" s="1"/>
  <c r="R2976" i="1"/>
  <c r="N2976" i="1"/>
  <c r="T2975" i="1"/>
  <c r="Y2975" i="1" s="1"/>
  <c r="R2975" i="1"/>
  <c r="N2975" i="1"/>
  <c r="T2974" i="1"/>
  <c r="Y2974" i="1" s="1"/>
  <c r="R2974" i="1"/>
  <c r="N2974" i="1"/>
  <c r="X2973" i="1"/>
  <c r="T2973" i="1"/>
  <c r="R2973" i="1"/>
  <c r="N2973" i="1"/>
  <c r="T2972" i="1"/>
  <c r="Y2972" i="1" s="1"/>
  <c r="R2972" i="1"/>
  <c r="N2972" i="1"/>
  <c r="T2971" i="1"/>
  <c r="Y2971" i="1" s="1"/>
  <c r="R2971" i="1"/>
  <c r="N2971" i="1"/>
  <c r="T2970" i="1"/>
  <c r="Y2970" i="1" s="1"/>
  <c r="R2970" i="1"/>
  <c r="N2970" i="1"/>
  <c r="T2969" i="1"/>
  <c r="R2969" i="1"/>
  <c r="N2969" i="1"/>
  <c r="T2968" i="1"/>
  <c r="Y2968" i="1" s="1"/>
  <c r="R2968" i="1"/>
  <c r="N2968" i="1"/>
  <c r="T2967" i="1"/>
  <c r="Y2967" i="1" s="1"/>
  <c r="R2967" i="1"/>
  <c r="N2967" i="1"/>
  <c r="X2966" i="1"/>
  <c r="T2966" i="1"/>
  <c r="R2966" i="1"/>
  <c r="N2966" i="1"/>
  <c r="T2965" i="1"/>
  <c r="Y2965" i="1" s="1"/>
  <c r="R2965" i="1"/>
  <c r="N2965" i="1"/>
  <c r="T2964" i="1"/>
  <c r="Y2964" i="1" s="1"/>
  <c r="R2964" i="1"/>
  <c r="N2964" i="1"/>
  <c r="T2963" i="1"/>
  <c r="Y2963" i="1" s="1"/>
  <c r="R2963" i="1"/>
  <c r="N2963" i="1"/>
  <c r="T2962" i="1"/>
  <c r="Y2962" i="1" s="1"/>
  <c r="R2962" i="1"/>
  <c r="N2962" i="1"/>
  <c r="T2961" i="1"/>
  <c r="R2961" i="1"/>
  <c r="N2961" i="1"/>
  <c r="T2960" i="1"/>
  <c r="Y2960" i="1" s="1"/>
  <c r="R2960" i="1"/>
  <c r="N2960" i="1"/>
  <c r="T2959" i="1"/>
  <c r="Y2959" i="1" s="1"/>
  <c r="R2959" i="1"/>
  <c r="N2959" i="1"/>
  <c r="T2958" i="1"/>
  <c r="Y2958" i="1" s="1"/>
  <c r="R2958" i="1"/>
  <c r="N2958" i="1"/>
  <c r="T2957" i="1"/>
  <c r="Y2957" i="1" s="1"/>
  <c r="R2957" i="1"/>
  <c r="N2957" i="1"/>
  <c r="T2956" i="1"/>
  <c r="Y2956" i="1" s="1"/>
  <c r="R2956" i="1"/>
  <c r="N2956" i="1"/>
  <c r="T2955" i="1"/>
  <c r="Y2955" i="1" s="1"/>
  <c r="R2955" i="1"/>
  <c r="N2955" i="1"/>
  <c r="T2954" i="1"/>
  <c r="Y2954" i="1" s="1"/>
  <c r="R2954" i="1"/>
  <c r="N2954" i="1"/>
  <c r="T2953" i="1"/>
  <c r="Y2953" i="1" s="1"/>
  <c r="R2953" i="1"/>
  <c r="N2953" i="1"/>
  <c r="T2952" i="1"/>
  <c r="Y2952" i="1" s="1"/>
  <c r="R2952" i="1"/>
  <c r="N2952" i="1"/>
  <c r="T2951" i="1"/>
  <c r="Y2951" i="1" s="1"/>
  <c r="R2951" i="1"/>
  <c r="N2951" i="1"/>
  <c r="T2950" i="1"/>
  <c r="Y2950" i="1" s="1"/>
  <c r="R2950" i="1"/>
  <c r="N2950" i="1"/>
  <c r="T2949" i="1"/>
  <c r="Y2949" i="1" s="1"/>
  <c r="R2949" i="1"/>
  <c r="N2949" i="1"/>
  <c r="T2948" i="1"/>
  <c r="Y2948" i="1" s="1"/>
  <c r="R2948" i="1"/>
  <c r="N2948" i="1"/>
  <c r="T2947" i="1"/>
  <c r="Y2947" i="1" s="1"/>
  <c r="R2947" i="1"/>
  <c r="N2947" i="1"/>
  <c r="X2946" i="1"/>
  <c r="T2946" i="1"/>
  <c r="R2946" i="1"/>
  <c r="N2946" i="1"/>
  <c r="T2945" i="1"/>
  <c r="Y2945" i="1" s="1"/>
  <c r="R2945" i="1"/>
  <c r="N2945" i="1"/>
  <c r="T2944" i="1"/>
  <c r="Y2944" i="1" s="1"/>
  <c r="R2944" i="1"/>
  <c r="N2944" i="1"/>
  <c r="T2943" i="1"/>
  <c r="Y2943" i="1" s="1"/>
  <c r="R2943" i="1"/>
  <c r="N2943" i="1"/>
  <c r="X2942" i="1"/>
  <c r="T2942" i="1"/>
  <c r="R2942" i="1"/>
  <c r="N2942" i="1"/>
  <c r="T2941" i="1"/>
  <c r="Y2941" i="1" s="1"/>
  <c r="R2941" i="1"/>
  <c r="N2941" i="1"/>
  <c r="X2940" i="1"/>
  <c r="T2940" i="1"/>
  <c r="R2940" i="1"/>
  <c r="N2940" i="1"/>
  <c r="T2939" i="1"/>
  <c r="Y2939" i="1" s="1"/>
  <c r="R2939" i="1"/>
  <c r="N2939" i="1"/>
  <c r="T2938" i="1"/>
  <c r="Y2938" i="1" s="1"/>
  <c r="R2938" i="1"/>
  <c r="N2938" i="1"/>
  <c r="T2937" i="1"/>
  <c r="Y2937" i="1" s="1"/>
  <c r="R2937" i="1"/>
  <c r="N2937" i="1"/>
  <c r="T2936" i="1"/>
  <c r="Y2936" i="1" s="1"/>
  <c r="R2936" i="1"/>
  <c r="N2936" i="1"/>
  <c r="T2935" i="1"/>
  <c r="Y2935" i="1" s="1"/>
  <c r="R2935" i="1"/>
  <c r="N2935" i="1"/>
  <c r="T2934" i="1"/>
  <c r="Y2934" i="1" s="1"/>
  <c r="R2934" i="1"/>
  <c r="N2934" i="1"/>
  <c r="T2933" i="1"/>
  <c r="Y2933" i="1" s="1"/>
  <c r="R2933" i="1"/>
  <c r="N2933" i="1"/>
  <c r="T2932" i="1"/>
  <c r="Y2932" i="1" s="1"/>
  <c r="R2932" i="1"/>
  <c r="N2932" i="1"/>
  <c r="T2931" i="1"/>
  <c r="Y2931" i="1" s="1"/>
  <c r="R2931" i="1"/>
  <c r="N2931" i="1"/>
  <c r="T2930" i="1"/>
  <c r="R2930" i="1"/>
  <c r="N2930" i="1"/>
  <c r="X2929" i="1"/>
  <c r="T2929" i="1"/>
  <c r="R2929" i="1"/>
  <c r="N2929" i="1"/>
  <c r="T2928" i="1"/>
  <c r="Y2928" i="1" s="1"/>
  <c r="R2928" i="1"/>
  <c r="N2928" i="1"/>
  <c r="T2927" i="1"/>
  <c r="Y2927" i="1" s="1"/>
  <c r="R2927" i="1"/>
  <c r="N2927" i="1"/>
  <c r="T2926" i="1"/>
  <c r="Y2926" i="1" s="1"/>
  <c r="R2926" i="1"/>
  <c r="N2926" i="1"/>
  <c r="T2925" i="1"/>
  <c r="Y2925" i="1" s="1"/>
  <c r="R2925" i="1"/>
  <c r="N2925" i="1"/>
  <c r="T2924" i="1"/>
  <c r="R2924" i="1"/>
  <c r="N2924" i="1"/>
  <c r="X2923" i="1"/>
  <c r="T2923" i="1"/>
  <c r="R2923" i="1"/>
  <c r="N2923" i="1"/>
  <c r="T2922" i="1"/>
  <c r="Y2922" i="1" s="1"/>
  <c r="R2922" i="1"/>
  <c r="N2922" i="1"/>
  <c r="T2921" i="1"/>
  <c r="Y2921" i="1" s="1"/>
  <c r="R2921" i="1"/>
  <c r="N2921" i="1"/>
  <c r="T2920" i="1"/>
  <c r="Y2920" i="1" s="1"/>
  <c r="R2920" i="1"/>
  <c r="N2920" i="1"/>
  <c r="T2919" i="1"/>
  <c r="Y2919" i="1" s="1"/>
  <c r="R2919" i="1"/>
  <c r="N2919" i="1"/>
  <c r="T2918" i="1"/>
  <c r="Y2918" i="1" s="1"/>
  <c r="R2918" i="1"/>
  <c r="N2918" i="1"/>
  <c r="X2917" i="1"/>
  <c r="T2917" i="1"/>
  <c r="R2917" i="1"/>
  <c r="N2917" i="1"/>
  <c r="T2916" i="1"/>
  <c r="Y2916" i="1" s="1"/>
  <c r="R2916" i="1"/>
  <c r="N2916" i="1"/>
  <c r="T2915" i="1"/>
  <c r="R2915" i="1"/>
  <c r="N2915" i="1"/>
  <c r="T2914" i="1"/>
  <c r="Y2914" i="1" s="1"/>
  <c r="R2914" i="1"/>
  <c r="N2914" i="1"/>
  <c r="T2913" i="1"/>
  <c r="Y2913" i="1" s="1"/>
  <c r="R2913" i="1"/>
  <c r="N2913" i="1"/>
  <c r="T2912" i="1"/>
  <c r="Y2912" i="1" s="1"/>
  <c r="R2912" i="1"/>
  <c r="N2912" i="1"/>
  <c r="T2911" i="1"/>
  <c r="Y2911" i="1" s="1"/>
  <c r="R2911" i="1"/>
  <c r="N2911" i="1"/>
  <c r="T2910" i="1"/>
  <c r="Y2910" i="1" s="1"/>
  <c r="R2910" i="1"/>
  <c r="N2910" i="1"/>
  <c r="T2909" i="1"/>
  <c r="Y2909" i="1" s="1"/>
  <c r="R2909" i="1"/>
  <c r="N2909" i="1"/>
  <c r="T2908" i="1"/>
  <c r="Y2908" i="1" s="1"/>
  <c r="R2908" i="1"/>
  <c r="N2908" i="1"/>
  <c r="T2907" i="1"/>
  <c r="Y2907" i="1" s="1"/>
  <c r="R2907" i="1"/>
  <c r="N2907" i="1"/>
  <c r="T2906" i="1"/>
  <c r="Y2906" i="1" s="1"/>
  <c r="R2906" i="1"/>
  <c r="N2906" i="1"/>
  <c r="T2905" i="1"/>
  <c r="Y2905" i="1" s="1"/>
  <c r="R2905" i="1"/>
  <c r="N2905" i="1"/>
  <c r="T2904" i="1"/>
  <c r="Y2904" i="1" s="1"/>
  <c r="R2904" i="1"/>
  <c r="N2904" i="1"/>
  <c r="T2903" i="1"/>
  <c r="Y2903" i="1" s="1"/>
  <c r="R2903" i="1"/>
  <c r="N2903" i="1"/>
  <c r="T2902" i="1"/>
  <c r="Y2902" i="1" s="1"/>
  <c r="R2902" i="1"/>
  <c r="N2902" i="1"/>
  <c r="T2901" i="1"/>
  <c r="Y2901" i="1" s="1"/>
  <c r="R2901" i="1"/>
  <c r="N2901" i="1"/>
  <c r="T2900" i="1"/>
  <c r="Y2900" i="1" s="1"/>
  <c r="R2900" i="1"/>
  <c r="N2900" i="1"/>
  <c r="T2899" i="1"/>
  <c r="Y2899" i="1" s="1"/>
  <c r="R2899" i="1"/>
  <c r="N2899" i="1"/>
  <c r="T2898" i="1"/>
  <c r="Y2898" i="1" s="1"/>
  <c r="R2898" i="1"/>
  <c r="N2898" i="1"/>
  <c r="T2897" i="1"/>
  <c r="Y2897" i="1" s="1"/>
  <c r="R2897" i="1"/>
  <c r="N2897" i="1"/>
  <c r="T2896" i="1"/>
  <c r="Y2896" i="1" s="1"/>
  <c r="R2896" i="1"/>
  <c r="N2896" i="1"/>
  <c r="T2895" i="1"/>
  <c r="Y2895" i="1" s="1"/>
  <c r="R2895" i="1"/>
  <c r="N2895" i="1"/>
  <c r="T2894" i="1"/>
  <c r="Y2894" i="1" s="1"/>
  <c r="R2894" i="1"/>
  <c r="N2894" i="1"/>
  <c r="T2893" i="1"/>
  <c r="Y2893" i="1" s="1"/>
  <c r="R2893" i="1"/>
  <c r="N2893" i="1"/>
  <c r="T2892" i="1"/>
  <c r="R2892" i="1"/>
  <c r="N2892" i="1"/>
  <c r="T2891" i="1"/>
  <c r="Y2891" i="1" s="1"/>
  <c r="R2891" i="1"/>
  <c r="N2891" i="1"/>
  <c r="T2890" i="1"/>
  <c r="Y2890" i="1" s="1"/>
  <c r="R2890" i="1"/>
  <c r="N2890" i="1"/>
  <c r="T2889" i="1"/>
  <c r="Y2889" i="1" s="1"/>
  <c r="R2889" i="1"/>
  <c r="N2889" i="1"/>
  <c r="T2888" i="1"/>
  <c r="Y2888" i="1" s="1"/>
  <c r="R2888" i="1"/>
  <c r="N2888" i="1"/>
  <c r="T2887" i="1"/>
  <c r="Y2887" i="1" s="1"/>
  <c r="R2887" i="1"/>
  <c r="N2887" i="1"/>
  <c r="T2886" i="1"/>
  <c r="R2886" i="1"/>
  <c r="N2886" i="1"/>
  <c r="T2885" i="1"/>
  <c r="Y2885" i="1" s="1"/>
  <c r="R2885" i="1"/>
  <c r="N2885" i="1"/>
  <c r="T2884" i="1"/>
  <c r="Y2884" i="1" s="1"/>
  <c r="R2884" i="1"/>
  <c r="N2884" i="1"/>
  <c r="T2883" i="1"/>
  <c r="R2883" i="1"/>
  <c r="N2883" i="1"/>
  <c r="T2882" i="1"/>
  <c r="Y2882" i="1" s="1"/>
  <c r="R2882" i="1"/>
  <c r="N2882" i="1"/>
  <c r="T2881" i="1"/>
  <c r="Y2881" i="1" s="1"/>
  <c r="R2881" i="1"/>
  <c r="N2881" i="1"/>
  <c r="T2880" i="1"/>
  <c r="R2880" i="1"/>
  <c r="N2880" i="1"/>
  <c r="T2879" i="1"/>
  <c r="Y2879" i="1" s="1"/>
  <c r="R2879" i="1"/>
  <c r="N2879" i="1"/>
  <c r="T2878" i="1"/>
  <c r="Y2878" i="1" s="1"/>
  <c r="R2878" i="1"/>
  <c r="N2878" i="1"/>
  <c r="T2877" i="1"/>
  <c r="Y2877" i="1" s="1"/>
  <c r="R2877" i="1"/>
  <c r="N2877" i="1"/>
  <c r="T2876" i="1"/>
  <c r="Y2876" i="1" s="1"/>
  <c r="R2876" i="1"/>
  <c r="N2876" i="1"/>
  <c r="T2875" i="1"/>
  <c r="Y2875" i="1" s="1"/>
  <c r="R2875" i="1"/>
  <c r="N2875" i="1"/>
  <c r="X2874" i="1"/>
  <c r="T2874" i="1"/>
  <c r="R2874" i="1"/>
  <c r="N2874" i="1"/>
  <c r="T2873" i="1"/>
  <c r="Y2873" i="1" s="1"/>
  <c r="R2873" i="1"/>
  <c r="N2873" i="1"/>
  <c r="X2872" i="1"/>
  <c r="T2872" i="1"/>
  <c r="R2872" i="1"/>
  <c r="N2872" i="1"/>
  <c r="T2871" i="1"/>
  <c r="Y2871" i="1" s="1"/>
  <c r="R2871" i="1"/>
  <c r="N2871" i="1"/>
  <c r="X2870" i="1"/>
  <c r="T2870" i="1"/>
  <c r="R2870" i="1"/>
  <c r="N2870" i="1"/>
  <c r="X2869" i="1"/>
  <c r="T2869" i="1"/>
  <c r="R2869" i="1"/>
  <c r="N2869" i="1"/>
  <c r="T2868" i="1"/>
  <c r="Y2868" i="1" s="1"/>
  <c r="R2868" i="1"/>
  <c r="N2868" i="1"/>
  <c r="T2867" i="1"/>
  <c r="Y2867" i="1" s="1"/>
  <c r="R2867" i="1"/>
  <c r="N2867" i="1"/>
  <c r="T2866" i="1"/>
  <c r="Y2866" i="1" s="1"/>
  <c r="R2866" i="1"/>
  <c r="N2866" i="1"/>
  <c r="T2865" i="1"/>
  <c r="Y2865" i="1" s="1"/>
  <c r="R2865" i="1"/>
  <c r="N2865" i="1"/>
  <c r="T2864" i="1"/>
  <c r="Y2864" i="1" s="1"/>
  <c r="R2864" i="1"/>
  <c r="N2864" i="1"/>
  <c r="T2863" i="1"/>
  <c r="R2863" i="1"/>
  <c r="N2863" i="1"/>
  <c r="T2862" i="1"/>
  <c r="Y2862" i="1" s="1"/>
  <c r="R2862" i="1"/>
  <c r="N2862" i="1"/>
  <c r="T2861" i="1"/>
  <c r="R2861" i="1"/>
  <c r="N2861" i="1"/>
  <c r="T2860" i="1"/>
  <c r="Y2860" i="1" s="1"/>
  <c r="R2860" i="1"/>
  <c r="N2860" i="1"/>
  <c r="T2859" i="1"/>
  <c r="Y2859" i="1" s="1"/>
  <c r="R2859" i="1"/>
  <c r="N2859" i="1"/>
  <c r="T2858" i="1"/>
  <c r="Y2858" i="1" s="1"/>
  <c r="R2858" i="1"/>
  <c r="N2858" i="1"/>
  <c r="T2857" i="1"/>
  <c r="Y2857" i="1" s="1"/>
  <c r="R2857" i="1"/>
  <c r="N2857" i="1"/>
  <c r="X2856" i="1"/>
  <c r="T2856" i="1"/>
  <c r="R2856" i="1"/>
  <c r="N2856" i="1"/>
  <c r="T2855" i="1"/>
  <c r="Y2855" i="1" s="1"/>
  <c r="R2855" i="1"/>
  <c r="N2855" i="1"/>
  <c r="T2854" i="1"/>
  <c r="Y2854" i="1" s="1"/>
  <c r="R2854" i="1"/>
  <c r="N2854" i="1"/>
  <c r="T2853" i="1"/>
  <c r="Y2853" i="1" s="1"/>
  <c r="R2853" i="1"/>
  <c r="N2853" i="1"/>
  <c r="T2852" i="1"/>
  <c r="Y2852" i="1" s="1"/>
  <c r="R2852" i="1"/>
  <c r="N2852" i="1"/>
  <c r="T2851" i="1"/>
  <c r="Y2851" i="1" s="1"/>
  <c r="R2851" i="1"/>
  <c r="N2851" i="1"/>
  <c r="T2850" i="1"/>
  <c r="Y2850" i="1" s="1"/>
  <c r="R2850" i="1"/>
  <c r="N2850" i="1"/>
  <c r="T2849" i="1"/>
  <c r="Y2849" i="1" s="1"/>
  <c r="R2849" i="1"/>
  <c r="N2849" i="1"/>
  <c r="T2848" i="1"/>
  <c r="Y2848" i="1" s="1"/>
  <c r="R2848" i="1"/>
  <c r="N2848" i="1"/>
  <c r="T2847" i="1"/>
  <c r="Y2847" i="1" s="1"/>
  <c r="R2847" i="1"/>
  <c r="N2847" i="1"/>
  <c r="T2846" i="1"/>
  <c r="Y2846" i="1" s="1"/>
  <c r="R2846" i="1"/>
  <c r="N2846" i="1"/>
  <c r="T2845" i="1"/>
  <c r="Y2845" i="1" s="1"/>
  <c r="R2845" i="1"/>
  <c r="N2845" i="1"/>
  <c r="T2844" i="1"/>
  <c r="R2844" i="1"/>
  <c r="N2844" i="1"/>
  <c r="T2843" i="1"/>
  <c r="Y2843" i="1" s="1"/>
  <c r="R2843" i="1"/>
  <c r="N2843" i="1"/>
  <c r="T2842" i="1"/>
  <c r="Y2842" i="1" s="1"/>
  <c r="R2842" i="1"/>
  <c r="N2842" i="1"/>
  <c r="T2841" i="1"/>
  <c r="Y2841" i="1" s="1"/>
  <c r="R2841" i="1"/>
  <c r="N2841" i="1"/>
  <c r="T2840" i="1"/>
  <c r="Y2840" i="1" s="1"/>
  <c r="R2840" i="1"/>
  <c r="N2840" i="1"/>
  <c r="T2839" i="1"/>
  <c r="Y2839" i="1" s="1"/>
  <c r="R2839" i="1"/>
  <c r="N2839" i="1"/>
  <c r="X2838" i="1"/>
  <c r="T2838" i="1"/>
  <c r="R2838" i="1"/>
  <c r="N2838" i="1"/>
  <c r="T2837" i="1"/>
  <c r="Y2837" i="1" s="1"/>
  <c r="R2837" i="1"/>
  <c r="N2837" i="1"/>
  <c r="T2836" i="1"/>
  <c r="Y2836" i="1" s="1"/>
  <c r="R2836" i="1"/>
  <c r="N2836" i="1"/>
  <c r="T2835" i="1"/>
  <c r="Y2835" i="1" s="1"/>
  <c r="R2835" i="1"/>
  <c r="N2835" i="1"/>
  <c r="T2834" i="1"/>
  <c r="Y2834" i="1" s="1"/>
  <c r="R2834" i="1"/>
  <c r="N2834" i="1"/>
  <c r="T2833" i="1"/>
  <c r="Y2833" i="1" s="1"/>
  <c r="R2833" i="1"/>
  <c r="N2833" i="1"/>
  <c r="T2832" i="1"/>
  <c r="Y2832" i="1" s="1"/>
  <c r="R2832" i="1"/>
  <c r="N2832" i="1"/>
  <c r="T2831" i="1"/>
  <c r="Y2831" i="1" s="1"/>
  <c r="R2831" i="1"/>
  <c r="N2831" i="1"/>
  <c r="T2830" i="1"/>
  <c r="Y2830" i="1" s="1"/>
  <c r="R2830" i="1"/>
  <c r="N2830" i="1"/>
  <c r="T2829" i="1"/>
  <c r="Y2829" i="1" s="1"/>
  <c r="R2829" i="1"/>
  <c r="N2829" i="1"/>
  <c r="T2828" i="1"/>
  <c r="Y2828" i="1" s="1"/>
  <c r="R2828" i="1"/>
  <c r="N2828" i="1"/>
  <c r="X2827" i="1"/>
  <c r="T2827" i="1"/>
  <c r="R2827" i="1"/>
  <c r="N2827" i="1"/>
  <c r="X2826" i="1"/>
  <c r="T2826" i="1"/>
  <c r="R2826" i="1"/>
  <c r="N2826" i="1"/>
  <c r="T2825" i="1"/>
  <c r="Y2825" i="1" s="1"/>
  <c r="R2825" i="1"/>
  <c r="N2825" i="1"/>
  <c r="T2824" i="1"/>
  <c r="Y2824" i="1" s="1"/>
  <c r="R2824" i="1"/>
  <c r="N2824" i="1"/>
  <c r="T2823" i="1"/>
  <c r="Y2823" i="1" s="1"/>
  <c r="R2823" i="1"/>
  <c r="N2823" i="1"/>
  <c r="T2822" i="1"/>
  <c r="Y2822" i="1" s="1"/>
  <c r="R2822" i="1"/>
  <c r="N2822" i="1"/>
  <c r="T2821" i="1"/>
  <c r="Y2821" i="1" s="1"/>
  <c r="R2821" i="1"/>
  <c r="N2821" i="1"/>
  <c r="T2820" i="1"/>
  <c r="Y2820" i="1" s="1"/>
  <c r="R2820" i="1"/>
  <c r="N2820" i="1"/>
  <c r="T2819" i="1"/>
  <c r="Y2819" i="1" s="1"/>
  <c r="R2819" i="1"/>
  <c r="N2819" i="1"/>
  <c r="T2818" i="1"/>
  <c r="Y2818" i="1" s="1"/>
  <c r="R2818" i="1"/>
  <c r="N2818" i="1"/>
  <c r="T2817" i="1"/>
  <c r="Y2817" i="1" s="1"/>
  <c r="R2817" i="1"/>
  <c r="N2817" i="1"/>
  <c r="T2816" i="1"/>
  <c r="Y2816" i="1" s="1"/>
  <c r="R2816" i="1"/>
  <c r="N2816" i="1"/>
  <c r="T2815" i="1"/>
  <c r="Y2815" i="1" s="1"/>
  <c r="R2815" i="1"/>
  <c r="N2815" i="1"/>
  <c r="T2814" i="1"/>
  <c r="Y2814" i="1" s="1"/>
  <c r="R2814" i="1"/>
  <c r="N2814" i="1"/>
  <c r="T2813" i="1"/>
  <c r="Y2813" i="1" s="1"/>
  <c r="R2813" i="1"/>
  <c r="N2813" i="1"/>
  <c r="T2812" i="1"/>
  <c r="Y2812" i="1" s="1"/>
  <c r="R2812" i="1"/>
  <c r="N2812" i="1"/>
  <c r="T2811" i="1"/>
  <c r="Y2811" i="1" s="1"/>
  <c r="R2811" i="1"/>
  <c r="N2811" i="1"/>
  <c r="T2810" i="1"/>
  <c r="Y2810" i="1" s="1"/>
  <c r="R2810" i="1"/>
  <c r="N2810" i="1"/>
  <c r="T2809" i="1"/>
  <c r="Y2809" i="1" s="1"/>
  <c r="R2809" i="1"/>
  <c r="N2809" i="1"/>
  <c r="T2808" i="1"/>
  <c r="Y2808" i="1" s="1"/>
  <c r="R2808" i="1"/>
  <c r="N2808" i="1"/>
  <c r="T2807" i="1"/>
  <c r="Y2807" i="1" s="1"/>
  <c r="R2807" i="1"/>
  <c r="N2807" i="1"/>
  <c r="X2806" i="1"/>
  <c r="T2806" i="1"/>
  <c r="R2806" i="1"/>
  <c r="N2806" i="1"/>
  <c r="T2805" i="1"/>
  <c r="Y2805" i="1" s="1"/>
  <c r="R2805" i="1"/>
  <c r="N2805" i="1"/>
  <c r="X2804" i="1"/>
  <c r="T2804" i="1"/>
  <c r="R2804" i="1"/>
  <c r="N2804" i="1"/>
  <c r="X2803" i="1"/>
  <c r="T2803" i="1"/>
  <c r="R2803" i="1"/>
  <c r="N2803" i="1"/>
  <c r="T2802" i="1"/>
  <c r="Y2802" i="1" s="1"/>
  <c r="R2802" i="1"/>
  <c r="N2802" i="1"/>
  <c r="X2801" i="1"/>
  <c r="T2801" i="1"/>
  <c r="R2801" i="1"/>
  <c r="N2801" i="1"/>
  <c r="X2800" i="1"/>
  <c r="T2800" i="1"/>
  <c r="R2800" i="1"/>
  <c r="N2800" i="1"/>
  <c r="X2799" i="1"/>
  <c r="T2799" i="1"/>
  <c r="R2799" i="1"/>
  <c r="N2799" i="1"/>
  <c r="T2798" i="1"/>
  <c r="Y2798" i="1" s="1"/>
  <c r="R2798" i="1"/>
  <c r="N2798" i="1"/>
  <c r="X2797" i="1"/>
  <c r="T2797" i="1"/>
  <c r="R2797" i="1"/>
  <c r="N2797" i="1"/>
  <c r="T2796" i="1"/>
  <c r="Y2796" i="1" s="1"/>
  <c r="R2796" i="1"/>
  <c r="N2796" i="1"/>
  <c r="X2795" i="1"/>
  <c r="T2795" i="1"/>
  <c r="R2795" i="1"/>
  <c r="N2795" i="1"/>
  <c r="T2794" i="1"/>
  <c r="Y2794" i="1" s="1"/>
  <c r="R2794" i="1"/>
  <c r="N2794" i="1"/>
  <c r="T2793" i="1"/>
  <c r="Y2793" i="1" s="1"/>
  <c r="R2793" i="1"/>
  <c r="N2793" i="1"/>
  <c r="T2792" i="1"/>
  <c r="Y2792" i="1" s="1"/>
  <c r="R2792" i="1"/>
  <c r="N2792" i="1"/>
  <c r="T2791" i="1"/>
  <c r="Y2791" i="1" s="1"/>
  <c r="R2791" i="1"/>
  <c r="N2791" i="1"/>
  <c r="T2790" i="1"/>
  <c r="Y2790" i="1" s="1"/>
  <c r="R2790" i="1"/>
  <c r="N2790" i="1"/>
  <c r="T2789" i="1"/>
  <c r="Y2789" i="1" s="1"/>
  <c r="R2789" i="1"/>
  <c r="N2789" i="1"/>
  <c r="T2788" i="1"/>
  <c r="R2788" i="1"/>
  <c r="N2788" i="1"/>
  <c r="T2787" i="1"/>
  <c r="Y2787" i="1" s="1"/>
  <c r="R2787" i="1"/>
  <c r="N2787" i="1"/>
  <c r="T2786" i="1"/>
  <c r="Y2786" i="1" s="1"/>
  <c r="R2786" i="1"/>
  <c r="N2786" i="1"/>
  <c r="T2785" i="1"/>
  <c r="Y2785" i="1" s="1"/>
  <c r="R2785" i="1"/>
  <c r="N2785" i="1"/>
  <c r="T2784" i="1"/>
  <c r="Y2784" i="1" s="1"/>
  <c r="R2784" i="1"/>
  <c r="N2784" i="1"/>
  <c r="T2783" i="1"/>
  <c r="Y2783" i="1" s="1"/>
  <c r="R2783" i="1"/>
  <c r="N2783" i="1"/>
  <c r="T2782" i="1"/>
  <c r="Y2782" i="1" s="1"/>
  <c r="R2782" i="1"/>
  <c r="N2782" i="1"/>
  <c r="T2781" i="1"/>
  <c r="Y2781" i="1" s="1"/>
  <c r="R2781" i="1"/>
  <c r="N2781" i="1"/>
  <c r="T2780" i="1"/>
  <c r="Y2780" i="1" s="1"/>
  <c r="R2780" i="1"/>
  <c r="N2780" i="1"/>
  <c r="T2779" i="1"/>
  <c r="Y2779" i="1" s="1"/>
  <c r="R2779" i="1"/>
  <c r="N2779" i="1"/>
  <c r="T2778" i="1"/>
  <c r="Y2778" i="1" s="1"/>
  <c r="R2778" i="1"/>
  <c r="N2778" i="1"/>
  <c r="T2777" i="1"/>
  <c r="Y2777" i="1" s="1"/>
  <c r="R2777" i="1"/>
  <c r="N2777" i="1"/>
  <c r="T2776" i="1"/>
  <c r="Y2776" i="1" s="1"/>
  <c r="R2776" i="1"/>
  <c r="N2776" i="1"/>
  <c r="X2775" i="1"/>
  <c r="T2775" i="1"/>
  <c r="R2775" i="1"/>
  <c r="N2775" i="1"/>
  <c r="T2774" i="1"/>
  <c r="Y2774" i="1" s="1"/>
  <c r="R2774" i="1"/>
  <c r="N2774" i="1"/>
  <c r="T2773" i="1"/>
  <c r="Y2773" i="1" s="1"/>
  <c r="R2773" i="1"/>
  <c r="N2773" i="1"/>
  <c r="T2772" i="1"/>
  <c r="Y2772" i="1" s="1"/>
  <c r="R2772" i="1"/>
  <c r="N2772" i="1"/>
  <c r="X2771" i="1"/>
  <c r="T2771" i="1"/>
  <c r="R2771" i="1"/>
  <c r="N2771" i="1"/>
  <c r="T2770" i="1"/>
  <c r="Y2770" i="1" s="1"/>
  <c r="R2770" i="1"/>
  <c r="N2770" i="1"/>
  <c r="T2769" i="1"/>
  <c r="Y2769" i="1" s="1"/>
  <c r="R2769" i="1"/>
  <c r="N2769" i="1"/>
  <c r="X2768" i="1"/>
  <c r="T2768" i="1"/>
  <c r="R2768" i="1"/>
  <c r="N2768" i="1"/>
  <c r="T2767" i="1"/>
  <c r="Y2767" i="1" s="1"/>
  <c r="R2767" i="1"/>
  <c r="N2767" i="1"/>
  <c r="T2766" i="1"/>
  <c r="R2766" i="1"/>
  <c r="N2766" i="1"/>
  <c r="X2765" i="1"/>
  <c r="T2765" i="1"/>
  <c r="R2765" i="1"/>
  <c r="N2765" i="1"/>
  <c r="T2764" i="1"/>
  <c r="Y2764" i="1" s="1"/>
  <c r="R2764" i="1"/>
  <c r="N2764" i="1"/>
  <c r="T2763" i="1"/>
  <c r="Y2763" i="1" s="1"/>
  <c r="R2763" i="1"/>
  <c r="N2763" i="1"/>
  <c r="T2762" i="1"/>
  <c r="Y2762" i="1" s="1"/>
  <c r="R2762" i="1"/>
  <c r="N2762" i="1"/>
  <c r="T2761" i="1"/>
  <c r="Y2761" i="1" s="1"/>
  <c r="R2761" i="1"/>
  <c r="N2761" i="1"/>
  <c r="T2760" i="1"/>
  <c r="Y2760" i="1" s="1"/>
  <c r="R2760" i="1"/>
  <c r="N2760" i="1"/>
  <c r="T2759" i="1"/>
  <c r="Y2759" i="1" s="1"/>
  <c r="R2759" i="1"/>
  <c r="N2759" i="1"/>
  <c r="T2758" i="1"/>
  <c r="Y2758" i="1" s="1"/>
  <c r="R2758" i="1"/>
  <c r="N2758" i="1"/>
  <c r="T2757" i="1"/>
  <c r="Y2757" i="1" s="1"/>
  <c r="R2757" i="1"/>
  <c r="N2757" i="1"/>
  <c r="X2756" i="1"/>
  <c r="T2756" i="1"/>
  <c r="R2756" i="1"/>
  <c r="N2756" i="1"/>
  <c r="T2755" i="1"/>
  <c r="Y2755" i="1" s="1"/>
  <c r="R2755" i="1"/>
  <c r="N2755" i="1"/>
  <c r="X2754" i="1"/>
  <c r="T2754" i="1"/>
  <c r="R2754" i="1"/>
  <c r="N2754" i="1"/>
  <c r="T2753" i="1"/>
  <c r="Y2753" i="1" s="1"/>
  <c r="R2753" i="1"/>
  <c r="N2753" i="1"/>
  <c r="X2752" i="1"/>
  <c r="T2752" i="1"/>
  <c r="R2752" i="1"/>
  <c r="N2752" i="1"/>
  <c r="T2751" i="1"/>
  <c r="Y2751" i="1" s="1"/>
  <c r="R2751" i="1"/>
  <c r="N2751" i="1"/>
  <c r="T2750" i="1"/>
  <c r="Y2750" i="1" s="1"/>
  <c r="R2750" i="1"/>
  <c r="N2750" i="1"/>
  <c r="T2749" i="1"/>
  <c r="Y2749" i="1" s="1"/>
  <c r="R2749" i="1"/>
  <c r="N2749" i="1"/>
  <c r="T2748" i="1"/>
  <c r="Y2748" i="1" s="1"/>
  <c r="R2748" i="1"/>
  <c r="N2748" i="1"/>
  <c r="T2747" i="1"/>
  <c r="Y2747" i="1" s="1"/>
  <c r="R2747" i="1"/>
  <c r="N2747" i="1"/>
  <c r="T2746" i="1"/>
  <c r="Y2746" i="1" s="1"/>
  <c r="R2746" i="1"/>
  <c r="N2746" i="1"/>
  <c r="T2745" i="1"/>
  <c r="Y2745" i="1" s="1"/>
  <c r="R2745" i="1"/>
  <c r="N2745" i="1"/>
  <c r="T2744" i="1"/>
  <c r="Y2744" i="1" s="1"/>
  <c r="R2744" i="1"/>
  <c r="N2744" i="1"/>
  <c r="T2743" i="1"/>
  <c r="Y2743" i="1" s="1"/>
  <c r="R2743" i="1"/>
  <c r="N2743" i="1"/>
  <c r="T2742" i="1"/>
  <c r="Y2742" i="1" s="1"/>
  <c r="R2742" i="1"/>
  <c r="N2742" i="1"/>
  <c r="T2741" i="1"/>
  <c r="Y2741" i="1" s="1"/>
  <c r="R2741" i="1"/>
  <c r="N2741" i="1"/>
  <c r="T2740" i="1"/>
  <c r="Y2740" i="1" s="1"/>
  <c r="R2740" i="1"/>
  <c r="N2740" i="1"/>
  <c r="T2739" i="1"/>
  <c r="Y2739" i="1" s="1"/>
  <c r="R2739" i="1"/>
  <c r="N2739" i="1"/>
  <c r="T2738" i="1"/>
  <c r="Y2738" i="1" s="1"/>
  <c r="R2738" i="1"/>
  <c r="N2738" i="1"/>
  <c r="T2737" i="1"/>
  <c r="Y2737" i="1" s="1"/>
  <c r="R2737" i="1"/>
  <c r="N2737" i="1"/>
  <c r="T2736" i="1"/>
  <c r="Y2736" i="1" s="1"/>
  <c r="R2736" i="1"/>
  <c r="N2736" i="1"/>
  <c r="T2735" i="1"/>
  <c r="Y2735" i="1" s="1"/>
  <c r="R2735" i="1"/>
  <c r="N2735" i="1"/>
  <c r="T2734" i="1"/>
  <c r="Y2734" i="1" s="1"/>
  <c r="R2734" i="1"/>
  <c r="N2734" i="1"/>
  <c r="T2733" i="1"/>
  <c r="Y2733" i="1" s="1"/>
  <c r="R2733" i="1"/>
  <c r="N2733" i="1"/>
  <c r="T2732" i="1"/>
  <c r="Y2732" i="1" s="1"/>
  <c r="R2732" i="1"/>
  <c r="N2732" i="1"/>
  <c r="T2731" i="1"/>
  <c r="Y2731" i="1" s="1"/>
  <c r="R2731" i="1"/>
  <c r="N2731" i="1"/>
  <c r="T2730" i="1"/>
  <c r="Y2730" i="1" s="1"/>
  <c r="R2730" i="1"/>
  <c r="N2730" i="1"/>
  <c r="T2729" i="1"/>
  <c r="Y2729" i="1" s="1"/>
  <c r="R2729" i="1"/>
  <c r="N2729" i="1"/>
  <c r="T2728" i="1"/>
  <c r="Y2728" i="1" s="1"/>
  <c r="R2728" i="1"/>
  <c r="N2728" i="1"/>
  <c r="T2727" i="1"/>
  <c r="Y2727" i="1" s="1"/>
  <c r="R2727" i="1"/>
  <c r="N2727" i="1"/>
  <c r="T2726" i="1"/>
  <c r="Y2726" i="1" s="1"/>
  <c r="R2726" i="1"/>
  <c r="N2726" i="1"/>
  <c r="T2725" i="1"/>
  <c r="Y2725" i="1" s="1"/>
  <c r="R2725" i="1"/>
  <c r="N2725" i="1"/>
  <c r="T2724" i="1"/>
  <c r="Y2724" i="1" s="1"/>
  <c r="R2724" i="1"/>
  <c r="N2724" i="1"/>
  <c r="T2723" i="1"/>
  <c r="Y2723" i="1" s="1"/>
  <c r="R2723" i="1"/>
  <c r="N2723" i="1"/>
  <c r="T2722" i="1"/>
  <c r="Y2722" i="1" s="1"/>
  <c r="R2722" i="1"/>
  <c r="N2722" i="1"/>
  <c r="T2721" i="1"/>
  <c r="Y2721" i="1" s="1"/>
  <c r="R2721" i="1"/>
  <c r="N2721" i="1"/>
  <c r="T2720" i="1"/>
  <c r="Y2720" i="1" s="1"/>
  <c r="R2720" i="1"/>
  <c r="N2720" i="1"/>
  <c r="T2719" i="1"/>
  <c r="Y2719" i="1" s="1"/>
  <c r="R2719" i="1"/>
  <c r="N2719" i="1"/>
  <c r="X2718" i="1"/>
  <c r="T2718" i="1"/>
  <c r="R2718" i="1"/>
  <c r="N2718" i="1"/>
  <c r="T2717" i="1"/>
  <c r="Y2717" i="1" s="1"/>
  <c r="R2717" i="1"/>
  <c r="N2717" i="1"/>
  <c r="X2716" i="1"/>
  <c r="T2716" i="1"/>
  <c r="R2716" i="1"/>
  <c r="N2716" i="1"/>
  <c r="T2715" i="1"/>
  <c r="Y2715" i="1" s="1"/>
  <c r="R2715" i="1"/>
  <c r="N2715" i="1"/>
  <c r="T2714" i="1"/>
  <c r="Y2714" i="1" s="1"/>
  <c r="R2714" i="1"/>
  <c r="N2714" i="1"/>
  <c r="T2713" i="1"/>
  <c r="Y2713" i="1" s="1"/>
  <c r="R2713" i="1"/>
  <c r="N2713" i="1"/>
  <c r="T2712" i="1"/>
  <c r="Y2712" i="1" s="1"/>
  <c r="R2712" i="1"/>
  <c r="N2712" i="1"/>
  <c r="T2711" i="1"/>
  <c r="Y2711" i="1" s="1"/>
  <c r="R2711" i="1"/>
  <c r="N2711" i="1"/>
  <c r="T2710" i="1"/>
  <c r="Y2710" i="1" s="1"/>
  <c r="R2710" i="1"/>
  <c r="N2710" i="1"/>
  <c r="T2709" i="1"/>
  <c r="Y2709" i="1" s="1"/>
  <c r="R2709" i="1"/>
  <c r="N2709" i="1"/>
  <c r="X2708" i="1"/>
  <c r="T2708" i="1"/>
  <c r="R2708" i="1"/>
  <c r="N2708" i="1"/>
  <c r="X2707" i="1"/>
  <c r="T2707" i="1"/>
  <c r="R2707" i="1"/>
  <c r="N2707" i="1"/>
  <c r="T2706" i="1"/>
  <c r="Y2706" i="1" s="1"/>
  <c r="R2706" i="1"/>
  <c r="N2706" i="1"/>
  <c r="T2705" i="1"/>
  <c r="Y2705" i="1" s="1"/>
  <c r="R2705" i="1"/>
  <c r="N2705" i="1"/>
  <c r="T2704" i="1"/>
  <c r="Y2704" i="1" s="1"/>
  <c r="R2704" i="1"/>
  <c r="N2704" i="1"/>
  <c r="T2703" i="1"/>
  <c r="Y2703" i="1" s="1"/>
  <c r="R2703" i="1"/>
  <c r="N2703" i="1"/>
  <c r="T2702" i="1"/>
  <c r="Y2702" i="1" s="1"/>
  <c r="R2702" i="1"/>
  <c r="N2702" i="1"/>
  <c r="T2701" i="1"/>
  <c r="Y2701" i="1" s="1"/>
  <c r="R2701" i="1"/>
  <c r="N2701" i="1"/>
  <c r="T2700" i="1"/>
  <c r="Y2700" i="1" s="1"/>
  <c r="R2700" i="1"/>
  <c r="N2700" i="1"/>
  <c r="T2699" i="1"/>
  <c r="Y2699" i="1" s="1"/>
  <c r="R2699" i="1"/>
  <c r="N2699" i="1"/>
  <c r="T2698" i="1"/>
  <c r="Y2698" i="1" s="1"/>
  <c r="R2698" i="1"/>
  <c r="N2698" i="1"/>
  <c r="T2697" i="1"/>
  <c r="Y2697" i="1" s="1"/>
  <c r="R2697" i="1"/>
  <c r="N2697" i="1"/>
  <c r="T2696" i="1"/>
  <c r="Y2696" i="1" s="1"/>
  <c r="R2696" i="1"/>
  <c r="N2696" i="1"/>
  <c r="T2695" i="1"/>
  <c r="Y2695" i="1" s="1"/>
  <c r="R2695" i="1"/>
  <c r="N2695" i="1"/>
  <c r="T2694" i="1"/>
  <c r="Y2694" i="1" s="1"/>
  <c r="R2694" i="1"/>
  <c r="N2694" i="1"/>
  <c r="T2693" i="1"/>
  <c r="Y2693" i="1" s="1"/>
  <c r="R2693" i="1"/>
  <c r="N2693" i="1"/>
  <c r="T2692" i="1"/>
  <c r="Y2692" i="1" s="1"/>
  <c r="R2692" i="1"/>
  <c r="N2692" i="1"/>
  <c r="X2691" i="1"/>
  <c r="T2691" i="1"/>
  <c r="R2691" i="1"/>
  <c r="N2691" i="1"/>
  <c r="T2690" i="1"/>
  <c r="Y2690" i="1" s="1"/>
  <c r="R2690" i="1"/>
  <c r="N2690" i="1"/>
  <c r="T2689" i="1"/>
  <c r="Y2689" i="1" s="1"/>
  <c r="R2689" i="1"/>
  <c r="N2689" i="1"/>
  <c r="T2688" i="1"/>
  <c r="Y2688" i="1" s="1"/>
  <c r="R2688" i="1"/>
  <c r="N2688" i="1"/>
  <c r="X2687" i="1"/>
  <c r="T2687" i="1"/>
  <c r="R2687" i="1"/>
  <c r="N2687" i="1"/>
  <c r="T2686" i="1"/>
  <c r="Y2686" i="1" s="1"/>
  <c r="R2686" i="1"/>
  <c r="N2686" i="1"/>
  <c r="X2685" i="1"/>
  <c r="T2685" i="1"/>
  <c r="R2685" i="1"/>
  <c r="N2685" i="1"/>
  <c r="T2684" i="1"/>
  <c r="Y2684" i="1" s="1"/>
  <c r="R2684" i="1"/>
  <c r="N2684" i="1"/>
  <c r="T2683" i="1"/>
  <c r="R2683" i="1"/>
  <c r="N2683" i="1"/>
  <c r="X2682" i="1"/>
  <c r="T2682" i="1"/>
  <c r="R2682" i="1"/>
  <c r="N2682" i="1"/>
  <c r="X2681" i="1"/>
  <c r="T2681" i="1"/>
  <c r="R2681" i="1"/>
  <c r="N2681" i="1"/>
  <c r="T2680" i="1"/>
  <c r="Y2680" i="1" s="1"/>
  <c r="R2680" i="1"/>
  <c r="N2680" i="1"/>
  <c r="X2679" i="1"/>
  <c r="T2679" i="1"/>
  <c r="R2679" i="1"/>
  <c r="N2679" i="1"/>
  <c r="T2678" i="1"/>
  <c r="Y2678" i="1" s="1"/>
  <c r="R2678" i="1"/>
  <c r="N2678" i="1"/>
  <c r="X2677" i="1"/>
  <c r="T2677" i="1"/>
  <c r="R2677" i="1"/>
  <c r="N2677" i="1"/>
  <c r="T2676" i="1"/>
  <c r="Y2676" i="1" s="1"/>
  <c r="R2676" i="1"/>
  <c r="N2676" i="1"/>
  <c r="T2675" i="1"/>
  <c r="Y2675" i="1" s="1"/>
  <c r="R2675" i="1"/>
  <c r="N2675" i="1"/>
  <c r="T2674" i="1"/>
  <c r="Y2674" i="1" s="1"/>
  <c r="R2674" i="1"/>
  <c r="N2674" i="1"/>
  <c r="X2673" i="1"/>
  <c r="T2673" i="1"/>
  <c r="R2673" i="1"/>
  <c r="N2673" i="1"/>
  <c r="T2672" i="1"/>
  <c r="Y2672" i="1" s="1"/>
  <c r="R2672" i="1"/>
  <c r="N2672" i="1"/>
  <c r="T2671" i="1"/>
  <c r="Y2671" i="1" s="1"/>
  <c r="R2671" i="1"/>
  <c r="N2671" i="1"/>
  <c r="T2670" i="1"/>
  <c r="Y2670" i="1" s="1"/>
  <c r="R2670" i="1"/>
  <c r="N2670" i="1"/>
  <c r="T2669" i="1"/>
  <c r="Y2669" i="1" s="1"/>
  <c r="R2669" i="1"/>
  <c r="N2669" i="1"/>
  <c r="T2668" i="1"/>
  <c r="Y2668" i="1" s="1"/>
  <c r="R2668" i="1"/>
  <c r="N2668" i="1"/>
  <c r="T2667" i="1"/>
  <c r="Y2667" i="1" s="1"/>
  <c r="R2667" i="1"/>
  <c r="N2667" i="1"/>
  <c r="T2666" i="1"/>
  <c r="Y2666" i="1" s="1"/>
  <c r="R2666" i="1"/>
  <c r="N2666" i="1"/>
  <c r="T2665" i="1"/>
  <c r="Y2665" i="1" s="1"/>
  <c r="R2665" i="1"/>
  <c r="N2665" i="1"/>
  <c r="T2664" i="1"/>
  <c r="Y2664" i="1" s="1"/>
  <c r="R2664" i="1"/>
  <c r="N2664" i="1"/>
  <c r="T2663" i="1"/>
  <c r="Y2663" i="1" s="1"/>
  <c r="R2663" i="1"/>
  <c r="N2663" i="1"/>
  <c r="T2662" i="1"/>
  <c r="R2662" i="1"/>
  <c r="N2662" i="1"/>
  <c r="T2661" i="1"/>
  <c r="Y2661" i="1" s="1"/>
  <c r="R2661" i="1"/>
  <c r="N2661" i="1"/>
  <c r="T2660" i="1"/>
  <c r="Y2660" i="1" s="1"/>
  <c r="R2660" i="1"/>
  <c r="N2660" i="1"/>
  <c r="T2659" i="1"/>
  <c r="Y2659" i="1" s="1"/>
  <c r="R2659" i="1"/>
  <c r="N2659" i="1"/>
  <c r="T2658" i="1"/>
  <c r="Y2658" i="1" s="1"/>
  <c r="R2658" i="1"/>
  <c r="N2658" i="1"/>
  <c r="T2657" i="1"/>
  <c r="Y2657" i="1" s="1"/>
  <c r="R2657" i="1"/>
  <c r="N2657" i="1"/>
  <c r="T2656" i="1"/>
  <c r="Y2656" i="1" s="1"/>
  <c r="R2656" i="1"/>
  <c r="N2656" i="1"/>
  <c r="T2655" i="1"/>
  <c r="R2655" i="1"/>
  <c r="N2655" i="1"/>
  <c r="T2654" i="1"/>
  <c r="Y2654" i="1" s="1"/>
  <c r="R2654" i="1"/>
  <c r="N2654" i="1"/>
  <c r="T2653" i="1"/>
  <c r="Y2653" i="1" s="1"/>
  <c r="R2653" i="1"/>
  <c r="N2653" i="1"/>
  <c r="T2652" i="1"/>
  <c r="Y2652" i="1" s="1"/>
  <c r="R2652" i="1"/>
  <c r="N2652" i="1"/>
  <c r="T2651" i="1"/>
  <c r="Y2651" i="1" s="1"/>
  <c r="R2651" i="1"/>
  <c r="N2651" i="1"/>
  <c r="T2650" i="1"/>
  <c r="Y2650" i="1" s="1"/>
  <c r="R2650" i="1"/>
  <c r="N2650" i="1"/>
  <c r="T2649" i="1"/>
  <c r="Y2649" i="1" s="1"/>
  <c r="R2649" i="1"/>
  <c r="N2649" i="1"/>
  <c r="T2648" i="1"/>
  <c r="Y2648" i="1" s="1"/>
  <c r="R2648" i="1"/>
  <c r="N2648" i="1"/>
  <c r="X2647" i="1"/>
  <c r="T2647" i="1"/>
  <c r="R2647" i="1"/>
  <c r="N2647" i="1"/>
  <c r="T2646" i="1"/>
  <c r="Y2646" i="1" s="1"/>
  <c r="R2646" i="1"/>
  <c r="N2646" i="1"/>
  <c r="T2645" i="1"/>
  <c r="Y2645" i="1" s="1"/>
  <c r="R2645" i="1"/>
  <c r="N2645" i="1"/>
  <c r="T2644" i="1"/>
  <c r="Y2644" i="1" s="1"/>
  <c r="R2644" i="1"/>
  <c r="N2644" i="1"/>
  <c r="T2643" i="1"/>
  <c r="Y2643" i="1" s="1"/>
  <c r="R2643" i="1"/>
  <c r="N2643" i="1"/>
  <c r="T2642" i="1"/>
  <c r="Y2642" i="1" s="1"/>
  <c r="R2642" i="1"/>
  <c r="N2642" i="1"/>
  <c r="T2641" i="1"/>
  <c r="Y2641" i="1" s="1"/>
  <c r="R2641" i="1"/>
  <c r="N2641" i="1"/>
  <c r="T2640" i="1"/>
  <c r="Y2640" i="1" s="1"/>
  <c r="R2640" i="1"/>
  <c r="N2640" i="1"/>
  <c r="X2639" i="1"/>
  <c r="T2639" i="1"/>
  <c r="R2639" i="1"/>
  <c r="N2639" i="1"/>
  <c r="T2638" i="1"/>
  <c r="Y2638" i="1" s="1"/>
  <c r="R2638" i="1"/>
  <c r="N2638" i="1"/>
  <c r="X2637" i="1"/>
  <c r="T2637" i="1"/>
  <c r="R2637" i="1"/>
  <c r="N2637" i="1"/>
  <c r="X2636" i="1"/>
  <c r="T2636" i="1"/>
  <c r="R2636" i="1"/>
  <c r="N2636" i="1"/>
  <c r="T2635" i="1"/>
  <c r="Y2635" i="1" s="1"/>
  <c r="R2635" i="1"/>
  <c r="N2635" i="1"/>
  <c r="X2634" i="1"/>
  <c r="T2634" i="1"/>
  <c r="R2634" i="1"/>
  <c r="N2634" i="1"/>
  <c r="T2633" i="1"/>
  <c r="R2633" i="1"/>
  <c r="N2633" i="1"/>
  <c r="T2632" i="1"/>
  <c r="Y2632" i="1" s="1"/>
  <c r="R2632" i="1"/>
  <c r="N2632" i="1"/>
  <c r="T2631" i="1"/>
  <c r="Y2631" i="1" s="1"/>
  <c r="R2631" i="1"/>
  <c r="N2631" i="1"/>
  <c r="T2630" i="1"/>
  <c r="Y2630" i="1" s="1"/>
  <c r="R2630" i="1"/>
  <c r="N2630" i="1"/>
  <c r="X2629" i="1"/>
  <c r="T2629" i="1"/>
  <c r="R2629" i="1"/>
  <c r="N2629" i="1"/>
  <c r="T2628" i="1"/>
  <c r="Y2628" i="1" s="1"/>
  <c r="R2628" i="1"/>
  <c r="N2628" i="1"/>
  <c r="T2627" i="1"/>
  <c r="Y2627" i="1" s="1"/>
  <c r="R2627" i="1"/>
  <c r="N2627" i="1"/>
  <c r="T2626" i="1"/>
  <c r="Y2626" i="1" s="1"/>
  <c r="R2626" i="1"/>
  <c r="N2626" i="1"/>
  <c r="T2625" i="1"/>
  <c r="Y2625" i="1" s="1"/>
  <c r="R2625" i="1"/>
  <c r="N2625" i="1"/>
  <c r="T2624" i="1"/>
  <c r="Y2624" i="1" s="1"/>
  <c r="R2624" i="1"/>
  <c r="N2624" i="1"/>
  <c r="X2623" i="1"/>
  <c r="T2623" i="1"/>
  <c r="R2623" i="1"/>
  <c r="N2623" i="1"/>
  <c r="T2622" i="1"/>
  <c r="R2622" i="1"/>
  <c r="N2622" i="1"/>
  <c r="X2621" i="1"/>
  <c r="T2621" i="1"/>
  <c r="R2621" i="1"/>
  <c r="N2621" i="1"/>
  <c r="T2620" i="1"/>
  <c r="Y2620" i="1" s="1"/>
  <c r="R2620" i="1"/>
  <c r="N2620" i="1"/>
  <c r="X2619" i="1"/>
  <c r="T2619" i="1"/>
  <c r="R2619" i="1"/>
  <c r="N2619" i="1"/>
  <c r="T2618" i="1"/>
  <c r="Y2618" i="1" s="1"/>
  <c r="R2618" i="1"/>
  <c r="N2618" i="1"/>
  <c r="T2617" i="1"/>
  <c r="Y2617" i="1" s="1"/>
  <c r="R2617" i="1"/>
  <c r="N2617" i="1"/>
  <c r="T2616" i="1"/>
  <c r="Y2616" i="1" s="1"/>
  <c r="R2616" i="1"/>
  <c r="N2616" i="1"/>
  <c r="X2615" i="1"/>
  <c r="T2615" i="1"/>
  <c r="R2615" i="1"/>
  <c r="N2615" i="1"/>
  <c r="X2614" i="1"/>
  <c r="T2614" i="1"/>
  <c r="R2614" i="1"/>
  <c r="N2614" i="1"/>
  <c r="T2613" i="1"/>
  <c r="Y2613" i="1" s="1"/>
  <c r="R2613" i="1"/>
  <c r="N2613" i="1"/>
  <c r="T2612" i="1"/>
  <c r="Y2612" i="1" s="1"/>
  <c r="R2612" i="1"/>
  <c r="N2612" i="1"/>
  <c r="T2611" i="1"/>
  <c r="R2611" i="1"/>
  <c r="N2611" i="1"/>
  <c r="X2610" i="1"/>
  <c r="T2610" i="1"/>
  <c r="R2610" i="1"/>
  <c r="N2610" i="1"/>
  <c r="X2609" i="1"/>
  <c r="T2609" i="1"/>
  <c r="R2609" i="1"/>
  <c r="N2609" i="1"/>
  <c r="T2608" i="1"/>
  <c r="Y2608" i="1" s="1"/>
  <c r="R2608" i="1"/>
  <c r="N2608" i="1"/>
  <c r="T2607" i="1"/>
  <c r="Y2607" i="1" s="1"/>
  <c r="R2607" i="1"/>
  <c r="N2607" i="1"/>
  <c r="T2606" i="1"/>
  <c r="Y2606" i="1" s="1"/>
  <c r="R2606" i="1"/>
  <c r="N2606" i="1"/>
  <c r="T2605" i="1"/>
  <c r="Y2605" i="1" s="1"/>
  <c r="R2605" i="1"/>
  <c r="N2605" i="1"/>
  <c r="T2604" i="1"/>
  <c r="Y2604" i="1" s="1"/>
  <c r="R2604" i="1"/>
  <c r="N2604" i="1"/>
  <c r="T2603" i="1"/>
  <c r="Y2603" i="1" s="1"/>
  <c r="R2603" i="1"/>
  <c r="N2603" i="1"/>
  <c r="T2602" i="1"/>
  <c r="Y2602" i="1" s="1"/>
  <c r="R2602" i="1"/>
  <c r="N2602" i="1"/>
  <c r="T2601" i="1"/>
  <c r="R2601" i="1"/>
  <c r="N2601" i="1"/>
  <c r="T2600" i="1"/>
  <c r="Y2600" i="1" s="1"/>
  <c r="R2600" i="1"/>
  <c r="N2600" i="1"/>
  <c r="T2599" i="1"/>
  <c r="Y2599" i="1" s="1"/>
  <c r="R2599" i="1"/>
  <c r="N2599" i="1"/>
  <c r="T2598" i="1"/>
  <c r="Y2598" i="1" s="1"/>
  <c r="R2598" i="1"/>
  <c r="N2598" i="1"/>
  <c r="T2597" i="1"/>
  <c r="Y2597" i="1" s="1"/>
  <c r="R2597" i="1"/>
  <c r="N2597" i="1"/>
  <c r="T2596" i="1"/>
  <c r="Y2596" i="1" s="1"/>
  <c r="R2596" i="1"/>
  <c r="N2596" i="1"/>
  <c r="T2595" i="1"/>
  <c r="Y2595" i="1" s="1"/>
  <c r="R2595" i="1"/>
  <c r="N2595" i="1"/>
  <c r="T2594" i="1"/>
  <c r="Y2594" i="1" s="1"/>
  <c r="R2594" i="1"/>
  <c r="N2594" i="1"/>
  <c r="T2593" i="1"/>
  <c r="Y2593" i="1" s="1"/>
  <c r="R2593" i="1"/>
  <c r="N2593" i="1"/>
  <c r="T2592" i="1"/>
  <c r="Y2592" i="1" s="1"/>
  <c r="R2592" i="1"/>
  <c r="N2592" i="1"/>
  <c r="T2591" i="1"/>
  <c r="Y2591" i="1" s="1"/>
  <c r="R2591" i="1"/>
  <c r="N2591" i="1"/>
  <c r="T2590" i="1"/>
  <c r="Y2590" i="1" s="1"/>
  <c r="R2590" i="1"/>
  <c r="N2590" i="1"/>
  <c r="T2589" i="1"/>
  <c r="Y2589" i="1" s="1"/>
  <c r="R2589" i="1"/>
  <c r="N2589" i="1"/>
  <c r="T2588" i="1"/>
  <c r="Y2588" i="1" s="1"/>
  <c r="R2588" i="1"/>
  <c r="N2588" i="1"/>
  <c r="T2587" i="1"/>
  <c r="Y2587" i="1" s="1"/>
  <c r="R2587" i="1"/>
  <c r="N2587" i="1"/>
  <c r="T2586" i="1"/>
  <c r="Y2586" i="1" s="1"/>
  <c r="R2586" i="1"/>
  <c r="N2586" i="1"/>
  <c r="T2585" i="1"/>
  <c r="R2585" i="1"/>
  <c r="N2585" i="1"/>
  <c r="T2584" i="1"/>
  <c r="Y2584" i="1" s="1"/>
  <c r="R2584" i="1"/>
  <c r="N2584" i="1"/>
  <c r="T2583" i="1"/>
  <c r="Y2583" i="1" s="1"/>
  <c r="R2583" i="1"/>
  <c r="N2583" i="1"/>
  <c r="T2582" i="1"/>
  <c r="Y2582" i="1" s="1"/>
  <c r="R2582" i="1"/>
  <c r="N2582" i="1"/>
  <c r="T2581" i="1"/>
  <c r="Y2581" i="1" s="1"/>
  <c r="R2581" i="1"/>
  <c r="N2581" i="1"/>
  <c r="X2580" i="1"/>
  <c r="T2580" i="1"/>
  <c r="R2580" i="1"/>
  <c r="N2580" i="1"/>
  <c r="T2579" i="1"/>
  <c r="Y2579" i="1" s="1"/>
  <c r="R2579" i="1"/>
  <c r="N2579" i="1"/>
  <c r="T2578" i="1"/>
  <c r="Y2578" i="1" s="1"/>
  <c r="R2578" i="1"/>
  <c r="N2578" i="1"/>
  <c r="T2577" i="1"/>
  <c r="R2577" i="1"/>
  <c r="N2577" i="1"/>
  <c r="T2576" i="1"/>
  <c r="Y2576" i="1" s="1"/>
  <c r="R2576" i="1"/>
  <c r="N2576" i="1"/>
  <c r="T2575" i="1"/>
  <c r="Y2575" i="1" s="1"/>
  <c r="R2575" i="1"/>
  <c r="N2575" i="1"/>
  <c r="T2574" i="1"/>
  <c r="Y2574" i="1" s="1"/>
  <c r="R2574" i="1"/>
  <c r="N2574" i="1"/>
  <c r="T2573" i="1"/>
  <c r="Y2573" i="1" s="1"/>
  <c r="R2573" i="1"/>
  <c r="N2573" i="1"/>
  <c r="T2572" i="1"/>
  <c r="Y2572" i="1" s="1"/>
  <c r="R2572" i="1"/>
  <c r="N2572" i="1"/>
  <c r="T2571" i="1"/>
  <c r="Y2571" i="1" s="1"/>
  <c r="R2571" i="1"/>
  <c r="N2571" i="1"/>
  <c r="T2570" i="1"/>
  <c r="Y2570" i="1" s="1"/>
  <c r="R2570" i="1"/>
  <c r="N2570" i="1"/>
  <c r="T2569" i="1"/>
  <c r="Y2569" i="1" s="1"/>
  <c r="R2569" i="1"/>
  <c r="N2569" i="1"/>
  <c r="T2568" i="1"/>
  <c r="Y2568" i="1" s="1"/>
  <c r="R2568" i="1"/>
  <c r="N2568" i="1"/>
  <c r="T2567" i="1"/>
  <c r="Y2567" i="1" s="1"/>
  <c r="R2567" i="1"/>
  <c r="N2567" i="1"/>
  <c r="T2566" i="1"/>
  <c r="Y2566" i="1" s="1"/>
  <c r="R2566" i="1"/>
  <c r="N2566" i="1"/>
  <c r="T2565" i="1"/>
  <c r="Y2565" i="1" s="1"/>
  <c r="R2565" i="1"/>
  <c r="N2565" i="1"/>
  <c r="T2564" i="1"/>
  <c r="Y2564" i="1" s="1"/>
  <c r="R2564" i="1"/>
  <c r="N2564" i="1"/>
  <c r="T2563" i="1"/>
  <c r="Y2563" i="1" s="1"/>
  <c r="R2563" i="1"/>
  <c r="N2563" i="1"/>
  <c r="T2562" i="1"/>
  <c r="Y2562" i="1" s="1"/>
  <c r="R2562" i="1"/>
  <c r="N2562" i="1"/>
  <c r="T2561" i="1"/>
  <c r="Y2561" i="1" s="1"/>
  <c r="R2561" i="1"/>
  <c r="N2561" i="1"/>
  <c r="T2560" i="1"/>
  <c r="Y2560" i="1" s="1"/>
  <c r="R2560" i="1"/>
  <c r="N2560" i="1"/>
  <c r="T2559" i="1"/>
  <c r="Y2559" i="1" s="1"/>
  <c r="R2559" i="1"/>
  <c r="N2559" i="1"/>
  <c r="T2558" i="1"/>
  <c r="Y2558" i="1" s="1"/>
  <c r="R2558" i="1"/>
  <c r="N2558" i="1"/>
  <c r="T2557" i="1"/>
  <c r="Y2557" i="1" s="1"/>
  <c r="R2557" i="1"/>
  <c r="N2557" i="1"/>
  <c r="T2556" i="1"/>
  <c r="Y2556" i="1" s="1"/>
  <c r="R2556" i="1"/>
  <c r="N2556" i="1"/>
  <c r="T2555" i="1"/>
  <c r="Y2555" i="1" s="1"/>
  <c r="R2555" i="1"/>
  <c r="N2555" i="1"/>
  <c r="T2554" i="1"/>
  <c r="Y2554" i="1" s="1"/>
  <c r="R2554" i="1"/>
  <c r="N2554" i="1"/>
  <c r="T2553" i="1"/>
  <c r="Y2553" i="1" s="1"/>
  <c r="R2553" i="1"/>
  <c r="N2553" i="1"/>
  <c r="T2552" i="1"/>
  <c r="Y2552" i="1" s="1"/>
  <c r="R2552" i="1"/>
  <c r="N2552" i="1"/>
  <c r="T2551" i="1"/>
  <c r="Y2551" i="1" s="1"/>
  <c r="R2551" i="1"/>
  <c r="N2551" i="1"/>
  <c r="T2550" i="1"/>
  <c r="Y2550" i="1" s="1"/>
  <c r="R2550" i="1"/>
  <c r="N2550" i="1"/>
  <c r="X2549" i="1"/>
  <c r="T2549" i="1"/>
  <c r="R2549" i="1"/>
  <c r="N2549" i="1"/>
  <c r="T2548" i="1"/>
  <c r="Y2548" i="1" s="1"/>
  <c r="R2548" i="1"/>
  <c r="N2548" i="1"/>
  <c r="T2547" i="1"/>
  <c r="Y2547" i="1" s="1"/>
  <c r="R2547" i="1"/>
  <c r="N2547" i="1"/>
  <c r="T2546" i="1"/>
  <c r="Y2546" i="1" s="1"/>
  <c r="R2546" i="1"/>
  <c r="N2546" i="1"/>
  <c r="T2545" i="1"/>
  <c r="Y2545" i="1" s="1"/>
  <c r="R2545" i="1"/>
  <c r="N2545" i="1"/>
  <c r="T2544" i="1"/>
  <c r="R2544" i="1"/>
  <c r="N2544" i="1"/>
  <c r="T2543" i="1"/>
  <c r="Y2543" i="1" s="1"/>
  <c r="R2543" i="1"/>
  <c r="N2543" i="1"/>
  <c r="T2542" i="1"/>
  <c r="Y2542" i="1" s="1"/>
  <c r="R2542" i="1"/>
  <c r="N2542" i="1"/>
  <c r="T2541" i="1"/>
  <c r="Y2541" i="1" s="1"/>
  <c r="R2541" i="1"/>
  <c r="N2541" i="1"/>
  <c r="T2540" i="1"/>
  <c r="Y2540" i="1" s="1"/>
  <c r="R2540" i="1"/>
  <c r="N2540" i="1"/>
  <c r="T2539" i="1"/>
  <c r="Y2539" i="1" s="1"/>
  <c r="R2539" i="1"/>
  <c r="N2539" i="1"/>
  <c r="X2538" i="1"/>
  <c r="T2538" i="1"/>
  <c r="R2538" i="1"/>
  <c r="N2538" i="1"/>
  <c r="T2537" i="1"/>
  <c r="Y2537" i="1" s="1"/>
  <c r="R2537" i="1"/>
  <c r="N2537" i="1"/>
  <c r="T2536" i="1"/>
  <c r="Y2536" i="1" s="1"/>
  <c r="R2536" i="1"/>
  <c r="N2536" i="1"/>
  <c r="T2535" i="1"/>
  <c r="Y2535" i="1" s="1"/>
  <c r="R2535" i="1"/>
  <c r="N2535" i="1"/>
  <c r="X2534" i="1"/>
  <c r="T2534" i="1"/>
  <c r="R2534" i="1"/>
  <c r="N2534" i="1"/>
  <c r="T2533" i="1"/>
  <c r="Y2533" i="1" s="1"/>
  <c r="R2533" i="1"/>
  <c r="N2533" i="1"/>
  <c r="T2532" i="1"/>
  <c r="Y2532" i="1" s="1"/>
  <c r="R2532" i="1"/>
  <c r="N2532" i="1"/>
  <c r="T2531" i="1"/>
  <c r="Y2531" i="1" s="1"/>
  <c r="R2531" i="1"/>
  <c r="N2531" i="1"/>
  <c r="T2530" i="1"/>
  <c r="Y2530" i="1" s="1"/>
  <c r="R2530" i="1"/>
  <c r="N2530" i="1"/>
  <c r="T2529" i="1"/>
  <c r="Y2529" i="1" s="1"/>
  <c r="R2529" i="1"/>
  <c r="N2529" i="1"/>
  <c r="T2528" i="1"/>
  <c r="Y2528" i="1" s="1"/>
  <c r="R2528" i="1"/>
  <c r="N2528" i="1"/>
  <c r="T2527" i="1"/>
  <c r="Y2527" i="1" s="1"/>
  <c r="R2527" i="1"/>
  <c r="N2527" i="1"/>
  <c r="X2526" i="1"/>
  <c r="T2526" i="1"/>
  <c r="R2526" i="1"/>
  <c r="N2526" i="1"/>
  <c r="X2525" i="1"/>
  <c r="T2525" i="1"/>
  <c r="R2525" i="1"/>
  <c r="N2525" i="1"/>
  <c r="T2524" i="1"/>
  <c r="Y2524" i="1" s="1"/>
  <c r="R2524" i="1"/>
  <c r="N2524" i="1"/>
  <c r="T2523" i="1"/>
  <c r="Y2523" i="1" s="1"/>
  <c r="R2523" i="1"/>
  <c r="N2523" i="1"/>
  <c r="T2522" i="1"/>
  <c r="Y2522" i="1" s="1"/>
  <c r="R2522" i="1"/>
  <c r="N2522" i="1"/>
  <c r="T2521" i="1"/>
  <c r="Y2521" i="1" s="1"/>
  <c r="R2521" i="1"/>
  <c r="N2521" i="1"/>
  <c r="T2520" i="1"/>
  <c r="Y2520" i="1" s="1"/>
  <c r="R2520" i="1"/>
  <c r="N2520" i="1"/>
  <c r="T2519" i="1"/>
  <c r="Y2519" i="1" s="1"/>
  <c r="R2519" i="1"/>
  <c r="N2519" i="1"/>
  <c r="X2518" i="1"/>
  <c r="T2518" i="1"/>
  <c r="R2518" i="1"/>
  <c r="N2518" i="1"/>
  <c r="X2517" i="1"/>
  <c r="T2517" i="1"/>
  <c r="R2517" i="1"/>
  <c r="N2517" i="1"/>
  <c r="T2516" i="1"/>
  <c r="Y2516" i="1" s="1"/>
  <c r="R2516" i="1"/>
  <c r="N2516" i="1"/>
  <c r="T2515" i="1"/>
  <c r="Y2515" i="1" s="1"/>
  <c r="R2515" i="1"/>
  <c r="N2515" i="1"/>
  <c r="X2514" i="1"/>
  <c r="T2514" i="1"/>
  <c r="R2514" i="1"/>
  <c r="N2514" i="1"/>
  <c r="T2513" i="1"/>
  <c r="Y2513" i="1" s="1"/>
  <c r="R2513" i="1"/>
  <c r="N2513" i="1"/>
  <c r="T2512" i="1"/>
  <c r="R2512" i="1"/>
  <c r="N2512" i="1"/>
  <c r="T2511" i="1"/>
  <c r="Y2511" i="1" s="1"/>
  <c r="R2511" i="1"/>
  <c r="N2511" i="1"/>
  <c r="X2510" i="1"/>
  <c r="T2510" i="1"/>
  <c r="R2510" i="1"/>
  <c r="N2510" i="1"/>
  <c r="T2509" i="1"/>
  <c r="Y2509" i="1" s="1"/>
  <c r="R2509" i="1"/>
  <c r="N2509" i="1"/>
  <c r="T2508" i="1"/>
  <c r="Y2508" i="1" s="1"/>
  <c r="R2508" i="1"/>
  <c r="N2508" i="1"/>
  <c r="X2507" i="1"/>
  <c r="T2507" i="1"/>
  <c r="R2507" i="1"/>
  <c r="N2507" i="1"/>
  <c r="T2506" i="1"/>
  <c r="Y2506" i="1" s="1"/>
  <c r="R2506" i="1"/>
  <c r="N2506" i="1"/>
  <c r="T2505" i="1"/>
  <c r="Y2505" i="1" s="1"/>
  <c r="R2505" i="1"/>
  <c r="N2505" i="1"/>
  <c r="T2504" i="1"/>
  <c r="Y2504" i="1" s="1"/>
  <c r="R2504" i="1"/>
  <c r="N2504" i="1"/>
  <c r="T2503" i="1"/>
  <c r="Y2503" i="1" s="1"/>
  <c r="R2503" i="1"/>
  <c r="N2503" i="1"/>
  <c r="X2502" i="1"/>
  <c r="T2502" i="1"/>
  <c r="R2502" i="1"/>
  <c r="N2502" i="1"/>
  <c r="T2501" i="1"/>
  <c r="Y2501" i="1" s="1"/>
  <c r="R2501" i="1"/>
  <c r="N2501" i="1"/>
  <c r="T2500" i="1"/>
  <c r="Y2500" i="1" s="1"/>
  <c r="R2500" i="1"/>
  <c r="N2500" i="1"/>
  <c r="X2499" i="1"/>
  <c r="T2499" i="1"/>
  <c r="R2499" i="1"/>
  <c r="N2499" i="1"/>
  <c r="T2498" i="1"/>
  <c r="Y2498" i="1" s="1"/>
  <c r="R2498" i="1"/>
  <c r="N2498" i="1"/>
  <c r="T2497" i="1"/>
  <c r="Y2497" i="1" s="1"/>
  <c r="R2497" i="1"/>
  <c r="N2497" i="1"/>
  <c r="T2496" i="1"/>
  <c r="Y2496" i="1" s="1"/>
  <c r="R2496" i="1"/>
  <c r="N2496" i="1"/>
  <c r="X2495" i="1"/>
  <c r="T2495" i="1"/>
  <c r="R2495" i="1"/>
  <c r="N2495" i="1"/>
  <c r="T2494" i="1"/>
  <c r="Y2494" i="1" s="1"/>
  <c r="R2494" i="1"/>
  <c r="N2494" i="1"/>
  <c r="T2493" i="1"/>
  <c r="Y2493" i="1" s="1"/>
  <c r="R2493" i="1"/>
  <c r="N2493" i="1"/>
  <c r="X2492" i="1"/>
  <c r="T2492" i="1"/>
  <c r="R2492" i="1"/>
  <c r="N2492" i="1"/>
  <c r="T2491" i="1"/>
  <c r="Y2491" i="1" s="1"/>
  <c r="R2491" i="1"/>
  <c r="N2491" i="1"/>
  <c r="T2490" i="1"/>
  <c r="R2490" i="1"/>
  <c r="N2490" i="1"/>
  <c r="T2489" i="1"/>
  <c r="Y2489" i="1" s="1"/>
  <c r="R2489" i="1"/>
  <c r="N2489" i="1"/>
  <c r="T2488" i="1"/>
  <c r="Y2488" i="1" s="1"/>
  <c r="R2488" i="1"/>
  <c r="N2488" i="1"/>
  <c r="X2487" i="1"/>
  <c r="T2487" i="1"/>
  <c r="R2487" i="1"/>
  <c r="N2487" i="1"/>
  <c r="T2486" i="1"/>
  <c r="Y2486" i="1" s="1"/>
  <c r="R2486" i="1"/>
  <c r="N2486" i="1"/>
  <c r="T2485" i="1"/>
  <c r="Y2485" i="1" s="1"/>
  <c r="R2485" i="1"/>
  <c r="N2485" i="1"/>
  <c r="T2484" i="1"/>
  <c r="Y2484" i="1" s="1"/>
  <c r="R2484" i="1"/>
  <c r="N2484" i="1"/>
  <c r="T2483" i="1"/>
  <c r="Y2483" i="1" s="1"/>
  <c r="R2483" i="1"/>
  <c r="N2483" i="1"/>
  <c r="T2482" i="1"/>
  <c r="Y2482" i="1" s="1"/>
  <c r="R2482" i="1"/>
  <c r="N2482" i="1"/>
  <c r="T2481" i="1"/>
  <c r="Y2481" i="1" s="1"/>
  <c r="R2481" i="1"/>
  <c r="N2481" i="1"/>
  <c r="T2480" i="1"/>
  <c r="Y2480" i="1" s="1"/>
  <c r="R2480" i="1"/>
  <c r="N2480" i="1"/>
  <c r="T2479" i="1"/>
  <c r="Y2479" i="1" s="1"/>
  <c r="R2479" i="1"/>
  <c r="N2479" i="1"/>
  <c r="T2478" i="1"/>
  <c r="Y2478" i="1" s="1"/>
  <c r="R2478" i="1"/>
  <c r="N2478" i="1"/>
  <c r="T2477" i="1"/>
  <c r="Y2477" i="1" s="1"/>
  <c r="R2477" i="1"/>
  <c r="N2477" i="1"/>
  <c r="T2476" i="1"/>
  <c r="Y2476" i="1" s="1"/>
  <c r="R2476" i="1"/>
  <c r="N2476" i="1"/>
  <c r="T2475" i="1"/>
  <c r="Y2475" i="1" s="1"/>
  <c r="R2475" i="1"/>
  <c r="N2475" i="1"/>
  <c r="T2474" i="1"/>
  <c r="Y2474" i="1" s="1"/>
  <c r="R2474" i="1"/>
  <c r="N2474" i="1"/>
  <c r="T2473" i="1"/>
  <c r="R2473" i="1"/>
  <c r="N2473" i="1"/>
  <c r="T2472" i="1"/>
  <c r="Y2472" i="1" s="1"/>
  <c r="R2472" i="1"/>
  <c r="N2472" i="1"/>
  <c r="T2471" i="1"/>
  <c r="Y2471" i="1" s="1"/>
  <c r="R2471" i="1"/>
  <c r="N2471" i="1"/>
  <c r="T2470" i="1"/>
  <c r="Y2470" i="1" s="1"/>
  <c r="R2470" i="1"/>
  <c r="N2470" i="1"/>
  <c r="T2469" i="1"/>
  <c r="Y2469" i="1" s="1"/>
  <c r="R2469" i="1"/>
  <c r="N2469" i="1"/>
  <c r="T2468" i="1"/>
  <c r="Y2468" i="1" s="1"/>
  <c r="R2468" i="1"/>
  <c r="N2468" i="1"/>
  <c r="T2467" i="1"/>
  <c r="Y2467" i="1" s="1"/>
  <c r="R2467" i="1"/>
  <c r="N2467" i="1"/>
  <c r="T2466" i="1"/>
  <c r="Y2466" i="1" s="1"/>
  <c r="R2466" i="1"/>
  <c r="N2466" i="1"/>
  <c r="T2465" i="1"/>
  <c r="Y2465" i="1" s="1"/>
  <c r="R2465" i="1"/>
  <c r="N2465" i="1"/>
  <c r="T2464" i="1"/>
  <c r="Y2464" i="1" s="1"/>
  <c r="R2464" i="1"/>
  <c r="N2464" i="1"/>
  <c r="T2463" i="1"/>
  <c r="Y2463" i="1" s="1"/>
  <c r="R2463" i="1"/>
  <c r="N2463" i="1"/>
  <c r="T2462" i="1"/>
  <c r="Y2462" i="1" s="1"/>
  <c r="R2462" i="1"/>
  <c r="N2462" i="1"/>
  <c r="T2461" i="1"/>
  <c r="Y2461" i="1" s="1"/>
  <c r="R2461" i="1"/>
  <c r="N2461" i="1"/>
  <c r="T2460" i="1"/>
  <c r="Y2460" i="1" s="1"/>
  <c r="R2460" i="1"/>
  <c r="N2460" i="1"/>
  <c r="T2459" i="1"/>
  <c r="Y2459" i="1" s="1"/>
  <c r="R2459" i="1"/>
  <c r="N2459" i="1"/>
  <c r="T2458" i="1"/>
  <c r="Y2458" i="1" s="1"/>
  <c r="R2458" i="1"/>
  <c r="N2458" i="1"/>
  <c r="T2457" i="1"/>
  <c r="Y2457" i="1" s="1"/>
  <c r="R2457" i="1"/>
  <c r="N2457" i="1"/>
  <c r="T2456" i="1"/>
  <c r="Y2456" i="1" s="1"/>
  <c r="R2456" i="1"/>
  <c r="N2456" i="1"/>
  <c r="T2455" i="1"/>
  <c r="Y2455" i="1" s="1"/>
  <c r="R2455" i="1"/>
  <c r="N2455" i="1"/>
  <c r="T2454" i="1"/>
  <c r="Y2454" i="1" s="1"/>
  <c r="R2454" i="1"/>
  <c r="N2454" i="1"/>
  <c r="T2453" i="1"/>
  <c r="Y2453" i="1" s="1"/>
  <c r="R2453" i="1"/>
  <c r="N2453" i="1"/>
  <c r="T2452" i="1"/>
  <c r="Y2452" i="1" s="1"/>
  <c r="R2452" i="1"/>
  <c r="N2452" i="1"/>
  <c r="T2451" i="1"/>
  <c r="Y2451" i="1" s="1"/>
  <c r="R2451" i="1"/>
  <c r="N2451" i="1"/>
  <c r="T2450" i="1"/>
  <c r="Y2450" i="1" s="1"/>
  <c r="R2450" i="1"/>
  <c r="N2450" i="1"/>
  <c r="T2449" i="1"/>
  <c r="Y2449" i="1" s="1"/>
  <c r="R2449" i="1"/>
  <c r="N2449" i="1"/>
  <c r="T2448" i="1"/>
  <c r="Y2448" i="1" s="1"/>
  <c r="R2448" i="1"/>
  <c r="N2448" i="1"/>
  <c r="T2447" i="1"/>
  <c r="Y2447" i="1" s="1"/>
  <c r="R2447" i="1"/>
  <c r="N2447" i="1"/>
  <c r="T2446" i="1"/>
  <c r="Y2446" i="1" s="1"/>
  <c r="R2446" i="1"/>
  <c r="N2446" i="1"/>
  <c r="T2445" i="1"/>
  <c r="Y2445" i="1" s="1"/>
  <c r="R2445" i="1"/>
  <c r="N2445" i="1"/>
  <c r="T2444" i="1"/>
  <c r="Y2444" i="1" s="1"/>
  <c r="R2444" i="1"/>
  <c r="N2444" i="1"/>
  <c r="T2443" i="1"/>
  <c r="Y2443" i="1" s="1"/>
  <c r="R2443" i="1"/>
  <c r="N2443" i="1"/>
  <c r="T2442" i="1"/>
  <c r="Y2442" i="1" s="1"/>
  <c r="R2442" i="1"/>
  <c r="N2442" i="1"/>
  <c r="T2441" i="1"/>
  <c r="Y2441" i="1" s="1"/>
  <c r="R2441" i="1"/>
  <c r="N2441" i="1"/>
  <c r="T2440" i="1"/>
  <c r="Y2440" i="1" s="1"/>
  <c r="R2440" i="1"/>
  <c r="N2440" i="1"/>
  <c r="T2439" i="1"/>
  <c r="Y2439" i="1" s="1"/>
  <c r="R2439" i="1"/>
  <c r="N2439" i="1"/>
  <c r="T2438" i="1"/>
  <c r="Y2438" i="1" s="1"/>
  <c r="R2438" i="1"/>
  <c r="N2438" i="1"/>
  <c r="T2437" i="1"/>
  <c r="Y2437" i="1" s="1"/>
  <c r="R2437" i="1"/>
  <c r="N2437" i="1"/>
  <c r="T2436" i="1"/>
  <c r="Y2436" i="1" s="1"/>
  <c r="R2436" i="1"/>
  <c r="N2436" i="1"/>
  <c r="T2435" i="1"/>
  <c r="Y2435" i="1" s="1"/>
  <c r="R2435" i="1"/>
  <c r="N2435" i="1"/>
  <c r="T2434" i="1"/>
  <c r="Y2434" i="1" s="1"/>
  <c r="R2434" i="1"/>
  <c r="N2434" i="1"/>
  <c r="T2433" i="1"/>
  <c r="Y2433" i="1" s="1"/>
  <c r="R2433" i="1"/>
  <c r="N2433" i="1"/>
  <c r="T2432" i="1"/>
  <c r="Y2432" i="1" s="1"/>
  <c r="R2432" i="1"/>
  <c r="N2432" i="1"/>
  <c r="T2431" i="1"/>
  <c r="Y2431" i="1" s="1"/>
  <c r="R2431" i="1"/>
  <c r="N2431" i="1"/>
  <c r="T2430" i="1"/>
  <c r="Y2430" i="1" s="1"/>
  <c r="R2430" i="1"/>
  <c r="N2430" i="1"/>
  <c r="T2429" i="1"/>
  <c r="Y2429" i="1" s="1"/>
  <c r="R2429" i="1"/>
  <c r="N2429" i="1"/>
  <c r="T2428" i="1"/>
  <c r="Y2428" i="1" s="1"/>
  <c r="R2428" i="1"/>
  <c r="N2428" i="1"/>
  <c r="X2427" i="1"/>
  <c r="T2427" i="1"/>
  <c r="R2427" i="1"/>
  <c r="N2427" i="1"/>
  <c r="T2426" i="1"/>
  <c r="Y2426" i="1" s="1"/>
  <c r="R2426" i="1"/>
  <c r="N2426" i="1"/>
  <c r="X2425" i="1"/>
  <c r="T2425" i="1"/>
  <c r="R2425" i="1"/>
  <c r="N2425" i="1"/>
  <c r="T2424" i="1"/>
  <c r="Y2424" i="1" s="1"/>
  <c r="R2424" i="1"/>
  <c r="N2424" i="1"/>
  <c r="T2423" i="1"/>
  <c r="R2423" i="1"/>
  <c r="N2423" i="1"/>
  <c r="T2422" i="1"/>
  <c r="Y2422" i="1" s="1"/>
  <c r="R2422" i="1"/>
  <c r="N2422" i="1"/>
  <c r="T2421" i="1"/>
  <c r="Y2421" i="1" s="1"/>
  <c r="R2421" i="1"/>
  <c r="N2421" i="1"/>
  <c r="T2420" i="1"/>
  <c r="Y2420" i="1" s="1"/>
  <c r="R2420" i="1"/>
  <c r="N2420" i="1"/>
  <c r="X2419" i="1"/>
  <c r="T2419" i="1"/>
  <c r="R2419" i="1"/>
  <c r="N2419" i="1"/>
  <c r="T2418" i="1"/>
  <c r="Y2418" i="1" s="1"/>
  <c r="R2418" i="1"/>
  <c r="N2418" i="1"/>
  <c r="T2417" i="1"/>
  <c r="Y2417" i="1" s="1"/>
  <c r="R2417" i="1"/>
  <c r="N2417" i="1"/>
  <c r="T2416" i="1"/>
  <c r="Y2416" i="1" s="1"/>
  <c r="R2416" i="1"/>
  <c r="N2416" i="1"/>
  <c r="T2415" i="1"/>
  <c r="Y2415" i="1" s="1"/>
  <c r="R2415" i="1"/>
  <c r="N2415" i="1"/>
  <c r="T2414" i="1"/>
  <c r="Y2414" i="1" s="1"/>
  <c r="R2414" i="1"/>
  <c r="N2414" i="1"/>
  <c r="T2413" i="1"/>
  <c r="Y2413" i="1" s="1"/>
  <c r="R2413" i="1"/>
  <c r="N2413" i="1"/>
  <c r="T2412" i="1"/>
  <c r="Y2412" i="1" s="1"/>
  <c r="R2412" i="1"/>
  <c r="N2412" i="1"/>
  <c r="T2411" i="1"/>
  <c r="Y2411" i="1" s="1"/>
  <c r="R2411" i="1"/>
  <c r="N2411" i="1"/>
  <c r="T2410" i="1"/>
  <c r="Y2410" i="1" s="1"/>
  <c r="R2410" i="1"/>
  <c r="N2410" i="1"/>
  <c r="T2409" i="1"/>
  <c r="Y2409" i="1" s="1"/>
  <c r="R2409" i="1"/>
  <c r="N2409" i="1"/>
  <c r="T2408" i="1"/>
  <c r="Y2408" i="1" s="1"/>
  <c r="R2408" i="1"/>
  <c r="N2408" i="1"/>
  <c r="T2407" i="1"/>
  <c r="Y2407" i="1" s="1"/>
  <c r="R2407" i="1"/>
  <c r="N2407" i="1"/>
  <c r="T2406" i="1"/>
  <c r="Y2406" i="1" s="1"/>
  <c r="R2406" i="1"/>
  <c r="N2406" i="1"/>
  <c r="T2405" i="1"/>
  <c r="Y2405" i="1" s="1"/>
  <c r="R2405" i="1"/>
  <c r="N2405" i="1"/>
  <c r="T2404" i="1"/>
  <c r="Y2404" i="1" s="1"/>
  <c r="R2404" i="1"/>
  <c r="N2404" i="1"/>
  <c r="T2403" i="1"/>
  <c r="Y2403" i="1" s="1"/>
  <c r="R2403" i="1"/>
  <c r="N2403" i="1"/>
  <c r="T2402" i="1"/>
  <c r="Y2402" i="1" s="1"/>
  <c r="R2402" i="1"/>
  <c r="N2402" i="1"/>
  <c r="T2401" i="1"/>
  <c r="Y2401" i="1" s="1"/>
  <c r="R2401" i="1"/>
  <c r="N2401" i="1"/>
  <c r="T2400" i="1"/>
  <c r="Y2400" i="1" s="1"/>
  <c r="R2400" i="1"/>
  <c r="N2400" i="1"/>
  <c r="T2399" i="1"/>
  <c r="Y2399" i="1" s="1"/>
  <c r="R2399" i="1"/>
  <c r="N2399" i="1"/>
  <c r="T2398" i="1"/>
  <c r="Y2398" i="1" s="1"/>
  <c r="R2398" i="1"/>
  <c r="N2398" i="1"/>
  <c r="T2397" i="1"/>
  <c r="Y2397" i="1" s="1"/>
  <c r="R2397" i="1"/>
  <c r="N2397" i="1"/>
  <c r="T2396" i="1"/>
  <c r="Y2396" i="1" s="1"/>
  <c r="R2396" i="1"/>
  <c r="N2396" i="1"/>
  <c r="T2395" i="1"/>
  <c r="Y2395" i="1" s="1"/>
  <c r="R2395" i="1"/>
  <c r="N2395" i="1"/>
  <c r="T2394" i="1"/>
  <c r="Y2394" i="1" s="1"/>
  <c r="R2394" i="1"/>
  <c r="N2394" i="1"/>
  <c r="T2393" i="1"/>
  <c r="Y2393" i="1" s="1"/>
  <c r="R2393" i="1"/>
  <c r="N2393" i="1"/>
  <c r="T2392" i="1"/>
  <c r="Y2392" i="1" s="1"/>
  <c r="R2392" i="1"/>
  <c r="N2392" i="1"/>
  <c r="T2391" i="1"/>
  <c r="Y2391" i="1" s="1"/>
  <c r="R2391" i="1"/>
  <c r="N2391" i="1"/>
  <c r="T2390" i="1"/>
  <c r="Y2390" i="1" s="1"/>
  <c r="R2390" i="1"/>
  <c r="N2390" i="1"/>
  <c r="T2389" i="1"/>
  <c r="Y2389" i="1" s="1"/>
  <c r="R2389" i="1"/>
  <c r="N2389" i="1"/>
  <c r="T2388" i="1"/>
  <c r="Y2388" i="1" s="1"/>
  <c r="R2388" i="1"/>
  <c r="N2388" i="1"/>
  <c r="T2387" i="1"/>
  <c r="Y2387" i="1" s="1"/>
  <c r="R2387" i="1"/>
  <c r="N2387" i="1"/>
  <c r="T2386" i="1"/>
  <c r="Y2386" i="1" s="1"/>
  <c r="R2386" i="1"/>
  <c r="N2386" i="1"/>
  <c r="T2385" i="1"/>
  <c r="Y2385" i="1" s="1"/>
  <c r="R2385" i="1"/>
  <c r="N2385" i="1"/>
  <c r="T2384" i="1"/>
  <c r="Y2384" i="1" s="1"/>
  <c r="R2384" i="1"/>
  <c r="N2384" i="1"/>
  <c r="T2383" i="1"/>
  <c r="Y2383" i="1" s="1"/>
  <c r="R2383" i="1"/>
  <c r="N2383" i="1"/>
  <c r="T2382" i="1"/>
  <c r="Y2382" i="1" s="1"/>
  <c r="R2382" i="1"/>
  <c r="N2382" i="1"/>
  <c r="X2381" i="1"/>
  <c r="T2381" i="1"/>
  <c r="R2381" i="1"/>
  <c r="N2381" i="1"/>
  <c r="T2380" i="1"/>
  <c r="Y2380" i="1" s="1"/>
  <c r="R2380" i="1"/>
  <c r="N2380" i="1"/>
  <c r="T2379" i="1"/>
  <c r="R2379" i="1"/>
  <c r="N2379" i="1"/>
  <c r="T2378" i="1"/>
  <c r="Y2378" i="1" s="1"/>
  <c r="R2378" i="1"/>
  <c r="N2378" i="1"/>
  <c r="T2377" i="1"/>
  <c r="Y2377" i="1" s="1"/>
  <c r="R2377" i="1"/>
  <c r="N2377" i="1"/>
  <c r="T2376" i="1"/>
  <c r="Y2376" i="1" s="1"/>
  <c r="R2376" i="1"/>
  <c r="N2376" i="1"/>
  <c r="T2375" i="1"/>
  <c r="Y2375" i="1" s="1"/>
  <c r="R2375" i="1"/>
  <c r="N2375" i="1"/>
  <c r="T2374" i="1"/>
  <c r="Y2374" i="1" s="1"/>
  <c r="R2374" i="1"/>
  <c r="N2374" i="1"/>
  <c r="T2373" i="1"/>
  <c r="R2373" i="1"/>
  <c r="N2373" i="1"/>
  <c r="T2372" i="1"/>
  <c r="Y2372" i="1" s="1"/>
  <c r="R2372" i="1"/>
  <c r="N2372" i="1"/>
  <c r="T2371" i="1"/>
  <c r="R2371" i="1"/>
  <c r="N2371" i="1"/>
  <c r="T2370" i="1"/>
  <c r="Y2370" i="1" s="1"/>
  <c r="R2370" i="1"/>
  <c r="N2370" i="1"/>
  <c r="T2369" i="1"/>
  <c r="Y2369" i="1" s="1"/>
  <c r="R2369" i="1"/>
  <c r="N2369" i="1"/>
  <c r="T2368" i="1"/>
  <c r="Y2368" i="1" s="1"/>
  <c r="R2368" i="1"/>
  <c r="N2368" i="1"/>
  <c r="T2367" i="1"/>
  <c r="Y2367" i="1" s="1"/>
  <c r="R2367" i="1"/>
  <c r="N2367" i="1"/>
  <c r="T2366" i="1"/>
  <c r="Y2366" i="1" s="1"/>
  <c r="R2366" i="1"/>
  <c r="N2366" i="1"/>
  <c r="T2365" i="1"/>
  <c r="R2365" i="1"/>
  <c r="N2365" i="1"/>
  <c r="T2364" i="1"/>
  <c r="Y2364" i="1" s="1"/>
  <c r="R2364" i="1"/>
  <c r="N2364" i="1"/>
  <c r="T2363" i="1"/>
  <c r="Y2363" i="1" s="1"/>
  <c r="R2363" i="1"/>
  <c r="N2363" i="1"/>
  <c r="T2362" i="1"/>
  <c r="Y2362" i="1" s="1"/>
  <c r="R2362" i="1"/>
  <c r="N2362" i="1"/>
  <c r="T2361" i="1"/>
  <c r="Y2361" i="1" s="1"/>
  <c r="R2361" i="1"/>
  <c r="N2361" i="1"/>
  <c r="T2360" i="1"/>
  <c r="Y2360" i="1" s="1"/>
  <c r="R2360" i="1"/>
  <c r="N2360" i="1"/>
  <c r="T2359" i="1"/>
  <c r="Y2359" i="1" s="1"/>
  <c r="R2359" i="1"/>
  <c r="N2359" i="1"/>
  <c r="T2358" i="1"/>
  <c r="Y2358" i="1" s="1"/>
  <c r="R2358" i="1"/>
  <c r="N2358" i="1"/>
  <c r="T2357" i="1"/>
  <c r="R2357" i="1"/>
  <c r="N2357" i="1"/>
  <c r="X2356" i="1"/>
  <c r="T2356" i="1"/>
  <c r="R2356" i="1"/>
  <c r="N2356" i="1"/>
  <c r="T2355" i="1"/>
  <c r="Y2355" i="1" s="1"/>
  <c r="R2355" i="1"/>
  <c r="N2355" i="1"/>
  <c r="T2354" i="1"/>
  <c r="Y2354" i="1" s="1"/>
  <c r="R2354" i="1"/>
  <c r="N2354" i="1"/>
  <c r="T2353" i="1"/>
  <c r="Y2353" i="1" s="1"/>
  <c r="R2353" i="1"/>
  <c r="N2353" i="1"/>
  <c r="X2352" i="1"/>
  <c r="T2352" i="1"/>
  <c r="R2352" i="1"/>
  <c r="N2352" i="1"/>
  <c r="T2351" i="1"/>
  <c r="Y2351" i="1" s="1"/>
  <c r="R2351" i="1"/>
  <c r="N2351" i="1"/>
  <c r="T2350" i="1"/>
  <c r="Y2350" i="1" s="1"/>
  <c r="R2350" i="1"/>
  <c r="N2350" i="1"/>
  <c r="T2349" i="1"/>
  <c r="Y2349" i="1" s="1"/>
  <c r="R2349" i="1"/>
  <c r="N2349" i="1"/>
  <c r="T2348" i="1"/>
  <c r="Y2348" i="1" s="1"/>
  <c r="R2348" i="1"/>
  <c r="N2348" i="1"/>
  <c r="T2347" i="1"/>
  <c r="R2347" i="1"/>
  <c r="N2347" i="1"/>
  <c r="T2346" i="1"/>
  <c r="R2346" i="1"/>
  <c r="N2346" i="1"/>
  <c r="T2345" i="1"/>
  <c r="Y2345" i="1" s="1"/>
  <c r="R2345" i="1"/>
  <c r="N2345" i="1"/>
  <c r="T2344" i="1"/>
  <c r="Y2344" i="1" s="1"/>
  <c r="R2344" i="1"/>
  <c r="N2344" i="1"/>
  <c r="T2343" i="1"/>
  <c r="Y2343" i="1" s="1"/>
  <c r="R2343" i="1"/>
  <c r="N2343" i="1"/>
  <c r="T2342" i="1"/>
  <c r="Y2342" i="1" s="1"/>
  <c r="R2342" i="1"/>
  <c r="N2342" i="1"/>
  <c r="T2341" i="1"/>
  <c r="Y2341" i="1" s="1"/>
  <c r="R2341" i="1"/>
  <c r="N2341" i="1"/>
  <c r="T2340" i="1"/>
  <c r="Y2340" i="1" s="1"/>
  <c r="R2340" i="1"/>
  <c r="N2340" i="1"/>
  <c r="T2339" i="1"/>
  <c r="R2339" i="1"/>
  <c r="N2339" i="1"/>
  <c r="T2338" i="1"/>
  <c r="R2338" i="1"/>
  <c r="N2338" i="1"/>
  <c r="T2337" i="1"/>
  <c r="Y2337" i="1" s="1"/>
  <c r="R2337" i="1"/>
  <c r="N2337" i="1"/>
  <c r="T2336" i="1"/>
  <c r="Y2336" i="1" s="1"/>
  <c r="R2336" i="1"/>
  <c r="N2336" i="1"/>
  <c r="T2335" i="1"/>
  <c r="Y2335" i="1" s="1"/>
  <c r="R2335" i="1"/>
  <c r="N2335" i="1"/>
  <c r="T2334" i="1"/>
  <c r="Y2334" i="1" s="1"/>
  <c r="R2334" i="1"/>
  <c r="N2334" i="1"/>
  <c r="T2333" i="1"/>
  <c r="Y2333" i="1" s="1"/>
  <c r="R2333" i="1"/>
  <c r="N2333" i="1"/>
  <c r="T2332" i="1"/>
  <c r="Y2332" i="1" s="1"/>
  <c r="R2332" i="1"/>
  <c r="N2332" i="1"/>
  <c r="T2331" i="1"/>
  <c r="Y2331" i="1" s="1"/>
  <c r="R2331" i="1"/>
  <c r="N2331" i="1"/>
  <c r="T2330" i="1"/>
  <c r="Y2330" i="1" s="1"/>
  <c r="R2330" i="1"/>
  <c r="N2330" i="1"/>
  <c r="T2329" i="1"/>
  <c r="Y2329" i="1" s="1"/>
  <c r="R2329" i="1"/>
  <c r="N2329" i="1"/>
  <c r="T2328" i="1"/>
  <c r="Y2328" i="1" s="1"/>
  <c r="R2328" i="1"/>
  <c r="N2328" i="1"/>
  <c r="X2327" i="1"/>
  <c r="T2327" i="1"/>
  <c r="R2327" i="1"/>
  <c r="N2327" i="1"/>
  <c r="T2326" i="1"/>
  <c r="Y2326" i="1" s="1"/>
  <c r="R2326" i="1"/>
  <c r="N2326" i="1"/>
  <c r="T2325" i="1"/>
  <c r="Y2325" i="1" s="1"/>
  <c r="R2325" i="1"/>
  <c r="N2325" i="1"/>
  <c r="T2324" i="1"/>
  <c r="Y2324" i="1" s="1"/>
  <c r="R2324" i="1"/>
  <c r="N2324" i="1"/>
  <c r="T2323" i="1"/>
  <c r="Y2323" i="1" s="1"/>
  <c r="R2323" i="1"/>
  <c r="N2323" i="1"/>
  <c r="T2322" i="1"/>
  <c r="Y2322" i="1" s="1"/>
  <c r="R2322" i="1"/>
  <c r="N2322" i="1"/>
  <c r="Y2321" i="1"/>
  <c r="N2321" i="1"/>
  <c r="T2320" i="1"/>
  <c r="Y2320" i="1" s="1"/>
  <c r="R2320" i="1"/>
  <c r="N2320" i="1"/>
  <c r="T2319" i="1"/>
  <c r="Y2319" i="1" s="1"/>
  <c r="R2319" i="1"/>
  <c r="N2319" i="1"/>
  <c r="T2318" i="1"/>
  <c r="Y2318" i="1" s="1"/>
  <c r="R2318" i="1"/>
  <c r="N2318" i="1"/>
  <c r="T2317" i="1"/>
  <c r="Y2317" i="1" s="1"/>
  <c r="R2317" i="1"/>
  <c r="N2317" i="1"/>
  <c r="T2316" i="1"/>
  <c r="Y2316" i="1" s="1"/>
  <c r="R2316" i="1"/>
  <c r="N2316" i="1"/>
  <c r="T2315" i="1"/>
  <c r="Y2315" i="1" s="1"/>
  <c r="R2315" i="1"/>
  <c r="N2315" i="1"/>
  <c r="T2314" i="1"/>
  <c r="Y2314" i="1" s="1"/>
  <c r="R2314" i="1"/>
  <c r="N2314" i="1"/>
  <c r="T2313" i="1"/>
  <c r="Y2313" i="1" s="1"/>
  <c r="R2313" i="1"/>
  <c r="N2313" i="1"/>
  <c r="T2312" i="1"/>
  <c r="Y2312" i="1" s="1"/>
  <c r="R2312" i="1"/>
  <c r="N2312" i="1"/>
  <c r="T2311" i="1"/>
  <c r="Y2311" i="1" s="1"/>
  <c r="R2311" i="1"/>
  <c r="N2311" i="1"/>
  <c r="T2310" i="1"/>
  <c r="Y2310" i="1" s="1"/>
  <c r="R2310" i="1"/>
  <c r="N2310" i="1"/>
  <c r="T2309" i="1"/>
  <c r="Y2309" i="1" s="1"/>
  <c r="R2309" i="1"/>
  <c r="N2309" i="1"/>
  <c r="T2308" i="1"/>
  <c r="Y2308" i="1" s="1"/>
  <c r="R2308" i="1"/>
  <c r="N2308" i="1"/>
  <c r="T2307" i="1"/>
  <c r="Y2307" i="1" s="1"/>
  <c r="R2307" i="1"/>
  <c r="N2307" i="1"/>
  <c r="X2306" i="1"/>
  <c r="T2306" i="1"/>
  <c r="R2306" i="1"/>
  <c r="N2306" i="1"/>
  <c r="T2305" i="1"/>
  <c r="Y2305" i="1" s="1"/>
  <c r="R2305" i="1"/>
  <c r="N2305" i="1"/>
  <c r="T2304" i="1"/>
  <c r="Y2304" i="1" s="1"/>
  <c r="R2304" i="1"/>
  <c r="N2304" i="1"/>
  <c r="T2303" i="1"/>
  <c r="Y2303" i="1" s="1"/>
  <c r="R2303" i="1"/>
  <c r="N2303" i="1"/>
  <c r="T2302" i="1"/>
  <c r="Y2302" i="1" s="1"/>
  <c r="R2302" i="1"/>
  <c r="N2302" i="1"/>
  <c r="T2301" i="1"/>
  <c r="Y2301" i="1" s="1"/>
  <c r="R2301" i="1"/>
  <c r="N2301" i="1"/>
  <c r="T2300" i="1"/>
  <c r="Y2300" i="1" s="1"/>
  <c r="R2300" i="1"/>
  <c r="N2300" i="1"/>
  <c r="T2299" i="1"/>
  <c r="Y2299" i="1" s="1"/>
  <c r="R2299" i="1"/>
  <c r="N2299" i="1"/>
  <c r="T2298" i="1"/>
  <c r="Y2298" i="1" s="1"/>
  <c r="R2298" i="1"/>
  <c r="N2298" i="1"/>
  <c r="T2297" i="1"/>
  <c r="Y2297" i="1" s="1"/>
  <c r="R2297" i="1"/>
  <c r="N2297" i="1"/>
  <c r="T2296" i="1"/>
  <c r="Y2296" i="1" s="1"/>
  <c r="R2296" i="1"/>
  <c r="N2296" i="1"/>
  <c r="T2295" i="1"/>
  <c r="Y2295" i="1" s="1"/>
  <c r="R2295" i="1"/>
  <c r="N2295" i="1"/>
  <c r="T2294" i="1"/>
  <c r="R2294" i="1"/>
  <c r="N2294" i="1"/>
  <c r="T2293" i="1"/>
  <c r="Y2293" i="1" s="1"/>
  <c r="R2293" i="1"/>
  <c r="N2293" i="1"/>
  <c r="T2292" i="1"/>
  <c r="Y2292" i="1" s="1"/>
  <c r="R2292" i="1"/>
  <c r="N2292" i="1"/>
  <c r="X2291" i="1"/>
  <c r="T2291" i="1"/>
  <c r="R2291" i="1"/>
  <c r="N2291" i="1"/>
  <c r="T2290" i="1"/>
  <c r="Y2290" i="1" s="1"/>
  <c r="R2290" i="1"/>
  <c r="N2290" i="1"/>
  <c r="T2289" i="1"/>
  <c r="Y2289" i="1" s="1"/>
  <c r="R2289" i="1"/>
  <c r="N2289" i="1"/>
  <c r="T2288" i="1"/>
  <c r="Y2288" i="1" s="1"/>
  <c r="R2288" i="1"/>
  <c r="N2288" i="1"/>
  <c r="X2287" i="1"/>
  <c r="T2287" i="1"/>
  <c r="R2287" i="1"/>
  <c r="N2287" i="1"/>
  <c r="T2286" i="1"/>
  <c r="Y2286" i="1" s="1"/>
  <c r="R2286" i="1"/>
  <c r="N2286" i="1"/>
  <c r="T2285" i="1"/>
  <c r="Y2285" i="1" s="1"/>
  <c r="R2285" i="1"/>
  <c r="N2285" i="1"/>
  <c r="T2284" i="1"/>
  <c r="R2284" i="1"/>
  <c r="N2284" i="1"/>
  <c r="T2283" i="1"/>
  <c r="Y2283" i="1" s="1"/>
  <c r="R2283" i="1"/>
  <c r="N2283" i="1"/>
  <c r="T2282" i="1"/>
  <c r="Y2282" i="1" s="1"/>
  <c r="R2282" i="1"/>
  <c r="N2282" i="1"/>
  <c r="T2281" i="1"/>
  <c r="Y2281" i="1" s="1"/>
  <c r="R2281" i="1"/>
  <c r="N2281" i="1"/>
  <c r="T2280" i="1"/>
  <c r="Y2280" i="1" s="1"/>
  <c r="R2280" i="1"/>
  <c r="N2280" i="1"/>
  <c r="T2279" i="1"/>
  <c r="Y2279" i="1" s="1"/>
  <c r="R2279" i="1"/>
  <c r="N2279" i="1"/>
  <c r="T2278" i="1"/>
  <c r="Y2278" i="1" s="1"/>
  <c r="R2278" i="1"/>
  <c r="N2278" i="1"/>
  <c r="T2277" i="1"/>
  <c r="Y2277" i="1" s="1"/>
  <c r="R2277" i="1"/>
  <c r="N2277" i="1"/>
  <c r="X2276" i="1"/>
  <c r="T2276" i="1"/>
  <c r="R2276" i="1"/>
  <c r="N2276" i="1"/>
  <c r="T2275" i="1"/>
  <c r="Y2275" i="1" s="1"/>
  <c r="R2275" i="1"/>
  <c r="N2275" i="1"/>
  <c r="T2274" i="1"/>
  <c r="Y2274" i="1" s="1"/>
  <c r="R2274" i="1"/>
  <c r="N2274" i="1"/>
  <c r="X2273" i="1"/>
  <c r="T2273" i="1"/>
  <c r="R2273" i="1"/>
  <c r="N2273" i="1"/>
  <c r="X2272" i="1"/>
  <c r="T2272" i="1"/>
  <c r="R2272" i="1"/>
  <c r="N2272" i="1"/>
  <c r="X2271" i="1"/>
  <c r="T2271" i="1"/>
  <c r="R2271" i="1"/>
  <c r="N2271" i="1"/>
  <c r="T2270" i="1"/>
  <c r="Y2270" i="1" s="1"/>
  <c r="R2270" i="1"/>
  <c r="N2270" i="1"/>
  <c r="T2269" i="1"/>
  <c r="Y2269" i="1" s="1"/>
  <c r="R2269" i="1"/>
  <c r="N2269" i="1"/>
  <c r="T2268" i="1"/>
  <c r="Y2268" i="1" s="1"/>
  <c r="R2268" i="1"/>
  <c r="N2268" i="1"/>
  <c r="T2267" i="1"/>
  <c r="Y2267" i="1" s="1"/>
  <c r="R2267" i="1"/>
  <c r="N2267" i="1"/>
  <c r="T2266" i="1"/>
  <c r="Y2266" i="1" s="1"/>
  <c r="R2266" i="1"/>
  <c r="N2266" i="1"/>
  <c r="T2265" i="1"/>
  <c r="Y2265" i="1" s="1"/>
  <c r="R2265" i="1"/>
  <c r="N2265" i="1"/>
  <c r="T2264" i="1"/>
  <c r="R2264" i="1"/>
  <c r="N2264" i="1"/>
  <c r="T2263" i="1"/>
  <c r="Y2263" i="1" s="1"/>
  <c r="R2263" i="1"/>
  <c r="N2263" i="1"/>
  <c r="T2262" i="1"/>
  <c r="Y2262" i="1" s="1"/>
  <c r="R2262" i="1"/>
  <c r="N2262" i="1"/>
  <c r="T2261" i="1"/>
  <c r="Y2261" i="1" s="1"/>
  <c r="R2261" i="1"/>
  <c r="N2261" i="1"/>
  <c r="X2260" i="1"/>
  <c r="T2260" i="1"/>
  <c r="R2260" i="1"/>
  <c r="N2260" i="1"/>
  <c r="T2259" i="1"/>
  <c r="Y2259" i="1" s="1"/>
  <c r="R2259" i="1"/>
  <c r="N2259" i="1"/>
  <c r="T2258" i="1"/>
  <c r="Y2258" i="1" s="1"/>
  <c r="R2258" i="1"/>
  <c r="N2258" i="1"/>
  <c r="T2257" i="1"/>
  <c r="Y2257" i="1" s="1"/>
  <c r="R2257" i="1"/>
  <c r="N2257" i="1"/>
  <c r="T2256" i="1"/>
  <c r="Y2256" i="1" s="1"/>
  <c r="R2256" i="1"/>
  <c r="N2256" i="1"/>
  <c r="T2255" i="1"/>
  <c r="R2255" i="1"/>
  <c r="N2255" i="1"/>
  <c r="T2254" i="1"/>
  <c r="Y2254" i="1" s="1"/>
  <c r="R2254" i="1"/>
  <c r="N2254" i="1"/>
  <c r="T2253" i="1"/>
  <c r="R2253" i="1"/>
  <c r="N2253" i="1"/>
  <c r="T2252" i="1"/>
  <c r="Y2252" i="1" s="1"/>
  <c r="R2252" i="1"/>
  <c r="N2252" i="1"/>
  <c r="T2251" i="1"/>
  <c r="Y2251" i="1" s="1"/>
  <c r="R2251" i="1"/>
  <c r="N2251" i="1"/>
  <c r="T2250" i="1"/>
  <c r="Y2250" i="1" s="1"/>
  <c r="R2250" i="1"/>
  <c r="N2250" i="1"/>
  <c r="T2249" i="1"/>
  <c r="Y2249" i="1" s="1"/>
  <c r="R2249" i="1"/>
  <c r="N2249" i="1"/>
  <c r="T2248" i="1"/>
  <c r="Y2248" i="1" s="1"/>
  <c r="R2248" i="1"/>
  <c r="N2248" i="1"/>
  <c r="T2247" i="1"/>
  <c r="R2247" i="1"/>
  <c r="N2247" i="1"/>
  <c r="T2246" i="1"/>
  <c r="Y2246" i="1" s="1"/>
  <c r="R2246" i="1"/>
  <c r="N2246" i="1"/>
  <c r="T2245" i="1"/>
  <c r="Y2245" i="1" s="1"/>
  <c r="R2245" i="1"/>
  <c r="N2245" i="1"/>
  <c r="T2244" i="1"/>
  <c r="Y2244" i="1" s="1"/>
  <c r="R2244" i="1"/>
  <c r="N2244" i="1"/>
  <c r="T2243" i="1"/>
  <c r="Y2243" i="1" s="1"/>
  <c r="R2243" i="1"/>
  <c r="N2243" i="1"/>
  <c r="T2242" i="1"/>
  <c r="Y2242" i="1" s="1"/>
  <c r="R2242" i="1"/>
  <c r="N2242" i="1"/>
  <c r="T2241" i="1"/>
  <c r="Y2241" i="1" s="1"/>
  <c r="R2241" i="1"/>
  <c r="N2241" i="1"/>
  <c r="T2240" i="1"/>
  <c r="Y2240" i="1" s="1"/>
  <c r="R2240" i="1"/>
  <c r="N2240" i="1"/>
  <c r="T2239" i="1"/>
  <c r="R2239" i="1"/>
  <c r="N2239" i="1"/>
  <c r="T2238" i="1"/>
  <c r="Y2238" i="1" s="1"/>
  <c r="R2238" i="1"/>
  <c r="N2238" i="1"/>
  <c r="T2237" i="1"/>
  <c r="Y2237" i="1" s="1"/>
  <c r="R2237" i="1"/>
  <c r="N2237" i="1"/>
  <c r="T2236" i="1"/>
  <c r="Y2236" i="1" s="1"/>
  <c r="R2236" i="1"/>
  <c r="N2236" i="1"/>
  <c r="T2235" i="1"/>
  <c r="Y2235" i="1" s="1"/>
  <c r="R2235" i="1"/>
  <c r="N2235" i="1"/>
  <c r="T2234" i="1"/>
  <c r="Y2234" i="1" s="1"/>
  <c r="R2234" i="1"/>
  <c r="N2234" i="1"/>
  <c r="T2233" i="1"/>
  <c r="Y2233" i="1" s="1"/>
  <c r="R2233" i="1"/>
  <c r="N2233" i="1"/>
  <c r="T2232" i="1"/>
  <c r="Y2232" i="1" s="1"/>
  <c r="R2232" i="1"/>
  <c r="N2232" i="1"/>
  <c r="T2231" i="1"/>
  <c r="R2231" i="1"/>
  <c r="N2231" i="1"/>
  <c r="T2230" i="1"/>
  <c r="Y2230" i="1" s="1"/>
  <c r="R2230" i="1"/>
  <c r="N2230" i="1"/>
  <c r="T2229" i="1"/>
  <c r="Y2229" i="1" s="1"/>
  <c r="R2229" i="1"/>
  <c r="N2229" i="1"/>
  <c r="T2228" i="1"/>
  <c r="Y2228" i="1" s="1"/>
  <c r="R2228" i="1"/>
  <c r="N2228" i="1"/>
  <c r="T2227" i="1"/>
  <c r="Y2227" i="1" s="1"/>
  <c r="R2227" i="1"/>
  <c r="N2227" i="1"/>
  <c r="X2226" i="1"/>
  <c r="T2226" i="1"/>
  <c r="R2226" i="1"/>
  <c r="N2226" i="1"/>
  <c r="T2225" i="1"/>
  <c r="Y2225" i="1" s="1"/>
  <c r="R2225" i="1"/>
  <c r="N2225" i="1"/>
  <c r="T2224" i="1"/>
  <c r="Y2224" i="1" s="1"/>
  <c r="R2224" i="1"/>
  <c r="N2224" i="1"/>
  <c r="T2223" i="1"/>
  <c r="Y2223" i="1" s="1"/>
  <c r="R2223" i="1"/>
  <c r="N2223" i="1"/>
  <c r="T2222" i="1"/>
  <c r="Y2222" i="1" s="1"/>
  <c r="R2222" i="1"/>
  <c r="N2222" i="1"/>
  <c r="T2221" i="1"/>
  <c r="Y2221" i="1" s="1"/>
  <c r="R2221" i="1"/>
  <c r="N2221" i="1"/>
  <c r="T2220" i="1"/>
  <c r="Y2220" i="1" s="1"/>
  <c r="R2220" i="1"/>
  <c r="N2220" i="1"/>
  <c r="T2219" i="1"/>
  <c r="Y2219" i="1" s="1"/>
  <c r="R2219" i="1"/>
  <c r="N2219" i="1"/>
  <c r="T2218" i="1"/>
  <c r="Y2218" i="1" s="1"/>
  <c r="R2218" i="1"/>
  <c r="N2218" i="1"/>
  <c r="X2217" i="1"/>
  <c r="T2217" i="1"/>
  <c r="R2217" i="1"/>
  <c r="N2217" i="1"/>
  <c r="T2216" i="1"/>
  <c r="Y2216" i="1" s="1"/>
  <c r="R2216" i="1"/>
  <c r="N2216" i="1"/>
  <c r="T2215" i="1"/>
  <c r="Y2215" i="1" s="1"/>
  <c r="R2215" i="1"/>
  <c r="N2215" i="1"/>
  <c r="T2214" i="1"/>
  <c r="Y2214" i="1" s="1"/>
  <c r="R2214" i="1"/>
  <c r="N2214" i="1"/>
  <c r="X2213" i="1"/>
  <c r="T2213" i="1"/>
  <c r="R2213" i="1"/>
  <c r="N2213" i="1"/>
  <c r="T2212" i="1"/>
  <c r="R2212" i="1"/>
  <c r="N2212" i="1"/>
  <c r="T2211" i="1"/>
  <c r="Y2211" i="1" s="1"/>
  <c r="R2211" i="1"/>
  <c r="N2211" i="1"/>
  <c r="T2210" i="1"/>
  <c r="Y2210" i="1" s="1"/>
  <c r="R2210" i="1"/>
  <c r="N2210" i="1"/>
  <c r="T2209" i="1"/>
  <c r="Y2209" i="1" s="1"/>
  <c r="R2209" i="1"/>
  <c r="N2209" i="1"/>
  <c r="T2208" i="1"/>
  <c r="Y2208" i="1" s="1"/>
  <c r="R2208" i="1"/>
  <c r="N2208" i="1"/>
  <c r="T2207" i="1"/>
  <c r="Y2207" i="1" s="1"/>
  <c r="R2207" i="1"/>
  <c r="N2207" i="1"/>
  <c r="T2206" i="1"/>
  <c r="Y2206" i="1" s="1"/>
  <c r="R2206" i="1"/>
  <c r="N2206" i="1"/>
  <c r="T2205" i="1"/>
  <c r="Y2205" i="1" s="1"/>
  <c r="R2205" i="1"/>
  <c r="N2205" i="1"/>
  <c r="T2204" i="1"/>
  <c r="Y2204" i="1" s="1"/>
  <c r="R2204" i="1"/>
  <c r="N2204" i="1"/>
  <c r="T2203" i="1"/>
  <c r="Y2203" i="1" s="1"/>
  <c r="R2203" i="1"/>
  <c r="N2203" i="1"/>
  <c r="X2202" i="1"/>
  <c r="T2202" i="1"/>
  <c r="R2202" i="1"/>
  <c r="N2202" i="1"/>
  <c r="T2201" i="1"/>
  <c r="Y2201" i="1" s="1"/>
  <c r="R2201" i="1"/>
  <c r="N2201" i="1"/>
  <c r="T2200" i="1"/>
  <c r="Y2200" i="1" s="1"/>
  <c r="R2200" i="1"/>
  <c r="N2200" i="1"/>
  <c r="X2199" i="1"/>
  <c r="T2199" i="1"/>
  <c r="R2199" i="1"/>
  <c r="N2199" i="1"/>
  <c r="T2198" i="1"/>
  <c r="Y2198" i="1" s="1"/>
  <c r="R2198" i="1"/>
  <c r="N2198" i="1"/>
  <c r="X2197" i="1"/>
  <c r="T2197" i="1"/>
  <c r="R2197" i="1"/>
  <c r="N2197" i="1"/>
  <c r="T2196" i="1"/>
  <c r="Y2196" i="1" s="1"/>
  <c r="R2196" i="1"/>
  <c r="N2196" i="1"/>
  <c r="X2195" i="1"/>
  <c r="T2195" i="1"/>
  <c r="R2195" i="1"/>
  <c r="N2195" i="1"/>
  <c r="T2194" i="1"/>
  <c r="Y2194" i="1" s="1"/>
  <c r="R2194" i="1"/>
  <c r="N2194" i="1"/>
  <c r="T2193" i="1"/>
  <c r="Y2193" i="1" s="1"/>
  <c r="R2193" i="1"/>
  <c r="N2193" i="1"/>
  <c r="T2192" i="1"/>
  <c r="R2192" i="1"/>
  <c r="N2192" i="1"/>
  <c r="T2191" i="1"/>
  <c r="Y2191" i="1" s="1"/>
  <c r="R2191" i="1"/>
  <c r="N2191" i="1"/>
  <c r="X2190" i="1"/>
  <c r="T2190" i="1"/>
  <c r="R2190" i="1"/>
  <c r="N2190" i="1"/>
  <c r="T2189" i="1"/>
  <c r="Y2189" i="1" s="1"/>
  <c r="R2189" i="1"/>
  <c r="N2189" i="1"/>
  <c r="T2188" i="1"/>
  <c r="Y2188" i="1" s="1"/>
  <c r="R2188" i="1"/>
  <c r="N2188" i="1"/>
  <c r="T2187" i="1"/>
  <c r="Y2187" i="1" s="1"/>
  <c r="R2187" i="1"/>
  <c r="N2187" i="1"/>
  <c r="T2186" i="1"/>
  <c r="Y2186" i="1" s="1"/>
  <c r="R2186" i="1"/>
  <c r="N2186" i="1"/>
  <c r="T2185" i="1"/>
  <c r="Y2185" i="1" s="1"/>
  <c r="R2185" i="1"/>
  <c r="N2185" i="1"/>
  <c r="X2184" i="1"/>
  <c r="T2184" i="1"/>
  <c r="R2184" i="1"/>
  <c r="N2184" i="1"/>
  <c r="T2183" i="1"/>
  <c r="Y2183" i="1" s="1"/>
  <c r="R2183" i="1"/>
  <c r="N2183" i="1"/>
  <c r="T2182" i="1"/>
  <c r="Y2182" i="1" s="1"/>
  <c r="R2182" i="1"/>
  <c r="N2182" i="1"/>
  <c r="T2181" i="1"/>
  <c r="Y2181" i="1" s="1"/>
  <c r="R2181" i="1"/>
  <c r="N2181" i="1"/>
  <c r="T2180" i="1"/>
  <c r="Y2180" i="1" s="1"/>
  <c r="R2180" i="1"/>
  <c r="N2180" i="1"/>
  <c r="T2179" i="1"/>
  <c r="Y2179" i="1" s="1"/>
  <c r="R2179" i="1"/>
  <c r="N2179" i="1"/>
  <c r="T2178" i="1"/>
  <c r="Y2178" i="1" s="1"/>
  <c r="R2178" i="1"/>
  <c r="N2178" i="1"/>
  <c r="T2177" i="1"/>
  <c r="Y2177" i="1" s="1"/>
  <c r="R2177" i="1"/>
  <c r="N2177" i="1"/>
  <c r="T2176" i="1"/>
  <c r="Y2176" i="1" s="1"/>
  <c r="R2176" i="1"/>
  <c r="N2176" i="1"/>
  <c r="T2175" i="1"/>
  <c r="Y2175" i="1" s="1"/>
  <c r="R2175" i="1"/>
  <c r="N2175" i="1"/>
  <c r="T2174" i="1"/>
  <c r="Y2174" i="1" s="1"/>
  <c r="R2174" i="1"/>
  <c r="N2174" i="1"/>
  <c r="T2173" i="1"/>
  <c r="R2173" i="1"/>
  <c r="N2173" i="1"/>
  <c r="X2172" i="1"/>
  <c r="T2172" i="1"/>
  <c r="R2172" i="1"/>
  <c r="N2172" i="1"/>
  <c r="T2171" i="1"/>
  <c r="Y2171" i="1" s="1"/>
  <c r="R2171" i="1"/>
  <c r="N2171" i="1"/>
  <c r="T2170" i="1"/>
  <c r="Y2170" i="1" s="1"/>
  <c r="R2170" i="1"/>
  <c r="N2170" i="1"/>
  <c r="X2169" i="1"/>
  <c r="T2169" i="1"/>
  <c r="R2169" i="1"/>
  <c r="N2169" i="1"/>
  <c r="T2168" i="1"/>
  <c r="Y2168" i="1" s="1"/>
  <c r="R2168" i="1"/>
  <c r="N2168" i="1"/>
  <c r="T2167" i="1"/>
  <c r="Y2167" i="1" s="1"/>
  <c r="R2167" i="1"/>
  <c r="N2167" i="1"/>
  <c r="T2166" i="1"/>
  <c r="Y2166" i="1" s="1"/>
  <c r="R2166" i="1"/>
  <c r="N2166" i="1"/>
  <c r="T2165" i="1"/>
  <c r="Y2165" i="1" s="1"/>
  <c r="R2165" i="1"/>
  <c r="N2165" i="1"/>
  <c r="U3418" i="1" l="1"/>
  <c r="U3477" i="1"/>
  <c r="V3477" i="1" s="1"/>
  <c r="U3492" i="1"/>
  <c r="U3499" i="1"/>
  <c r="V3499" i="1" s="1"/>
  <c r="W3499" i="1" s="1"/>
  <c r="U3504" i="1"/>
  <c r="V3504" i="1" s="1"/>
  <c r="W3504" i="1" s="1"/>
  <c r="U2830" i="1"/>
  <c r="V2830" i="1" s="1"/>
  <c r="W2830" i="1" s="1"/>
  <c r="U2876" i="1"/>
  <c r="V2876" i="1" s="1"/>
  <c r="W2876" i="1" s="1"/>
  <c r="U2993" i="1"/>
  <c r="V2993" i="1" s="1"/>
  <c r="W2993" i="1" s="1"/>
  <c r="U3542" i="1"/>
  <c r="V3542" i="1" s="1"/>
  <c r="W3542" i="1" s="1"/>
  <c r="Y2173" i="1"/>
  <c r="U3601" i="1"/>
  <c r="V3601" i="1" s="1"/>
  <c r="W3601" i="1" s="1"/>
  <c r="U3202" i="1"/>
  <c r="V3202" i="1" s="1"/>
  <c r="U3231" i="1"/>
  <c r="V3231" i="1" s="1"/>
  <c r="W3231" i="1" s="1"/>
  <c r="Y3233" i="1"/>
  <c r="U3247" i="1"/>
  <c r="V3247" i="1" s="1"/>
  <c r="W3247" i="1" s="1"/>
  <c r="U3263" i="1"/>
  <c r="V3263" i="1" s="1"/>
  <c r="W3263" i="1" s="1"/>
  <c r="U3309" i="1"/>
  <c r="V3309" i="1" s="1"/>
  <c r="W3309" i="1" s="1"/>
  <c r="U3367" i="1"/>
  <c r="V3367" i="1" s="1"/>
  <c r="U3036" i="1"/>
  <c r="V3036" i="1" s="1"/>
  <c r="U2908" i="1"/>
  <c r="V2908" i="1" s="1"/>
  <c r="W2908" i="1" s="1"/>
  <c r="U2939" i="1"/>
  <c r="V2939" i="1" s="1"/>
  <c r="W2939" i="1" s="1"/>
  <c r="U3031" i="1"/>
  <c r="V3031" i="1" s="1"/>
  <c r="W3031" i="1" s="1"/>
  <c r="U3373" i="1"/>
  <c r="V3373" i="1" s="1"/>
  <c r="W3373" i="1" s="1"/>
  <c r="U3375" i="1"/>
  <c r="V3375" i="1" s="1"/>
  <c r="W3375" i="1" s="1"/>
  <c r="U2215" i="1"/>
  <c r="V2215" i="1" s="1"/>
  <c r="W2215" i="1" s="1"/>
  <c r="U2220" i="1"/>
  <c r="V2220" i="1" s="1"/>
  <c r="W2220" i="1" s="1"/>
  <c r="U2345" i="1"/>
  <c r="V2345" i="1" s="1"/>
  <c r="W2345" i="1" s="1"/>
  <c r="U2821" i="1"/>
  <c r="V2821" i="1" s="1"/>
  <c r="W2821" i="1" s="1"/>
  <c r="U2776" i="1"/>
  <c r="V2776" i="1" s="1"/>
  <c r="W2776" i="1" s="1"/>
  <c r="U3049" i="1"/>
  <c r="V3049" i="1" s="1"/>
  <c r="W3049" i="1" s="1"/>
  <c r="U3200" i="1"/>
  <c r="V3200" i="1" s="1"/>
  <c r="W3200" i="1" s="1"/>
  <c r="U3288" i="1"/>
  <c r="V3288" i="1" s="1"/>
  <c r="W3288" i="1" s="1"/>
  <c r="U3305" i="1"/>
  <c r="V3305" i="1" s="1"/>
  <c r="W3305" i="1" s="1"/>
  <c r="U3310" i="1"/>
  <c r="V3310" i="1" s="1"/>
  <c r="U3312" i="1"/>
  <c r="V3312" i="1" s="1"/>
  <c r="W3312" i="1" s="1"/>
  <c r="U3320" i="1"/>
  <c r="V3320" i="1" s="1"/>
  <c r="W3320" i="1" s="1"/>
  <c r="U3639" i="1"/>
  <c r="V3639" i="1" s="1"/>
  <c r="W3639" i="1" s="1"/>
  <c r="U2980" i="1"/>
  <c r="V2980" i="1" s="1"/>
  <c r="U2988" i="1"/>
  <c r="V2988" i="1" s="1"/>
  <c r="U2287" i="1"/>
  <c r="V2287" i="1" s="1"/>
  <c r="W2287" i="1" s="1"/>
  <c r="U2305" i="1"/>
  <c r="V2305" i="1" s="1"/>
  <c r="W2305" i="1" s="1"/>
  <c r="U2310" i="1"/>
  <c r="V2310" i="1" s="1"/>
  <c r="W2310" i="1" s="1"/>
  <c r="U2444" i="1"/>
  <c r="V2444" i="1" s="1"/>
  <c r="W2444" i="1" s="1"/>
  <c r="U2452" i="1"/>
  <c r="V2452" i="1" s="1"/>
  <c r="W2452" i="1" s="1"/>
  <c r="U2460" i="1"/>
  <c r="V2460" i="1" s="1"/>
  <c r="W2460" i="1" s="1"/>
  <c r="U2468" i="1"/>
  <c r="V2468" i="1" s="1"/>
  <c r="W2468" i="1" s="1"/>
  <c r="U2476" i="1"/>
  <c r="V2476" i="1" s="1"/>
  <c r="W2476" i="1" s="1"/>
  <c r="U2489" i="1"/>
  <c r="V2489" i="1" s="1"/>
  <c r="W2489" i="1" s="1"/>
  <c r="U2499" i="1"/>
  <c r="V2499" i="1" s="1"/>
  <c r="W2499" i="1" s="1"/>
  <c r="U2516" i="1"/>
  <c r="V2516" i="1" s="1"/>
  <c r="W2516" i="1" s="1"/>
  <c r="U2528" i="1"/>
  <c r="V2528" i="1" s="1"/>
  <c r="W2528" i="1" s="1"/>
  <c r="Y2580" i="1"/>
  <c r="U2588" i="1"/>
  <c r="V2588" i="1" s="1"/>
  <c r="W2588" i="1" s="1"/>
  <c r="U2674" i="1"/>
  <c r="V2674" i="1" s="1"/>
  <c r="W2674" i="1" s="1"/>
  <c r="U2679" i="1"/>
  <c r="V2679" i="1" s="1"/>
  <c r="W2679" i="1" s="1"/>
  <c r="U2688" i="1"/>
  <c r="V2688" i="1" s="1"/>
  <c r="W2688" i="1" s="1"/>
  <c r="U3096" i="1"/>
  <c r="V3096" i="1" s="1"/>
  <c r="W3096" i="1" s="1"/>
  <c r="U2238" i="1"/>
  <c r="V2238" i="1" s="1"/>
  <c r="W2238" i="1" s="1"/>
  <c r="U2246" i="1"/>
  <c r="V2246" i="1" s="1"/>
  <c r="W2246" i="1" s="1"/>
  <c r="U2254" i="1"/>
  <c r="V2254" i="1" s="1"/>
  <c r="W2254" i="1" s="1"/>
  <c r="U2267" i="1"/>
  <c r="V2267" i="1" s="1"/>
  <c r="W2267" i="1" s="1"/>
  <c r="U2272" i="1"/>
  <c r="V2272" i="1" s="1"/>
  <c r="W2272" i="1" s="1"/>
  <c r="U2279" i="1"/>
  <c r="V2279" i="1" s="1"/>
  <c r="W2279" i="1" s="1"/>
  <c r="U2693" i="1"/>
  <c r="V2693" i="1" s="1"/>
  <c r="U2838" i="1"/>
  <c r="V2838" i="1" s="1"/>
  <c r="W2838" i="1" s="1"/>
  <c r="U3355" i="1"/>
  <c r="V3355" i="1" s="1"/>
  <c r="U3493" i="1"/>
  <c r="V3493" i="1" s="1"/>
  <c r="U3604" i="1"/>
  <c r="V3604" i="1" s="1"/>
  <c r="W3604" i="1" s="1"/>
  <c r="U3684" i="1"/>
  <c r="V3684" i="1" s="1"/>
  <c r="W3684" i="1" s="1"/>
  <c r="U2445" i="1"/>
  <c r="V2445" i="1" s="1"/>
  <c r="W2445" i="1" s="1"/>
  <c r="U2495" i="1"/>
  <c r="V2495" i="1" s="1"/>
  <c r="U2274" i="1"/>
  <c r="V2274" i="1" s="1"/>
  <c r="W2274" i="1" s="1"/>
  <c r="U2954" i="1"/>
  <c r="V2954" i="1" s="1"/>
  <c r="W2954" i="1" s="1"/>
  <c r="U3205" i="1"/>
  <c r="V3205" i="1" s="1"/>
  <c r="W3205" i="1" s="1"/>
  <c r="U3543" i="1"/>
  <c r="V3543" i="1" s="1"/>
  <c r="W3543" i="1" s="1"/>
  <c r="U2784" i="1"/>
  <c r="V2784" i="1" s="1"/>
  <c r="W2784" i="1" s="1"/>
  <c r="U2318" i="1"/>
  <c r="V2318" i="1" s="1"/>
  <c r="W2318" i="1" s="1"/>
  <c r="U3001" i="1"/>
  <c r="V3001" i="1" s="1"/>
  <c r="W3001" i="1" s="1"/>
  <c r="U3338" i="1"/>
  <c r="V3338" i="1" s="1"/>
  <c r="W3338" i="1" s="1"/>
  <c r="U2167" i="1"/>
  <c r="V2167" i="1" s="1"/>
  <c r="U2554" i="1"/>
  <c r="V2554" i="1" s="1"/>
  <c r="W2554" i="1" s="1"/>
  <c r="U2170" i="1"/>
  <c r="V2170" i="1" s="1"/>
  <c r="W2170" i="1" s="1"/>
  <c r="U2183" i="1"/>
  <c r="V2183" i="1" s="1"/>
  <c r="W2183" i="1" s="1"/>
  <c r="U2200" i="1"/>
  <c r="V2200" i="1" s="1"/>
  <c r="W2200" i="1" s="1"/>
  <c r="U2205" i="1"/>
  <c r="V2205" i="1" s="1"/>
  <c r="W2205" i="1" s="1"/>
  <c r="U2213" i="1"/>
  <c r="V2213" i="1" s="1"/>
  <c r="W2213" i="1" s="1"/>
  <c r="U2277" i="1"/>
  <c r="V2277" i="1" s="1"/>
  <c r="W2277" i="1" s="1"/>
  <c r="U2316" i="1"/>
  <c r="V2316" i="1" s="1"/>
  <c r="W2316" i="1" s="1"/>
  <c r="U2327" i="1"/>
  <c r="V2327" i="1" s="1"/>
  <c r="U2332" i="1"/>
  <c r="V2332" i="1" s="1"/>
  <c r="U2358" i="1"/>
  <c r="V2358" i="1" s="1"/>
  <c r="W2358" i="1" s="1"/>
  <c r="U2366" i="1"/>
  <c r="V2366" i="1" s="1"/>
  <c r="W2366" i="1" s="1"/>
  <c r="U2374" i="1"/>
  <c r="V2374" i="1" s="1"/>
  <c r="W2374" i="1" s="1"/>
  <c r="U2387" i="1"/>
  <c r="V2387" i="1" s="1"/>
  <c r="W2387" i="1" s="1"/>
  <c r="U2419" i="1"/>
  <c r="V2419" i="1" s="1"/>
  <c r="W2419" i="1" s="1"/>
  <c r="U2424" i="1"/>
  <c r="V2424" i="1" s="1"/>
  <c r="W2424" i="1" s="1"/>
  <c r="U2434" i="1"/>
  <c r="V2434" i="1" s="1"/>
  <c r="U2442" i="1"/>
  <c r="V2442" i="1" s="1"/>
  <c r="W2442" i="1" s="1"/>
  <c r="U2450" i="1"/>
  <c r="V2450" i="1" s="1"/>
  <c r="U2466" i="1"/>
  <c r="V2466" i="1" s="1"/>
  <c r="W2466" i="1" s="1"/>
  <c r="U2474" i="1"/>
  <c r="V2474" i="1" s="1"/>
  <c r="U2482" i="1"/>
  <c r="V2482" i="1" s="1"/>
  <c r="W2482" i="1" s="1"/>
  <c r="U2573" i="1"/>
  <c r="V2573" i="1" s="1"/>
  <c r="W2573" i="1" s="1"/>
  <c r="U2773" i="1"/>
  <c r="V2773" i="1" s="1"/>
  <c r="W2773" i="1" s="1"/>
  <c r="U2803" i="1"/>
  <c r="V2803" i="1" s="1"/>
  <c r="W2803" i="1" s="1"/>
  <c r="U2805" i="1"/>
  <c r="V2805" i="1" s="1"/>
  <c r="W2805" i="1" s="1"/>
  <c r="U2836" i="1"/>
  <c r="V2836" i="1" s="1"/>
  <c r="W2836" i="1" s="1"/>
  <c r="U2849" i="1"/>
  <c r="V2849" i="1" s="1"/>
  <c r="W2849" i="1" s="1"/>
  <c r="U2862" i="1"/>
  <c r="V2862" i="1" s="1"/>
  <c r="W2862" i="1" s="1"/>
  <c r="U2872" i="1"/>
  <c r="V2872" i="1" s="1"/>
  <c r="W2872" i="1" s="1"/>
  <c r="Y2874" i="1"/>
  <c r="U2882" i="1"/>
  <c r="V2882" i="1" s="1"/>
  <c r="W2882" i="1" s="1"/>
  <c r="U2960" i="1"/>
  <c r="V2960" i="1" s="1"/>
  <c r="U3107" i="1"/>
  <c r="V3107" i="1" s="1"/>
  <c r="W3107" i="1" s="1"/>
  <c r="Y3111" i="1"/>
  <c r="U3142" i="1"/>
  <c r="V3142" i="1" s="1"/>
  <c r="W3142" i="1" s="1"/>
  <c r="U3150" i="1"/>
  <c r="V3150" i="1" s="1"/>
  <c r="W3150" i="1" s="1"/>
  <c r="U3180" i="1"/>
  <c r="V3180" i="1" s="1"/>
  <c r="W3180" i="1" s="1"/>
  <c r="U3558" i="1"/>
  <c r="V3558" i="1" s="1"/>
  <c r="U3663" i="1"/>
  <c r="V3663" i="1" s="1"/>
  <c r="W3663" i="1" s="1"/>
  <c r="U3678" i="1"/>
  <c r="V3678" i="1" s="1"/>
  <c r="W3678" i="1" s="1"/>
  <c r="U3712" i="1"/>
  <c r="V3712" i="1" s="1"/>
  <c r="W3712" i="1" s="1"/>
  <c r="U3733" i="1"/>
  <c r="V3733" i="1" s="1"/>
  <c r="W3733" i="1" s="1"/>
  <c r="U3126" i="1"/>
  <c r="V3126" i="1" s="1"/>
  <c r="W3126" i="1" s="1"/>
  <c r="U3213" i="1"/>
  <c r="V3213" i="1" s="1"/>
  <c r="W3213" i="1" s="1"/>
  <c r="U2870" i="1"/>
  <c r="V2870" i="1" s="1"/>
  <c r="W2870" i="1" s="1"/>
  <c r="U3128" i="1"/>
  <c r="V3128" i="1" s="1"/>
  <c r="U2511" i="1"/>
  <c r="V2511" i="1" s="1"/>
  <c r="W2511" i="1" s="1"/>
  <c r="U2570" i="1"/>
  <c r="V2570" i="1" s="1"/>
  <c r="W2570" i="1" s="1"/>
  <c r="U3221" i="1"/>
  <c r="V3221" i="1" s="1"/>
  <c r="W3221" i="1" s="1"/>
  <c r="U3416" i="1"/>
  <c r="V3416" i="1" s="1"/>
  <c r="W3416" i="1" s="1"/>
  <c r="U3424" i="1"/>
  <c r="V3424" i="1" s="1"/>
  <c r="W3424" i="1" s="1"/>
  <c r="U3429" i="1"/>
  <c r="V3429" i="1" s="1"/>
  <c r="W3429" i="1" s="1"/>
  <c r="U3441" i="1"/>
  <c r="V3441" i="1" s="1"/>
  <c r="W3441" i="1" s="1"/>
  <c r="U3449" i="1"/>
  <c r="V3449" i="1" s="1"/>
  <c r="W3449" i="1" s="1"/>
  <c r="U3456" i="1"/>
  <c r="V3456" i="1" s="1"/>
  <c r="W3456" i="1" s="1"/>
  <c r="U3464" i="1"/>
  <c r="V3464" i="1" s="1"/>
  <c r="W3464" i="1" s="1"/>
  <c r="U2285" i="1"/>
  <c r="V2285" i="1" s="1"/>
  <c r="W2285" i="1" s="1"/>
  <c r="U2340" i="1"/>
  <c r="V2340" i="1" s="1"/>
  <c r="W2340" i="1" s="1"/>
  <c r="Y2487" i="1"/>
  <c r="U2702" i="1"/>
  <c r="V2702" i="1" s="1"/>
  <c r="W2702" i="1" s="1"/>
  <c r="Y2707" i="1"/>
  <c r="U2717" i="1"/>
  <c r="V2717" i="1" s="1"/>
  <c r="U2722" i="1"/>
  <c r="V2722" i="1" s="1"/>
  <c r="W2722" i="1" s="1"/>
  <c r="U2761" i="1"/>
  <c r="V2761" i="1" s="1"/>
  <c r="W2761" i="1" s="1"/>
  <c r="Y2872" i="1"/>
  <c r="U2295" i="1"/>
  <c r="V2295" i="1" s="1"/>
  <c r="W2295" i="1" s="1"/>
  <c r="Y2619" i="1"/>
  <c r="U2699" i="1"/>
  <c r="V2699" i="1" s="1"/>
  <c r="U2719" i="1"/>
  <c r="V2719" i="1" s="1"/>
  <c r="U2727" i="1"/>
  <c r="V2727" i="1" s="1"/>
  <c r="W2727" i="1" s="1"/>
  <c r="U2743" i="1"/>
  <c r="V2743" i="1" s="1"/>
  <c r="W2743" i="1" s="1"/>
  <c r="U2751" i="1"/>
  <c r="V2751" i="1" s="1"/>
  <c r="U2758" i="1"/>
  <c r="V2758" i="1" s="1"/>
  <c r="W2758" i="1" s="1"/>
  <c r="Y2768" i="1"/>
  <c r="U2975" i="1"/>
  <c r="V2975" i="1" s="1"/>
  <c r="W2975" i="1" s="1"/>
  <c r="Y2327" i="1"/>
  <c r="U2537" i="1"/>
  <c r="V2537" i="1" s="1"/>
  <c r="U2542" i="1"/>
  <c r="V2542" i="1" s="1"/>
  <c r="W2542" i="1" s="1"/>
  <c r="U2571" i="1"/>
  <c r="V2571" i="1" s="1"/>
  <c r="U2592" i="1"/>
  <c r="V2592" i="1" s="1"/>
  <c r="W2592" i="1" s="1"/>
  <c r="U2615" i="1"/>
  <c r="V2615" i="1" s="1"/>
  <c r="W2615" i="1" s="1"/>
  <c r="U2665" i="1"/>
  <c r="V2665" i="1" s="1"/>
  <c r="W2665" i="1" s="1"/>
  <c r="U2680" i="1"/>
  <c r="V2680" i="1" s="1"/>
  <c r="W2680" i="1" s="1"/>
  <c r="U2697" i="1"/>
  <c r="V2697" i="1" s="1"/>
  <c r="W2697" i="1" s="1"/>
  <c r="U2705" i="1"/>
  <c r="V2705" i="1" s="1"/>
  <c r="W2705" i="1" s="1"/>
  <c r="U2187" i="1"/>
  <c r="V2187" i="1" s="1"/>
  <c r="W2187" i="1" s="1"/>
  <c r="U2197" i="1"/>
  <c r="V2197" i="1" s="1"/>
  <c r="W2197" i="1" s="1"/>
  <c r="U2222" i="1"/>
  <c r="V2222" i="1" s="1"/>
  <c r="W2222" i="1" s="1"/>
  <c r="U2235" i="1"/>
  <c r="V2235" i="1" s="1"/>
  <c r="W2235" i="1" s="1"/>
  <c r="U2326" i="1"/>
  <c r="V2326" i="1" s="1"/>
  <c r="W2326" i="1" s="1"/>
  <c r="U2457" i="1"/>
  <c r="V2457" i="1" s="1"/>
  <c r="W2457" i="1" s="1"/>
  <c r="U2481" i="1"/>
  <c r="V2481" i="1" s="1"/>
  <c r="W2481" i="1" s="1"/>
  <c r="U2496" i="1"/>
  <c r="V2496" i="1" s="1"/>
  <c r="W2496" i="1" s="1"/>
  <c r="U2518" i="1"/>
  <c r="V2518" i="1" s="1"/>
  <c r="W2518" i="1" s="1"/>
  <c r="U2523" i="1"/>
  <c r="V2523" i="1" s="1"/>
  <c r="W2523" i="1" s="1"/>
  <c r="U2556" i="1"/>
  <c r="V2556" i="1" s="1"/>
  <c r="W2556" i="1" s="1"/>
  <c r="U2645" i="1"/>
  <c r="V2645" i="1" s="1"/>
  <c r="U2658" i="1"/>
  <c r="V2658" i="1" s="1"/>
  <c r="W2658" i="1" s="1"/>
  <c r="U2666" i="1"/>
  <c r="V2666" i="1" s="1"/>
  <c r="U2681" i="1"/>
  <c r="V2681" i="1" s="1"/>
  <c r="U2698" i="1"/>
  <c r="V2698" i="1" s="1"/>
  <c r="W2698" i="1" s="1"/>
  <c r="U2809" i="1"/>
  <c r="V2809" i="1" s="1"/>
  <c r="W2809" i="1" s="1"/>
  <c r="U2825" i="1"/>
  <c r="V2825" i="1" s="1"/>
  <c r="W2825" i="1" s="1"/>
  <c r="U2835" i="1"/>
  <c r="V2835" i="1" s="1"/>
  <c r="W2835" i="1" s="1"/>
  <c r="U2881" i="1"/>
  <c r="V2881" i="1" s="1"/>
  <c r="W2881" i="1" s="1"/>
  <c r="U2889" i="1"/>
  <c r="V2889" i="1" s="1"/>
  <c r="W2889" i="1" s="1"/>
  <c r="U2897" i="1"/>
  <c r="V2897" i="1" s="1"/>
  <c r="U2905" i="1"/>
  <c r="V2905" i="1" s="1"/>
  <c r="W2905" i="1" s="1"/>
  <c r="U2943" i="1"/>
  <c r="V2943" i="1" s="1"/>
  <c r="W2943" i="1" s="1"/>
  <c r="U2948" i="1"/>
  <c r="V2948" i="1" s="1"/>
  <c r="W2948" i="1" s="1"/>
  <c r="U2995" i="1"/>
  <c r="V2995" i="1" s="1"/>
  <c r="W2995" i="1" s="1"/>
  <c r="Y3138" i="1"/>
  <c r="U3164" i="1"/>
  <c r="V3164" i="1" s="1"/>
  <c r="W3164" i="1" s="1"/>
  <c r="U3172" i="1"/>
  <c r="V3172" i="1" s="1"/>
  <c r="Y3174" i="1"/>
  <c r="U3228" i="1"/>
  <c r="V3228" i="1" s="1"/>
  <c r="W3228" i="1" s="1"/>
  <c r="U3233" i="1"/>
  <c r="V3233" i="1" s="1"/>
  <c r="W3233" i="1" s="1"/>
  <c r="U3235" i="1"/>
  <c r="V3235" i="1" s="1"/>
  <c r="W3235" i="1" s="1"/>
  <c r="U3301" i="1"/>
  <c r="V3301" i="1" s="1"/>
  <c r="W3301" i="1" s="1"/>
  <c r="U3351" i="1"/>
  <c r="V3351" i="1" s="1"/>
  <c r="W3351" i="1" s="1"/>
  <c r="U3519" i="1"/>
  <c r="V3519" i="1" s="1"/>
  <c r="W3519" i="1" s="1"/>
  <c r="U3532" i="1"/>
  <c r="V3532" i="1" s="1"/>
  <c r="W3532" i="1" s="1"/>
  <c r="Y3534" i="1"/>
  <c r="U3688" i="1"/>
  <c r="V3688" i="1" s="1"/>
  <c r="U3701" i="1"/>
  <c r="V3701" i="1" s="1"/>
  <c r="W3701" i="1" s="1"/>
  <c r="U2578" i="1"/>
  <c r="V2578" i="1" s="1"/>
  <c r="W2578" i="1" s="1"/>
  <c r="Y2621" i="1"/>
  <c r="Y3187" i="1"/>
  <c r="U3226" i="1"/>
  <c r="V3226" i="1" s="1"/>
  <c r="W3226" i="1" s="1"/>
  <c r="U3307" i="1"/>
  <c r="V3307" i="1" s="1"/>
  <c r="W3307" i="1" s="1"/>
  <c r="U3340" i="1"/>
  <c r="V3340" i="1" s="1"/>
  <c r="W3340" i="1" s="1"/>
  <c r="Y3344" i="1"/>
  <c r="U3357" i="1"/>
  <c r="V3357" i="1" s="1"/>
  <c r="W3357" i="1" s="1"/>
  <c r="U3469" i="1"/>
  <c r="V3469" i="1" s="1"/>
  <c r="W3469" i="1" s="1"/>
  <c r="Y2492" i="1"/>
  <c r="Y2260" i="1"/>
  <c r="Y3307" i="1"/>
  <c r="Y3429" i="1"/>
  <c r="U3692" i="1"/>
  <c r="V3692" i="1" s="1"/>
  <c r="W3692" i="1" s="1"/>
  <c r="U2797" i="1"/>
  <c r="V2797" i="1" s="1"/>
  <c r="Y2799" i="1"/>
  <c r="U2808" i="1"/>
  <c r="V2808" i="1" s="1"/>
  <c r="W2808" i="1" s="1"/>
  <c r="U3025" i="1"/>
  <c r="V3025" i="1" s="1"/>
  <c r="W3025" i="1" s="1"/>
  <c r="Y3027" i="1"/>
  <c r="U3037" i="1"/>
  <c r="V3037" i="1" s="1"/>
  <c r="W3037" i="1" s="1"/>
  <c r="U3050" i="1"/>
  <c r="V3050" i="1" s="1"/>
  <c r="W3050" i="1" s="1"/>
  <c r="U3145" i="1"/>
  <c r="V3145" i="1" s="1"/>
  <c r="Y3232" i="1"/>
  <c r="Y3234" i="1"/>
  <c r="U3251" i="1"/>
  <c r="V3251" i="1" s="1"/>
  <c r="W3251" i="1" s="1"/>
  <c r="U3259" i="1"/>
  <c r="V3259" i="1" s="1"/>
  <c r="W3259" i="1" s="1"/>
  <c r="U3267" i="1"/>
  <c r="V3267" i="1" s="1"/>
  <c r="W3267" i="1" s="1"/>
  <c r="Y3363" i="1"/>
  <c r="U3371" i="1"/>
  <c r="V3371" i="1" s="1"/>
  <c r="U3381" i="1"/>
  <c r="V3381" i="1" s="1"/>
  <c r="W3381" i="1" s="1"/>
  <c r="U3388" i="1"/>
  <c r="V3388" i="1" s="1"/>
  <c r="W3388" i="1" s="1"/>
  <c r="U3404" i="1"/>
  <c r="V3404" i="1" s="1"/>
  <c r="W3404" i="1" s="1"/>
  <c r="U3414" i="1"/>
  <c r="V3414" i="1" s="1"/>
  <c r="W3414" i="1" s="1"/>
  <c r="U3434" i="1"/>
  <c r="V3434" i="1" s="1"/>
  <c r="W3434" i="1" s="1"/>
  <c r="U3452" i="1"/>
  <c r="V3452" i="1" s="1"/>
  <c r="U2166" i="1"/>
  <c r="V2166" i="1" s="1"/>
  <c r="U2171" i="1"/>
  <c r="V2171" i="1" s="1"/>
  <c r="W2171" i="1" s="1"/>
  <c r="U2176" i="1"/>
  <c r="V2176" i="1" s="1"/>
  <c r="W2176" i="1" s="1"/>
  <c r="U2245" i="1"/>
  <c r="V2245" i="1" s="1"/>
  <c r="W2245" i="1" s="1"/>
  <c r="U2333" i="1"/>
  <c r="V2333" i="1" s="1"/>
  <c r="W2333" i="1" s="1"/>
  <c r="U2341" i="1"/>
  <c r="V2341" i="1" s="1"/>
  <c r="W2341" i="1" s="1"/>
  <c r="U2349" i="1"/>
  <c r="V2349" i="1" s="1"/>
  <c r="W2349" i="1" s="1"/>
  <c r="U2354" i="1"/>
  <c r="V2354" i="1" s="1"/>
  <c r="W2354" i="1" s="1"/>
  <c r="U2359" i="1"/>
  <c r="V2359" i="1" s="1"/>
  <c r="W2359" i="1" s="1"/>
  <c r="U2498" i="1"/>
  <c r="V2498" i="1" s="1"/>
  <c r="W2498" i="1" s="1"/>
  <c r="Y2510" i="1"/>
  <c r="U2515" i="1"/>
  <c r="V2515" i="1" s="1"/>
  <c r="W2515" i="1" s="1"/>
  <c r="U2545" i="1"/>
  <c r="V2545" i="1" s="1"/>
  <c r="W2545" i="1" s="1"/>
  <c r="U2566" i="1"/>
  <c r="V2566" i="1" s="1"/>
  <c r="W2566" i="1" s="1"/>
  <c r="U2574" i="1"/>
  <c r="V2574" i="1" s="1"/>
  <c r="W2574" i="1" s="1"/>
  <c r="U2603" i="1"/>
  <c r="V2603" i="1" s="1"/>
  <c r="W2603" i="1" s="1"/>
  <c r="Y2615" i="1"/>
  <c r="U2660" i="1"/>
  <c r="V2660" i="1" s="1"/>
  <c r="W2660" i="1" s="1"/>
  <c r="U2678" i="1"/>
  <c r="V2678" i="1" s="1"/>
  <c r="W2678" i="1" s="1"/>
  <c r="U2692" i="1"/>
  <c r="V2692" i="1" s="1"/>
  <c r="W2692" i="1" s="1"/>
  <c r="U2710" i="1"/>
  <c r="V2710" i="1" s="1"/>
  <c r="W2710" i="1" s="1"/>
  <c r="U2720" i="1"/>
  <c r="V2720" i="1" s="1"/>
  <c r="W2720" i="1" s="1"/>
  <c r="U2752" i="1"/>
  <c r="V2752" i="1" s="1"/>
  <c r="W2752" i="1" s="1"/>
  <c r="Y2754" i="1"/>
  <c r="U2774" i="1"/>
  <c r="V2774" i="1" s="1"/>
  <c r="U2779" i="1"/>
  <c r="V2779" i="1" s="1"/>
  <c r="W2779" i="1" s="1"/>
  <c r="Y2797" i="1"/>
  <c r="U2806" i="1"/>
  <c r="V2806" i="1" s="1"/>
  <c r="W2806" i="1" s="1"/>
  <c r="Y2917" i="1"/>
  <c r="U2935" i="1"/>
  <c r="V2935" i="1" s="1"/>
  <c r="W2935" i="1" s="1"/>
  <c r="U2989" i="1"/>
  <c r="V2989" i="1" s="1"/>
  <c r="W2989" i="1" s="1"/>
  <c r="U3018" i="1"/>
  <c r="V3018" i="1" s="1"/>
  <c r="W3018" i="1" s="1"/>
  <c r="Y3020" i="1"/>
  <c r="Y3025" i="1"/>
  <c r="Y3037" i="1"/>
  <c r="U3061" i="1"/>
  <c r="V3061" i="1" s="1"/>
  <c r="W3061" i="1" s="1"/>
  <c r="U3087" i="1"/>
  <c r="V3087" i="1" s="1"/>
  <c r="W3087" i="1" s="1"/>
  <c r="U3095" i="1"/>
  <c r="V3095" i="1" s="1"/>
  <c r="W3095" i="1" s="1"/>
  <c r="U3135" i="1"/>
  <c r="V3135" i="1" s="1"/>
  <c r="W3135" i="1" s="1"/>
  <c r="U3140" i="1"/>
  <c r="V3140" i="1" s="1"/>
  <c r="W3140" i="1" s="1"/>
  <c r="U3296" i="1"/>
  <c r="V3296" i="1" s="1"/>
  <c r="U3336" i="1"/>
  <c r="V3336" i="1" s="1"/>
  <c r="W3336" i="1" s="1"/>
  <c r="U3353" i="1"/>
  <c r="V3353" i="1" s="1"/>
  <c r="W3353" i="1" s="1"/>
  <c r="U3366" i="1"/>
  <c r="V3366" i="1" s="1"/>
  <c r="W3366" i="1" s="1"/>
  <c r="U3386" i="1"/>
  <c r="V3386" i="1" s="1"/>
  <c r="W3386" i="1" s="1"/>
  <c r="U3399" i="1"/>
  <c r="V3399" i="1" s="1"/>
  <c r="W3399" i="1" s="1"/>
  <c r="U3484" i="1"/>
  <c r="V3484" i="1" s="1"/>
  <c r="W3484" i="1" s="1"/>
  <c r="U3524" i="1"/>
  <c r="V3524" i="1" s="1"/>
  <c r="U3564" i="1"/>
  <c r="V3564" i="1" s="1"/>
  <c r="W3564" i="1" s="1"/>
  <c r="U3625" i="1"/>
  <c r="V3625" i="1" s="1"/>
  <c r="W3625" i="1" s="1"/>
  <c r="U3654" i="1"/>
  <c r="V3654" i="1" s="1"/>
  <c r="W3654" i="1" s="1"/>
  <c r="U3659" i="1"/>
  <c r="V3659" i="1" s="1"/>
  <c r="U3672" i="1"/>
  <c r="V3672" i="1" s="1"/>
  <c r="W3672" i="1" s="1"/>
  <c r="U3695" i="1"/>
  <c r="V3695" i="1" s="1"/>
  <c r="W3695" i="1" s="1"/>
  <c r="U3703" i="1"/>
  <c r="V3703" i="1" s="1"/>
  <c r="W3703" i="1" s="1"/>
  <c r="U3716" i="1"/>
  <c r="V3716" i="1" s="1"/>
  <c r="W3716" i="1" s="1"/>
  <c r="U3729" i="1"/>
  <c r="V3729" i="1" s="1"/>
  <c r="W3729" i="1" s="1"/>
  <c r="U3742" i="1"/>
  <c r="V3742" i="1" s="1"/>
  <c r="W3742" i="1" s="1"/>
  <c r="U2195" i="1"/>
  <c r="V2195" i="1" s="1"/>
  <c r="W2195" i="1" s="1"/>
  <c r="U2567" i="1"/>
  <c r="V2567" i="1" s="1"/>
  <c r="W2567" i="1" s="1"/>
  <c r="U3075" i="1"/>
  <c r="V3075" i="1" s="1"/>
  <c r="W3075" i="1" s="1"/>
  <c r="U3101" i="1"/>
  <c r="V3101" i="1" s="1"/>
  <c r="W3101" i="1" s="1"/>
  <c r="U3319" i="1"/>
  <c r="V3319" i="1" s="1"/>
  <c r="W3319" i="1" s="1"/>
  <c r="U3324" i="1"/>
  <c r="V3324" i="1" s="1"/>
  <c r="W3324" i="1" s="1"/>
  <c r="U3392" i="1"/>
  <c r="V3392" i="1" s="1"/>
  <c r="W3392" i="1" s="1"/>
  <c r="U3555" i="1"/>
  <c r="V3555" i="1" s="1"/>
  <c r="W3555" i="1" s="1"/>
  <c r="U3704" i="1"/>
  <c r="V3704" i="1" s="1"/>
  <c r="W3704" i="1" s="1"/>
  <c r="U2180" i="1"/>
  <c r="V2180" i="1" s="1"/>
  <c r="W2180" i="1" s="1"/>
  <c r="U2257" i="1"/>
  <c r="V2257" i="1" s="1"/>
  <c r="W2257" i="1" s="1"/>
  <c r="U2384" i="1"/>
  <c r="V2384" i="1" s="1"/>
  <c r="W2384" i="1" s="1"/>
  <c r="U2421" i="1"/>
  <c r="V2421" i="1" s="1"/>
  <c r="W2421" i="1" s="1"/>
  <c r="U2426" i="1"/>
  <c r="V2426" i="1" s="1"/>
  <c r="W2426" i="1" s="1"/>
  <c r="U2487" i="1"/>
  <c r="V2487" i="1" s="1"/>
  <c r="W2487" i="1" s="1"/>
  <c r="U3152" i="1"/>
  <c r="V3152" i="1" s="1"/>
  <c r="W3152" i="1" s="1"/>
  <c r="U3162" i="1"/>
  <c r="V3162" i="1" s="1"/>
  <c r="W3162" i="1" s="1"/>
  <c r="U3314" i="1"/>
  <c r="V3314" i="1" s="1"/>
  <c r="U3413" i="1"/>
  <c r="V3413" i="1" s="1"/>
  <c r="W3413" i="1" s="1"/>
  <c r="U2707" i="1"/>
  <c r="V2707" i="1" s="1"/>
  <c r="U3488" i="1"/>
  <c r="V3488" i="1" s="1"/>
  <c r="W3488" i="1" s="1"/>
  <c r="U3510" i="1"/>
  <c r="V3510" i="1" s="1"/>
  <c r="W3510" i="1" s="1"/>
  <c r="U3576" i="1"/>
  <c r="V3576" i="1" s="1"/>
  <c r="W3576" i="1" s="1"/>
  <c r="U3681" i="1"/>
  <c r="V3681" i="1" s="1"/>
  <c r="W3681" i="1" s="1"/>
  <c r="U3689" i="1"/>
  <c r="V3689" i="1" s="1"/>
  <c r="W3689" i="1" s="1"/>
  <c r="U3702" i="1"/>
  <c r="V3702" i="1" s="1"/>
  <c r="W3702" i="1" s="1"/>
  <c r="U3707" i="1"/>
  <c r="V3707" i="1" s="1"/>
  <c r="W3707" i="1" s="1"/>
  <c r="U3728" i="1"/>
  <c r="V3728" i="1" s="1"/>
  <c r="U2268" i="1"/>
  <c r="V2268" i="1" s="1"/>
  <c r="W2268" i="1" s="1"/>
  <c r="U2306" i="1"/>
  <c r="V2306" i="1" s="1"/>
  <c r="W2306" i="1" s="1"/>
  <c r="U2670" i="1"/>
  <c r="V2670" i="1" s="1"/>
  <c r="W2670" i="1" s="1"/>
  <c r="U2689" i="1"/>
  <c r="V2689" i="1" s="1"/>
  <c r="W2689" i="1" s="1"/>
  <c r="U2771" i="1"/>
  <c r="V2771" i="1" s="1"/>
  <c r="U2789" i="1"/>
  <c r="V2789" i="1" s="1"/>
  <c r="W2789" i="1" s="1"/>
  <c r="U3401" i="1"/>
  <c r="V3401" i="1" s="1"/>
  <c r="W3401" i="1" s="1"/>
  <c r="U2657" i="1"/>
  <c r="V2657" i="1" s="1"/>
  <c r="U2715" i="1"/>
  <c r="V2715" i="1" s="1"/>
  <c r="U3066" i="1"/>
  <c r="V3066" i="1" s="1"/>
  <c r="W3066" i="1" s="1"/>
  <c r="U3084" i="1"/>
  <c r="V3084" i="1" s="1"/>
  <c r="U3092" i="1"/>
  <c r="V3092" i="1" s="1"/>
  <c r="W3092" i="1" s="1"/>
  <c r="U3323" i="1"/>
  <c r="V3323" i="1" s="1"/>
  <c r="W3323" i="1" s="1"/>
  <c r="Y3500" i="1"/>
  <c r="U3538" i="1"/>
  <c r="V3538" i="1" s="1"/>
  <c r="W3538" i="1" s="1"/>
  <c r="U3546" i="1"/>
  <c r="V3546" i="1" s="1"/>
  <c r="W3546" i="1" s="1"/>
  <c r="U3551" i="1"/>
  <c r="U3635" i="1"/>
  <c r="V3635" i="1" s="1"/>
  <c r="W3635" i="1" s="1"/>
  <c r="U3643" i="1"/>
  <c r="V3643" i="1" s="1"/>
  <c r="W3643" i="1" s="1"/>
  <c r="U3656" i="1"/>
  <c r="V3656" i="1" s="1"/>
  <c r="W3656" i="1" s="1"/>
  <c r="U3674" i="1"/>
  <c r="V3674" i="1" s="1"/>
  <c r="U3679" i="1"/>
  <c r="V3679" i="1" s="1"/>
  <c r="W3679" i="1" s="1"/>
  <c r="U3687" i="1"/>
  <c r="V3687" i="1" s="1"/>
  <c r="W3687" i="1" s="1"/>
  <c r="U3713" i="1"/>
  <c r="V3713" i="1" s="1"/>
  <c r="W3713" i="1" s="1"/>
  <c r="U3718" i="1"/>
  <c r="V3718" i="1" s="1"/>
  <c r="W3718" i="1" s="1"/>
  <c r="U2184" i="1"/>
  <c r="V2184" i="1" s="1"/>
  <c r="W2184" i="1" s="1"/>
  <c r="Y3193" i="1"/>
  <c r="U3219" i="1"/>
  <c r="V3219" i="1" s="1"/>
  <c r="W3219" i="1" s="1"/>
  <c r="U2169" i="1"/>
  <c r="V2169" i="1" s="1"/>
  <c r="W2169" i="1" s="1"/>
  <c r="U2199" i="1"/>
  <c r="V2199" i="1" s="1"/>
  <c r="W2199" i="1" s="1"/>
  <c r="U2214" i="1"/>
  <c r="V2214" i="1" s="1"/>
  <c r="W2214" i="1" s="1"/>
  <c r="U2219" i="1"/>
  <c r="V2219" i="1" s="1"/>
  <c r="W2219" i="1" s="1"/>
  <c r="U2232" i="1"/>
  <c r="V2232" i="1" s="1"/>
  <c r="W2232" i="1" s="1"/>
  <c r="U2240" i="1"/>
  <c r="V2240" i="1" s="1"/>
  <c r="U2248" i="1"/>
  <c r="V2248" i="1" s="1"/>
  <c r="W2248" i="1" s="1"/>
  <c r="U2256" i="1"/>
  <c r="V2256" i="1" s="1"/>
  <c r="W2256" i="1" s="1"/>
  <c r="U2269" i="1"/>
  <c r="V2269" i="1" s="1"/>
  <c r="W2269" i="1" s="1"/>
  <c r="U2328" i="1"/>
  <c r="V2328" i="1" s="1"/>
  <c r="W2328" i="1" s="1"/>
  <c r="U2336" i="1"/>
  <c r="V2336" i="1" s="1"/>
  <c r="W2336" i="1" s="1"/>
  <c r="U2344" i="1"/>
  <c r="V2344" i="1" s="1"/>
  <c r="W2344" i="1" s="1"/>
  <c r="U2352" i="1"/>
  <c r="V2352" i="1" s="1"/>
  <c r="W2352" i="1" s="1"/>
  <c r="U2362" i="1"/>
  <c r="V2362" i="1" s="1"/>
  <c r="W2362" i="1" s="1"/>
  <c r="U2370" i="1"/>
  <c r="V2370" i="1" s="1"/>
  <c r="W2370" i="1" s="1"/>
  <c r="U2378" i="1"/>
  <c r="V2378" i="1" s="1"/>
  <c r="W2378" i="1" s="1"/>
  <c r="U2383" i="1"/>
  <c r="V2383" i="1" s="1"/>
  <c r="W2383" i="1" s="1"/>
  <c r="U2391" i="1"/>
  <c r="V2391" i="1" s="1"/>
  <c r="W2391" i="1" s="1"/>
  <c r="U2399" i="1"/>
  <c r="V2399" i="1" s="1"/>
  <c r="W2399" i="1" s="1"/>
  <c r="U2407" i="1"/>
  <c r="V2407" i="1" s="1"/>
  <c r="W2407" i="1" s="1"/>
  <c r="U2415" i="1"/>
  <c r="V2415" i="1" s="1"/>
  <c r="W2415" i="1" s="1"/>
  <c r="U2420" i="1"/>
  <c r="V2420" i="1" s="1"/>
  <c r="W2420" i="1" s="1"/>
  <c r="Y2425" i="1"/>
  <c r="U2430" i="1"/>
  <c r="V2430" i="1" s="1"/>
  <c r="W2430" i="1" s="1"/>
  <c r="U2446" i="1"/>
  <c r="V2446" i="1" s="1"/>
  <c r="U2454" i="1"/>
  <c r="V2454" i="1" s="1"/>
  <c r="W2454" i="1" s="1"/>
  <c r="U2470" i="1"/>
  <c r="V2470" i="1" s="1"/>
  <c r="W2470" i="1" s="1"/>
  <c r="U2478" i="1"/>
  <c r="V2478" i="1" s="1"/>
  <c r="U2503" i="1"/>
  <c r="V2503" i="1" s="1"/>
  <c r="W2503" i="1" s="1"/>
  <c r="U2508" i="1"/>
  <c r="V2508" i="1" s="1"/>
  <c r="W2508" i="1" s="1"/>
  <c r="U2513" i="1"/>
  <c r="V2513" i="1" s="1"/>
  <c r="W2513" i="1" s="1"/>
  <c r="Y2525" i="1"/>
  <c r="U2535" i="1"/>
  <c r="V2535" i="1" s="1"/>
  <c r="W2535" i="1" s="1"/>
  <c r="U2553" i="1"/>
  <c r="V2553" i="1" s="1"/>
  <c r="W2553" i="1" s="1"/>
  <c r="U2561" i="1"/>
  <c r="V2561" i="1" s="1"/>
  <c r="U2569" i="1"/>
  <c r="V2569" i="1" s="1"/>
  <c r="W2569" i="1" s="1"/>
  <c r="U2590" i="1"/>
  <c r="V2590" i="1" s="1"/>
  <c r="W2590" i="1" s="1"/>
  <c r="U2625" i="1"/>
  <c r="V2625" i="1" s="1"/>
  <c r="W2625" i="1" s="1"/>
  <c r="Y2647" i="1"/>
  <c r="U2676" i="1"/>
  <c r="V2676" i="1" s="1"/>
  <c r="W2676" i="1" s="1"/>
  <c r="U2695" i="1"/>
  <c r="V2695" i="1" s="1"/>
  <c r="W2695" i="1" s="1"/>
  <c r="U2731" i="1"/>
  <c r="V2731" i="1" s="1"/>
  <c r="W2731" i="1" s="1"/>
  <c r="U2739" i="1"/>
  <c r="V2739" i="1" s="1"/>
  <c r="W2739" i="1" s="1"/>
  <c r="Y2752" i="1"/>
  <c r="U2822" i="1"/>
  <c r="V2822" i="1" s="1"/>
  <c r="U2827" i="1"/>
  <c r="V2827" i="1" s="1"/>
  <c r="W2827" i="1" s="1"/>
  <c r="U2853" i="1"/>
  <c r="V2853" i="1" s="1"/>
  <c r="W2853" i="1" s="1"/>
  <c r="U2858" i="1"/>
  <c r="V2858" i="1" s="1"/>
  <c r="W2858" i="1" s="1"/>
  <c r="U2866" i="1"/>
  <c r="V2866" i="1" s="1"/>
  <c r="W2866" i="1" s="1"/>
  <c r="U2878" i="1"/>
  <c r="V2878" i="1" s="1"/>
  <c r="U2910" i="1"/>
  <c r="V2910" i="1" s="1"/>
  <c r="W2910" i="1" s="1"/>
  <c r="U2920" i="1"/>
  <c r="V2920" i="1" s="1"/>
  <c r="W2920" i="1" s="1"/>
  <c r="U2925" i="1"/>
  <c r="V2925" i="1" s="1"/>
  <c r="W2925" i="1" s="1"/>
  <c r="Y2966" i="1"/>
  <c r="Y3018" i="1"/>
  <c r="U3174" i="1"/>
  <c r="V3174" i="1" s="1"/>
  <c r="W3174" i="1" s="1"/>
  <c r="Y3176" i="1"/>
  <c r="U3181" i="1"/>
  <c r="V3181" i="1" s="1"/>
  <c r="W3181" i="1" s="1"/>
  <c r="U3217" i="1"/>
  <c r="V3217" i="1" s="1"/>
  <c r="W3217" i="1" s="1"/>
  <c r="Y3239" i="1"/>
  <c r="U3249" i="1"/>
  <c r="V3249" i="1" s="1"/>
  <c r="W3249" i="1" s="1"/>
  <c r="U3265" i="1"/>
  <c r="V3265" i="1" s="1"/>
  <c r="W3265" i="1" s="1"/>
  <c r="U3331" i="1"/>
  <c r="V3331" i="1" s="1"/>
  <c r="U3339" i="1"/>
  <c r="V3339" i="1" s="1"/>
  <c r="W3339" i="1" s="1"/>
  <c r="U3374" i="1"/>
  <c r="V3374" i="1" s="1"/>
  <c r="W3374" i="1" s="1"/>
  <c r="U3384" i="1"/>
  <c r="V3384" i="1" s="1"/>
  <c r="W3384" i="1" s="1"/>
  <c r="Y3386" i="1"/>
  <c r="U3420" i="1"/>
  <c r="V3420" i="1" s="1"/>
  <c r="W3420" i="1" s="1"/>
  <c r="U3437" i="1"/>
  <c r="V3437" i="1" s="1"/>
  <c r="W3437" i="1" s="1"/>
  <c r="U3445" i="1"/>
  <c r="V3445" i="1" s="1"/>
  <c r="W3445" i="1" s="1"/>
  <c r="U3479" i="1"/>
  <c r="V3479" i="1" s="1"/>
  <c r="W3479" i="1" s="1"/>
  <c r="U3506" i="1"/>
  <c r="V3506" i="1" s="1"/>
  <c r="W3506" i="1" s="1"/>
  <c r="U3580" i="1"/>
  <c r="V3580" i="1" s="1"/>
  <c r="W3580" i="1" s="1"/>
  <c r="Y3598" i="1"/>
  <c r="U3612" i="1"/>
  <c r="V3612" i="1" s="1"/>
  <c r="W3612" i="1" s="1"/>
  <c r="U3620" i="1"/>
  <c r="V3620" i="1" s="1"/>
  <c r="W3620" i="1" s="1"/>
  <c r="U3633" i="1"/>
  <c r="V3633" i="1" s="1"/>
  <c r="W3633" i="1" s="1"/>
  <c r="U3641" i="1"/>
  <c r="V3641" i="1" s="1"/>
  <c r="W3641" i="1" s="1"/>
  <c r="U3649" i="1"/>
  <c r="V3649" i="1" s="1"/>
  <c r="W3649" i="1" s="1"/>
  <c r="Y3654" i="1"/>
  <c r="U3662" i="1"/>
  <c r="V3662" i="1" s="1"/>
  <c r="W3662" i="1" s="1"/>
  <c r="U3539" i="1"/>
  <c r="V3539" i="1" s="1"/>
  <c r="U3567" i="1"/>
  <c r="V3567" i="1" s="1"/>
  <c r="U2924" i="1"/>
  <c r="V2924" i="1" s="1"/>
  <c r="U2294" i="1"/>
  <c r="V2294" i="1" s="1"/>
  <c r="W2294" i="1" s="1"/>
  <c r="Y2352" i="1"/>
  <c r="U2577" i="1"/>
  <c r="V2577" i="1" s="1"/>
  <c r="W2577" i="1" s="1"/>
  <c r="Y2419" i="1"/>
  <c r="U2631" i="1"/>
  <c r="V2631" i="1" s="1"/>
  <c r="W2631" i="1" s="1"/>
  <c r="U3455" i="1"/>
  <c r="V3455" i="1" s="1"/>
  <c r="W3455" i="1" s="1"/>
  <c r="U3685" i="1"/>
  <c r="V3685" i="1" s="1"/>
  <c r="U3690" i="1"/>
  <c r="V3690" i="1" s="1"/>
  <c r="W3690" i="1" s="1"/>
  <c r="Y2634" i="1"/>
  <c r="U2339" i="1"/>
  <c r="V2339" i="1" s="1"/>
  <c r="W2339" i="1" s="1"/>
  <c r="U2347" i="1"/>
  <c r="V2347" i="1" s="1"/>
  <c r="W2347" i="1" s="1"/>
  <c r="U2186" i="1"/>
  <c r="U2191" i="1"/>
  <c r="V2191" i="1" s="1"/>
  <c r="W2191" i="1" s="1"/>
  <c r="U2196" i="1"/>
  <c r="V2196" i="1" s="1"/>
  <c r="W2196" i="1" s="1"/>
  <c r="U2203" i="1"/>
  <c r="V2203" i="1" s="1"/>
  <c r="W2203" i="1" s="1"/>
  <c r="U2211" i="1"/>
  <c r="V2211" i="1" s="1"/>
  <c r="W2211" i="1" s="1"/>
  <c r="U2216" i="1"/>
  <c r="V2216" i="1" s="1"/>
  <c r="Y2226" i="1"/>
  <c r="U2250" i="1"/>
  <c r="V2250" i="1" s="1"/>
  <c r="U2258" i="1"/>
  <c r="V2258" i="1" s="1"/>
  <c r="W2258" i="1" s="1"/>
  <c r="U2263" i="1"/>
  <c r="V2263" i="1" s="1"/>
  <c r="W2263" i="1" s="1"/>
  <c r="U2271" i="1"/>
  <c r="V2271" i="1" s="1"/>
  <c r="W2271" i="1" s="1"/>
  <c r="U2273" i="1"/>
  <c r="V2273" i="1" s="1"/>
  <c r="W2273" i="1" s="1"/>
  <c r="U2288" i="1"/>
  <c r="V2288" i="1" s="1"/>
  <c r="W2288" i="1" s="1"/>
  <c r="U2301" i="1"/>
  <c r="V2301" i="1" s="1"/>
  <c r="W2301" i="1" s="1"/>
  <c r="U2364" i="1"/>
  <c r="V2364" i="1" s="1"/>
  <c r="U2372" i="1"/>
  <c r="V2372" i="1" s="1"/>
  <c r="W2372" i="1" s="1"/>
  <c r="U2385" i="1"/>
  <c r="U2393" i="1"/>
  <c r="U2409" i="1"/>
  <c r="V2409" i="1" s="1"/>
  <c r="U2417" i="1"/>
  <c r="V2417" i="1" s="1"/>
  <c r="W2417" i="1" s="1"/>
  <c r="U2422" i="1"/>
  <c r="V2422" i="1" s="1"/>
  <c r="W2422" i="1" s="1"/>
  <c r="U2432" i="1"/>
  <c r="V2432" i="1" s="1"/>
  <c r="W2432" i="1" s="1"/>
  <c r="U2440" i="1"/>
  <c r="V2440" i="1" s="1"/>
  <c r="W2440" i="1" s="1"/>
  <c r="Y2517" i="1"/>
  <c r="U2522" i="1"/>
  <c r="U2529" i="1"/>
  <c r="U2547" i="1"/>
  <c r="V2547" i="1" s="1"/>
  <c r="W2547" i="1" s="1"/>
  <c r="U2552" i="1"/>
  <c r="V2552" i="1" s="1"/>
  <c r="W2552" i="1" s="1"/>
  <c r="U2568" i="1"/>
  <c r="V2568" i="1" s="1"/>
  <c r="W2568" i="1" s="1"/>
  <c r="U2605" i="1"/>
  <c r="V2605" i="1" s="1"/>
  <c r="U2629" i="1"/>
  <c r="V2629" i="1" s="1"/>
  <c r="W2629" i="1" s="1"/>
  <c r="U2646" i="1"/>
  <c r="V2646" i="1" s="1"/>
  <c r="W2646" i="1" s="1"/>
  <c r="U2753" i="1"/>
  <c r="V2753" i="1" s="1"/>
  <c r="W2753" i="1" s="1"/>
  <c r="U2783" i="1"/>
  <c r="V2783" i="1" s="1"/>
  <c r="W2783" i="1" s="1"/>
  <c r="U2807" i="1"/>
  <c r="V2807" i="1" s="1"/>
  <c r="W2807" i="1" s="1"/>
  <c r="U2833" i="1"/>
  <c r="V2833" i="1" s="1"/>
  <c r="W2833" i="1" s="1"/>
  <c r="U2867" i="1"/>
  <c r="V2867" i="1" s="1"/>
  <c r="W2867" i="1" s="1"/>
  <c r="U2941" i="1"/>
  <c r="V2941" i="1" s="1"/>
  <c r="W2941" i="1" s="1"/>
  <c r="U3043" i="1"/>
  <c r="V3043" i="1" s="1"/>
  <c r="W3043" i="1" s="1"/>
  <c r="U3098" i="1"/>
  <c r="V3098" i="1" s="1"/>
  <c r="U3106" i="1"/>
  <c r="Y3110" i="1"/>
  <c r="U3130" i="1"/>
  <c r="V3130" i="1" s="1"/>
  <c r="W3130" i="1" s="1"/>
  <c r="U3143" i="1"/>
  <c r="V3143" i="1" s="1"/>
  <c r="W3143" i="1" s="1"/>
  <c r="U3166" i="1"/>
  <c r="V3166" i="1" s="1"/>
  <c r="W3166" i="1" s="1"/>
  <c r="U3176" i="1"/>
  <c r="V3176" i="1" s="1"/>
  <c r="W3176" i="1" s="1"/>
  <c r="U3186" i="1"/>
  <c r="V3186" i="1" s="1"/>
  <c r="W3186" i="1" s="1"/>
  <c r="U3191" i="1"/>
  <c r="V3191" i="1" s="1"/>
  <c r="W3191" i="1" s="1"/>
  <c r="U3256" i="1"/>
  <c r="V3256" i="1" s="1"/>
  <c r="W3256" i="1" s="1"/>
  <c r="U3264" i="1"/>
  <c r="U3272" i="1"/>
  <c r="V3272" i="1" s="1"/>
  <c r="U3280" i="1"/>
  <c r="V3280" i="1" s="1"/>
  <c r="U3285" i="1"/>
  <c r="V3285" i="1" s="1"/>
  <c r="W3285" i="1" s="1"/>
  <c r="U3293" i="1"/>
  <c r="V3293" i="1" s="1"/>
  <c r="W3293" i="1" s="1"/>
  <c r="Y3295" i="1"/>
  <c r="U3302" i="1"/>
  <c r="V3302" i="1" s="1"/>
  <c r="W3302" i="1" s="1"/>
  <c r="U3360" i="1"/>
  <c r="U3428" i="1"/>
  <c r="V3428" i="1" s="1"/>
  <c r="W3428" i="1" s="1"/>
  <c r="U3440" i="1"/>
  <c r="V3440" i="1" s="1"/>
  <c r="W3440" i="1" s="1"/>
  <c r="U3487" i="1"/>
  <c r="V3487" i="1" s="1"/>
  <c r="W3487" i="1" s="1"/>
  <c r="U3522" i="1"/>
  <c r="V3522" i="1" s="1"/>
  <c r="W3522" i="1" s="1"/>
  <c r="U3587" i="1"/>
  <c r="V3587" i="1" s="1"/>
  <c r="W3587" i="1" s="1"/>
  <c r="U3595" i="1"/>
  <c r="V3595" i="1" s="1"/>
  <c r="W3595" i="1" s="1"/>
  <c r="U3602" i="1"/>
  <c r="V3602" i="1" s="1"/>
  <c r="W3602" i="1" s="1"/>
  <c r="Y3604" i="1"/>
  <c r="U3609" i="1"/>
  <c r="V3609" i="1" s="1"/>
  <c r="W3609" i="1" s="1"/>
  <c r="U3627" i="1"/>
  <c r="V3627" i="1" s="1"/>
  <c r="W3627" i="1" s="1"/>
  <c r="U3653" i="1"/>
  <c r="V3653" i="1" s="1"/>
  <c r="W3653" i="1" s="1"/>
  <c r="U3680" i="1"/>
  <c r="V3680" i="1" s="1"/>
  <c r="U3693" i="1"/>
  <c r="V3693" i="1" s="1"/>
  <c r="Y3716" i="1"/>
  <c r="U2486" i="1"/>
  <c r="Y3109" i="1"/>
  <c r="U2177" i="1"/>
  <c r="V2177" i="1" s="1"/>
  <c r="W2177" i="1" s="1"/>
  <c r="U3040" i="1"/>
  <c r="V3040" i="1" s="1"/>
  <c r="W3040" i="1" s="1"/>
  <c r="U3134" i="1"/>
  <c r="V3134" i="1" s="1"/>
  <c r="W3134" i="1" s="1"/>
  <c r="U3508" i="1"/>
  <c r="V3508" i="1" s="1"/>
  <c r="V3551" i="1"/>
  <c r="W3551" i="1" s="1"/>
  <c r="U2251" i="1"/>
  <c r="V2251" i="1" s="1"/>
  <c r="W2251" i="1" s="1"/>
  <c r="U2323" i="1"/>
  <c r="V2323" i="1" s="1"/>
  <c r="U2367" i="1"/>
  <c r="V2367" i="1" s="1"/>
  <c r="W2367" i="1" s="1"/>
  <c r="U2396" i="1"/>
  <c r="V2396" i="1" s="1"/>
  <c r="U2404" i="1"/>
  <c r="V2404" i="1" s="1"/>
  <c r="W2404" i="1" s="1"/>
  <c r="U2635" i="1"/>
  <c r="V2635" i="1" s="1"/>
  <c r="U2829" i="1"/>
  <c r="V2829" i="1" s="1"/>
  <c r="W2829" i="1" s="1"/>
  <c r="U2837" i="1"/>
  <c r="V2837" i="1" s="1"/>
  <c r="W2837" i="1" s="1"/>
  <c r="U2842" i="1"/>
  <c r="V2842" i="1" s="1"/>
  <c r="W2842" i="1" s="1"/>
  <c r="U2940" i="1"/>
  <c r="V2940" i="1" s="1"/>
  <c r="W2940" i="1" s="1"/>
  <c r="Y2942" i="1"/>
  <c r="Y3001" i="1"/>
  <c r="U3503" i="1"/>
  <c r="V3503" i="1" s="1"/>
  <c r="W3503" i="1" s="1"/>
  <c r="U2165" i="1"/>
  <c r="V2165" i="1" s="1"/>
  <c r="Y2195" i="1"/>
  <c r="U2386" i="1"/>
  <c r="V2386" i="1" s="1"/>
  <c r="W2386" i="1" s="1"/>
  <c r="U2402" i="1"/>
  <c r="V2402" i="1" s="1"/>
  <c r="W2402" i="1" s="1"/>
  <c r="U2410" i="1"/>
  <c r="V2410" i="1" s="1"/>
  <c r="W2410" i="1" s="1"/>
  <c r="U2583" i="1"/>
  <c r="V2583" i="1" s="1"/>
  <c r="W2583" i="1" s="1"/>
  <c r="U2777" i="1"/>
  <c r="V2777" i="1" s="1"/>
  <c r="W2777" i="1" s="1"/>
  <c r="U2785" i="1"/>
  <c r="V2785" i="1" s="1"/>
  <c r="W2785" i="1" s="1"/>
  <c r="U2793" i="1"/>
  <c r="V2793" i="1" s="1"/>
  <c r="W2793" i="1" s="1"/>
  <c r="U2800" i="1"/>
  <c r="V2800" i="1" s="1"/>
  <c r="U2802" i="1"/>
  <c r="V2802" i="1" s="1"/>
  <c r="W2802" i="1" s="1"/>
  <c r="Y2804" i="1"/>
  <c r="U3588" i="1"/>
  <c r="U3596" i="1"/>
  <c r="U3603" i="1"/>
  <c r="V3603" i="1" s="1"/>
  <c r="W3603" i="1" s="1"/>
  <c r="U2255" i="1"/>
  <c r="V2255" i="1" s="1"/>
  <c r="W2255" i="1" s="1"/>
  <c r="U2208" i="1"/>
  <c r="V2208" i="1" s="1"/>
  <c r="W2208" i="1" s="1"/>
  <c r="Y2213" i="1"/>
  <c r="U2218" i="1"/>
  <c r="V2218" i="1" s="1"/>
  <c r="W2218" i="1" s="1"/>
  <c r="U2223" i="1"/>
  <c r="V2223" i="1" s="1"/>
  <c r="U2228" i="1"/>
  <c r="V2228" i="1" s="1"/>
  <c r="W2228" i="1" s="1"/>
  <c r="U2236" i="1"/>
  <c r="V2236" i="1" s="1"/>
  <c r="W2236" i="1" s="1"/>
  <c r="U2244" i="1"/>
  <c r="V2244" i="1" s="1"/>
  <c r="W2244" i="1" s="1"/>
  <c r="U2252" i="1"/>
  <c r="V2252" i="1" s="1"/>
  <c r="W2252" i="1" s="1"/>
  <c r="U2265" i="1"/>
  <c r="V2265" i="1" s="1"/>
  <c r="W2265" i="1" s="1"/>
  <c r="U2282" i="1"/>
  <c r="V2282" i="1" s="1"/>
  <c r="W2282" i="1" s="1"/>
  <c r="U2300" i="1"/>
  <c r="V2300" i="1" s="1"/>
  <c r="W2300" i="1" s="1"/>
  <c r="U2355" i="1"/>
  <c r="V2355" i="1" s="1"/>
  <c r="U2376" i="1"/>
  <c r="U2389" i="1"/>
  <c r="U2397" i="1"/>
  <c r="V2397" i="1" s="1"/>
  <c r="U2405" i="1"/>
  <c r="V2405" i="1" s="1"/>
  <c r="U2517" i="1"/>
  <c r="V2517" i="1" s="1"/>
  <c r="W2517" i="1" s="1"/>
  <c r="U2519" i="1"/>
  <c r="V2519" i="1" s="1"/>
  <c r="U2737" i="1"/>
  <c r="V2737" i="1" s="1"/>
  <c r="W2737" i="1" s="1"/>
  <c r="U2760" i="1"/>
  <c r="V2760" i="1" s="1"/>
  <c r="W2760" i="1" s="1"/>
  <c r="U2775" i="1"/>
  <c r="V2775" i="1" s="1"/>
  <c r="W2775" i="1" s="1"/>
  <c r="U2780" i="1"/>
  <c r="Y2800" i="1"/>
  <c r="U3131" i="1"/>
  <c r="V3131" i="1" s="1"/>
  <c r="W3131" i="1" s="1"/>
  <c r="U3149" i="1"/>
  <c r="V3149" i="1" s="1"/>
  <c r="W3149" i="1" s="1"/>
  <c r="U3533" i="1"/>
  <c r="V3533" i="1" s="1"/>
  <c r="W3533" i="1" s="1"/>
  <c r="U3535" i="1"/>
  <c r="V3535" i="1" s="1"/>
  <c r="W3535" i="1" s="1"/>
  <c r="U3540" i="1"/>
  <c r="V3540" i="1" s="1"/>
  <c r="Y2614" i="1"/>
  <c r="U2636" i="1"/>
  <c r="V2636" i="1" s="1"/>
  <c r="W2636" i="1" s="1"/>
  <c r="U2655" i="1"/>
  <c r="V2655" i="1" s="1"/>
  <c r="W2655" i="1" s="1"/>
  <c r="Y2673" i="1"/>
  <c r="U2685" i="1"/>
  <c r="V2685" i="1" s="1"/>
  <c r="W2685" i="1" s="1"/>
  <c r="U2913" i="1"/>
  <c r="V2913" i="1" s="1"/>
  <c r="W2913" i="1" s="1"/>
  <c r="U2928" i="1"/>
  <c r="V2928" i="1" s="1"/>
  <c r="W2928" i="1" s="1"/>
  <c r="U2933" i="1"/>
  <c r="V2933" i="1" s="1"/>
  <c r="U2938" i="1"/>
  <c r="V2938" i="1" s="1"/>
  <c r="W2938" i="1" s="1"/>
  <c r="U3051" i="1"/>
  <c r="V3051" i="1" s="1"/>
  <c r="W3051" i="1" s="1"/>
  <c r="U3059" i="1"/>
  <c r="V3059" i="1" s="1"/>
  <c r="W3059" i="1" s="1"/>
  <c r="U3194" i="1"/>
  <c r="V3194" i="1" s="1"/>
  <c r="Y3199" i="1"/>
  <c r="U3204" i="1"/>
  <c r="V3204" i="1" s="1"/>
  <c r="W3204" i="1" s="1"/>
  <c r="U3212" i="1"/>
  <c r="V3212" i="1" s="1"/>
  <c r="W3212" i="1" s="1"/>
  <c r="U3220" i="1"/>
  <c r="V3220" i="1" s="1"/>
  <c r="W3220" i="1" s="1"/>
  <c r="U3225" i="1"/>
  <c r="V3225" i="1" s="1"/>
  <c r="W3225" i="1" s="1"/>
  <c r="U3230" i="1"/>
  <c r="V3230" i="1" s="1"/>
  <c r="W3230" i="1" s="1"/>
  <c r="U3241" i="1"/>
  <c r="V3241" i="1" s="1"/>
  <c r="W3241" i="1" s="1"/>
  <c r="U3254" i="1"/>
  <c r="V3254" i="1" s="1"/>
  <c r="W3254" i="1" s="1"/>
  <c r="U3262" i="1"/>
  <c r="V3262" i="1" s="1"/>
  <c r="W3262" i="1" s="1"/>
  <c r="U3270" i="1"/>
  <c r="V3270" i="1" s="1"/>
  <c r="W3270" i="1" s="1"/>
  <c r="U3329" i="1"/>
  <c r="V3329" i="1" s="1"/>
  <c r="U3389" i="1"/>
  <c r="V3389" i="1" s="1"/>
  <c r="W3389" i="1" s="1"/>
  <c r="U3402" i="1"/>
  <c r="V3402" i="1" s="1"/>
  <c r="W3402" i="1" s="1"/>
  <c r="U3432" i="1"/>
  <c r="V3432" i="1" s="1"/>
  <c r="W3432" i="1" s="1"/>
  <c r="U3442" i="1"/>
  <c r="V3442" i="1" s="1"/>
  <c r="W3442" i="1" s="1"/>
  <c r="U3450" i="1"/>
  <c r="V3450" i="1" s="1"/>
  <c r="W3450" i="1" s="1"/>
  <c r="U3478" i="1"/>
  <c r="V3478" i="1" s="1"/>
  <c r="W3478" i="1" s="1"/>
  <c r="Y3490" i="1"/>
  <c r="U3509" i="1"/>
  <c r="V3509" i="1" s="1"/>
  <c r="U3514" i="1"/>
  <c r="V3514" i="1" s="1"/>
  <c r="W3514" i="1" s="1"/>
  <c r="U3529" i="1"/>
  <c r="U3536" i="1"/>
  <c r="V3536" i="1" s="1"/>
  <c r="W3536" i="1" s="1"/>
  <c r="U3541" i="1"/>
  <c r="V3541" i="1" s="1"/>
  <c r="W3541" i="1" s="1"/>
  <c r="U3566" i="1"/>
  <c r="V3566" i="1" s="1"/>
  <c r="W3566" i="1" s="1"/>
  <c r="U3573" i="1"/>
  <c r="V3573" i="1" s="1"/>
  <c r="U3581" i="1"/>
  <c r="V3581" i="1" s="1"/>
  <c r="W3581" i="1" s="1"/>
  <c r="U3586" i="1"/>
  <c r="V3586" i="1" s="1"/>
  <c r="W3586" i="1" s="1"/>
  <c r="U3613" i="1"/>
  <c r="V3613" i="1" s="1"/>
  <c r="W3613" i="1" s="1"/>
  <c r="U3660" i="1"/>
  <c r="V3660" i="1" s="1"/>
  <c r="W3660" i="1" s="1"/>
  <c r="U3700" i="1"/>
  <c r="U3715" i="1"/>
  <c r="V3715" i="1" s="1"/>
  <c r="W3715" i="1" s="1"/>
  <c r="U3731" i="1"/>
  <c r="V3731" i="1" s="1"/>
  <c r="W3731" i="1" s="1"/>
  <c r="U3739" i="1"/>
  <c r="V3739" i="1" s="1"/>
  <c r="W3739" i="1" s="1"/>
  <c r="U3741" i="1"/>
  <c r="V3741" i="1" s="1"/>
  <c r="W3741" i="1" s="1"/>
  <c r="U2617" i="1"/>
  <c r="V2617" i="1" s="1"/>
  <c r="W2617" i="1" s="1"/>
  <c r="Y2655" i="1"/>
  <c r="Y3095" i="1"/>
  <c r="U2497" i="1"/>
  <c r="V2497" i="1" s="1"/>
  <c r="W2497" i="1" s="1"/>
  <c r="U2538" i="1"/>
  <c r="V2538" i="1" s="1"/>
  <c r="W2538" i="1" s="1"/>
  <c r="U2587" i="1"/>
  <c r="V2587" i="1" s="1"/>
  <c r="W2587" i="1" s="1"/>
  <c r="U2600" i="1"/>
  <c r="V2600" i="1" s="1"/>
  <c r="U2826" i="1"/>
  <c r="V2826" i="1" s="1"/>
  <c r="W2826" i="1" s="1"/>
  <c r="U2841" i="1"/>
  <c r="V2841" i="1" s="1"/>
  <c r="W2841" i="1" s="1"/>
  <c r="U3005" i="1"/>
  <c r="V3005" i="1" s="1"/>
  <c r="W3005" i="1" s="1"/>
  <c r="U3032" i="1"/>
  <c r="V3032" i="1" s="1"/>
  <c r="W3032" i="1" s="1"/>
  <c r="U3125" i="1"/>
  <c r="V3125" i="1" s="1"/>
  <c r="W3125" i="1" s="1"/>
  <c r="U3153" i="1"/>
  <c r="V3153" i="1" s="1"/>
  <c r="W3153" i="1" s="1"/>
  <c r="U3218" i="1"/>
  <c r="V3218" i="1" s="1"/>
  <c r="W3218" i="1" s="1"/>
  <c r="U3385" i="1"/>
  <c r="V3385" i="1" s="1"/>
  <c r="W3385" i="1" s="1"/>
  <c r="U3387" i="1"/>
  <c r="V3387" i="1" s="1"/>
  <c r="W3387" i="1" s="1"/>
  <c r="U3476" i="1"/>
  <c r="V3476" i="1" s="1"/>
  <c r="U3584" i="1"/>
  <c r="V3584" i="1" s="1"/>
  <c r="U2436" i="1"/>
  <c r="V2436" i="1" s="1"/>
  <c r="W2436" i="1" s="1"/>
  <c r="U2598" i="1"/>
  <c r="V2598" i="1" s="1"/>
  <c r="W2598" i="1" s="1"/>
  <c r="Y2636" i="1"/>
  <c r="U2711" i="1"/>
  <c r="V2711" i="1" s="1"/>
  <c r="W2711" i="1" s="1"/>
  <c r="U2747" i="1"/>
  <c r="V2747" i="1" s="1"/>
  <c r="U3008" i="1"/>
  <c r="U3279" i="1"/>
  <c r="V3279" i="1" s="1"/>
  <c r="U3582" i="1"/>
  <c r="V3582" i="1" s="1"/>
  <c r="W3582" i="1" s="1"/>
  <c r="U3724" i="1"/>
  <c r="V3724" i="1" s="1"/>
  <c r="W3724" i="1" s="1"/>
  <c r="U2439" i="1"/>
  <c r="V2439" i="1" s="1"/>
  <c r="W2439" i="1" s="1"/>
  <c r="U2455" i="1"/>
  <c r="V2455" i="1" s="1"/>
  <c r="W2455" i="1" s="1"/>
  <c r="U2463" i="1"/>
  <c r="V2463" i="1" s="1"/>
  <c r="W2463" i="1" s="1"/>
  <c r="U2479" i="1"/>
  <c r="V2479" i="1" s="1"/>
  <c r="W2479" i="1" s="1"/>
  <c r="Y2514" i="1"/>
  <c r="U2524" i="1"/>
  <c r="V2524" i="1" s="1"/>
  <c r="W2524" i="1" s="1"/>
  <c r="U2526" i="1"/>
  <c r="V2526" i="1" s="1"/>
  <c r="W2526" i="1" s="1"/>
  <c r="U2541" i="1"/>
  <c r="V2541" i="1" s="1"/>
  <c r="W2541" i="1" s="1"/>
  <c r="U2546" i="1"/>
  <c r="V2546" i="1" s="1"/>
  <c r="W2546" i="1" s="1"/>
  <c r="U2551" i="1"/>
  <c r="V2551" i="1" s="1"/>
  <c r="W2551" i="1" s="1"/>
  <c r="U2559" i="1"/>
  <c r="V2559" i="1" s="1"/>
  <c r="W2559" i="1" s="1"/>
  <c r="U2580" i="1"/>
  <c r="V2580" i="1" s="1"/>
  <c r="W2580" i="1" s="1"/>
  <c r="U2606" i="1"/>
  <c r="V2606" i="1" s="1"/>
  <c r="U2667" i="1"/>
  <c r="V2667" i="1" s="1"/>
  <c r="U2677" i="1"/>
  <c r="V2677" i="1" s="1"/>
  <c r="W2677" i="1" s="1"/>
  <c r="Y2679" i="1"/>
  <c r="U2691" i="1"/>
  <c r="V2691" i="1" s="1"/>
  <c r="W2691" i="1" s="1"/>
  <c r="U2704" i="1"/>
  <c r="V2704" i="1" s="1"/>
  <c r="W2704" i="1" s="1"/>
  <c r="U2714" i="1"/>
  <c r="V2714" i="1" s="1"/>
  <c r="W2714" i="1" s="1"/>
  <c r="U2729" i="1"/>
  <c r="V2729" i="1" s="1"/>
  <c r="W2729" i="1" s="1"/>
  <c r="U2762" i="1"/>
  <c r="V2762" i="1" s="1"/>
  <c r="Y2795" i="1"/>
  <c r="U2804" i="1"/>
  <c r="V2804" i="1" s="1"/>
  <c r="W2804" i="1" s="1"/>
  <c r="U2811" i="1"/>
  <c r="V2811" i="1" s="1"/>
  <c r="W2811" i="1" s="1"/>
  <c r="U2834" i="1"/>
  <c r="U2839" i="1"/>
  <c r="V2839" i="1" s="1"/>
  <c r="W2839" i="1" s="1"/>
  <c r="U2855" i="1"/>
  <c r="V2855" i="1" s="1"/>
  <c r="W2855" i="1" s="1"/>
  <c r="U2868" i="1"/>
  <c r="V2868" i="1" s="1"/>
  <c r="W2868" i="1" s="1"/>
  <c r="Y2870" i="1"/>
  <c r="U2951" i="1"/>
  <c r="V2951" i="1" s="1"/>
  <c r="W2951" i="1" s="1"/>
  <c r="U2959" i="1"/>
  <c r="V2959" i="1" s="1"/>
  <c r="W2959" i="1" s="1"/>
  <c r="U2977" i="1"/>
  <c r="U2990" i="1"/>
  <c r="V2990" i="1" s="1"/>
  <c r="W2990" i="1" s="1"/>
  <c r="U2998" i="1"/>
  <c r="V2998" i="1" s="1"/>
  <c r="W2998" i="1" s="1"/>
  <c r="U3003" i="1"/>
  <c r="V3003" i="1" s="1"/>
  <c r="W3003" i="1" s="1"/>
  <c r="U3055" i="1"/>
  <c r="V3055" i="1" s="1"/>
  <c r="W3055" i="1" s="1"/>
  <c r="U3076" i="1"/>
  <c r="V3076" i="1" s="1"/>
  <c r="W3076" i="1" s="1"/>
  <c r="U3081" i="1"/>
  <c r="V3081" i="1" s="1"/>
  <c r="U3089" i="1"/>
  <c r="V3089" i="1" s="1"/>
  <c r="U3099" i="1"/>
  <c r="V3099" i="1" s="1"/>
  <c r="W3099" i="1" s="1"/>
  <c r="Y3113" i="1"/>
  <c r="U3123" i="1"/>
  <c r="V3123" i="1" s="1"/>
  <c r="W3123" i="1" s="1"/>
  <c r="U3171" i="1"/>
  <c r="V3171" i="1" s="1"/>
  <c r="U3178" i="1"/>
  <c r="V3178" i="1" s="1"/>
  <c r="W3178" i="1" s="1"/>
  <c r="U3193" i="1"/>
  <c r="V3193" i="1" s="1"/>
  <c r="W3193" i="1" s="1"/>
  <c r="U3198" i="1"/>
  <c r="V3198" i="1" s="1"/>
  <c r="U3229" i="1"/>
  <c r="V3229" i="1" s="1"/>
  <c r="W3229" i="1" s="1"/>
  <c r="U3274" i="1"/>
  <c r="U3299" i="1"/>
  <c r="U3306" i="1"/>
  <c r="V3306" i="1" s="1"/>
  <c r="W3306" i="1" s="1"/>
  <c r="Y3323" i="1"/>
  <c r="U3333" i="1"/>
  <c r="V3333" i="1" s="1"/>
  <c r="W3333" i="1" s="1"/>
  <c r="U3363" i="1"/>
  <c r="V3363" i="1" s="1"/>
  <c r="W3363" i="1" s="1"/>
  <c r="U3378" i="1"/>
  <c r="V3378" i="1" s="1"/>
  <c r="W3378" i="1" s="1"/>
  <c r="U3383" i="1"/>
  <c r="V3383" i="1" s="1"/>
  <c r="W3383" i="1" s="1"/>
  <c r="Y3426" i="1"/>
  <c r="U3431" i="1"/>
  <c r="V3431" i="1" s="1"/>
  <c r="W3431" i="1" s="1"/>
  <c r="Y3451" i="1"/>
  <c r="U3461" i="1"/>
  <c r="V3461" i="1" s="1"/>
  <c r="U3466" i="1"/>
  <c r="V3466" i="1" s="1"/>
  <c r="U3482" i="1"/>
  <c r="V3482" i="1" s="1"/>
  <c r="W3482" i="1" s="1"/>
  <c r="U3489" i="1"/>
  <c r="V3489" i="1" s="1"/>
  <c r="W3489" i="1" s="1"/>
  <c r="U3515" i="1"/>
  <c r="V3515" i="1" s="1"/>
  <c r="W3515" i="1" s="1"/>
  <c r="U3523" i="1"/>
  <c r="V3523" i="1" s="1"/>
  <c r="W3523" i="1" s="1"/>
  <c r="U3528" i="1"/>
  <c r="V3528" i="1" s="1"/>
  <c r="W3528" i="1" s="1"/>
  <c r="U3552" i="1"/>
  <c r="V3552" i="1" s="1"/>
  <c r="W3552" i="1" s="1"/>
  <c r="U3572" i="1"/>
  <c r="V3572" i="1" s="1"/>
  <c r="U3577" i="1"/>
  <c r="V3577" i="1" s="1"/>
  <c r="W3577" i="1" s="1"/>
  <c r="U3585" i="1"/>
  <c r="V3585" i="1" s="1"/>
  <c r="W3585" i="1" s="1"/>
  <c r="Y3600" i="1"/>
  <c r="U3607" i="1"/>
  <c r="V3607" i="1" s="1"/>
  <c r="U3617" i="1"/>
  <c r="V3617" i="1" s="1"/>
  <c r="W3617" i="1" s="1"/>
  <c r="U3622" i="1"/>
  <c r="V3622" i="1" s="1"/>
  <c r="W3622" i="1" s="1"/>
  <c r="U3647" i="1"/>
  <c r="V3647" i="1" s="1"/>
  <c r="W3647" i="1" s="1"/>
  <c r="U3696" i="1"/>
  <c r="V3696" i="1" s="1"/>
  <c r="W3696" i="1" s="1"/>
  <c r="U3706" i="1"/>
  <c r="V3706" i="1" s="1"/>
  <c r="W3706" i="1" s="1"/>
  <c r="U3714" i="1"/>
  <c r="V3714" i="1" s="1"/>
  <c r="W3714" i="1" s="1"/>
  <c r="U3719" i="1"/>
  <c r="V3719" i="1" s="1"/>
  <c r="W3719" i="1" s="1"/>
  <c r="U3727" i="1"/>
  <c r="V3727" i="1" s="1"/>
  <c r="W3727" i="1" s="1"/>
  <c r="U3740" i="1"/>
  <c r="V3740" i="1" s="1"/>
  <c r="W3740" i="1" s="1"/>
  <c r="U2616" i="1"/>
  <c r="V2616" i="1" s="1"/>
  <c r="W2616" i="1" s="1"/>
  <c r="Y2623" i="1"/>
  <c r="U3243" i="1"/>
  <c r="V3243" i="1" s="1"/>
  <c r="Y2577" i="1"/>
  <c r="U2844" i="1"/>
  <c r="V2844" i="1" s="1"/>
  <c r="W2844" i="1" s="1"/>
  <c r="U2886" i="1"/>
  <c r="V2886" i="1" s="1"/>
  <c r="Y3106" i="1"/>
  <c r="U3453" i="1"/>
  <c r="U2957" i="1"/>
  <c r="V2957" i="1" s="1"/>
  <c r="W2957" i="1" s="1"/>
  <c r="Y2826" i="1"/>
  <c r="Y3455" i="1"/>
  <c r="Y2169" i="1"/>
  <c r="U2174" i="1"/>
  <c r="Y2184" i="1"/>
  <c r="U2201" i="1"/>
  <c r="V2201" i="1" s="1"/>
  <c r="W2201" i="1" s="1"/>
  <c r="U2299" i="1"/>
  <c r="V2299" i="1" s="1"/>
  <c r="W2299" i="1" s="1"/>
  <c r="U2317" i="1"/>
  <c r="U2356" i="1"/>
  <c r="V2356" i="1" s="1"/>
  <c r="W2356" i="1" s="1"/>
  <c r="U2493" i="1"/>
  <c r="V2493" i="1" s="1"/>
  <c r="W2493" i="1" s="1"/>
  <c r="Y2507" i="1"/>
  <c r="U2607" i="1"/>
  <c r="V2607" i="1" s="1"/>
  <c r="W2607" i="1" s="1"/>
  <c r="U2614" i="1"/>
  <c r="V2614" i="1" s="1"/>
  <c r="U2641" i="1"/>
  <c r="V2641" i="1" s="1"/>
  <c r="W2641" i="1" s="1"/>
  <c r="U2661" i="1"/>
  <c r="V2661" i="1" s="1"/>
  <c r="W2661" i="1" s="1"/>
  <c r="U2669" i="1"/>
  <c r="V2669" i="1" s="1"/>
  <c r="W2669" i="1" s="1"/>
  <c r="U2756" i="1"/>
  <c r="V2756" i="1" s="1"/>
  <c r="W2756" i="1" s="1"/>
  <c r="U2765" i="1"/>
  <c r="V2765" i="1" s="1"/>
  <c r="W2765" i="1" s="1"/>
  <c r="U2770" i="1"/>
  <c r="V2770" i="1" s="1"/>
  <c r="W2770" i="1" s="1"/>
  <c r="U2987" i="1"/>
  <c r="V2987" i="1" s="1"/>
  <c r="W2987" i="1" s="1"/>
  <c r="U2997" i="1"/>
  <c r="V2997" i="1" s="1"/>
  <c r="U3002" i="1"/>
  <c r="V3002" i="1" s="1"/>
  <c r="W3002" i="1" s="1"/>
  <c r="U3007" i="1"/>
  <c r="V3007" i="1" s="1"/>
  <c r="W3007" i="1" s="1"/>
  <c r="U3012" i="1"/>
  <c r="V3012" i="1" s="1"/>
  <c r="W3012" i="1" s="1"/>
  <c r="U3022" i="1"/>
  <c r="V3022" i="1" s="1"/>
  <c r="W3022" i="1" s="1"/>
  <c r="U3029" i="1"/>
  <c r="V3029" i="1" s="1"/>
  <c r="U3325" i="1"/>
  <c r="V3325" i="1" s="1"/>
  <c r="W3325" i="1" s="1"/>
  <c r="U3623" i="1"/>
  <c r="U2883" i="1"/>
  <c r="V2883" i="1" s="1"/>
  <c r="W2883" i="1" s="1"/>
  <c r="Y3108" i="1"/>
  <c r="U3161" i="1"/>
  <c r="U3236" i="1"/>
  <c r="V3236" i="1" s="1"/>
  <c r="W3236" i="1" s="1"/>
  <c r="Y2255" i="1"/>
  <c r="Y2716" i="1"/>
  <c r="U2544" i="1"/>
  <c r="V2544" i="1" s="1"/>
  <c r="U2381" i="1"/>
  <c r="V2381" i="1" s="1"/>
  <c r="W2381" i="1" s="1"/>
  <c r="Y2544" i="1"/>
  <c r="Y3349" i="1"/>
  <c r="Y3453" i="1"/>
  <c r="U2289" i="1"/>
  <c r="V2289" i="1" s="1"/>
  <c r="W2289" i="1" s="1"/>
  <c r="U2312" i="1"/>
  <c r="V2312" i="1" s="1"/>
  <c r="U2456" i="1"/>
  <c r="V2456" i="1" s="1"/>
  <c r="U2464" i="1"/>
  <c r="V2464" i="1" s="1"/>
  <c r="W2464" i="1" s="1"/>
  <c r="U2472" i="1"/>
  <c r="V2472" i="1" s="1"/>
  <c r="W2472" i="1" s="1"/>
  <c r="U2477" i="1"/>
  <c r="V2477" i="1" s="1"/>
  <c r="W2477" i="1" s="1"/>
  <c r="U2491" i="1"/>
  <c r="V2491" i="1" s="1"/>
  <c r="U2505" i="1"/>
  <c r="V2505" i="1" s="1"/>
  <c r="W2505" i="1" s="1"/>
  <c r="U2510" i="1"/>
  <c r="V2510" i="1" s="1"/>
  <c r="W2510" i="1" s="1"/>
  <c r="U2575" i="1"/>
  <c r="V2575" i="1" s="1"/>
  <c r="U2584" i="1"/>
  <c r="V2584" i="1" s="1"/>
  <c r="U2597" i="1"/>
  <c r="V2597" i="1" s="1"/>
  <c r="W2597" i="1" s="1"/>
  <c r="U2602" i="1"/>
  <c r="V2602" i="1" s="1"/>
  <c r="U2612" i="1"/>
  <c r="V2612" i="1" s="1"/>
  <c r="W2612" i="1" s="1"/>
  <c r="U2639" i="1"/>
  <c r="V2639" i="1" s="1"/>
  <c r="U2644" i="1"/>
  <c r="V2644" i="1" s="1"/>
  <c r="U2723" i="1"/>
  <c r="V2723" i="1" s="1"/>
  <c r="W2723" i="1" s="1"/>
  <c r="U2733" i="1"/>
  <c r="V2733" i="1" s="1"/>
  <c r="W2733" i="1" s="1"/>
  <c r="U2749" i="1"/>
  <c r="V2749" i="1" s="1"/>
  <c r="U2763" i="1"/>
  <c r="V2763" i="1" s="1"/>
  <c r="W2763" i="1" s="1"/>
  <c r="U2768" i="1"/>
  <c r="V2768" i="1" s="1"/>
  <c r="W2768" i="1" s="1"/>
  <c r="U3000" i="1"/>
  <c r="V3000" i="1" s="1"/>
  <c r="W3000" i="1" s="1"/>
  <c r="U3010" i="1"/>
  <c r="V3010" i="1" s="1"/>
  <c r="W3010" i="1" s="1"/>
  <c r="U3020" i="1"/>
  <c r="V3020" i="1" s="1"/>
  <c r="W3020" i="1" s="1"/>
  <c r="U3027" i="1"/>
  <c r="V3027" i="1" s="1"/>
  <c r="U3034" i="1"/>
  <c r="V3034" i="1" s="1"/>
  <c r="W3034" i="1" s="1"/>
  <c r="U3085" i="1"/>
  <c r="V3085" i="1" s="1"/>
  <c r="W3085" i="1" s="1"/>
  <c r="U3108" i="1"/>
  <c r="V3108" i="1" s="1"/>
  <c r="W3108" i="1" s="1"/>
  <c r="U3112" i="1"/>
  <c r="V3112" i="1" s="1"/>
  <c r="W3112" i="1" s="1"/>
  <c r="Y3114" i="1"/>
  <c r="U3127" i="1"/>
  <c r="V3127" i="1" s="1"/>
  <c r="W3127" i="1" s="1"/>
  <c r="U3132" i="1"/>
  <c r="V3132" i="1" s="1"/>
  <c r="W3132" i="1" s="1"/>
  <c r="U3137" i="1"/>
  <c r="U3163" i="1"/>
  <c r="V3163" i="1" s="1"/>
  <c r="W3163" i="1" s="1"/>
  <c r="U3168" i="1"/>
  <c r="V3168" i="1" s="1"/>
  <c r="W3168" i="1" s="1"/>
  <c r="U3173" i="1"/>
  <c r="V3173" i="1" s="1"/>
  <c r="W3173" i="1" s="1"/>
  <c r="U3175" i="1"/>
  <c r="V3175" i="1" s="1"/>
  <c r="W3175" i="1" s="1"/>
  <c r="U3177" i="1"/>
  <c r="V3177" i="1" s="1"/>
  <c r="W3177" i="1" s="1"/>
  <c r="U3192" i="1"/>
  <c r="V3192" i="1" s="1"/>
  <c r="W3192" i="1" s="1"/>
  <c r="U3227" i="1"/>
  <c r="V3227" i="1" s="1"/>
  <c r="U3253" i="1"/>
  <c r="V3253" i="1" s="1"/>
  <c r="W3253" i="1" s="1"/>
  <c r="U3261" i="1"/>
  <c r="V3261" i="1" s="1"/>
  <c r="W3261" i="1" s="1"/>
  <c r="U3290" i="1"/>
  <c r="V3290" i="1" s="1"/>
  <c r="U3295" i="1"/>
  <c r="V3295" i="1" s="1"/>
  <c r="W3295" i="1" s="1"/>
  <c r="U3311" i="1"/>
  <c r="V3311" i="1" s="1"/>
  <c r="W3311" i="1" s="1"/>
  <c r="U3316" i="1"/>
  <c r="V3316" i="1" s="1"/>
  <c r="W3316" i="1" s="1"/>
  <c r="U3321" i="1"/>
  <c r="V3321" i="1" s="1"/>
  <c r="W3321" i="1" s="1"/>
  <c r="U3328" i="1"/>
  <c r="V3328" i="1" s="1"/>
  <c r="W3328" i="1" s="1"/>
  <c r="U3408" i="1"/>
  <c r="V3408" i="1" s="1"/>
  <c r="W3408" i="1" s="1"/>
  <c r="U3597" i="1"/>
  <c r="V3597" i="1" s="1"/>
  <c r="W3597" i="1" s="1"/>
  <c r="U3631" i="1"/>
  <c r="V3631" i="1" s="1"/>
  <c r="W3631" i="1" s="1"/>
  <c r="U3651" i="1"/>
  <c r="V3651" i="1" s="1"/>
  <c r="W3651" i="1" s="1"/>
  <c r="Y3202" i="1"/>
  <c r="Y2427" i="1"/>
  <c r="U3056" i="1"/>
  <c r="V3056" i="1" s="1"/>
  <c r="W3056" i="1" s="1"/>
  <c r="Y3585" i="1"/>
  <c r="U2190" i="1"/>
  <c r="V2190" i="1" s="1"/>
  <c r="W2190" i="1" s="1"/>
  <c r="Y2199" i="1"/>
  <c r="Y2273" i="1"/>
  <c r="U2293" i="1"/>
  <c r="V2293" i="1" s="1"/>
  <c r="W2293" i="1" s="1"/>
  <c r="U2331" i="1"/>
  <c r="U2490" i="1"/>
  <c r="V2490" i="1" s="1"/>
  <c r="W2490" i="1" s="1"/>
  <c r="Y2499" i="1"/>
  <c r="U2560" i="1"/>
  <c r="V2560" i="1" s="1"/>
  <c r="W2560" i="1" s="1"/>
  <c r="U2673" i="1"/>
  <c r="V2673" i="1" s="1"/>
  <c r="U2703" i="1"/>
  <c r="U2708" i="1"/>
  <c r="U2713" i="1"/>
  <c r="V2713" i="1" s="1"/>
  <c r="W2713" i="1" s="1"/>
  <c r="U2725" i="1"/>
  <c r="V2725" i="1" s="1"/>
  <c r="W2725" i="1" s="1"/>
  <c r="U2730" i="1"/>
  <c r="V2730" i="1" s="1"/>
  <c r="U2742" i="1"/>
  <c r="V2742" i="1" s="1"/>
  <c r="W2742" i="1" s="1"/>
  <c r="U2750" i="1"/>
  <c r="V2750" i="1" s="1"/>
  <c r="W2750" i="1" s="1"/>
  <c r="U2757" i="1"/>
  <c r="V2757" i="1" s="1"/>
  <c r="W2757" i="1" s="1"/>
  <c r="Y2775" i="1"/>
  <c r="U2778" i="1"/>
  <c r="V2778" i="1" s="1"/>
  <c r="W2778" i="1" s="1"/>
  <c r="U2788" i="1"/>
  <c r="V2788" i="1" s="1"/>
  <c r="U2791" i="1"/>
  <c r="V2791" i="1" s="1"/>
  <c r="W2791" i="1" s="1"/>
  <c r="U2885" i="1"/>
  <c r="V2885" i="1" s="1"/>
  <c r="W2885" i="1" s="1"/>
  <c r="U2901" i="1"/>
  <c r="V2901" i="1" s="1"/>
  <c r="W2901" i="1" s="1"/>
  <c r="U2919" i="1"/>
  <c r="V2919" i="1" s="1"/>
  <c r="Y2929" i="1"/>
  <c r="U2944" i="1"/>
  <c r="V2944" i="1" s="1"/>
  <c r="U2968" i="1"/>
  <c r="V2968" i="1" s="1"/>
  <c r="W2968" i="1" s="1"/>
  <c r="U3042" i="1"/>
  <c r="V3042" i="1" s="1"/>
  <c r="W3042" i="1" s="1"/>
  <c r="U3054" i="1"/>
  <c r="V3054" i="1" s="1"/>
  <c r="U3064" i="1"/>
  <c r="V3064" i="1" s="1"/>
  <c r="W3064" i="1" s="1"/>
  <c r="U3069" i="1"/>
  <c r="V3069" i="1" s="1"/>
  <c r="W3069" i="1" s="1"/>
  <c r="U3074" i="1"/>
  <c r="V3074" i="1" s="1"/>
  <c r="W3074" i="1" s="1"/>
  <c r="U3079" i="1"/>
  <c r="V3079" i="1" s="1"/>
  <c r="W3079" i="1" s="1"/>
  <c r="Y3237" i="1"/>
  <c r="U3252" i="1"/>
  <c r="V3252" i="1" s="1"/>
  <c r="W3252" i="1" s="1"/>
  <c r="U3334" i="1"/>
  <c r="V3334" i="1" s="1"/>
  <c r="W3334" i="1" s="1"/>
  <c r="U3435" i="1"/>
  <c r="V3435" i="1" s="1"/>
  <c r="W3435" i="1" s="1"/>
  <c r="Y3519" i="1"/>
  <c r="Y3704" i="1"/>
  <c r="Y3512" i="1"/>
  <c r="Y3533" i="1"/>
  <c r="Y3609" i="1"/>
  <c r="U2178" i="1"/>
  <c r="V2178" i="1" s="1"/>
  <c r="W2178" i="1" s="1"/>
  <c r="U2193" i="1"/>
  <c r="V2193" i="1" s="1"/>
  <c r="Y2202" i="1"/>
  <c r="U2207" i="1"/>
  <c r="V2207" i="1" s="1"/>
  <c r="U2224" i="1"/>
  <c r="V2224" i="1" s="1"/>
  <c r="W2224" i="1" s="1"/>
  <c r="U2229" i="1"/>
  <c r="V2229" i="1" s="1"/>
  <c r="W2229" i="1" s="1"/>
  <c r="U2234" i="1"/>
  <c r="U2242" i="1"/>
  <c r="V2242" i="1" s="1"/>
  <c r="W2242" i="1" s="1"/>
  <c r="U2260" i="1"/>
  <c r="V2260" i="1" s="1"/>
  <c r="W2260" i="1" s="1"/>
  <c r="U2262" i="1"/>
  <c r="V2262" i="1" s="1"/>
  <c r="W2262" i="1" s="1"/>
  <c r="U2276" i="1"/>
  <c r="V2276" i="1" s="1"/>
  <c r="U2278" i="1"/>
  <c r="V2278" i="1" s="1"/>
  <c r="W2278" i="1" s="1"/>
  <c r="U2291" i="1"/>
  <c r="U2296" i="1"/>
  <c r="V2296" i="1" s="1"/>
  <c r="W2296" i="1" s="1"/>
  <c r="U2309" i="1"/>
  <c r="V2309" i="1" s="1"/>
  <c r="U2319" i="1"/>
  <c r="V2319" i="1" s="1"/>
  <c r="W2319" i="1" s="1"/>
  <c r="U2322" i="1"/>
  <c r="V2322" i="1" s="1"/>
  <c r="W2322" i="1" s="1"/>
  <c r="U2329" i="1"/>
  <c r="V2329" i="1" s="1"/>
  <c r="W2329" i="1" s="1"/>
  <c r="U2380" i="1"/>
  <c r="V2380" i="1" s="1"/>
  <c r="U2400" i="1"/>
  <c r="V2400" i="1" s="1"/>
  <c r="W2400" i="1" s="1"/>
  <c r="U2413" i="1"/>
  <c r="V2413" i="1" s="1"/>
  <c r="U2428" i="1"/>
  <c r="V2428" i="1" s="1"/>
  <c r="U2448" i="1"/>
  <c r="V2448" i="1" s="1"/>
  <c r="U2453" i="1"/>
  <c r="V2453" i="1" s="1"/>
  <c r="W2453" i="1" s="1"/>
  <c r="U2461" i="1"/>
  <c r="V2461" i="1" s="1"/>
  <c r="W2461" i="1" s="1"/>
  <c r="U2469" i="1"/>
  <c r="V2469" i="1" s="1"/>
  <c r="W2469" i="1" s="1"/>
  <c r="Y2490" i="1"/>
  <c r="U2534" i="1"/>
  <c r="U2536" i="1"/>
  <c r="V2536" i="1" s="1"/>
  <c r="W2536" i="1" s="1"/>
  <c r="Y2538" i="1"/>
  <c r="U2555" i="1"/>
  <c r="V2555" i="1" s="1"/>
  <c r="U2565" i="1"/>
  <c r="U2572" i="1"/>
  <c r="V2572" i="1" s="1"/>
  <c r="U2594" i="1"/>
  <c r="V2594" i="1" s="1"/>
  <c r="W2594" i="1" s="1"/>
  <c r="U2599" i="1"/>
  <c r="V2599" i="1" s="1"/>
  <c r="W2599" i="1" s="1"/>
  <c r="Y2629" i="1"/>
  <c r="U2643" i="1"/>
  <c r="V2643" i="1" s="1"/>
  <c r="W2643" i="1" s="1"/>
  <c r="U2663" i="1"/>
  <c r="V2663" i="1" s="1"/>
  <c r="W2663" i="1" s="1"/>
  <c r="U2675" i="1"/>
  <c r="V2675" i="1" s="1"/>
  <c r="W2675" i="1" s="1"/>
  <c r="U2684" i="1"/>
  <c r="V2684" i="1" s="1"/>
  <c r="W2684" i="1" s="1"/>
  <c r="U2696" i="1"/>
  <c r="V2696" i="1" s="1"/>
  <c r="W2696" i="1" s="1"/>
  <c r="U2706" i="1"/>
  <c r="V2706" i="1" s="1"/>
  <c r="Y2708" i="1"/>
  <c r="U2716" i="1"/>
  <c r="V2716" i="1" s="1"/>
  <c r="W2716" i="1" s="1"/>
  <c r="U2735" i="1"/>
  <c r="U2745" i="1"/>
  <c r="V2745" i="1" s="1"/>
  <c r="U2781" i="1"/>
  <c r="V2781" i="1" s="1"/>
  <c r="W2781" i="1" s="1"/>
  <c r="U2786" i="1"/>
  <c r="V2786" i="1" s="1"/>
  <c r="W2786" i="1" s="1"/>
  <c r="U2794" i="1"/>
  <c r="V2794" i="1" s="1"/>
  <c r="W2794" i="1" s="1"/>
  <c r="Y2856" i="1"/>
  <c r="U2864" i="1"/>
  <c r="V2864" i="1" s="1"/>
  <c r="U2869" i="1"/>
  <c r="V2869" i="1" s="1"/>
  <c r="W2869" i="1" s="1"/>
  <c r="U2904" i="1"/>
  <c r="V2904" i="1" s="1"/>
  <c r="W2904" i="1" s="1"/>
  <c r="U2917" i="1"/>
  <c r="V2917" i="1" s="1"/>
  <c r="U2932" i="1"/>
  <c r="V2932" i="1" s="1"/>
  <c r="W2932" i="1" s="1"/>
  <c r="U2942" i="1"/>
  <c r="V2942" i="1" s="1"/>
  <c r="W2942" i="1" s="1"/>
  <c r="Y2946" i="1"/>
  <c r="U2966" i="1"/>
  <c r="V2966" i="1" s="1"/>
  <c r="W2966" i="1" s="1"/>
  <c r="U2971" i="1"/>
  <c r="V2971" i="1" s="1"/>
  <c r="W2971" i="1" s="1"/>
  <c r="U2994" i="1"/>
  <c r="V2994" i="1" s="1"/>
  <c r="U2999" i="1"/>
  <c r="V2999" i="1" s="1"/>
  <c r="U3009" i="1"/>
  <c r="V3009" i="1" s="1"/>
  <c r="W3009" i="1" s="1"/>
  <c r="U3014" i="1"/>
  <c r="V3014" i="1" s="1"/>
  <c r="W3014" i="1" s="1"/>
  <c r="U3019" i="1"/>
  <c r="V3019" i="1" s="1"/>
  <c r="W3019" i="1" s="1"/>
  <c r="U3057" i="1"/>
  <c r="V3057" i="1" s="1"/>
  <c r="W3057" i="1" s="1"/>
  <c r="U3067" i="1"/>
  <c r="V3067" i="1" s="1"/>
  <c r="W3067" i="1" s="1"/>
  <c r="U3077" i="1"/>
  <c r="V3077" i="1" s="1"/>
  <c r="W3077" i="1" s="1"/>
  <c r="U3100" i="1"/>
  <c r="V3100" i="1" s="1"/>
  <c r="W3100" i="1" s="1"/>
  <c r="U3114" i="1"/>
  <c r="V3114" i="1" s="1"/>
  <c r="U3119" i="1"/>
  <c r="V3119" i="1" s="1"/>
  <c r="W3119" i="1" s="1"/>
  <c r="U3146" i="1"/>
  <c r="V3146" i="1" s="1"/>
  <c r="Y3179" i="1"/>
  <c r="U3184" i="1"/>
  <c r="V3184" i="1" s="1"/>
  <c r="U3189" i="1"/>
  <c r="V3189" i="1" s="1"/>
  <c r="W3189" i="1" s="1"/>
  <c r="U3196" i="1"/>
  <c r="V3196" i="1" s="1"/>
  <c r="W3196" i="1" s="1"/>
  <c r="U3201" i="1"/>
  <c r="V3201" i="1" s="1"/>
  <c r="W3201" i="1" s="1"/>
  <c r="U3224" i="1"/>
  <c r="V3224" i="1" s="1"/>
  <c r="W3224" i="1" s="1"/>
  <c r="U3268" i="1"/>
  <c r="V3268" i="1" s="1"/>
  <c r="W3268" i="1" s="1"/>
  <c r="U3276" i="1"/>
  <c r="V3276" i="1" s="1"/>
  <c r="W3276" i="1" s="1"/>
  <c r="Y3294" i="1"/>
  <c r="U3332" i="1"/>
  <c r="V3332" i="1" s="1"/>
  <c r="W3332" i="1" s="1"/>
  <c r="Y3334" i="1"/>
  <c r="U3337" i="1"/>
  <c r="V3337" i="1" s="1"/>
  <c r="W3337" i="1" s="1"/>
  <c r="U3344" i="1"/>
  <c r="V3344" i="1" s="1"/>
  <c r="W3344" i="1" s="1"/>
  <c r="U3349" i="1"/>
  <c r="V3349" i="1" s="1"/>
  <c r="W3349" i="1" s="1"/>
  <c r="U3354" i="1"/>
  <c r="V3354" i="1" s="1"/>
  <c r="W3354" i="1" s="1"/>
  <c r="U3364" i="1"/>
  <c r="V3364" i="1" s="1"/>
  <c r="U3462" i="1"/>
  <c r="V3462" i="1" s="1"/>
  <c r="W3462" i="1" s="1"/>
  <c r="Y3485" i="1"/>
  <c r="U3496" i="1"/>
  <c r="V3496" i="1" s="1"/>
  <c r="U3513" i="1"/>
  <c r="V3513" i="1" s="1"/>
  <c r="W3513" i="1" s="1"/>
  <c r="U3534" i="1"/>
  <c r="V3534" i="1" s="1"/>
  <c r="W3534" i="1" s="1"/>
  <c r="U3640" i="1"/>
  <c r="V3640" i="1" s="1"/>
  <c r="U3667" i="1"/>
  <c r="V3667" i="1" s="1"/>
  <c r="W3667" i="1" s="1"/>
  <c r="U3686" i="1"/>
  <c r="V3686" i="1" s="1"/>
  <c r="W3686" i="1" s="1"/>
  <c r="U2916" i="1"/>
  <c r="U3046" i="1"/>
  <c r="V3046" i="1" s="1"/>
  <c r="W3046" i="1" s="1"/>
  <c r="U3065" i="1"/>
  <c r="V3065" i="1" s="1"/>
  <c r="W3065" i="1" s="1"/>
  <c r="U3070" i="1"/>
  <c r="V3070" i="1" s="1"/>
  <c r="W3070" i="1" s="1"/>
  <c r="U3157" i="1"/>
  <c r="V3157" i="1" s="1"/>
  <c r="W3157" i="1" s="1"/>
  <c r="U3257" i="1"/>
  <c r="V3257" i="1" s="1"/>
  <c r="W3257" i="1" s="1"/>
  <c r="Y3311" i="1"/>
  <c r="U3390" i="1"/>
  <c r="V3390" i="1" s="1"/>
  <c r="U3471" i="1"/>
  <c r="V3471" i="1" s="1"/>
  <c r="W3471" i="1" s="1"/>
  <c r="U3608" i="1"/>
  <c r="V3608" i="1" s="1"/>
  <c r="W3608" i="1" s="1"/>
  <c r="U3630" i="1"/>
  <c r="V3630" i="1" s="1"/>
  <c r="W3630" i="1" s="1"/>
  <c r="U3722" i="1"/>
  <c r="V3722" i="1" s="1"/>
  <c r="U3735" i="1"/>
  <c r="V3735" i="1" s="1"/>
  <c r="W3735" i="1" s="1"/>
  <c r="U2772" i="1"/>
  <c r="V2772" i="1" s="1"/>
  <c r="W2772" i="1" s="1"/>
  <c r="U2787" i="1"/>
  <c r="V2787" i="1" s="1"/>
  <c r="W2787" i="1" s="1"/>
  <c r="U2799" i="1"/>
  <c r="V2799" i="1" s="1"/>
  <c r="U2801" i="1"/>
  <c r="Y2803" i="1"/>
  <c r="U2815" i="1"/>
  <c r="V2815" i="1" s="1"/>
  <c r="W2815" i="1" s="1"/>
  <c r="Y2827" i="1"/>
  <c r="U2846" i="1"/>
  <c r="V2846" i="1" s="1"/>
  <c r="W2846" i="1" s="1"/>
  <c r="U2890" i="1"/>
  <c r="V2890" i="1" s="1"/>
  <c r="W2890" i="1" s="1"/>
  <c r="U2903" i="1"/>
  <c r="V2903" i="1" s="1"/>
  <c r="W2903" i="1" s="1"/>
  <c r="U2921" i="1"/>
  <c r="V2921" i="1" s="1"/>
  <c r="U2926" i="1"/>
  <c r="U2931" i="1"/>
  <c r="V2931" i="1" s="1"/>
  <c r="W2931" i="1" s="1"/>
  <c r="U2945" i="1"/>
  <c r="V2945" i="1" s="1"/>
  <c r="U2991" i="1"/>
  <c r="V2991" i="1" s="1"/>
  <c r="W2991" i="1" s="1"/>
  <c r="U3039" i="1"/>
  <c r="V3039" i="1" s="1"/>
  <c r="U3041" i="1"/>
  <c r="U3058" i="1"/>
  <c r="V3058" i="1" s="1"/>
  <c r="W3058" i="1" s="1"/>
  <c r="U3068" i="1"/>
  <c r="V3068" i="1" s="1"/>
  <c r="W3068" i="1" s="1"/>
  <c r="U3082" i="1"/>
  <c r="V3082" i="1" s="1"/>
  <c r="W3082" i="1" s="1"/>
  <c r="U3090" i="1"/>
  <c r="V3090" i="1" s="1"/>
  <c r="W3090" i="1" s="1"/>
  <c r="U3105" i="1"/>
  <c r="V3105" i="1" s="1"/>
  <c r="W3105" i="1" s="1"/>
  <c r="U3116" i="1"/>
  <c r="V3116" i="1" s="1"/>
  <c r="W3116" i="1" s="1"/>
  <c r="U3141" i="1"/>
  <c r="V3141" i="1" s="1"/>
  <c r="U3148" i="1"/>
  <c r="V3148" i="1" s="1"/>
  <c r="W3148" i="1" s="1"/>
  <c r="Y3155" i="1"/>
  <c r="U3160" i="1"/>
  <c r="V3160" i="1" s="1"/>
  <c r="W3160" i="1" s="1"/>
  <c r="U3170" i="1"/>
  <c r="V3170" i="1" s="1"/>
  <c r="W3170" i="1" s="1"/>
  <c r="U3232" i="1"/>
  <c r="V3232" i="1" s="1"/>
  <c r="W3232" i="1" s="1"/>
  <c r="U3234" i="1"/>
  <c r="V3234" i="1" s="1"/>
  <c r="W3234" i="1" s="1"/>
  <c r="U3238" i="1"/>
  <c r="V3238" i="1" s="1"/>
  <c r="Y3240" i="1"/>
  <c r="U3245" i="1"/>
  <c r="V3245" i="1" s="1"/>
  <c r="W3245" i="1" s="1"/>
  <c r="U3260" i="1"/>
  <c r="V3260" i="1" s="1"/>
  <c r="W3260" i="1" s="1"/>
  <c r="U3283" i="1"/>
  <c r="V3283" i="1" s="1"/>
  <c r="W3283" i="1" s="1"/>
  <c r="U3298" i="1"/>
  <c r="V3298" i="1" s="1"/>
  <c r="U3317" i="1"/>
  <c r="V3317" i="1" s="1"/>
  <c r="W3317" i="1" s="1"/>
  <c r="U3343" i="1"/>
  <c r="V3343" i="1" s="1"/>
  <c r="W3343" i="1" s="1"/>
  <c r="U3345" i="1"/>
  <c r="V3345" i="1" s="1"/>
  <c r="W3345" i="1" s="1"/>
  <c r="U3350" i="1"/>
  <c r="V3350" i="1" s="1"/>
  <c r="U3377" i="1"/>
  <c r="V3377" i="1" s="1"/>
  <c r="U3398" i="1"/>
  <c r="V3398" i="1" s="1"/>
  <c r="U3403" i="1"/>
  <c r="V3403" i="1" s="1"/>
  <c r="W3403" i="1" s="1"/>
  <c r="Y3405" i="1"/>
  <c r="U3410" i="1"/>
  <c r="V3410" i="1" s="1"/>
  <c r="W3410" i="1" s="1"/>
  <c r="U3427" i="1"/>
  <c r="V3427" i="1" s="1"/>
  <c r="W3427" i="1" s="1"/>
  <c r="U3438" i="1"/>
  <c r="V3438" i="1" s="1"/>
  <c r="U3451" i="1"/>
  <c r="V3451" i="1" s="1"/>
  <c r="U3491" i="1"/>
  <c r="V3491" i="1" s="1"/>
  <c r="W3491" i="1" s="1"/>
  <c r="Y3495" i="1"/>
  <c r="U3549" i="1"/>
  <c r="V3549" i="1" s="1"/>
  <c r="U3560" i="1"/>
  <c r="V3560" i="1" s="1"/>
  <c r="W3560" i="1" s="1"/>
  <c r="U3579" i="1"/>
  <c r="V3579" i="1" s="1"/>
  <c r="W3579" i="1" s="1"/>
  <c r="Y3601" i="1"/>
  <c r="U3610" i="1"/>
  <c r="V3610" i="1" s="1"/>
  <c r="W3610" i="1" s="1"/>
  <c r="U3618" i="1"/>
  <c r="V3618" i="1" s="1"/>
  <c r="W3618" i="1" s="1"/>
  <c r="U3628" i="1"/>
  <c r="V3628" i="1" s="1"/>
  <c r="W3628" i="1" s="1"/>
  <c r="U3664" i="1"/>
  <c r="V3664" i="1" s="1"/>
  <c r="U3677" i="1"/>
  <c r="V3677" i="1" s="1"/>
  <c r="W3677" i="1" s="1"/>
  <c r="U3697" i="1"/>
  <c r="U3708" i="1"/>
  <c r="V3708" i="1" s="1"/>
  <c r="W3708" i="1" s="1"/>
  <c r="U3717" i="1"/>
  <c r="V3717" i="1" s="1"/>
  <c r="W3717" i="1" s="1"/>
  <c r="U3725" i="1"/>
  <c r="V3725" i="1" s="1"/>
  <c r="W3725" i="1" s="1"/>
  <c r="U3738" i="1"/>
  <c r="V3738" i="1" s="1"/>
  <c r="W3738" i="1" s="1"/>
  <c r="Y3144" i="1"/>
  <c r="U3144" i="1"/>
  <c r="U3304" i="1"/>
  <c r="V3304" i="1" s="1"/>
  <c r="W3304" i="1" s="1"/>
  <c r="Y3304" i="1"/>
  <c r="U2401" i="1"/>
  <c r="V2401" i="1" s="1"/>
  <c r="U2531" i="1"/>
  <c r="V2531" i="1" s="1"/>
  <c r="W2531" i="1" s="1"/>
  <c r="U2817" i="1"/>
  <c r="V2817" i="1" s="1"/>
  <c r="W2817" i="1" s="1"/>
  <c r="U3448" i="1"/>
  <c r="V3448" i="1" s="1"/>
  <c r="W3448" i="1" s="1"/>
  <c r="Y2788" i="1"/>
  <c r="U2368" i="1"/>
  <c r="U2579" i="1"/>
  <c r="V2579" i="1" s="1"/>
  <c r="U2591" i="1"/>
  <c r="V2591" i="1" s="1"/>
  <c r="U3118" i="1"/>
  <c r="V3118" i="1" s="1"/>
  <c r="W3118" i="1" s="1"/>
  <c r="U3444" i="1"/>
  <c r="U3526" i="1"/>
  <c r="V3526" i="1" s="1"/>
  <c r="W3526" i="1" s="1"/>
  <c r="Y3624" i="1"/>
  <c r="U3624" i="1"/>
  <c r="V3624" i="1" s="1"/>
  <c r="W3624" i="1" s="1"/>
  <c r="Y2294" i="1"/>
  <c r="U2373" i="1"/>
  <c r="V2373" i="1" s="1"/>
  <c r="W2373" i="1" s="1"/>
  <c r="Y2373" i="1"/>
  <c r="U2640" i="1"/>
  <c r="V2640" i="1" s="1"/>
  <c r="W2640" i="1" s="1"/>
  <c r="U2642" i="1"/>
  <c r="V2642" i="1" s="1"/>
  <c r="W2642" i="1" s="1"/>
  <c r="U2712" i="1"/>
  <c r="V2712" i="1" s="1"/>
  <c r="W2712" i="1" s="1"/>
  <c r="U3045" i="1"/>
  <c r="U3211" i="1"/>
  <c r="V3211" i="1" s="1"/>
  <c r="W3211" i="1" s="1"/>
  <c r="Y3584" i="1"/>
  <c r="U2192" i="1"/>
  <c r="V2192" i="1" s="1"/>
  <c r="W2192" i="1" s="1"/>
  <c r="U2609" i="1"/>
  <c r="V2609" i="1" s="1"/>
  <c r="W2609" i="1" s="1"/>
  <c r="U2694" i="1"/>
  <c r="V2694" i="1" s="1"/>
  <c r="W2694" i="1" s="1"/>
  <c r="Y2844" i="1"/>
  <c r="U2953" i="1"/>
  <c r="V2953" i="1" s="1"/>
  <c r="W2953" i="1" s="1"/>
  <c r="U3209" i="1"/>
  <c r="V3209" i="1" s="1"/>
  <c r="W3209" i="1" s="1"/>
  <c r="Y3342" i="1"/>
  <c r="U3342" i="1"/>
  <c r="V3342" i="1" s="1"/>
  <c r="W3342" i="1" s="1"/>
  <c r="U3356" i="1"/>
  <c r="V3356" i="1" s="1"/>
  <c r="W3356" i="1" s="1"/>
  <c r="U3365" i="1"/>
  <c r="Y3365" i="1"/>
  <c r="Y3508" i="1"/>
  <c r="Y3563" i="1"/>
  <c r="U3563" i="1"/>
  <c r="V3563" i="1" s="1"/>
  <c r="W3563" i="1" s="1"/>
  <c r="U3721" i="1"/>
  <c r="V3721" i="1" s="1"/>
  <c r="W3721" i="1" s="1"/>
  <c r="Y2192" i="1"/>
  <c r="Y2347" i="1"/>
  <c r="U2633" i="1"/>
  <c r="V2633" i="1" s="1"/>
  <c r="U2884" i="1"/>
  <c r="V2884" i="1" s="1"/>
  <c r="Y2886" i="1"/>
  <c r="U3016" i="1"/>
  <c r="Y3091" i="1"/>
  <c r="U3091" i="1"/>
  <c r="V3091" i="1" s="1"/>
  <c r="W3091" i="1" s="1"/>
  <c r="U3275" i="1"/>
  <c r="V3275" i="1" s="1"/>
  <c r="W3275" i="1" s="1"/>
  <c r="Y3710" i="1"/>
  <c r="U3710" i="1"/>
  <c r="V3710" i="1" s="1"/>
  <c r="W3710" i="1" s="1"/>
  <c r="Y2190" i="1"/>
  <c r="U2239" i="1"/>
  <c r="V2239" i="1" s="1"/>
  <c r="W2239" i="1" s="1"/>
  <c r="Y2239" i="1"/>
  <c r="U2357" i="1"/>
  <c r="V2357" i="1" s="1"/>
  <c r="W2357" i="1" s="1"/>
  <c r="U2388" i="1"/>
  <c r="V2388" i="1" s="1"/>
  <c r="W2388" i="1" s="1"/>
  <c r="U2412" i="1"/>
  <c r="V2412" i="1" s="1"/>
  <c r="W2412" i="1" s="1"/>
  <c r="U2462" i="1"/>
  <c r="V2462" i="1" s="1"/>
  <c r="U2961" i="1"/>
  <c r="V2961" i="1" s="1"/>
  <c r="W2961" i="1" s="1"/>
  <c r="U3086" i="1"/>
  <c r="U3287" i="1"/>
  <c r="U3405" i="1"/>
  <c r="V3405" i="1" s="1"/>
  <c r="W3405" i="1" s="1"/>
  <c r="U3737" i="1"/>
  <c r="V3737" i="1" s="1"/>
  <c r="U2179" i="1"/>
  <c r="V2179" i="1" s="1"/>
  <c r="W2179" i="1" s="1"/>
  <c r="U2275" i="1"/>
  <c r="U2314" i="1"/>
  <c r="Y2357" i="1"/>
  <c r="U2438" i="1"/>
  <c r="U2458" i="1"/>
  <c r="V2458" i="1" s="1"/>
  <c r="W2458" i="1" s="1"/>
  <c r="U2662" i="1"/>
  <c r="V2662" i="1" s="1"/>
  <c r="W2662" i="1" s="1"/>
  <c r="Y2662" i="1"/>
  <c r="Y2718" i="1"/>
  <c r="U2892" i="1"/>
  <c r="Y2892" i="1"/>
  <c r="U3035" i="1"/>
  <c r="Y3035" i="1"/>
  <c r="U3292" i="1"/>
  <c r="V3292" i="1" s="1"/>
  <c r="W3292" i="1" s="1"/>
  <c r="U3480" i="1"/>
  <c r="V3480" i="1" s="1"/>
  <c r="W3480" i="1" s="1"/>
  <c r="U3642" i="1"/>
  <c r="U2175" i="1"/>
  <c r="V2175" i="1" s="1"/>
  <c r="W2175" i="1" s="1"/>
  <c r="U2230" i="1"/>
  <c r="V2230" i="1" s="1"/>
  <c r="W2230" i="1" s="1"/>
  <c r="U2237" i="1"/>
  <c r="Y2306" i="1"/>
  <c r="U2308" i="1"/>
  <c r="U2403" i="1"/>
  <c r="V2403" i="1" s="1"/>
  <c r="W2403" i="1" s="1"/>
  <c r="U2621" i="1"/>
  <c r="U2623" i="1"/>
  <c r="V2623" i="1" s="1"/>
  <c r="W2623" i="1" s="1"/>
  <c r="U2627" i="1"/>
  <c r="V2627" i="1" s="1"/>
  <c r="U2653" i="1"/>
  <c r="V2653" i="1" s="1"/>
  <c r="W2653" i="1" s="1"/>
  <c r="U2718" i="1"/>
  <c r="V2718" i="1" s="1"/>
  <c r="U2767" i="1"/>
  <c r="U2812" i="1"/>
  <c r="V2812" i="1" s="1"/>
  <c r="W2812" i="1" s="1"/>
  <c r="U2819" i="1"/>
  <c r="V2819" i="1" s="1"/>
  <c r="U2824" i="1"/>
  <c r="V2824" i="1" s="1"/>
  <c r="W2824" i="1" s="1"/>
  <c r="U2902" i="1"/>
  <c r="U3053" i="1"/>
  <c r="V3053" i="1" s="1"/>
  <c r="W3053" i="1" s="1"/>
  <c r="U3073" i="1"/>
  <c r="V3073" i="1" s="1"/>
  <c r="W3073" i="1" s="1"/>
  <c r="U3104" i="1"/>
  <c r="U3122" i="1"/>
  <c r="V3122" i="1" s="1"/>
  <c r="W3122" i="1" s="1"/>
  <c r="U3281" i="1"/>
  <c r="V3281" i="1" s="1"/>
  <c r="W3281" i="1" s="1"/>
  <c r="U3327" i="1"/>
  <c r="V3327" i="1" s="1"/>
  <c r="W3327" i="1" s="1"/>
  <c r="Y3571" i="1"/>
  <c r="U3571" i="1"/>
  <c r="V3571" i="1" s="1"/>
  <c r="W3571" i="1" s="1"/>
  <c r="U3593" i="1"/>
  <c r="V3593" i="1" s="1"/>
  <c r="W3593" i="1" s="1"/>
  <c r="U3666" i="1"/>
  <c r="V3666" i="1" s="1"/>
  <c r="W3666" i="1" s="1"/>
  <c r="Y3666" i="1"/>
  <c r="Y2272" i="1"/>
  <c r="U3182" i="1"/>
  <c r="V3182" i="1" s="1"/>
  <c r="W3182" i="1" s="1"/>
  <c r="U3237" i="1"/>
  <c r="U3382" i="1"/>
  <c r="V3382" i="1" s="1"/>
  <c r="W3382" i="1" s="1"/>
  <c r="U3397" i="1"/>
  <c r="V3397" i="1" s="1"/>
  <c r="W3397" i="1" s="1"/>
  <c r="Y3433" i="1"/>
  <c r="U3481" i="1"/>
  <c r="Y3481" i="1"/>
  <c r="U3553" i="1"/>
  <c r="U3726" i="1"/>
  <c r="V3726" i="1" s="1"/>
  <c r="W3726" i="1" s="1"/>
  <c r="Y3739" i="1"/>
  <c r="U2879" i="1"/>
  <c r="V2879" i="1" s="1"/>
  <c r="W2879" i="1" s="1"/>
  <c r="Y2924" i="1"/>
  <c r="Y2987" i="1"/>
  <c r="U3023" i="1"/>
  <c r="V3023" i="1" s="1"/>
  <c r="W3023" i="1" s="1"/>
  <c r="Y3029" i="1"/>
  <c r="U3052" i="1"/>
  <c r="V3052" i="1" s="1"/>
  <c r="W3052" i="1" s="1"/>
  <c r="Y3056" i="1"/>
  <c r="U3083" i="1"/>
  <c r="V3083" i="1" s="1"/>
  <c r="W3083" i="1" s="1"/>
  <c r="U3210" i="1"/>
  <c r="V3210" i="1" s="1"/>
  <c r="W3210" i="1" s="1"/>
  <c r="U3291" i="1"/>
  <c r="V3291" i="1" s="1"/>
  <c r="W3291" i="1" s="1"/>
  <c r="Y3373" i="1"/>
  <c r="U3548" i="1"/>
  <c r="U3583" i="1"/>
  <c r="Y3583" i="1"/>
  <c r="U3594" i="1"/>
  <c r="V3594" i="1" s="1"/>
  <c r="W3594" i="1" s="1"/>
  <c r="U3650" i="1"/>
  <c r="U3033" i="1"/>
  <c r="V3033" i="1" s="1"/>
  <c r="W3033" i="1" s="1"/>
  <c r="Y3608" i="1"/>
  <c r="U3658" i="1"/>
  <c r="V3658" i="1" s="1"/>
  <c r="U2861" i="1"/>
  <c r="V2861" i="1" s="1"/>
  <c r="W2861" i="1" s="1"/>
  <c r="U2899" i="1"/>
  <c r="V2899" i="1" s="1"/>
  <c r="U2915" i="1"/>
  <c r="V2915" i="1" s="1"/>
  <c r="W2915" i="1" s="1"/>
  <c r="Y2915" i="1"/>
  <c r="U3094" i="1"/>
  <c r="V3094" i="1" s="1"/>
  <c r="W3094" i="1" s="1"/>
  <c r="U2212" i="1"/>
  <c r="V2212" i="1" s="1"/>
  <c r="W2212" i="1" s="1"/>
  <c r="Y2271" i="1"/>
  <c r="U2360" i="1"/>
  <c r="V2360" i="1" s="1"/>
  <c r="U2585" i="1"/>
  <c r="V2585" i="1" s="1"/>
  <c r="W2585" i="1" s="1"/>
  <c r="U2766" i="1"/>
  <c r="V2766" i="1" s="1"/>
  <c r="W2766" i="1" s="1"/>
  <c r="U2847" i="1"/>
  <c r="Y2883" i="1"/>
  <c r="U2922" i="1"/>
  <c r="V2922" i="1" s="1"/>
  <c r="Y3044" i="1"/>
  <c r="U3044" i="1"/>
  <c r="V3044" i="1" s="1"/>
  <c r="W3044" i="1" s="1"/>
  <c r="Y3243" i="1"/>
  <c r="Y3310" i="1"/>
  <c r="Y3397" i="1"/>
  <c r="U3502" i="1"/>
  <c r="U3527" i="1"/>
  <c r="V3527" i="1" s="1"/>
  <c r="W3527" i="1" s="1"/>
  <c r="Y3527" i="1"/>
  <c r="Y3715" i="1"/>
  <c r="Y2212" i="1"/>
  <c r="U2303" i="1"/>
  <c r="Y2339" i="1"/>
  <c r="U2365" i="1"/>
  <c r="V2365" i="1" s="1"/>
  <c r="W2365" i="1" s="1"/>
  <c r="Y2766" i="1"/>
  <c r="U2168" i="1"/>
  <c r="V2168" i="1" s="1"/>
  <c r="W2168" i="1" s="1"/>
  <c r="U2194" i="1"/>
  <c r="V2194" i="1" s="1"/>
  <c r="W2194" i="1" s="1"/>
  <c r="U2198" i="1"/>
  <c r="V2198" i="1" s="1"/>
  <c r="U2217" i="1"/>
  <c r="V2217" i="1" s="1"/>
  <c r="U2225" i="1"/>
  <c r="V2225" i="1" s="1"/>
  <c r="U2241" i="1"/>
  <c r="V2241" i="1" s="1"/>
  <c r="U2290" i="1"/>
  <c r="V2290" i="1" s="1"/>
  <c r="U2292" i="1"/>
  <c r="V2292" i="1" s="1"/>
  <c r="W2292" i="1" s="1"/>
  <c r="U2320" i="1"/>
  <c r="V2320" i="1" s="1"/>
  <c r="W2320" i="1" s="1"/>
  <c r="U2324" i="1"/>
  <c r="V2324" i="1" s="1"/>
  <c r="W2324" i="1" s="1"/>
  <c r="U2342" i="1"/>
  <c r="V2342" i="1" s="1"/>
  <c r="W2342" i="1" s="1"/>
  <c r="U2353" i="1"/>
  <c r="V2353" i="1" s="1"/>
  <c r="Y2365" i="1"/>
  <c r="U2427" i="1"/>
  <c r="V2427" i="1" s="1"/>
  <c r="W2427" i="1" s="1"/>
  <c r="U2431" i="1"/>
  <c r="V2431" i="1" s="1"/>
  <c r="W2431" i="1" s="1"/>
  <c r="U2449" i="1"/>
  <c r="V2449" i="1" s="1"/>
  <c r="W2449" i="1" s="1"/>
  <c r="U2471" i="1"/>
  <c r="V2471" i="1" s="1"/>
  <c r="W2471" i="1" s="1"/>
  <c r="U2484" i="1"/>
  <c r="V2484" i="1" s="1"/>
  <c r="W2484" i="1" s="1"/>
  <c r="U2488" i="1"/>
  <c r="V2488" i="1" s="1"/>
  <c r="W2488" i="1" s="1"/>
  <c r="U2492" i="1"/>
  <c r="V2492" i="1" s="1"/>
  <c r="W2492" i="1" s="1"/>
  <c r="U2494" i="1"/>
  <c r="V2494" i="1" s="1"/>
  <c r="U2500" i="1"/>
  <c r="V2500" i="1" s="1"/>
  <c r="Y2502" i="1"/>
  <c r="U2509" i="1"/>
  <c r="V2509" i="1" s="1"/>
  <c r="W2509" i="1" s="1"/>
  <c r="U2525" i="1"/>
  <c r="V2525" i="1" s="1"/>
  <c r="U2527" i="1"/>
  <c r="V2527" i="1" s="1"/>
  <c r="U2539" i="1"/>
  <c r="V2539" i="1" s="1"/>
  <c r="W2539" i="1" s="1"/>
  <c r="U2550" i="1"/>
  <c r="V2550" i="1" s="1"/>
  <c r="W2550" i="1" s="1"/>
  <c r="U2558" i="1"/>
  <c r="V2558" i="1" s="1"/>
  <c r="W2558" i="1" s="1"/>
  <c r="U2562" i="1"/>
  <c r="V2562" i="1" s="1"/>
  <c r="U2581" i="1"/>
  <c r="V2581" i="1" s="1"/>
  <c r="W2581" i="1" s="1"/>
  <c r="U2586" i="1"/>
  <c r="V2586" i="1" s="1"/>
  <c r="W2586" i="1" s="1"/>
  <c r="U2608" i="1"/>
  <c r="V2608" i="1" s="1"/>
  <c r="W2608" i="1" s="1"/>
  <c r="Y2610" i="1"/>
  <c r="U2618" i="1"/>
  <c r="V2618" i="1" s="1"/>
  <c r="U2628" i="1"/>
  <c r="V2628" i="1" s="1"/>
  <c r="W2628" i="1" s="1"/>
  <c r="U2630" i="1"/>
  <c r="V2630" i="1" s="1"/>
  <c r="W2630" i="1" s="1"/>
  <c r="U2659" i="1"/>
  <c r="V2659" i="1" s="1"/>
  <c r="U2687" i="1"/>
  <c r="V2687" i="1" s="1"/>
  <c r="U2741" i="1"/>
  <c r="V2741" i="1" s="1"/>
  <c r="U2810" i="1"/>
  <c r="V2810" i="1" s="1"/>
  <c r="U2814" i="1"/>
  <c r="V2814" i="1" s="1"/>
  <c r="U2850" i="1"/>
  <c r="V2850" i="1" s="1"/>
  <c r="U2852" i="1"/>
  <c r="V2852" i="1" s="1"/>
  <c r="Y2869" i="1"/>
  <c r="U2871" i="1"/>
  <c r="V2871" i="1" s="1"/>
  <c r="W2871" i="1" s="1"/>
  <c r="U2914" i="1"/>
  <c r="V2914" i="1" s="1"/>
  <c r="W2914" i="1" s="1"/>
  <c r="U2946" i="1"/>
  <c r="V2946" i="1" s="1"/>
  <c r="W2946" i="1" s="1"/>
  <c r="U2965" i="1"/>
  <c r="V2965" i="1" s="1"/>
  <c r="U2983" i="1"/>
  <c r="V2983" i="1" s="1"/>
  <c r="W2983" i="1" s="1"/>
  <c r="U3063" i="1"/>
  <c r="V3063" i="1" s="1"/>
  <c r="W3063" i="1" s="1"/>
  <c r="U3072" i="1"/>
  <c r="V3072" i="1" s="1"/>
  <c r="Y3072" i="1"/>
  <c r="U3088" i="1"/>
  <c r="V3088" i="1" s="1"/>
  <c r="W3088" i="1" s="1"/>
  <c r="U3120" i="1"/>
  <c r="V3120" i="1" s="1"/>
  <c r="W3120" i="1" s="1"/>
  <c r="U3124" i="1"/>
  <c r="V3124" i="1" s="1"/>
  <c r="W3124" i="1" s="1"/>
  <c r="U3133" i="1"/>
  <c r="V3133" i="1" s="1"/>
  <c r="W3133" i="1" s="1"/>
  <c r="Y3156" i="1"/>
  <c r="Y3172" i="1"/>
  <c r="U3215" i="1"/>
  <c r="V3215" i="1" s="1"/>
  <c r="W3215" i="1" s="1"/>
  <c r="Y3219" i="1"/>
  <c r="U3246" i="1"/>
  <c r="V3246" i="1" s="1"/>
  <c r="U3248" i="1"/>
  <c r="V3248" i="1" s="1"/>
  <c r="U3255" i="1"/>
  <c r="V3255" i="1" s="1"/>
  <c r="W3255" i="1" s="1"/>
  <c r="U3322" i="1"/>
  <c r="V3322" i="1" s="1"/>
  <c r="U3330" i="1"/>
  <c r="V3330" i="1" s="1"/>
  <c r="W3330" i="1" s="1"/>
  <c r="U3369" i="1"/>
  <c r="U3430" i="1"/>
  <c r="V3430" i="1" s="1"/>
  <c r="W3430" i="1" s="1"/>
  <c r="U3446" i="1"/>
  <c r="U3463" i="1"/>
  <c r="V3463" i="1" s="1"/>
  <c r="W3463" i="1" s="1"/>
  <c r="U3467" i="1"/>
  <c r="V3467" i="1" s="1"/>
  <c r="W3467" i="1" s="1"/>
  <c r="Y3472" i="1"/>
  <c r="U3472" i="1"/>
  <c r="V3472" i="1" s="1"/>
  <c r="W3472" i="1" s="1"/>
  <c r="Y3539" i="1"/>
  <c r="Y3548" i="1"/>
  <c r="U3556" i="1"/>
  <c r="V3556" i="1" s="1"/>
  <c r="U3634" i="1"/>
  <c r="U3646" i="1"/>
  <c r="V3646" i="1" s="1"/>
  <c r="W3646" i="1" s="1"/>
  <c r="U3705" i="1"/>
  <c r="U3078" i="1"/>
  <c r="V3078" i="1" s="1"/>
  <c r="W3078" i="1" s="1"/>
  <c r="Y3296" i="1"/>
  <c r="Y3298" i="1"/>
  <c r="U3303" i="1"/>
  <c r="U3505" i="1"/>
  <c r="V3505" i="1" s="1"/>
  <c r="Y3631" i="1"/>
  <c r="U2181" i="1"/>
  <c r="V2181" i="1" s="1"/>
  <c r="W2181" i="1" s="1"/>
  <c r="Y2197" i="1"/>
  <c r="U2210" i="1"/>
  <c r="V2210" i="1" s="1"/>
  <c r="W2210" i="1" s="1"/>
  <c r="Y2217" i="1"/>
  <c r="U2226" i="1"/>
  <c r="V2226" i="1" s="1"/>
  <c r="W2226" i="1" s="1"/>
  <c r="U2261" i="1"/>
  <c r="V2261" i="1" s="1"/>
  <c r="Y2276" i="1"/>
  <c r="U2281" i="1"/>
  <c r="V2281" i="1" s="1"/>
  <c r="W2281" i="1" s="1"/>
  <c r="U2283" i="1"/>
  <c r="V2283" i="1" s="1"/>
  <c r="W2283" i="1" s="1"/>
  <c r="Y2287" i="1"/>
  <c r="U2298" i="1"/>
  <c r="V2298" i="1" s="1"/>
  <c r="W2298" i="1" s="1"/>
  <c r="U2307" i="1"/>
  <c r="V2307" i="1" s="1"/>
  <c r="W2307" i="1" s="1"/>
  <c r="U2313" i="1"/>
  <c r="V2313" i="1" s="1"/>
  <c r="W2313" i="1" s="1"/>
  <c r="U2315" i="1"/>
  <c r="V2315" i="1" s="1"/>
  <c r="W2315" i="1" s="1"/>
  <c r="U2325" i="1"/>
  <c r="V2325" i="1" s="1"/>
  <c r="W2325" i="1" s="1"/>
  <c r="U2334" i="1"/>
  <c r="V2334" i="1" s="1"/>
  <c r="U2348" i="1"/>
  <c r="U2350" i="1"/>
  <c r="V2350" i="1" s="1"/>
  <c r="U2392" i="1"/>
  <c r="V2392" i="1" s="1"/>
  <c r="W2392" i="1" s="1"/>
  <c r="U2394" i="1"/>
  <c r="U2416" i="1"/>
  <c r="V2416" i="1" s="1"/>
  <c r="W2416" i="1" s="1"/>
  <c r="U2418" i="1"/>
  <c r="U2447" i="1"/>
  <c r="V2447" i="1" s="1"/>
  <c r="W2447" i="1" s="1"/>
  <c r="Y2495" i="1"/>
  <c r="U2502" i="1"/>
  <c r="V2502" i="1" s="1"/>
  <c r="W2502" i="1" s="1"/>
  <c r="U2506" i="1"/>
  <c r="V2506" i="1" s="1"/>
  <c r="W2506" i="1" s="1"/>
  <c r="Y2518" i="1"/>
  <c r="U2520" i="1"/>
  <c r="V2520" i="1" s="1"/>
  <c r="W2520" i="1" s="1"/>
  <c r="Y2526" i="1"/>
  <c r="U2530" i="1"/>
  <c r="V2530" i="1" s="1"/>
  <c r="U2532" i="1"/>
  <c r="V2532" i="1" s="1"/>
  <c r="Y2534" i="1"/>
  <c r="U2549" i="1"/>
  <c r="V2549" i="1" s="1"/>
  <c r="W2549" i="1" s="1"/>
  <c r="U2557" i="1"/>
  <c r="U2563" i="1"/>
  <c r="V2563" i="1" s="1"/>
  <c r="U2620" i="1"/>
  <c r="V2620" i="1" s="1"/>
  <c r="W2620" i="1" s="1"/>
  <c r="U2626" i="1"/>
  <c r="V2626" i="1" s="1"/>
  <c r="W2626" i="1" s="1"/>
  <c r="U2634" i="1"/>
  <c r="V2634" i="1" s="1"/>
  <c r="W2634" i="1" s="1"/>
  <c r="Y2639" i="1"/>
  <c r="U2647" i="1"/>
  <c r="V2647" i="1" s="1"/>
  <c r="W2647" i="1" s="1"/>
  <c r="U2649" i="1"/>
  <c r="V2649" i="1" s="1"/>
  <c r="U2651" i="1"/>
  <c r="V2651" i="1" s="1"/>
  <c r="W2651" i="1" s="1"/>
  <c r="U2671" i="1"/>
  <c r="V2671" i="1" s="1"/>
  <c r="W2671" i="1" s="1"/>
  <c r="Y2687" i="1"/>
  <c r="U2700" i="1"/>
  <c r="V2700" i="1" s="1"/>
  <c r="W2700" i="1" s="1"/>
  <c r="U2726" i="1"/>
  <c r="V2726" i="1" s="1"/>
  <c r="W2726" i="1" s="1"/>
  <c r="U2734" i="1"/>
  <c r="V2734" i="1" s="1"/>
  <c r="W2734" i="1" s="1"/>
  <c r="U2754" i="1"/>
  <c r="V2754" i="1" s="1"/>
  <c r="W2754" i="1" s="1"/>
  <c r="U2759" i="1"/>
  <c r="V2759" i="1" s="1"/>
  <c r="W2759" i="1" s="1"/>
  <c r="Y2771" i="1"/>
  <c r="U2792" i="1"/>
  <c r="V2792" i="1" s="1"/>
  <c r="U2798" i="1"/>
  <c r="V2798" i="1" s="1"/>
  <c r="Y2801" i="1"/>
  <c r="U2816" i="1"/>
  <c r="V2816" i="1" s="1"/>
  <c r="U2818" i="1"/>
  <c r="V2818" i="1" s="1"/>
  <c r="W2818" i="1" s="1"/>
  <c r="U2820" i="1"/>
  <c r="V2820" i="1" s="1"/>
  <c r="U2828" i="1"/>
  <c r="V2828" i="1" s="1"/>
  <c r="U2832" i="1"/>
  <c r="V2832" i="1" s="1"/>
  <c r="Y2838" i="1"/>
  <c r="U2845" i="1"/>
  <c r="U2898" i="1"/>
  <c r="V2898" i="1" s="1"/>
  <c r="U2934" i="1"/>
  <c r="V2934" i="1" s="1"/>
  <c r="U2962" i="1"/>
  <c r="Y2973" i="1"/>
  <c r="U2982" i="1"/>
  <c r="U2992" i="1"/>
  <c r="V2992" i="1" s="1"/>
  <c r="U3004" i="1"/>
  <c r="V3004" i="1" s="1"/>
  <c r="U3006" i="1"/>
  <c r="V3006" i="1" s="1"/>
  <c r="U3038" i="1"/>
  <c r="V3038" i="1" s="1"/>
  <c r="U3048" i="1"/>
  <c r="V3048" i="1" s="1"/>
  <c r="W3048" i="1" s="1"/>
  <c r="U3062" i="1"/>
  <c r="V3062" i="1" s="1"/>
  <c r="W3062" i="1" s="1"/>
  <c r="Y3078" i="1"/>
  <c r="U3097" i="1"/>
  <c r="U3113" i="1"/>
  <c r="V3113" i="1" s="1"/>
  <c r="W3113" i="1" s="1"/>
  <c r="U3117" i="1"/>
  <c r="U3136" i="1"/>
  <c r="V3136" i="1" s="1"/>
  <c r="U3138" i="1"/>
  <c r="V3138" i="1" s="1"/>
  <c r="W3138" i="1" s="1"/>
  <c r="U3154" i="1"/>
  <c r="V3154" i="1" s="1"/>
  <c r="U3156" i="1"/>
  <c r="V3156" i="1" s="1"/>
  <c r="W3156" i="1" s="1"/>
  <c r="U3188" i="1"/>
  <c r="V3188" i="1" s="1"/>
  <c r="U3208" i="1"/>
  <c r="V3208" i="1" s="1"/>
  <c r="U3216" i="1"/>
  <c r="V3216" i="1" s="1"/>
  <c r="U3222" i="1"/>
  <c r="V3222" i="1" s="1"/>
  <c r="U3244" i="1"/>
  <c r="V3244" i="1" s="1"/>
  <c r="W3244" i="1" s="1"/>
  <c r="U3269" i="1"/>
  <c r="V3269" i="1" s="1"/>
  <c r="W3269" i="1" s="1"/>
  <c r="U3271" i="1"/>
  <c r="V3271" i="1" s="1"/>
  <c r="W3271" i="1" s="1"/>
  <c r="U3273" i="1"/>
  <c r="V3273" i="1" s="1"/>
  <c r="W3273" i="1" s="1"/>
  <c r="U3277" i="1"/>
  <c r="Y3299" i="1"/>
  <c r="Y3303" i="1"/>
  <c r="U3315" i="1"/>
  <c r="V3315" i="1" s="1"/>
  <c r="W3315" i="1" s="1"/>
  <c r="U3341" i="1"/>
  <c r="U3347" i="1"/>
  <c r="V3347" i="1" s="1"/>
  <c r="W3347" i="1" s="1"/>
  <c r="U3370" i="1"/>
  <c r="V3370" i="1" s="1"/>
  <c r="W3370" i="1" s="1"/>
  <c r="U3372" i="1"/>
  <c r="V3372" i="1" s="1"/>
  <c r="U3396" i="1"/>
  <c r="V3396" i="1" s="1"/>
  <c r="W3396" i="1" s="1"/>
  <c r="U3415" i="1"/>
  <c r="U3436" i="1"/>
  <c r="V3436" i="1" s="1"/>
  <c r="W3436" i="1" s="1"/>
  <c r="U3443" i="1"/>
  <c r="V3443" i="1" s="1"/>
  <c r="W3443" i="1" s="1"/>
  <c r="U3460" i="1"/>
  <c r="U3475" i="1"/>
  <c r="V3475" i="1" s="1"/>
  <c r="W3475" i="1" s="1"/>
  <c r="U3490" i="1"/>
  <c r="V3490" i="1" s="1"/>
  <c r="W3490" i="1" s="1"/>
  <c r="Y3505" i="1"/>
  <c r="U3518" i="1"/>
  <c r="V3518" i="1" s="1"/>
  <c r="W3518" i="1" s="1"/>
  <c r="U3520" i="1"/>
  <c r="V3520" i="1" s="1"/>
  <c r="W3520" i="1" s="1"/>
  <c r="U3547" i="1"/>
  <c r="V3547" i="1" s="1"/>
  <c r="U3565" i="1"/>
  <c r="V3565" i="1" s="1"/>
  <c r="W3565" i="1" s="1"/>
  <c r="U3592" i="1"/>
  <c r="V3592" i="1" s="1"/>
  <c r="W3592" i="1" s="1"/>
  <c r="U3629" i="1"/>
  <c r="V3629" i="1" s="1"/>
  <c r="U3657" i="1"/>
  <c r="U3665" i="1"/>
  <c r="V3665" i="1" s="1"/>
  <c r="W3665" i="1" s="1"/>
  <c r="U3699" i="1"/>
  <c r="V3699" i="1" s="1"/>
  <c r="U3723" i="1"/>
  <c r="V3723" i="1" s="1"/>
  <c r="W3723" i="1" s="1"/>
  <c r="U2854" i="1"/>
  <c r="V2854" i="1" s="1"/>
  <c r="W2854" i="1" s="1"/>
  <c r="U2860" i="1"/>
  <c r="V2860" i="1" s="1"/>
  <c r="U2887" i="1"/>
  <c r="V2887" i="1" s="1"/>
  <c r="W2887" i="1" s="1"/>
  <c r="U2900" i="1"/>
  <c r="V2900" i="1" s="1"/>
  <c r="W2900" i="1" s="1"/>
  <c r="U2911" i="1"/>
  <c r="V2911" i="1" s="1"/>
  <c r="W2911" i="1" s="1"/>
  <c r="U2927" i="1"/>
  <c r="U2929" i="1"/>
  <c r="V2929" i="1" s="1"/>
  <c r="W2929" i="1" s="1"/>
  <c r="U2947" i="1"/>
  <c r="V2947" i="1" s="1"/>
  <c r="W2947" i="1" s="1"/>
  <c r="U2949" i="1"/>
  <c r="V2949" i="1" s="1"/>
  <c r="W2949" i="1" s="1"/>
  <c r="U2956" i="1"/>
  <c r="V2956" i="1" s="1"/>
  <c r="U2963" i="1"/>
  <c r="U2974" i="1"/>
  <c r="V2974" i="1" s="1"/>
  <c r="U2976" i="1"/>
  <c r="V2976" i="1" s="1"/>
  <c r="U3011" i="1"/>
  <c r="V3011" i="1" s="1"/>
  <c r="W3011" i="1" s="1"/>
  <c r="U3017" i="1"/>
  <c r="V3017" i="1" s="1"/>
  <c r="W3017" i="1" s="1"/>
  <c r="U3024" i="1"/>
  <c r="V3024" i="1" s="1"/>
  <c r="W3024" i="1" s="1"/>
  <c r="U3026" i="1"/>
  <c r="V3026" i="1" s="1"/>
  <c r="U3030" i="1"/>
  <c r="V3030" i="1" s="1"/>
  <c r="W3030" i="1" s="1"/>
  <c r="Y3032" i="1"/>
  <c r="U3047" i="1"/>
  <c r="V3047" i="1" s="1"/>
  <c r="W3047" i="1" s="1"/>
  <c r="Y3070" i="1"/>
  <c r="U3115" i="1"/>
  <c r="V3115" i="1" s="1"/>
  <c r="W3115" i="1" s="1"/>
  <c r="U3121" i="1"/>
  <c r="U3129" i="1"/>
  <c r="V3129" i="1" s="1"/>
  <c r="U3183" i="1"/>
  <c r="V3183" i="1" s="1"/>
  <c r="W3183" i="1" s="1"/>
  <c r="U3203" i="1"/>
  <c r="V3203" i="1" s="1"/>
  <c r="W3203" i="1" s="1"/>
  <c r="U3207" i="1"/>
  <c r="V3207" i="1" s="1"/>
  <c r="W3207" i="1" s="1"/>
  <c r="U3223" i="1"/>
  <c r="V3223" i="1" s="1"/>
  <c r="W3223" i="1" s="1"/>
  <c r="Y3235" i="1"/>
  <c r="U3278" i="1"/>
  <c r="V3278" i="1" s="1"/>
  <c r="W3278" i="1" s="1"/>
  <c r="U3282" i="1"/>
  <c r="U3297" i="1"/>
  <c r="V3297" i="1" s="1"/>
  <c r="W3297" i="1" s="1"/>
  <c r="U3300" i="1"/>
  <c r="V3300" i="1" s="1"/>
  <c r="W3300" i="1" s="1"/>
  <c r="U3335" i="1"/>
  <c r="V3335" i="1" s="1"/>
  <c r="U3361" i="1"/>
  <c r="V3361" i="1" s="1"/>
  <c r="W3361" i="1" s="1"/>
  <c r="U3368" i="1"/>
  <c r="V3368" i="1" s="1"/>
  <c r="W3368" i="1" s="1"/>
  <c r="Y3374" i="1"/>
  <c r="U3376" i="1"/>
  <c r="V3376" i="1" s="1"/>
  <c r="W3376" i="1" s="1"/>
  <c r="U3380" i="1"/>
  <c r="V3380" i="1" s="1"/>
  <c r="W3380" i="1" s="1"/>
  <c r="U3393" i="1"/>
  <c r="V3393" i="1" s="1"/>
  <c r="W3393" i="1" s="1"/>
  <c r="U3400" i="1"/>
  <c r="V3400" i="1" s="1"/>
  <c r="U3406" i="1"/>
  <c r="V3406" i="1" s="1"/>
  <c r="W3406" i="1" s="1"/>
  <c r="U3457" i="1"/>
  <c r="V3457" i="1" s="1"/>
  <c r="W3457" i="1" s="1"/>
  <c r="U3470" i="1"/>
  <c r="Y3493" i="1"/>
  <c r="U3507" i="1"/>
  <c r="V3507" i="1" s="1"/>
  <c r="W3507" i="1" s="1"/>
  <c r="U3511" i="1"/>
  <c r="U3521" i="1"/>
  <c r="V3521" i="1" s="1"/>
  <c r="W3521" i="1" s="1"/>
  <c r="Y3547" i="1"/>
  <c r="U3557" i="1"/>
  <c r="V3557" i="1" s="1"/>
  <c r="U3605" i="1"/>
  <c r="U3626" i="1"/>
  <c r="V3626" i="1" s="1"/>
  <c r="W3626" i="1" s="1"/>
  <c r="U3632" i="1"/>
  <c r="V3632" i="1" s="1"/>
  <c r="U3638" i="1"/>
  <c r="V3638" i="1" s="1"/>
  <c r="W3638" i="1" s="1"/>
  <c r="U3671" i="1"/>
  <c r="V3671" i="1" s="1"/>
  <c r="W3671" i="1" s="1"/>
  <c r="U3673" i="1"/>
  <c r="V3673" i="1" s="1"/>
  <c r="W3673" i="1" s="1"/>
  <c r="U3683" i="1"/>
  <c r="U3691" i="1"/>
  <c r="V3691" i="1" s="1"/>
  <c r="Y3693" i="1"/>
  <c r="U3734" i="1"/>
  <c r="V3734" i="1" s="1"/>
  <c r="W3734" i="1" s="1"/>
  <c r="Y3381" i="1"/>
  <c r="U3394" i="1"/>
  <c r="V3394" i="1" s="1"/>
  <c r="W3394" i="1" s="1"/>
  <c r="U3421" i="1"/>
  <c r="V3421" i="1" s="1"/>
  <c r="W3421" i="1" s="1"/>
  <c r="U3426" i="1"/>
  <c r="V3426" i="1" s="1"/>
  <c r="U3433" i="1"/>
  <c r="V3433" i="1" s="1"/>
  <c r="U3459" i="1"/>
  <c r="V3459" i="1" s="1"/>
  <c r="U3465" i="1"/>
  <c r="U3473" i="1"/>
  <c r="U3483" i="1"/>
  <c r="V3483" i="1" s="1"/>
  <c r="W3483" i="1" s="1"/>
  <c r="U3485" i="1"/>
  <c r="V3485" i="1" s="1"/>
  <c r="Y3491" i="1"/>
  <c r="U3497" i="1"/>
  <c r="V3497" i="1" s="1"/>
  <c r="U3501" i="1"/>
  <c r="V3501" i="1" s="1"/>
  <c r="W3501" i="1" s="1"/>
  <c r="Y3528" i="1"/>
  <c r="U3530" i="1"/>
  <c r="V3530" i="1" s="1"/>
  <c r="W3530" i="1" s="1"/>
  <c r="Y3536" i="1"/>
  <c r="U3544" i="1"/>
  <c r="V3544" i="1" s="1"/>
  <c r="W3544" i="1" s="1"/>
  <c r="U3550" i="1"/>
  <c r="V3550" i="1" s="1"/>
  <c r="W3550" i="1" s="1"/>
  <c r="U3559" i="1"/>
  <c r="U3568" i="1"/>
  <c r="V3568" i="1" s="1"/>
  <c r="W3568" i="1" s="1"/>
  <c r="Y3572" i="1"/>
  <c r="U3574" i="1"/>
  <c r="V3574" i="1" s="1"/>
  <c r="W3574" i="1" s="1"/>
  <c r="U3578" i="1"/>
  <c r="V3578" i="1" s="1"/>
  <c r="W3578" i="1" s="1"/>
  <c r="U3591" i="1"/>
  <c r="V3591" i="1" s="1"/>
  <c r="W3591" i="1" s="1"/>
  <c r="U3598" i="1"/>
  <c r="V3598" i="1" s="1"/>
  <c r="W3598" i="1" s="1"/>
  <c r="U3619" i="1"/>
  <c r="V3619" i="1" s="1"/>
  <c r="U3621" i="1"/>
  <c r="V3621" i="1" s="1"/>
  <c r="W3621" i="1" s="1"/>
  <c r="U3668" i="1"/>
  <c r="V3668" i="1" s="1"/>
  <c r="W3668" i="1" s="1"/>
  <c r="Y3672" i="1"/>
  <c r="U3676" i="1"/>
  <c r="V3676" i="1" s="1"/>
  <c r="W3676" i="1" s="1"/>
  <c r="U3730" i="1"/>
  <c r="V3730" i="1" s="1"/>
  <c r="U2564" i="1"/>
  <c r="Y2683" i="1"/>
  <c r="U2683" i="1"/>
  <c r="Y2969" i="1"/>
  <c r="U2969" i="1"/>
  <c r="Y3134" i="1"/>
  <c r="Y2473" i="1"/>
  <c r="U2473" i="1"/>
  <c r="Y2622" i="1"/>
  <c r="U2622" i="1"/>
  <c r="Y2172" i="1"/>
  <c r="U2172" i="1"/>
  <c r="U2202" i="1"/>
  <c r="U2209" i="1"/>
  <c r="U2363" i="1"/>
  <c r="Y2371" i="1"/>
  <c r="U2371" i="1"/>
  <c r="U2465" i="1"/>
  <c r="U2764" i="1"/>
  <c r="U2930" i="1"/>
  <c r="Y2930" i="1"/>
  <c r="Y3093" i="1"/>
  <c r="U3093" i="1"/>
  <c r="Y3525" i="1"/>
  <c r="U3525" i="1"/>
  <c r="U2204" i="1"/>
  <c r="Y2253" i="1"/>
  <c r="U2253" i="1"/>
  <c r="Y2346" i="1"/>
  <c r="U2346" i="1"/>
  <c r="Y2379" i="1"/>
  <c r="U2379" i="1"/>
  <c r="Y2512" i="1"/>
  <c r="U2512" i="1"/>
  <c r="U2548" i="1"/>
  <c r="Y3419" i="1"/>
  <c r="U3419" i="1"/>
  <c r="U2270" i="1"/>
  <c r="U2330" i="1"/>
  <c r="Y2338" i="1"/>
  <c r="U2338" i="1"/>
  <c r="Y2585" i="1"/>
  <c r="U2790" i="1"/>
  <c r="Y3326" i="1"/>
  <c r="U3326" i="1"/>
  <c r="V3492" i="1"/>
  <c r="W3492" i="1" s="1"/>
  <c r="U2189" i="1"/>
  <c r="Y2247" i="1"/>
  <c r="U2247" i="1"/>
  <c r="Y2264" i="1"/>
  <c r="U2264" i="1"/>
  <c r="Y2284" i="1"/>
  <c r="U2284" i="1"/>
  <c r="U2302" i="1"/>
  <c r="Y2423" i="1"/>
  <c r="U2423" i="1"/>
  <c r="U2543" i="1"/>
  <c r="U2964" i="1"/>
  <c r="U2243" i="1"/>
  <c r="U2280" i="1"/>
  <c r="U2907" i="1"/>
  <c r="U3103" i="1"/>
  <c r="U2173" i="1"/>
  <c r="U2221" i="1"/>
  <c r="U2259" i="1"/>
  <c r="U2411" i="1"/>
  <c r="U2437" i="1"/>
  <c r="U2441" i="1"/>
  <c r="U2521" i="1"/>
  <c r="U2604" i="1"/>
  <c r="U2738" i="1"/>
  <c r="U2873" i="1"/>
  <c r="U2888" i="1"/>
  <c r="Y3190" i="1"/>
  <c r="U3190" i="1"/>
  <c r="U2375" i="1"/>
  <c r="U2408" i="1"/>
  <c r="U2480" i="1"/>
  <c r="U2485" i="1"/>
  <c r="U2507" i="1"/>
  <c r="U2601" i="1"/>
  <c r="Y2601" i="1"/>
  <c r="U2701" i="1"/>
  <c r="U2721" i="1"/>
  <c r="U2744" i="1"/>
  <c r="U2795" i="1"/>
  <c r="U2823" i="1"/>
  <c r="U2937" i="1"/>
  <c r="U2950" i="1"/>
  <c r="U2952" i="1"/>
  <c r="U3071" i="1"/>
  <c r="Y2611" i="1"/>
  <c r="U2611" i="1"/>
  <c r="U2188" i="1"/>
  <c r="U2227" i="1"/>
  <c r="Y2231" i="1"/>
  <c r="U2231" i="1"/>
  <c r="U2297" i="1"/>
  <c r="U2337" i="1"/>
  <c r="U2395" i="1"/>
  <c r="U2429" i="1"/>
  <c r="U2433" i="1"/>
  <c r="U2504" i="1"/>
  <c r="U2540" i="1"/>
  <c r="U2654" i="1"/>
  <c r="U2690" i="1"/>
  <c r="U2755" i="1"/>
  <c r="U2782" i="1"/>
  <c r="U3159" i="1"/>
  <c r="U3362" i="1"/>
  <c r="Y3422" i="1"/>
  <c r="U3422" i="1"/>
  <c r="Y3458" i="1"/>
  <c r="U3458" i="1"/>
  <c r="U2311" i="1"/>
  <c r="U2382" i="1"/>
  <c r="U2390" i="1"/>
  <c r="U2398" i="1"/>
  <c r="U2501" i="1"/>
  <c r="U2533" i="1"/>
  <c r="U2610" i="1"/>
  <c r="U2746" i="1"/>
  <c r="U2851" i="1"/>
  <c r="U2859" i="1"/>
  <c r="U2875" i="1"/>
  <c r="U2895" i="1"/>
  <c r="U2986" i="1"/>
  <c r="U3028" i="1"/>
  <c r="Y3060" i="1"/>
  <c r="U3060" i="1"/>
  <c r="U3151" i="1"/>
  <c r="U3167" i="1"/>
  <c r="U3169" i="1"/>
  <c r="U3187" i="1"/>
  <c r="U3258" i="1"/>
  <c r="U3352" i="1"/>
  <c r="U3412" i="1"/>
  <c r="Y3468" i="1"/>
  <c r="U3468" i="1"/>
  <c r="U3495" i="1"/>
  <c r="U3736" i="1"/>
  <c r="U2206" i="1"/>
  <c r="U2304" i="1"/>
  <c r="Y2356" i="1"/>
  <c r="U2361" i="1"/>
  <c r="U2369" i="1"/>
  <c r="U2377" i="1"/>
  <c r="U2435" i="1"/>
  <c r="U2443" i="1"/>
  <c r="U2451" i="1"/>
  <c r="U2459" i="1"/>
  <c r="U2467" i="1"/>
  <c r="U2475" i="1"/>
  <c r="U2483" i="1"/>
  <c r="Y2549" i="1"/>
  <c r="U2576" i="1"/>
  <c r="U2589" i="1"/>
  <c r="U2596" i="1"/>
  <c r="U2637" i="1"/>
  <c r="U2650" i="1"/>
  <c r="U2668" i="1"/>
  <c r="Y2682" i="1"/>
  <c r="U2682" i="1"/>
  <c r="Y2685" i="1"/>
  <c r="U2728" i="1"/>
  <c r="U2769" i="1"/>
  <c r="U2843" i="1"/>
  <c r="U2874" i="1"/>
  <c r="U2906" i="1"/>
  <c r="U2918" i="1"/>
  <c r="U2970" i="1"/>
  <c r="U2973" i="1"/>
  <c r="U2978" i="1"/>
  <c r="U2984" i="1"/>
  <c r="Y3033" i="1"/>
  <c r="U3486" i="1"/>
  <c r="Y2880" i="1"/>
  <c r="U2880" i="1"/>
  <c r="Y2961" i="1"/>
  <c r="Y3284" i="1"/>
  <c r="U3284" i="1"/>
  <c r="Y3435" i="1"/>
  <c r="Y3439" i="1"/>
  <c r="U3439" i="1"/>
  <c r="Y3197" i="1"/>
  <c r="U3197" i="1"/>
  <c r="Y3315" i="1"/>
  <c r="U3454" i="1"/>
  <c r="Y3454" i="1"/>
  <c r="U2182" i="1"/>
  <c r="Y2381" i="1"/>
  <c r="U2406" i="1"/>
  <c r="U2414" i="1"/>
  <c r="U2593" i="1"/>
  <c r="Y2609" i="1"/>
  <c r="Y2637" i="1"/>
  <c r="Y2677" i="1"/>
  <c r="U2185" i="1"/>
  <c r="U2233" i="1"/>
  <c r="U2249" i="1"/>
  <c r="U2266" i="1"/>
  <c r="U2286" i="1"/>
  <c r="Y2291" i="1"/>
  <c r="U2335" i="1"/>
  <c r="U2343" i="1"/>
  <c r="U2351" i="1"/>
  <c r="U2425" i="1"/>
  <c r="U2514" i="1"/>
  <c r="U2582" i="1"/>
  <c r="U2619" i="1"/>
  <c r="U2624" i="1"/>
  <c r="U2632" i="1"/>
  <c r="Y2633" i="1"/>
  <c r="U2652" i="1"/>
  <c r="U2709" i="1"/>
  <c r="U2736" i="1"/>
  <c r="Y2756" i="1"/>
  <c r="U2813" i="1"/>
  <c r="U2831" i="1"/>
  <c r="Y2861" i="1"/>
  <c r="U2863" i="1"/>
  <c r="Y2863" i="1"/>
  <c r="U2891" i="1"/>
  <c r="U2894" i="1"/>
  <c r="U2967" i="1"/>
  <c r="U2985" i="1"/>
  <c r="U2996" i="1"/>
  <c r="U3021" i="1"/>
  <c r="U3139" i="1"/>
  <c r="U3179" i="1"/>
  <c r="Y3407" i="1"/>
  <c r="U3407" i="1"/>
  <c r="U2595" i="1"/>
  <c r="U2613" i="1"/>
  <c r="U2648" i="1"/>
  <c r="U2656" i="1"/>
  <c r="U2664" i="1"/>
  <c r="U2672" i="1"/>
  <c r="Y2681" i="1"/>
  <c r="Y2691" i="1"/>
  <c r="Y2806" i="1"/>
  <c r="U2857" i="1"/>
  <c r="U2865" i="1"/>
  <c r="V3418" i="1"/>
  <c r="W3418" i="1" s="1"/>
  <c r="U2896" i="1"/>
  <c r="Y2923" i="1"/>
  <c r="U3158" i="1"/>
  <c r="U3199" i="1"/>
  <c r="U2638" i="1"/>
  <c r="U2686" i="1"/>
  <c r="U2724" i="1"/>
  <c r="U2732" i="1"/>
  <c r="U2740" i="1"/>
  <c r="U2748" i="1"/>
  <c r="Y2765" i="1"/>
  <c r="U2796" i="1"/>
  <c r="U2840" i="1"/>
  <c r="U2848" i="1"/>
  <c r="U2856" i="1"/>
  <c r="U2912" i="1"/>
  <c r="U2923" i="1"/>
  <c r="Y2940" i="1"/>
  <c r="U2958" i="1"/>
  <c r="U2979" i="1"/>
  <c r="U2981" i="1"/>
  <c r="U3013" i="1"/>
  <c r="U3015" i="1"/>
  <c r="Y3077" i="1"/>
  <c r="U3102" i="1"/>
  <c r="U3110" i="1"/>
  <c r="Y3118" i="1"/>
  <c r="U3155" i="1"/>
  <c r="U3240" i="1"/>
  <c r="U3250" i="1"/>
  <c r="U3266" i="1"/>
  <c r="Y3289" i="1"/>
  <c r="U3289" i="1"/>
  <c r="Y3324" i="1"/>
  <c r="Y3359" i="1"/>
  <c r="U3359" i="1"/>
  <c r="Y3562" i="1"/>
  <c r="U3562" i="1"/>
  <c r="U3611" i="1"/>
  <c r="U3694" i="1"/>
  <c r="U2877" i="1"/>
  <c r="U2893" i="1"/>
  <c r="U2909" i="1"/>
  <c r="U2955" i="1"/>
  <c r="U2972" i="1"/>
  <c r="U3080" i="1"/>
  <c r="U3109" i="1"/>
  <c r="U3147" i="1"/>
  <c r="U3206" i="1"/>
  <c r="U3308" i="1"/>
  <c r="U3417" i="1"/>
  <c r="Y3494" i="1"/>
  <c r="U3494" i="1"/>
  <c r="Y3554" i="1"/>
  <c r="U3554" i="1"/>
  <c r="U3395" i="1"/>
  <c r="Y3423" i="1"/>
  <c r="U3423" i="1"/>
  <c r="U3517" i="1"/>
  <c r="U3648" i="1"/>
  <c r="U2936" i="1"/>
  <c r="U3111" i="1"/>
  <c r="U3165" i="1"/>
  <c r="U3185" i="1"/>
  <c r="U3195" i="1"/>
  <c r="U3214" i="1"/>
  <c r="U3239" i="1"/>
  <c r="U3242" i="1"/>
  <c r="Y3291" i="1"/>
  <c r="U3313" i="1"/>
  <c r="Y3341" i="1"/>
  <c r="U3358" i="1"/>
  <c r="W3477" i="1"/>
  <c r="U3531" i="1"/>
  <c r="U3698" i="1"/>
  <c r="Y3471" i="1"/>
  <c r="U3500" i="1"/>
  <c r="U3561" i="1"/>
  <c r="U3616" i="1"/>
  <c r="U3669" i="1"/>
  <c r="U3720" i="1"/>
  <c r="U3286" i="1"/>
  <c r="U3294" i="1"/>
  <c r="U3318" i="1"/>
  <c r="U3346" i="1"/>
  <c r="U3411" i="1"/>
  <c r="Y3436" i="1"/>
  <c r="U3447" i="1"/>
  <c r="U3516" i="1"/>
  <c r="U3600" i="1"/>
  <c r="Y3614" i="1"/>
  <c r="U3614" i="1"/>
  <c r="Y3669" i="1"/>
  <c r="Y3385" i="1"/>
  <c r="U3637" i="1"/>
  <c r="U3682" i="1"/>
  <c r="U3711" i="1"/>
  <c r="U3348" i="1"/>
  <c r="U3379" i="1"/>
  <c r="U3391" i="1"/>
  <c r="U3409" i="1"/>
  <c r="U3425" i="1"/>
  <c r="Y3431" i="1"/>
  <c r="U3498" i="1"/>
  <c r="U3537" i="1"/>
  <c r="U3545" i="1"/>
  <c r="U3570" i="1"/>
  <c r="U3575" i="1"/>
  <c r="U3589" i="1"/>
  <c r="U3599" i="1"/>
  <c r="U3615" i="1"/>
  <c r="Y3645" i="1"/>
  <c r="U3645" i="1"/>
  <c r="U3652" i="1"/>
  <c r="U3590" i="1"/>
  <c r="U3644" i="1"/>
  <c r="U3655" i="1"/>
  <c r="U3661" i="1"/>
  <c r="Y3675" i="1"/>
  <c r="U3709" i="1"/>
  <c r="U3636" i="1"/>
  <c r="U3512" i="1"/>
  <c r="U3569" i="1"/>
  <c r="U3606" i="1"/>
  <c r="U3675" i="1"/>
  <c r="Y3603" i="1"/>
  <c r="U3670" i="1"/>
  <c r="U3732" i="1"/>
  <c r="W3202" i="1" l="1"/>
  <c r="W3367" i="1"/>
  <c r="W3036" i="1"/>
  <c r="W3331" i="1"/>
  <c r="W2980" i="1"/>
  <c r="W2693" i="1"/>
  <c r="W3693" i="1"/>
  <c r="W2167" i="1"/>
  <c r="W2216" i="1"/>
  <c r="W3310" i="1"/>
  <c r="W3172" i="1"/>
  <c r="W2605" i="1"/>
  <c r="W2571" i="1"/>
  <c r="W2897" i="1"/>
  <c r="W2450" i="1"/>
  <c r="W2332" i="1"/>
  <c r="W2715" i="1"/>
  <c r="W2988" i="1"/>
  <c r="W2771" i="1"/>
  <c r="W2166" i="1"/>
  <c r="W3098" i="1"/>
  <c r="W2822" i="1"/>
  <c r="W3371" i="1"/>
  <c r="W3493" i="1"/>
  <c r="W2774" i="1"/>
  <c r="W2645" i="1"/>
  <c r="W2602" i="1"/>
  <c r="W3084" i="1"/>
  <c r="W3296" i="1"/>
  <c r="W3355" i="1"/>
  <c r="W2788" i="1"/>
  <c r="W2706" i="1"/>
  <c r="W2193" i="1"/>
  <c r="W3184" i="1"/>
  <c r="W2495" i="1"/>
  <c r="W2850" i="1"/>
  <c r="W3400" i="1"/>
  <c r="W2814" i="1"/>
  <c r="W3607" i="1"/>
  <c r="W2960" i="1"/>
  <c r="W3054" i="1"/>
  <c r="W2327" i="1"/>
  <c r="W3026" i="1"/>
  <c r="W2992" i="1"/>
  <c r="W3558" i="1"/>
  <c r="W2717" i="1"/>
  <c r="W2657" i="1"/>
  <c r="W2478" i="1"/>
  <c r="W2800" i="1"/>
  <c r="W2707" i="1"/>
  <c r="W3728" i="1"/>
  <c r="W3128" i="1"/>
  <c r="W2397" i="1"/>
  <c r="W2666" i="1"/>
  <c r="W2446" i="1"/>
  <c r="W2434" i="1"/>
  <c r="W3674" i="1"/>
  <c r="W3145" i="1"/>
  <c r="W2396" i="1"/>
  <c r="W2572" i="1"/>
  <c r="W3280" i="1"/>
  <c r="W3664" i="1"/>
  <c r="W2474" i="1"/>
  <c r="W2719" i="1"/>
  <c r="W2561" i="1"/>
  <c r="W3567" i="1"/>
  <c r="W2537" i="1"/>
  <c r="W3685" i="1"/>
  <c r="W2852" i="1"/>
  <c r="W2699" i="1"/>
  <c r="W3524" i="1"/>
  <c r="W2364" i="1"/>
  <c r="W2751" i="1"/>
  <c r="W3194" i="1"/>
  <c r="W2240" i="1"/>
  <c r="W3452" i="1"/>
  <c r="W3314" i="1"/>
  <c r="W2797" i="1"/>
  <c r="W2681" i="1"/>
  <c r="W3171" i="1"/>
  <c r="W3272" i="1"/>
  <c r="W3659" i="1"/>
  <c r="W3688" i="1"/>
  <c r="W2409" i="1"/>
  <c r="W2878" i="1"/>
  <c r="W2405" i="1"/>
  <c r="W3461" i="1"/>
  <c r="W3539" i="1"/>
  <c r="W3572" i="1"/>
  <c r="W3737" i="1"/>
  <c r="V3697" i="1"/>
  <c r="W3697" i="1" s="1"/>
  <c r="V2926" i="1"/>
  <c r="W2926" i="1" s="1"/>
  <c r="V2801" i="1"/>
  <c r="W2801" i="1" s="1"/>
  <c r="V2565" i="1"/>
  <c r="W2565" i="1" s="1"/>
  <c r="V2708" i="1"/>
  <c r="W2708" i="1" s="1"/>
  <c r="V3299" i="1"/>
  <c r="W3299" i="1" s="1"/>
  <c r="V3596" i="1"/>
  <c r="W3596" i="1" s="1"/>
  <c r="V3264" i="1"/>
  <c r="W3264" i="1" s="1"/>
  <c r="V3511" i="1"/>
  <c r="W3511" i="1" s="1"/>
  <c r="V2767" i="1"/>
  <c r="W2767" i="1" s="1"/>
  <c r="V3444" i="1"/>
  <c r="W3444" i="1" s="1"/>
  <c r="V2977" i="1"/>
  <c r="W2977" i="1" s="1"/>
  <c r="V3106" i="1"/>
  <c r="W3106" i="1" s="1"/>
  <c r="V2522" i="1"/>
  <c r="W2522" i="1" s="1"/>
  <c r="V2385" i="1"/>
  <c r="W2385" i="1" s="1"/>
  <c r="V2186" i="1"/>
  <c r="W2186" i="1" s="1"/>
  <c r="V2317" i="1"/>
  <c r="W2317" i="1" s="1"/>
  <c r="V3529" i="1"/>
  <c r="W3529" i="1" s="1"/>
  <c r="V2314" i="1"/>
  <c r="W2314" i="1" s="1"/>
  <c r="V3086" i="1"/>
  <c r="W3086" i="1" s="1"/>
  <c r="V2916" i="1"/>
  <c r="W2916" i="1" s="1"/>
  <c r="V3161" i="1"/>
  <c r="W3161" i="1" s="1"/>
  <c r="V2834" i="1"/>
  <c r="W2834" i="1" s="1"/>
  <c r="V3700" i="1"/>
  <c r="W3700" i="1" s="1"/>
  <c r="V2780" i="1"/>
  <c r="W2780" i="1" s="1"/>
  <c r="V2389" i="1"/>
  <c r="W2389" i="1" s="1"/>
  <c r="V2529" i="1"/>
  <c r="W2529" i="1" s="1"/>
  <c r="V2393" i="1"/>
  <c r="W2393" i="1" s="1"/>
  <c r="W2618" i="1"/>
  <c r="V2234" i="1"/>
  <c r="W2234" i="1" s="1"/>
  <c r="V3274" i="1"/>
  <c r="W3274" i="1" s="1"/>
  <c r="V2376" i="1"/>
  <c r="W2376" i="1" s="1"/>
  <c r="V3588" i="1"/>
  <c r="W3588" i="1" s="1"/>
  <c r="V3360" i="1"/>
  <c r="W3360" i="1" s="1"/>
  <c r="W2323" i="1"/>
  <c r="W3298" i="1"/>
  <c r="W3290" i="1"/>
  <c r="W2223" i="1"/>
  <c r="W2745" i="1"/>
  <c r="W3680" i="1"/>
  <c r="W3540" i="1"/>
  <c r="W3508" i="1"/>
  <c r="W2532" i="1"/>
  <c r="W2527" i="1"/>
  <c r="W2933" i="1"/>
  <c r="W3279" i="1"/>
  <c r="W3089" i="1"/>
  <c r="W3584" i="1"/>
  <c r="W2250" i="1"/>
  <c r="W2924" i="1"/>
  <c r="W2355" i="1"/>
  <c r="W2997" i="1"/>
  <c r="W2667" i="1"/>
  <c r="W3722" i="1"/>
  <c r="W3243" i="1"/>
  <c r="W2965" i="1"/>
  <c r="W2627" i="1"/>
  <c r="W3081" i="1"/>
  <c r="V3008" i="1"/>
  <c r="W3008" i="1" s="1"/>
  <c r="W2165" i="1"/>
  <c r="W2730" i="1"/>
  <c r="V3041" i="1"/>
  <c r="W3041" i="1" s="1"/>
  <c r="W2762" i="1"/>
  <c r="W2644" i="1"/>
  <c r="V3623" i="1"/>
  <c r="W3623" i="1" s="1"/>
  <c r="W2606" i="1"/>
  <c r="W2276" i="1"/>
  <c r="W2261" i="1"/>
  <c r="W2741" i="1"/>
  <c r="W3466" i="1"/>
  <c r="W2810" i="1"/>
  <c r="W2600" i="1"/>
  <c r="W2816" i="1"/>
  <c r="W2635" i="1"/>
  <c r="W2491" i="1"/>
  <c r="W2530" i="1"/>
  <c r="W2934" i="1"/>
  <c r="W3350" i="1"/>
  <c r="W3573" i="1"/>
  <c r="W3329" i="1"/>
  <c r="W3476" i="1"/>
  <c r="W2747" i="1"/>
  <c r="W2353" i="1"/>
  <c r="W3377" i="1"/>
  <c r="W3198" i="1"/>
  <c r="W2207" i="1"/>
  <c r="W3038" i="1"/>
  <c r="W3629" i="1"/>
  <c r="W3509" i="1"/>
  <c r="W3238" i="1"/>
  <c r="W2519" i="1"/>
  <c r="W3141" i="1"/>
  <c r="W2687" i="1"/>
  <c r="W2428" i="1"/>
  <c r="V2486" i="1"/>
  <c r="W2486" i="1" s="1"/>
  <c r="W3146" i="1"/>
  <c r="V3137" i="1"/>
  <c r="W3137" i="1" s="1"/>
  <c r="W2659" i="1"/>
  <c r="W3188" i="1"/>
  <c r="W2899" i="1"/>
  <c r="W3072" i="1"/>
  <c r="W2749" i="1"/>
  <c r="W2413" i="1"/>
  <c r="W2334" i="1"/>
  <c r="V2291" i="1"/>
  <c r="W2291" i="1" s="1"/>
  <c r="W2649" i="1"/>
  <c r="W2225" i="1"/>
  <c r="W3390" i="1"/>
  <c r="W2999" i="1"/>
  <c r="W2886" i="1"/>
  <c r="W2820" i="1"/>
  <c r="W2673" i="1"/>
  <c r="W2562" i="1"/>
  <c r="W2718" i="1"/>
  <c r="V2703" i="1"/>
  <c r="W2703" i="1" s="1"/>
  <c r="V3453" i="1"/>
  <c r="W3453" i="1" s="1"/>
  <c r="V3303" i="1"/>
  <c r="W3303" i="1" s="1"/>
  <c r="W2639" i="1"/>
  <c r="W2309" i="1"/>
  <c r="V2962" i="1"/>
  <c r="W2962" i="1" s="1"/>
  <c r="W3658" i="1"/>
  <c r="W2819" i="1"/>
  <c r="W2864" i="1"/>
  <c r="V2331" i="1"/>
  <c r="W2331" i="1" s="1"/>
  <c r="W3699" i="1"/>
  <c r="W3248" i="1"/>
  <c r="W2945" i="1"/>
  <c r="W3029" i="1"/>
  <c r="W3485" i="1"/>
  <c r="W2994" i="1"/>
  <c r="W2799" i="1"/>
  <c r="W3154" i="1"/>
  <c r="W3114" i="1"/>
  <c r="W3227" i="1"/>
  <c r="W2544" i="1"/>
  <c r="V2735" i="1"/>
  <c r="W2735" i="1" s="1"/>
  <c r="W2217" i="1"/>
  <c r="W2555" i="1"/>
  <c r="V2534" i="1"/>
  <c r="W2534" i="1" s="1"/>
  <c r="W2448" i="1"/>
  <c r="V2174" i="1"/>
  <c r="W2174" i="1" s="1"/>
  <c r="V2237" i="1"/>
  <c r="W2237" i="1" s="1"/>
  <c r="W2974" i="1"/>
  <c r="W3027" i="1"/>
  <c r="W2898" i="1"/>
  <c r="W2860" i="1"/>
  <c r="W3438" i="1"/>
  <c r="W2944" i="1"/>
  <c r="W2922" i="1"/>
  <c r="W3364" i="1"/>
  <c r="W3039" i="1"/>
  <c r="W2290" i="1"/>
  <c r="W3497" i="1"/>
  <c r="W2494" i="1"/>
  <c r="W3398" i="1"/>
  <c r="W2917" i="1"/>
  <c r="W2921" i="1"/>
  <c r="W3129" i="1"/>
  <c r="V2927" i="1"/>
  <c r="W2927" i="1" s="1"/>
  <c r="W2312" i="1"/>
  <c r="W2614" i="1"/>
  <c r="W3451" i="1"/>
  <c r="W2919" i="1"/>
  <c r="W2584" i="1"/>
  <c r="W2456" i="1"/>
  <c r="W3549" i="1"/>
  <c r="V3369" i="1"/>
  <c r="W3369" i="1" s="1"/>
  <c r="V2418" i="1"/>
  <c r="W2418" i="1" s="1"/>
  <c r="W2575" i="1"/>
  <c r="W2380" i="1"/>
  <c r="W2798" i="1"/>
  <c r="W3632" i="1"/>
  <c r="W3640" i="1"/>
  <c r="W3208" i="1"/>
  <c r="W3496" i="1"/>
  <c r="W2976" i="1"/>
  <c r="W2633" i="1"/>
  <c r="V3502" i="1"/>
  <c r="W3502" i="1" s="1"/>
  <c r="V3465" i="1"/>
  <c r="W3465" i="1" s="1"/>
  <c r="V3341" i="1"/>
  <c r="W3341" i="1" s="1"/>
  <c r="V3237" i="1"/>
  <c r="W3237" i="1" s="1"/>
  <c r="V2902" i="1"/>
  <c r="W2902" i="1" s="1"/>
  <c r="V3287" i="1"/>
  <c r="W3287" i="1" s="1"/>
  <c r="V3035" i="1"/>
  <c r="W3035" i="1" s="1"/>
  <c r="W3730" i="1"/>
  <c r="W3136" i="1"/>
  <c r="W2360" i="1"/>
  <c r="W2579" i="1"/>
  <c r="W2401" i="1"/>
  <c r="V3683" i="1"/>
  <c r="W3683" i="1" s="1"/>
  <c r="V2557" i="1"/>
  <c r="W2557" i="1" s="1"/>
  <c r="V3650" i="1"/>
  <c r="W3650" i="1" s="1"/>
  <c r="V3481" i="1"/>
  <c r="W3481" i="1" s="1"/>
  <c r="V2275" i="1"/>
  <c r="W2275" i="1" s="1"/>
  <c r="V2368" i="1"/>
  <c r="W2368" i="1" s="1"/>
  <c r="W3433" i="1"/>
  <c r="W3556" i="1"/>
  <c r="W3216" i="1"/>
  <c r="V3605" i="1"/>
  <c r="W3605" i="1" s="1"/>
  <c r="W3619" i="1"/>
  <c r="W2832" i="1"/>
  <c r="W2350" i="1"/>
  <c r="W2462" i="1"/>
  <c r="W2198" i="1"/>
  <c r="W2241" i="1"/>
  <c r="W2884" i="1"/>
  <c r="V3415" i="1"/>
  <c r="W3415" i="1" s="1"/>
  <c r="V2982" i="1"/>
  <c r="W2982" i="1" s="1"/>
  <c r="V2348" i="1"/>
  <c r="W2348" i="1" s="1"/>
  <c r="V3705" i="1"/>
  <c r="W3705" i="1" s="1"/>
  <c r="V2308" i="1"/>
  <c r="W2308" i="1" s="1"/>
  <c r="V3144" i="1"/>
  <c r="W3144" i="1" s="1"/>
  <c r="W3691" i="1"/>
  <c r="W3426" i="1"/>
  <c r="V2394" i="1"/>
  <c r="W2394" i="1" s="1"/>
  <c r="W3006" i="1"/>
  <c r="W2591" i="1"/>
  <c r="V2303" i="1"/>
  <c r="W2303" i="1" s="1"/>
  <c r="W2563" i="1"/>
  <c r="W2828" i="1"/>
  <c r="V3559" i="1"/>
  <c r="W3559" i="1" s="1"/>
  <c r="V3282" i="1"/>
  <c r="W3282" i="1" s="1"/>
  <c r="V3121" i="1"/>
  <c r="W3121" i="1" s="1"/>
  <c r="V3277" i="1"/>
  <c r="W3277" i="1" s="1"/>
  <c r="V3642" i="1"/>
  <c r="W3642" i="1" s="1"/>
  <c r="V2892" i="1"/>
  <c r="W2892" i="1" s="1"/>
  <c r="V2438" i="1"/>
  <c r="W2438" i="1" s="1"/>
  <c r="V3045" i="1"/>
  <c r="W3045" i="1" s="1"/>
  <c r="V2845" i="1"/>
  <c r="W2845" i="1" s="1"/>
  <c r="V3446" i="1"/>
  <c r="W3446" i="1" s="1"/>
  <c r="V3548" i="1"/>
  <c r="W3548" i="1" s="1"/>
  <c r="V3553" i="1"/>
  <c r="W3553" i="1" s="1"/>
  <c r="W2525" i="1"/>
  <c r="W3459" i="1"/>
  <c r="W3222" i="1"/>
  <c r="W3547" i="1"/>
  <c r="V3117" i="1"/>
  <c r="W3117" i="1" s="1"/>
  <c r="W3004" i="1"/>
  <c r="W2956" i="1"/>
  <c r="W2792" i="1"/>
  <c r="V3634" i="1"/>
  <c r="W3634" i="1" s="1"/>
  <c r="V2847" i="1"/>
  <c r="W2847" i="1" s="1"/>
  <c r="V3583" i="1"/>
  <c r="W3583" i="1" s="1"/>
  <c r="V3104" i="1"/>
  <c r="W3104" i="1" s="1"/>
  <c r="W3557" i="1"/>
  <c r="W3246" i="1"/>
  <c r="W3322" i="1"/>
  <c r="V2963" i="1"/>
  <c r="W2963" i="1" s="1"/>
  <c r="V3460" i="1"/>
  <c r="W3460" i="1" s="1"/>
  <c r="V3097" i="1"/>
  <c r="W3097" i="1" s="1"/>
  <c r="V2621" i="1"/>
  <c r="W2621" i="1" s="1"/>
  <c r="V3657" i="1"/>
  <c r="W3657" i="1" s="1"/>
  <c r="V3365" i="1"/>
  <c r="W3365" i="1" s="1"/>
  <c r="W3372" i="1"/>
  <c r="W3335" i="1"/>
  <c r="W3505" i="1"/>
  <c r="W2500" i="1"/>
  <c r="V3473" i="1"/>
  <c r="W3473" i="1" s="1"/>
  <c r="V3470" i="1"/>
  <c r="W3470" i="1" s="1"/>
  <c r="V3016" i="1"/>
  <c r="W3016" i="1" s="1"/>
  <c r="V3346" i="1"/>
  <c r="W3346" i="1" s="1"/>
  <c r="V3648" i="1"/>
  <c r="W3648" i="1" s="1"/>
  <c r="V2632" i="1"/>
  <c r="W2632" i="1" s="1"/>
  <c r="V2970" i="1"/>
  <c r="W2970" i="1" s="1"/>
  <c r="V2637" i="1"/>
  <c r="W2637" i="1" s="1"/>
  <c r="V3495" i="1"/>
  <c r="W3495" i="1" s="1"/>
  <c r="V2375" i="1"/>
  <c r="W2375" i="1" s="1"/>
  <c r="V2964" i="1"/>
  <c r="W2964" i="1" s="1"/>
  <c r="V2189" i="1"/>
  <c r="W2189" i="1" s="1"/>
  <c r="V2338" i="1"/>
  <c r="W2338" i="1" s="1"/>
  <c r="V3732" i="1"/>
  <c r="W3732" i="1" s="1"/>
  <c r="V3447" i="1"/>
  <c r="W3447" i="1" s="1"/>
  <c r="V3417" i="1"/>
  <c r="W3417" i="1" s="1"/>
  <c r="V2343" i="1"/>
  <c r="W2343" i="1" s="1"/>
  <c r="V2918" i="1"/>
  <c r="W2918" i="1" s="1"/>
  <c r="V3060" i="1"/>
  <c r="W3060" i="1" s="1"/>
  <c r="V2297" i="1"/>
  <c r="W2297" i="1" s="1"/>
  <c r="V3071" i="1"/>
  <c r="W3071" i="1" s="1"/>
  <c r="V2221" i="1"/>
  <c r="W2221" i="1" s="1"/>
  <c r="V3709" i="1"/>
  <c r="W3709" i="1" s="1"/>
  <c r="V2840" i="1"/>
  <c r="W2840" i="1" s="1"/>
  <c r="V2619" i="1"/>
  <c r="W2619" i="1" s="1"/>
  <c r="V2414" i="1"/>
  <c r="W2414" i="1" s="1"/>
  <c r="V2485" i="1"/>
  <c r="W2485" i="1" s="1"/>
  <c r="V2441" i="1"/>
  <c r="W2441" i="1" s="1"/>
  <c r="V2907" i="1"/>
  <c r="W2907" i="1" s="1"/>
  <c r="V3525" i="1"/>
  <c r="W3525" i="1" s="1"/>
  <c r="V3575" i="1"/>
  <c r="W3575" i="1" s="1"/>
  <c r="V3214" i="1"/>
  <c r="W3214" i="1" s="1"/>
  <c r="V2796" i="1"/>
  <c r="W2796" i="1" s="1"/>
  <c r="V3158" i="1"/>
  <c r="W3158" i="1" s="1"/>
  <c r="V2398" i="1"/>
  <c r="W2398" i="1" s="1"/>
  <c r="V2795" i="1"/>
  <c r="W2795" i="1" s="1"/>
  <c r="V3103" i="1"/>
  <c r="W3103" i="1" s="1"/>
  <c r="V2264" i="1"/>
  <c r="W2264" i="1" s="1"/>
  <c r="V2259" i="1"/>
  <c r="W2259" i="1" s="1"/>
  <c r="V2683" i="1"/>
  <c r="W2683" i="1" s="1"/>
  <c r="V3606" i="1"/>
  <c r="W3606" i="1" s="1"/>
  <c r="V3516" i="1"/>
  <c r="W3516" i="1" s="1"/>
  <c r="V2893" i="1"/>
  <c r="W2893" i="1" s="1"/>
  <c r="V3155" i="1"/>
  <c r="W3155" i="1" s="1"/>
  <c r="V2724" i="1"/>
  <c r="W2724" i="1" s="1"/>
  <c r="V2595" i="1"/>
  <c r="W2595" i="1" s="1"/>
  <c r="V2435" i="1"/>
  <c r="W2435" i="1" s="1"/>
  <c r="V3258" i="1"/>
  <c r="W3258" i="1" s="1"/>
  <c r="V2895" i="1"/>
  <c r="W2895" i="1" s="1"/>
  <c r="V3190" i="1"/>
  <c r="W3190" i="1" s="1"/>
  <c r="V2411" i="1"/>
  <c r="W2411" i="1" s="1"/>
  <c r="V3569" i="1"/>
  <c r="W3569" i="1" s="1"/>
  <c r="V3661" i="1"/>
  <c r="W3661" i="1" s="1"/>
  <c r="V3500" i="1"/>
  <c r="W3500" i="1" s="1"/>
  <c r="V2877" i="1"/>
  <c r="W2877" i="1" s="1"/>
  <c r="V2848" i="1"/>
  <c r="W2848" i="1" s="1"/>
  <c r="V2624" i="1"/>
  <c r="W2624" i="1" s="1"/>
  <c r="V2880" i="1"/>
  <c r="W2880" i="1" s="1"/>
  <c r="V2377" i="1"/>
  <c r="W2377" i="1" s="1"/>
  <c r="V2604" i="1"/>
  <c r="W2604" i="1" s="1"/>
  <c r="V2465" i="1"/>
  <c r="W2465" i="1" s="1"/>
  <c r="V3512" i="1"/>
  <c r="W3512" i="1" s="1"/>
  <c r="V3266" i="1"/>
  <c r="W3266" i="1" s="1"/>
  <c r="V3021" i="1"/>
  <c r="W3021" i="1" s="1"/>
  <c r="V2728" i="1"/>
  <c r="W2728" i="1" s="1"/>
  <c r="V2548" i="1"/>
  <c r="W2548" i="1" s="1"/>
  <c r="V3669" i="1"/>
  <c r="W3669" i="1" s="1"/>
  <c r="V3562" i="1"/>
  <c r="W3562" i="1" s="1"/>
  <c r="V3407" i="1"/>
  <c r="W3407" i="1" s="1"/>
  <c r="V2682" i="1"/>
  <c r="W2682" i="1" s="1"/>
  <c r="V2361" i="1"/>
  <c r="W2361" i="1" s="1"/>
  <c r="V3468" i="1"/>
  <c r="W3468" i="1" s="1"/>
  <c r="V3159" i="1"/>
  <c r="W3159" i="1" s="1"/>
  <c r="V2601" i="1"/>
  <c r="W2601" i="1" s="1"/>
  <c r="V3391" i="1"/>
  <c r="W3391" i="1" s="1"/>
  <c r="V3561" i="1"/>
  <c r="W3561" i="1" s="1"/>
  <c r="V3199" i="1"/>
  <c r="W3199" i="1" s="1"/>
  <c r="V2664" i="1"/>
  <c r="W2664" i="1" s="1"/>
  <c r="V2206" i="1"/>
  <c r="W2206" i="1" s="1"/>
  <c r="V3167" i="1"/>
  <c r="W3167" i="1" s="1"/>
  <c r="V2390" i="1"/>
  <c r="W2390" i="1" s="1"/>
  <c r="V2433" i="1"/>
  <c r="W2433" i="1" s="1"/>
  <c r="V2231" i="1"/>
  <c r="W2231" i="1" s="1"/>
  <c r="V3411" i="1"/>
  <c r="W3411" i="1" s="1"/>
  <c r="V3313" i="1"/>
  <c r="W3313" i="1" s="1"/>
  <c r="V3185" i="1"/>
  <c r="W3185" i="1" s="1"/>
  <c r="V2972" i="1"/>
  <c r="W2972" i="1" s="1"/>
  <c r="V3110" i="1"/>
  <c r="W3110" i="1" s="1"/>
  <c r="V2981" i="1"/>
  <c r="W2981" i="1" s="1"/>
  <c r="V2912" i="1"/>
  <c r="W2912" i="1" s="1"/>
  <c r="V2748" i="1"/>
  <c r="W2748" i="1" s="1"/>
  <c r="V2656" i="1"/>
  <c r="W2656" i="1" s="1"/>
  <c r="V2891" i="1"/>
  <c r="W2891" i="1" s="1"/>
  <c r="V2831" i="1"/>
  <c r="W2831" i="1" s="1"/>
  <c r="V2709" i="1"/>
  <c r="W2709" i="1" s="1"/>
  <c r="V2266" i="1"/>
  <c r="W2266" i="1" s="1"/>
  <c r="V2984" i="1"/>
  <c r="W2984" i="1" s="1"/>
  <c r="V2874" i="1"/>
  <c r="W2874" i="1" s="1"/>
  <c r="V2769" i="1"/>
  <c r="W2769" i="1" s="1"/>
  <c r="V2668" i="1"/>
  <c r="W2668" i="1" s="1"/>
  <c r="V2459" i="1"/>
  <c r="W2459" i="1" s="1"/>
  <c r="V3151" i="1"/>
  <c r="W3151" i="1" s="1"/>
  <c r="V2851" i="1"/>
  <c r="W2851" i="1" s="1"/>
  <c r="V2746" i="1"/>
  <c r="W2746" i="1" s="1"/>
  <c r="V2382" i="1"/>
  <c r="W2382" i="1" s="1"/>
  <c r="V2504" i="1"/>
  <c r="W2504" i="1" s="1"/>
  <c r="V2395" i="1"/>
  <c r="W2395" i="1" s="1"/>
  <c r="V2888" i="1"/>
  <c r="W2888" i="1" s="1"/>
  <c r="V2437" i="1"/>
  <c r="W2437" i="1" s="1"/>
  <c r="V3326" i="1"/>
  <c r="W3326" i="1" s="1"/>
  <c r="V2346" i="1"/>
  <c r="W2346" i="1" s="1"/>
  <c r="V2253" i="1"/>
  <c r="W2253" i="1" s="1"/>
  <c r="V2371" i="1"/>
  <c r="W2371" i="1" s="1"/>
  <c r="V2622" i="1"/>
  <c r="W2622" i="1" s="1"/>
  <c r="V3395" i="1"/>
  <c r="W3395" i="1" s="1"/>
  <c r="V3494" i="1"/>
  <c r="W3494" i="1" s="1"/>
  <c r="V3289" i="1"/>
  <c r="W3289" i="1" s="1"/>
  <c r="V2856" i="1"/>
  <c r="W2856" i="1" s="1"/>
  <c r="V2185" i="1"/>
  <c r="W2185" i="1" s="1"/>
  <c r="V2593" i="1"/>
  <c r="W2593" i="1" s="1"/>
  <c r="V2843" i="1"/>
  <c r="W2843" i="1" s="1"/>
  <c r="V3736" i="1"/>
  <c r="W3736" i="1" s="1"/>
  <c r="V2540" i="1"/>
  <c r="W2540" i="1" s="1"/>
  <c r="V2227" i="1"/>
  <c r="W2227" i="1" s="1"/>
  <c r="V2243" i="1"/>
  <c r="W2243" i="1" s="1"/>
  <c r="V2969" i="1"/>
  <c r="W2969" i="1" s="1"/>
  <c r="V3698" i="1"/>
  <c r="W3698" i="1" s="1"/>
  <c r="V3554" i="1"/>
  <c r="W3554" i="1" s="1"/>
  <c r="V3206" i="1"/>
  <c r="W3206" i="1" s="1"/>
  <c r="V2686" i="1"/>
  <c r="W2686" i="1" s="1"/>
  <c r="V2813" i="1"/>
  <c r="W2813" i="1" s="1"/>
  <c r="V3439" i="1"/>
  <c r="W3439" i="1" s="1"/>
  <c r="V3362" i="1"/>
  <c r="W3362" i="1" s="1"/>
  <c r="V2611" i="1"/>
  <c r="W2611" i="1" s="1"/>
  <c r="V2937" i="1"/>
  <c r="W2937" i="1" s="1"/>
  <c r="V2379" i="1"/>
  <c r="W2379" i="1" s="1"/>
  <c r="V2363" i="1"/>
  <c r="W2363" i="1" s="1"/>
  <c r="V3655" i="1"/>
  <c r="W3655" i="1" s="1"/>
  <c r="V3589" i="1"/>
  <c r="W3589" i="1" s="1"/>
  <c r="V3694" i="1"/>
  <c r="W3694" i="1" s="1"/>
  <c r="V2638" i="1"/>
  <c r="W2638" i="1" s="1"/>
  <c r="V2967" i="1"/>
  <c r="W2967" i="1" s="1"/>
  <c r="V2483" i="1"/>
  <c r="W2483" i="1" s="1"/>
  <c r="V3187" i="1"/>
  <c r="W3187" i="1" s="1"/>
  <c r="V2875" i="1"/>
  <c r="W2875" i="1" s="1"/>
  <c r="V2790" i="1"/>
  <c r="W2790" i="1" s="1"/>
  <c r="V3409" i="1"/>
  <c r="W3409" i="1" s="1"/>
  <c r="V3015" i="1"/>
  <c r="W3015" i="1" s="1"/>
  <c r="V2896" i="1"/>
  <c r="W2896" i="1" s="1"/>
  <c r="V2672" i="1"/>
  <c r="W2672" i="1" s="1"/>
  <c r="V2406" i="1"/>
  <c r="W2406" i="1" s="1"/>
  <c r="V2475" i="1"/>
  <c r="W2475" i="1" s="1"/>
  <c r="V3169" i="1"/>
  <c r="W3169" i="1" s="1"/>
  <c r="V3458" i="1"/>
  <c r="W3458" i="1" s="1"/>
  <c r="V2473" i="1"/>
  <c r="W2473" i="1" s="1"/>
  <c r="V3637" i="1"/>
  <c r="W3637" i="1" s="1"/>
  <c r="V3423" i="1"/>
  <c r="W3423" i="1" s="1"/>
  <c r="V2923" i="1"/>
  <c r="W2923" i="1" s="1"/>
  <c r="V2894" i="1"/>
  <c r="W2894" i="1" s="1"/>
  <c r="V2286" i="1"/>
  <c r="W2286" i="1" s="1"/>
  <c r="V2467" i="1"/>
  <c r="W2467" i="1" s="1"/>
  <c r="V3352" i="1"/>
  <c r="W3352" i="1" s="1"/>
  <c r="V2533" i="1"/>
  <c r="W2533" i="1" s="1"/>
  <c r="V2782" i="1"/>
  <c r="W2782" i="1" s="1"/>
  <c r="V2302" i="1"/>
  <c r="W2302" i="1" s="1"/>
  <c r="V2330" i="1"/>
  <c r="W2330" i="1" s="1"/>
  <c r="V3670" i="1"/>
  <c r="W3670" i="1" s="1"/>
  <c r="V3644" i="1"/>
  <c r="W3644" i="1" s="1"/>
  <c r="V3570" i="1"/>
  <c r="W3570" i="1" s="1"/>
  <c r="V3711" i="1"/>
  <c r="W3711" i="1" s="1"/>
  <c r="V3294" i="1"/>
  <c r="W3294" i="1" s="1"/>
  <c r="V3590" i="1"/>
  <c r="W3590" i="1" s="1"/>
  <c r="V3615" i="1"/>
  <c r="W3615" i="1" s="1"/>
  <c r="V3545" i="1"/>
  <c r="W3545" i="1" s="1"/>
  <c r="V3348" i="1"/>
  <c r="W3348" i="1" s="1"/>
  <c r="V3682" i="1"/>
  <c r="W3682" i="1" s="1"/>
  <c r="V3286" i="1"/>
  <c r="W3286" i="1" s="1"/>
  <c r="V3531" i="1"/>
  <c r="W3531" i="1" s="1"/>
  <c r="V3358" i="1"/>
  <c r="W3358" i="1" s="1"/>
  <c r="V3242" i="1"/>
  <c r="W3242" i="1" s="1"/>
  <c r="V3165" i="1"/>
  <c r="W3165" i="1" s="1"/>
  <c r="V3517" i="1"/>
  <c r="W3517" i="1" s="1"/>
  <c r="V3308" i="1"/>
  <c r="W3308" i="1" s="1"/>
  <c r="V2955" i="1"/>
  <c r="W2955" i="1" s="1"/>
  <c r="V3240" i="1"/>
  <c r="W3240" i="1" s="1"/>
  <c r="V3102" i="1"/>
  <c r="W3102" i="1" s="1"/>
  <c r="V2979" i="1"/>
  <c r="W2979" i="1" s="1"/>
  <c r="V2740" i="1"/>
  <c r="W2740" i="1" s="1"/>
  <c r="V2865" i="1"/>
  <c r="W2865" i="1" s="1"/>
  <c r="V2648" i="1"/>
  <c r="W2648" i="1" s="1"/>
  <c r="V2996" i="1"/>
  <c r="W2996" i="1" s="1"/>
  <c r="V2652" i="1"/>
  <c r="W2652" i="1" s="1"/>
  <c r="V2514" i="1"/>
  <c r="W2514" i="1" s="1"/>
  <c r="V2249" i="1"/>
  <c r="W2249" i="1" s="1"/>
  <c r="V2978" i="1"/>
  <c r="W2978" i="1" s="1"/>
  <c r="V2576" i="1"/>
  <c r="W2576" i="1" s="1"/>
  <c r="V2451" i="1"/>
  <c r="W2451" i="1" s="1"/>
  <c r="V2986" i="1"/>
  <c r="W2986" i="1" s="1"/>
  <c r="V2501" i="1"/>
  <c r="W2501" i="1" s="1"/>
  <c r="V2311" i="1"/>
  <c r="W2311" i="1" s="1"/>
  <c r="V2755" i="1"/>
  <c r="W2755" i="1" s="1"/>
  <c r="V2744" i="1"/>
  <c r="W2744" i="1" s="1"/>
  <c r="V2408" i="1"/>
  <c r="W2408" i="1" s="1"/>
  <c r="V2873" i="1"/>
  <c r="W2873" i="1" s="1"/>
  <c r="V2270" i="1"/>
  <c r="W2270" i="1" s="1"/>
  <c r="V2764" i="1"/>
  <c r="W2764" i="1" s="1"/>
  <c r="V2172" i="1"/>
  <c r="W2172" i="1" s="1"/>
  <c r="V3498" i="1"/>
  <c r="W3498" i="1" s="1"/>
  <c r="V3614" i="1"/>
  <c r="W3614" i="1" s="1"/>
  <c r="V2958" i="1"/>
  <c r="W2958" i="1" s="1"/>
  <c r="V3139" i="1"/>
  <c r="W3139" i="1" s="1"/>
  <c r="V2351" i="1"/>
  <c r="W2351" i="1" s="1"/>
  <c r="V3486" i="1"/>
  <c r="W3486" i="1" s="1"/>
  <c r="V2304" i="1"/>
  <c r="W2304" i="1" s="1"/>
  <c r="V2950" i="1"/>
  <c r="W2950" i="1" s="1"/>
  <c r="V3611" i="1"/>
  <c r="W3611" i="1" s="1"/>
  <c r="V2863" i="1"/>
  <c r="W2863" i="1" s="1"/>
  <c r="V2736" i="1"/>
  <c r="W2736" i="1" s="1"/>
  <c r="V3454" i="1"/>
  <c r="W3454" i="1" s="1"/>
  <c r="V2610" i="1"/>
  <c r="W2610" i="1" s="1"/>
  <c r="V2188" i="1"/>
  <c r="W2188" i="1" s="1"/>
  <c r="V2284" i="1"/>
  <c r="W2284" i="1" s="1"/>
  <c r="V3425" i="1"/>
  <c r="W3425" i="1" s="1"/>
  <c r="V3600" i="1"/>
  <c r="W3600" i="1" s="1"/>
  <c r="V3318" i="1"/>
  <c r="W3318" i="1" s="1"/>
  <c r="V2936" i="1"/>
  <c r="W2936" i="1" s="1"/>
  <c r="V3147" i="1"/>
  <c r="W3147" i="1" s="1"/>
  <c r="V2335" i="1"/>
  <c r="W2335" i="1" s="1"/>
  <c r="V2906" i="1"/>
  <c r="W2906" i="1" s="1"/>
  <c r="V2369" i="1"/>
  <c r="W2369" i="1" s="1"/>
  <c r="V2701" i="1"/>
  <c r="W2701" i="1" s="1"/>
  <c r="V2423" i="1"/>
  <c r="W2423" i="1" s="1"/>
  <c r="V2202" i="1"/>
  <c r="W2202" i="1" s="1"/>
  <c r="V3675" i="1"/>
  <c r="W3675" i="1" s="1"/>
  <c r="V3652" i="1"/>
  <c r="W3652" i="1" s="1"/>
  <c r="V3109" i="1"/>
  <c r="W3109" i="1" s="1"/>
  <c r="V3197" i="1"/>
  <c r="W3197" i="1" s="1"/>
  <c r="V2596" i="1"/>
  <c r="W2596" i="1" s="1"/>
  <c r="V3412" i="1"/>
  <c r="W3412" i="1" s="1"/>
  <c r="V2480" i="1"/>
  <c r="W2480" i="1" s="1"/>
  <c r="V2512" i="1"/>
  <c r="W2512" i="1" s="1"/>
  <c r="V3636" i="1"/>
  <c r="W3636" i="1" s="1"/>
  <c r="V3645" i="1"/>
  <c r="W3645" i="1" s="1"/>
  <c r="V3195" i="1"/>
  <c r="W3195" i="1" s="1"/>
  <c r="V3080" i="1"/>
  <c r="W3080" i="1" s="1"/>
  <c r="V3250" i="1"/>
  <c r="W3250" i="1" s="1"/>
  <c r="V3013" i="1"/>
  <c r="W3013" i="1" s="1"/>
  <c r="V2582" i="1"/>
  <c r="W2582" i="1" s="1"/>
  <c r="V2589" i="1"/>
  <c r="W2589" i="1" s="1"/>
  <c r="V2859" i="1"/>
  <c r="W2859" i="1" s="1"/>
  <c r="V2690" i="1"/>
  <c r="W2690" i="1" s="1"/>
  <c r="V2337" i="1"/>
  <c r="W2337" i="1" s="1"/>
  <c r="V2738" i="1"/>
  <c r="W2738" i="1" s="1"/>
  <c r="V2280" i="1"/>
  <c r="W2280" i="1" s="1"/>
  <c r="V2543" i="1"/>
  <c r="W2543" i="1" s="1"/>
  <c r="V3419" i="1"/>
  <c r="W3419" i="1" s="1"/>
  <c r="V3379" i="1"/>
  <c r="W3379" i="1" s="1"/>
  <c r="V3599" i="1"/>
  <c r="W3599" i="1" s="1"/>
  <c r="V3537" i="1"/>
  <c r="W3537" i="1" s="1"/>
  <c r="V3720" i="1"/>
  <c r="W3720" i="1" s="1"/>
  <c r="V3616" i="1"/>
  <c r="W3616" i="1" s="1"/>
  <c r="V3239" i="1"/>
  <c r="W3239" i="1" s="1"/>
  <c r="V3111" i="1"/>
  <c r="W3111" i="1" s="1"/>
  <c r="V2909" i="1"/>
  <c r="W2909" i="1" s="1"/>
  <c r="V3359" i="1"/>
  <c r="W3359" i="1" s="1"/>
  <c r="V2732" i="1"/>
  <c r="W2732" i="1" s="1"/>
  <c r="V2857" i="1"/>
  <c r="W2857" i="1" s="1"/>
  <c r="V2613" i="1"/>
  <c r="W2613" i="1" s="1"/>
  <c r="V3179" i="1"/>
  <c r="W3179" i="1" s="1"/>
  <c r="V2985" i="1"/>
  <c r="W2985" i="1" s="1"/>
  <c r="V2425" i="1"/>
  <c r="W2425" i="1" s="1"/>
  <c r="V2233" i="1"/>
  <c r="W2233" i="1" s="1"/>
  <c r="V2182" i="1"/>
  <c r="W2182" i="1" s="1"/>
  <c r="V3284" i="1"/>
  <c r="W3284" i="1" s="1"/>
  <c r="V2973" i="1"/>
  <c r="W2973" i="1" s="1"/>
  <c r="V2650" i="1"/>
  <c r="W2650" i="1" s="1"/>
  <c r="V2443" i="1"/>
  <c r="W2443" i="1" s="1"/>
  <c r="V3028" i="1"/>
  <c r="W3028" i="1" s="1"/>
  <c r="V3422" i="1"/>
  <c r="W3422" i="1" s="1"/>
  <c r="V2654" i="1"/>
  <c r="W2654" i="1" s="1"/>
  <c r="V2429" i="1"/>
  <c r="W2429" i="1" s="1"/>
  <c r="V2952" i="1"/>
  <c r="W2952" i="1" s="1"/>
  <c r="V2823" i="1"/>
  <c r="W2823" i="1" s="1"/>
  <c r="V2721" i="1"/>
  <c r="W2721" i="1" s="1"/>
  <c r="V2507" i="1"/>
  <c r="W2507" i="1" s="1"/>
  <c r="V2521" i="1"/>
  <c r="W2521" i="1" s="1"/>
  <c r="V2173" i="1"/>
  <c r="V2247" i="1"/>
  <c r="W2247" i="1" s="1"/>
  <c r="V2204" i="1"/>
  <c r="W2204" i="1" s="1"/>
  <c r="V3093" i="1"/>
  <c r="W3093" i="1" s="1"/>
  <c r="V2930" i="1"/>
  <c r="W2930" i="1" s="1"/>
  <c r="V2209" i="1"/>
  <c r="W2209" i="1" s="1"/>
  <c r="V2564" i="1"/>
  <c r="W2564" i="1" s="1"/>
  <c r="W2173" i="1" l="1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B3" i="3"/>
  <c r="L65" i="7" l="1"/>
  <c r="D3" i="3" l="1"/>
  <c r="D2" i="7" l="1"/>
  <c r="L62" i="7" l="1"/>
  <c r="L22" i="7" l="1"/>
  <c r="J2" i="6" l="1"/>
  <c r="D2" i="3" l="1"/>
</calcChain>
</file>

<file path=xl/sharedStrings.xml><?xml version="1.0" encoding="utf-8"?>
<sst xmlns="http://schemas.openxmlformats.org/spreadsheetml/2006/main" count="47575" uniqueCount="6788">
  <si>
    <t>Date</t>
  </si>
  <si>
    <t>Durée de charge</t>
  </si>
  <si>
    <t>Ticket/BL</t>
  </si>
  <si>
    <t>Matricule</t>
  </si>
  <si>
    <t>Type Camion</t>
  </si>
  <si>
    <t>BC</t>
  </si>
  <si>
    <t>Client</t>
  </si>
  <si>
    <t>Type</t>
  </si>
  <si>
    <t>Pdt</t>
  </si>
  <si>
    <t>Produit</t>
  </si>
  <si>
    <t>Qté en T</t>
  </si>
  <si>
    <t>Qté en m3</t>
  </si>
  <si>
    <t>Densité</t>
  </si>
  <si>
    <t>Prix en T</t>
  </si>
  <si>
    <t>Prix en m3</t>
  </si>
  <si>
    <t>Dons Chauffeur</t>
  </si>
  <si>
    <t>CA BRUT</t>
  </si>
  <si>
    <t>Prix Transport</t>
  </si>
  <si>
    <t>CA Transport</t>
  </si>
  <si>
    <t>CA Net</t>
  </si>
  <si>
    <t>CA Net Fact</t>
  </si>
  <si>
    <t>CA Net H Fact</t>
  </si>
  <si>
    <t>Coût de transport</t>
  </si>
  <si>
    <t>Marge sur Transport</t>
  </si>
  <si>
    <t>Transporteur</t>
  </si>
  <si>
    <t>Chantier</t>
  </si>
  <si>
    <t>-</t>
  </si>
  <si>
    <t>Nobles</t>
  </si>
  <si>
    <t>Grz</t>
  </si>
  <si>
    <t>GRAIN DE RIZ</t>
  </si>
  <si>
    <t/>
  </si>
  <si>
    <t>DEPART</t>
  </si>
  <si>
    <t>29630B40</t>
  </si>
  <si>
    <t>Gr1</t>
  </si>
  <si>
    <t>GRAVETTE G1</t>
  </si>
  <si>
    <t>EN ESPECE</t>
  </si>
  <si>
    <t>CLIENTS AU COMPTANT</t>
  </si>
  <si>
    <t>Graves</t>
  </si>
  <si>
    <t>TOUT VENANT 0/40</t>
  </si>
  <si>
    <t>21425B40</t>
  </si>
  <si>
    <t>62867B40</t>
  </si>
  <si>
    <t>TRANS SOTA</t>
  </si>
  <si>
    <t>Sable</t>
  </si>
  <si>
    <t>SABLE CONCASSAGE</t>
  </si>
  <si>
    <t>73187B40</t>
  </si>
  <si>
    <t>VILLA MARIN TRANS</t>
  </si>
  <si>
    <t>90516A40</t>
  </si>
  <si>
    <t>Gr2</t>
  </si>
  <si>
    <t>GRAVETTE G2</t>
  </si>
  <si>
    <t>53561B40</t>
  </si>
  <si>
    <t>25695B40</t>
  </si>
  <si>
    <t>BIKOMKAV</t>
  </si>
  <si>
    <t>29377B40</t>
  </si>
  <si>
    <t>74602B40</t>
  </si>
  <si>
    <t>47000A44</t>
  </si>
  <si>
    <t>Stérile</t>
  </si>
  <si>
    <t>STERIL</t>
  </si>
  <si>
    <t>5772D40</t>
  </si>
  <si>
    <t>84967D6</t>
  </si>
  <si>
    <t>11430A25</t>
  </si>
  <si>
    <t>13487A40</t>
  </si>
  <si>
    <t>12854A44</t>
  </si>
  <si>
    <t>SOLO</t>
  </si>
  <si>
    <t>97970B40</t>
  </si>
  <si>
    <t>29376B40</t>
  </si>
  <si>
    <t>10812D40</t>
  </si>
  <si>
    <t>CA TRANS</t>
  </si>
  <si>
    <t>6908D40</t>
  </si>
  <si>
    <t>4915A41</t>
  </si>
  <si>
    <t>87785B40</t>
  </si>
  <si>
    <t>DRZ TRANS</t>
  </si>
  <si>
    <t>BOULAICH HICHAM</t>
  </si>
  <si>
    <t>17597A44</t>
  </si>
  <si>
    <t>168A75</t>
  </si>
  <si>
    <t>33401A44</t>
  </si>
  <si>
    <t>49227B40</t>
  </si>
  <si>
    <t>30187B40</t>
  </si>
  <si>
    <t>92974B40</t>
  </si>
  <si>
    <t>CAB TANGER 1</t>
  </si>
  <si>
    <t>CENTRAL TANGER</t>
  </si>
  <si>
    <t>37890B26</t>
  </si>
  <si>
    <t>16947B40</t>
  </si>
  <si>
    <t>TOUT VENANT 0/31.5</t>
  </si>
  <si>
    <t>12:56:16</t>
  </si>
  <si>
    <t>69241D6</t>
  </si>
  <si>
    <t>Tv060</t>
  </si>
  <si>
    <t>TOUT-VENANT 0/60</t>
  </si>
  <si>
    <t>27649H6</t>
  </si>
  <si>
    <t>2681D40</t>
  </si>
  <si>
    <t>27650H6</t>
  </si>
  <si>
    <t>83384D6</t>
  </si>
  <si>
    <t>95834B40</t>
  </si>
  <si>
    <t>8*4</t>
  </si>
  <si>
    <t>09:45:13</t>
  </si>
  <si>
    <t>11:25:54</t>
  </si>
  <si>
    <t>1322A75</t>
  </si>
  <si>
    <t>38150B40</t>
  </si>
  <si>
    <t>8509A75</t>
  </si>
  <si>
    <t>13916D40</t>
  </si>
  <si>
    <t>62934D6</t>
  </si>
  <si>
    <t>97585B40</t>
  </si>
  <si>
    <t>7961D40</t>
  </si>
  <si>
    <t>00:25:50</t>
  </si>
  <si>
    <t>00:32:13</t>
  </si>
  <si>
    <t>00:36:52</t>
  </si>
  <si>
    <t>12867D40</t>
  </si>
  <si>
    <t>00:48:25</t>
  </si>
  <si>
    <t>7962D40</t>
  </si>
  <si>
    <t>00:40:33</t>
  </si>
  <si>
    <t>00:51:08</t>
  </si>
  <si>
    <t>00:54:18</t>
  </si>
  <si>
    <t>00:18:41</t>
  </si>
  <si>
    <t>00:12:43</t>
  </si>
  <si>
    <t>10804A42</t>
  </si>
  <si>
    <t>00:08:55</t>
  </si>
  <si>
    <t>00:21:56</t>
  </si>
  <si>
    <t>00:24:38</t>
  </si>
  <si>
    <t>00:44:47</t>
  </si>
  <si>
    <t>00:25:09</t>
  </si>
  <si>
    <t>00:23:29</t>
  </si>
  <si>
    <t>00:54:42</t>
  </si>
  <si>
    <t>00:17:50</t>
  </si>
  <si>
    <t>00:18:24</t>
  </si>
  <si>
    <t>00:14:53</t>
  </si>
  <si>
    <t>00:14:17</t>
  </si>
  <si>
    <t>00:16:35</t>
  </si>
  <si>
    <t>00:14:58</t>
  </si>
  <si>
    <t>00:14:42</t>
  </si>
  <si>
    <t>00:23:01</t>
  </si>
  <si>
    <t>00:18:46</t>
  </si>
  <si>
    <t>00:20:01</t>
  </si>
  <si>
    <t>00:23:07</t>
  </si>
  <si>
    <t>00:39:53</t>
  </si>
  <si>
    <t>00:11:36</t>
  </si>
  <si>
    <t>00:30:13</t>
  </si>
  <si>
    <t>00:13:25</t>
  </si>
  <si>
    <t>00:33:10</t>
  </si>
  <si>
    <t>00:11:19</t>
  </si>
  <si>
    <t>00:23:06</t>
  </si>
  <si>
    <t>FOURNISSEUR GENERAL MAROCAIN</t>
  </si>
  <si>
    <t>BERHIMA TRANS</t>
  </si>
  <si>
    <t>BEN SLIMAN LHOUAT MOHAMED</t>
  </si>
  <si>
    <t>N9724713</t>
  </si>
  <si>
    <t>N3217785</t>
  </si>
  <si>
    <t>N3217788</t>
  </si>
  <si>
    <t>N7689667</t>
  </si>
  <si>
    <t>ANDAGAL BETON</t>
  </si>
  <si>
    <t>MEFITRANS SARL</t>
  </si>
  <si>
    <t>TRANS OUADIR</t>
  </si>
  <si>
    <t>AYALOG</t>
  </si>
  <si>
    <t>REAL SPAIN DE CONSTRUCTION</t>
  </si>
  <si>
    <t>Montant Paye</t>
  </si>
  <si>
    <t>Date de Paiement</t>
  </si>
  <si>
    <t>Date D'échéance</t>
  </si>
  <si>
    <t>Nature</t>
  </si>
  <si>
    <t>Observation</t>
  </si>
  <si>
    <t>ETAT</t>
  </si>
  <si>
    <t>TTC</t>
  </si>
  <si>
    <t>N31000592</t>
  </si>
  <si>
    <t>N3100593</t>
  </si>
  <si>
    <t>HT</t>
  </si>
  <si>
    <t>MACHINE 2M SARL AU</t>
  </si>
  <si>
    <t>STE MLIH TRANCE SARL</t>
  </si>
  <si>
    <t>BRICOLAGE CHAHID SARL</t>
  </si>
  <si>
    <t>Nombre de Voyage Commandeé</t>
  </si>
  <si>
    <t>Nombre des Voyages Livreé</t>
  </si>
  <si>
    <t>RESTE A LIVREE</t>
  </si>
  <si>
    <t>Créance Commerciale</t>
  </si>
  <si>
    <t>Créance CRJ</t>
  </si>
  <si>
    <t>Créance H.RECOUVREMENT</t>
  </si>
  <si>
    <t>Créance CONTENTIEUX</t>
  </si>
  <si>
    <t>Encaissement Financier</t>
  </si>
  <si>
    <t>Recouvrement Commerciale</t>
  </si>
  <si>
    <t>00:36:10</t>
  </si>
  <si>
    <t>00:24:19</t>
  </si>
  <si>
    <t>00:40:00</t>
  </si>
  <si>
    <t>99561B40</t>
  </si>
  <si>
    <t>21428B40</t>
  </si>
  <si>
    <t>13:59:51</t>
  </si>
  <si>
    <t>84968D6</t>
  </si>
  <si>
    <t>16713A44</t>
  </si>
  <si>
    <t>07:22:20</t>
  </si>
  <si>
    <t>20067D40</t>
  </si>
  <si>
    <t>13583B33</t>
  </si>
  <si>
    <t>98865B40</t>
  </si>
  <si>
    <t>***</t>
  </si>
  <si>
    <t>00:18:12</t>
  </si>
  <si>
    <t>00:21:28</t>
  </si>
  <si>
    <t>00:43:57</t>
  </si>
  <si>
    <t>00:16:08</t>
  </si>
  <si>
    <t>01:09:04</t>
  </si>
  <si>
    <t>29377b40</t>
  </si>
  <si>
    <t>00:58:14</t>
  </si>
  <si>
    <t>01:10:29</t>
  </si>
  <si>
    <t>00:36:06</t>
  </si>
  <si>
    <t>00:12:47</t>
  </si>
  <si>
    <t>00:14:24</t>
  </si>
  <si>
    <t>00:22:40</t>
  </si>
  <si>
    <t>00:30:19</t>
  </si>
  <si>
    <t>00:36:41</t>
  </si>
  <si>
    <t>00:26:59</t>
  </si>
  <si>
    <t>30493A7</t>
  </si>
  <si>
    <t>00:26:38</t>
  </si>
  <si>
    <t>20511A56</t>
  </si>
  <si>
    <t>KASAL TRAVEAUX</t>
  </si>
  <si>
    <t>2048A47</t>
  </si>
  <si>
    <t>Filtre</t>
  </si>
  <si>
    <t>FILTRE 0/250</t>
  </si>
  <si>
    <t>CA BRUT OBJ</t>
  </si>
  <si>
    <t>CA NET OBJ</t>
  </si>
  <si>
    <t>CA TRANSPORT OBJ</t>
  </si>
  <si>
    <t>MARGE TRANSPORT OBJ</t>
  </si>
  <si>
    <t>PMV GLOBAL OBJ</t>
  </si>
  <si>
    <t>CREANCE COMMERCIAL OBJ</t>
  </si>
  <si>
    <t>CREANCE CRJ OBJ</t>
  </si>
  <si>
    <t>CREANCE H.RECOUVREMENT OBJ</t>
  </si>
  <si>
    <t>CREANCE CONTENTIEUX OBJ</t>
  </si>
  <si>
    <t>CREANCE GLOBAL OBJ</t>
  </si>
  <si>
    <t>PMV GRAVES OBJ</t>
  </si>
  <si>
    <t>PMV NOBLES OBJ</t>
  </si>
  <si>
    <t>PMV STERILE OBJ</t>
  </si>
  <si>
    <t>RECOUVREMENT OBJ</t>
  </si>
  <si>
    <t>COMPENSATION OBJ</t>
  </si>
  <si>
    <t>ENCAISSEMENT OBJ</t>
  </si>
  <si>
    <t>83381D6</t>
  </si>
  <si>
    <t>13:41:49</t>
  </si>
  <si>
    <t>08:00:51</t>
  </si>
  <si>
    <t>51978A44</t>
  </si>
  <si>
    <t>Tv040</t>
  </si>
  <si>
    <t>06:41:44</t>
  </si>
  <si>
    <t>24015A42</t>
  </si>
  <si>
    <t>87316B40</t>
  </si>
  <si>
    <t>07:06:33</t>
  </si>
  <si>
    <t>23084B40</t>
  </si>
  <si>
    <t>00:00:00</t>
  </si>
  <si>
    <t>13:48:13</t>
  </si>
  <si>
    <t>70842B40</t>
  </si>
  <si>
    <t>8217D40</t>
  </si>
  <si>
    <t>60750B40</t>
  </si>
  <si>
    <t>07:04:33</t>
  </si>
  <si>
    <t>75878B40</t>
  </si>
  <si>
    <t>17550D40</t>
  </si>
  <si>
    <t>16:26:34</t>
  </si>
  <si>
    <t>3917A75</t>
  </si>
  <si>
    <t>21124D40</t>
  </si>
  <si>
    <t>14:40:05</t>
  </si>
  <si>
    <t>22241D40</t>
  </si>
  <si>
    <t>00:21:55</t>
  </si>
  <si>
    <t>00:28:20</t>
  </si>
  <si>
    <t>00:24:01</t>
  </si>
  <si>
    <t>00:40:25</t>
  </si>
  <si>
    <t>00:36:34</t>
  </si>
  <si>
    <t>00:35:48</t>
  </si>
  <si>
    <t>00:42:15</t>
  </si>
  <si>
    <t>00:40:27</t>
  </si>
  <si>
    <t>01:02:21</t>
  </si>
  <si>
    <t>00:39:40</t>
  </si>
  <si>
    <t>00:20:06</t>
  </si>
  <si>
    <t>00:23:26</t>
  </si>
  <si>
    <t>00:11:01</t>
  </si>
  <si>
    <t>00:27:11</t>
  </si>
  <si>
    <t>00:46:16</t>
  </si>
  <si>
    <t>00:47:58</t>
  </si>
  <si>
    <t>00:41:21</t>
  </si>
  <si>
    <t>00:37:20</t>
  </si>
  <si>
    <t>00:25:02</t>
  </si>
  <si>
    <t>00:18:06</t>
  </si>
  <si>
    <t>00:23:31</t>
  </si>
  <si>
    <t>00:22:18</t>
  </si>
  <si>
    <t>00:14:00</t>
  </si>
  <si>
    <t>00:18:49</t>
  </si>
  <si>
    <t>00:21:57</t>
  </si>
  <si>
    <t>00:21:15</t>
  </si>
  <si>
    <t>00:11:30</t>
  </si>
  <si>
    <t>00:11:06</t>
  </si>
  <si>
    <t>00:11:23</t>
  </si>
  <si>
    <t>00:11:45</t>
  </si>
  <si>
    <t>00:18:21</t>
  </si>
  <si>
    <t>00:32:25</t>
  </si>
  <si>
    <t>00:27:02</t>
  </si>
  <si>
    <t>00:15:17</t>
  </si>
  <si>
    <t>00:11:18</t>
  </si>
  <si>
    <t>00:18:03</t>
  </si>
  <si>
    <t>00:12:44</t>
  </si>
  <si>
    <t>00:08:38</t>
  </si>
  <si>
    <t>00:23:14</t>
  </si>
  <si>
    <t>00:26:50</t>
  </si>
  <si>
    <t>00:32:33</t>
  </si>
  <si>
    <t>00:18:32</t>
  </si>
  <si>
    <t>00:11:29</t>
  </si>
  <si>
    <t>00:13:36</t>
  </si>
  <si>
    <t>00:20:05</t>
  </si>
  <si>
    <t>00:23:48</t>
  </si>
  <si>
    <t>00:28:00</t>
  </si>
  <si>
    <t>00:25:15</t>
  </si>
  <si>
    <t>00:31:42</t>
  </si>
  <si>
    <t>00:43:06</t>
  </si>
  <si>
    <t>00:37:25</t>
  </si>
  <si>
    <t>00:22:57</t>
  </si>
  <si>
    <t>00:17:30</t>
  </si>
  <si>
    <t>00:10:17</t>
  </si>
  <si>
    <t>00:15:24</t>
  </si>
  <si>
    <t>00:13:31</t>
  </si>
  <si>
    <t>00:12:53</t>
  </si>
  <si>
    <t>00:25:07</t>
  </si>
  <si>
    <t>00:25:16</t>
  </si>
  <si>
    <t>00:20:11</t>
  </si>
  <si>
    <t>00:20:41</t>
  </si>
  <si>
    <t>00:18:47</t>
  </si>
  <si>
    <t>00:24:52</t>
  </si>
  <si>
    <t>00:19:07</t>
  </si>
  <si>
    <t>00:37:04</t>
  </si>
  <si>
    <t>00:45:43</t>
  </si>
  <si>
    <t>00:35:43</t>
  </si>
  <si>
    <t>00:10:58</t>
  </si>
  <si>
    <t>00:16:10</t>
  </si>
  <si>
    <t>00:13:27</t>
  </si>
  <si>
    <t>00:09:27</t>
  </si>
  <si>
    <t>00:13:44</t>
  </si>
  <si>
    <t>00:21:18</t>
  </si>
  <si>
    <t>00:12:26</t>
  </si>
  <si>
    <t>00:17:21</t>
  </si>
  <si>
    <t>12778A45</t>
  </si>
  <si>
    <t>00:10:00</t>
  </si>
  <si>
    <t>00:41:58</t>
  </si>
  <si>
    <t>81379D1</t>
  </si>
  <si>
    <t>00:23:53</t>
  </si>
  <si>
    <t>00:12:54</t>
  </si>
  <si>
    <t>00:20:43</t>
  </si>
  <si>
    <t>00:15:29</t>
  </si>
  <si>
    <t>00:31:20</t>
  </si>
  <si>
    <t>00:32:50</t>
  </si>
  <si>
    <t>00:41:45</t>
  </si>
  <si>
    <t>00:20:51</t>
  </si>
  <si>
    <t>00:13:07</t>
  </si>
  <si>
    <t>00:08:17</t>
  </si>
  <si>
    <t>00:19:31</t>
  </si>
  <si>
    <t>00:13:15</t>
  </si>
  <si>
    <t>00:17:29</t>
  </si>
  <si>
    <t>00:14:19</t>
  </si>
  <si>
    <t>00:13:52</t>
  </si>
  <si>
    <t>00:13:03</t>
  </si>
  <si>
    <t>00:11:55</t>
  </si>
  <si>
    <t>00:14:21</t>
  </si>
  <si>
    <t>00:18:01</t>
  </si>
  <si>
    <t>00:12:00</t>
  </si>
  <si>
    <t>00:17:40</t>
  </si>
  <si>
    <t>00:17:28</t>
  </si>
  <si>
    <t>00:10:01</t>
  </si>
  <si>
    <t>00:09:40</t>
  </si>
  <si>
    <t>00:11:40</t>
  </si>
  <si>
    <t>00:18:07</t>
  </si>
  <si>
    <t>00:23:05</t>
  </si>
  <si>
    <t>00:35:20</t>
  </si>
  <si>
    <t>00:39:30</t>
  </si>
  <si>
    <t>00:38:24</t>
  </si>
  <si>
    <t>00:22:14</t>
  </si>
  <si>
    <t>00:31:38</t>
  </si>
  <si>
    <t>00:31:17</t>
  </si>
  <si>
    <t>00:38:28</t>
  </si>
  <si>
    <t>00:25:03</t>
  </si>
  <si>
    <t>00:10:30</t>
  </si>
  <si>
    <t>00:21:05</t>
  </si>
  <si>
    <t>00:21:08</t>
  </si>
  <si>
    <t>00:10:34</t>
  </si>
  <si>
    <t>00:16:03</t>
  </si>
  <si>
    <t>00:16:49</t>
  </si>
  <si>
    <t>00:15:09</t>
  </si>
  <si>
    <t>00:12:24</t>
  </si>
  <si>
    <t>00:43:26</t>
  </si>
  <si>
    <t>00:11:10</t>
  </si>
  <si>
    <t>31058A40</t>
  </si>
  <si>
    <t>00:27:36</t>
  </si>
  <si>
    <t>00:42:32</t>
  </si>
  <si>
    <t>00:14:55</t>
  </si>
  <si>
    <t>00:22:45</t>
  </si>
  <si>
    <t>00:11:44</t>
  </si>
  <si>
    <t>00:15:53</t>
  </si>
  <si>
    <t>00:14:02</t>
  </si>
  <si>
    <t>00:12:10</t>
  </si>
  <si>
    <t>00:14:50</t>
  </si>
  <si>
    <t>00:28:33</t>
  </si>
  <si>
    <t>00:14:33</t>
  </si>
  <si>
    <t>00:16:13</t>
  </si>
  <si>
    <t>00:15:39</t>
  </si>
  <si>
    <t>00:21:29</t>
  </si>
  <si>
    <t>00:13:55</t>
  </si>
  <si>
    <t>00:08:52</t>
  </si>
  <si>
    <t>00:10:51</t>
  </si>
  <si>
    <t>00:11:35</t>
  </si>
  <si>
    <t>00:13:05</t>
  </si>
  <si>
    <t>00:15:00</t>
  </si>
  <si>
    <t>00:17:12</t>
  </si>
  <si>
    <t>00:25:31</t>
  </si>
  <si>
    <t>00:26:13</t>
  </si>
  <si>
    <t>00:27:24</t>
  </si>
  <si>
    <t>00:54:04</t>
  </si>
  <si>
    <t>00:45:06</t>
  </si>
  <si>
    <t>00:10:39</t>
  </si>
  <si>
    <t>00:13:29</t>
  </si>
  <si>
    <t>00:19:05</t>
  </si>
  <si>
    <t>00:12:31</t>
  </si>
  <si>
    <t>00:27:10</t>
  </si>
  <si>
    <t>00:16:57</t>
  </si>
  <si>
    <t>00:12:13</t>
  </si>
  <si>
    <t>00:21:23</t>
  </si>
  <si>
    <t>00:15:47</t>
  </si>
  <si>
    <t>00:15:06</t>
  </si>
  <si>
    <t>00:24:07</t>
  </si>
  <si>
    <t>00:16:22</t>
  </si>
  <si>
    <t>00:22:50</t>
  </si>
  <si>
    <t>00:28:29</t>
  </si>
  <si>
    <t>00:43:29</t>
  </si>
  <si>
    <t>00:39:27</t>
  </si>
  <si>
    <t>00:39:28</t>
  </si>
  <si>
    <t>00:19:35</t>
  </si>
  <si>
    <t>00:18:15</t>
  </si>
  <si>
    <t>00:21:03</t>
  </si>
  <si>
    <t>12921A60</t>
  </si>
  <si>
    <t>00:14:08</t>
  </si>
  <si>
    <t>00:27:59</t>
  </si>
  <si>
    <t>00:16:34</t>
  </si>
  <si>
    <t>00:51:40</t>
  </si>
  <si>
    <t>00:14:03</t>
  </si>
  <si>
    <t>00:11:26</t>
  </si>
  <si>
    <t>00:18:53</t>
  </si>
  <si>
    <t>00:15:52</t>
  </si>
  <si>
    <t>00:25:34</t>
  </si>
  <si>
    <t>00:17:48</t>
  </si>
  <si>
    <t>00:36:04</t>
  </si>
  <si>
    <t>00:10:14</t>
  </si>
  <si>
    <t>38556H6</t>
  </si>
  <si>
    <t>76991A50</t>
  </si>
  <si>
    <t>30724A44</t>
  </si>
  <si>
    <t>30221A44</t>
  </si>
  <si>
    <t>36214B40</t>
  </si>
  <si>
    <t>06:11:58</t>
  </si>
  <si>
    <t>06:36:02</t>
  </si>
  <si>
    <t>07:33:19</t>
  </si>
  <si>
    <t>3514A37</t>
  </si>
  <si>
    <t>1478D40</t>
  </si>
  <si>
    <t>07:11:28</t>
  </si>
  <si>
    <t>22443D40</t>
  </si>
  <si>
    <t>66964A44</t>
  </si>
  <si>
    <t>97349A15</t>
  </si>
  <si>
    <t>DALIA</t>
  </si>
  <si>
    <t>32731B40</t>
  </si>
  <si>
    <t>00:15:57</t>
  </si>
  <si>
    <t>00:16:07</t>
  </si>
  <si>
    <t>00:18:18</t>
  </si>
  <si>
    <t>00:17:57</t>
  </si>
  <si>
    <t>00:12:41</t>
  </si>
  <si>
    <t>00:13:14</t>
  </si>
  <si>
    <t>00:24:42</t>
  </si>
  <si>
    <t>00:20:17</t>
  </si>
  <si>
    <t>00:12:09</t>
  </si>
  <si>
    <t>00:25:14</t>
  </si>
  <si>
    <t>00:52:52</t>
  </si>
  <si>
    <t>00:59:27</t>
  </si>
  <si>
    <t>00:19:26</t>
  </si>
  <si>
    <t>00:21:36</t>
  </si>
  <si>
    <t>11156A75</t>
  </si>
  <si>
    <t>00:19:20</t>
  </si>
  <si>
    <t>00:27:43</t>
  </si>
  <si>
    <t>00:21:42</t>
  </si>
  <si>
    <t>00:11:51</t>
  </si>
  <si>
    <t>00:12:30</t>
  </si>
  <si>
    <t>00:21:45</t>
  </si>
  <si>
    <t>00:11:50</t>
  </si>
  <si>
    <t>00:17:10</t>
  </si>
  <si>
    <t>00:26:44</t>
  </si>
  <si>
    <t>00:24:21</t>
  </si>
  <si>
    <t>00:33:29</t>
  </si>
  <si>
    <t>00:32:27</t>
  </si>
  <si>
    <t>00:25:40</t>
  </si>
  <si>
    <t>00:36:36</t>
  </si>
  <si>
    <t>00:14:37</t>
  </si>
  <si>
    <t>00:12:37</t>
  </si>
  <si>
    <t>10:36:43</t>
  </si>
  <si>
    <t>11118D40</t>
  </si>
  <si>
    <t>22640D40</t>
  </si>
  <si>
    <t>20183D40</t>
  </si>
  <si>
    <t>20184D40</t>
  </si>
  <si>
    <t>70953B40</t>
  </si>
  <si>
    <t>13375D40</t>
  </si>
  <si>
    <t>9535D40</t>
  </si>
  <si>
    <t>528D40</t>
  </si>
  <si>
    <t>80363B40</t>
  </si>
  <si>
    <t>12:06:01</t>
  </si>
  <si>
    <t>97584B40</t>
  </si>
  <si>
    <t>529D40</t>
  </si>
  <si>
    <t>16:38:01</t>
  </si>
  <si>
    <t>08:21:33</t>
  </si>
  <si>
    <t>10:17:46</t>
  </si>
  <si>
    <t>13106D40</t>
  </si>
  <si>
    <t>10707D40</t>
  </si>
  <si>
    <t>23697D40</t>
  </si>
  <si>
    <t>06:52:00</t>
  </si>
  <si>
    <t>16:02:08</t>
  </si>
  <si>
    <t>06:57:56</t>
  </si>
  <si>
    <t>16:07:57</t>
  </si>
  <si>
    <t>47099A2</t>
  </si>
  <si>
    <t>10:42:15</t>
  </si>
  <si>
    <t>06:40:55</t>
  </si>
  <si>
    <t>07:01:25</t>
  </si>
  <si>
    <t>24454D40</t>
  </si>
  <si>
    <t>1157A81</t>
  </si>
  <si>
    <t>13:06:07</t>
  </si>
  <si>
    <t>11:09:07</t>
  </si>
  <si>
    <t>11899D40</t>
  </si>
  <si>
    <t>11:37:00</t>
  </si>
  <si>
    <t>15:54:19</t>
  </si>
  <si>
    <t>06:29:01</t>
  </si>
  <si>
    <t>08:29:13</t>
  </si>
  <si>
    <t>GMB</t>
  </si>
  <si>
    <t>GABION</t>
  </si>
  <si>
    <t>06:35:01</t>
  </si>
  <si>
    <t>16603A17</t>
  </si>
  <si>
    <t>06:27:56</t>
  </si>
  <si>
    <t>26760D40</t>
  </si>
  <si>
    <t>24635D40</t>
  </si>
  <si>
    <t>14:29:04</t>
  </si>
  <si>
    <t>14:16:09</t>
  </si>
  <si>
    <t>11:22:54</t>
  </si>
  <si>
    <t>07:06:20</t>
  </si>
  <si>
    <t>27107D40</t>
  </si>
  <si>
    <t>4894A41</t>
  </si>
  <si>
    <t>99356A40</t>
  </si>
  <si>
    <t>11:24:47</t>
  </si>
  <si>
    <t>18734A45</t>
  </si>
  <si>
    <t>51135H1</t>
  </si>
  <si>
    <t>34709H1</t>
  </si>
  <si>
    <t>16:03:57</t>
  </si>
  <si>
    <t>08:44:08</t>
  </si>
  <si>
    <t>57656A44</t>
  </si>
  <si>
    <t>07:41:13</t>
  </si>
  <si>
    <t>09:37:43</t>
  </si>
  <si>
    <t>10:31:59</t>
  </si>
  <si>
    <t>20967A25</t>
  </si>
  <si>
    <t>26761D40</t>
  </si>
  <si>
    <t>09:39:08</t>
  </si>
  <si>
    <t>24635d40</t>
  </si>
  <si>
    <t>6985B40</t>
  </si>
  <si>
    <t>09:34:42</t>
  </si>
  <si>
    <t>28194D40</t>
  </si>
  <si>
    <t>07:25:51</t>
  </si>
  <si>
    <t>11898D40</t>
  </si>
  <si>
    <t>12:59:10</t>
  </si>
  <si>
    <t>16:34:36</t>
  </si>
  <si>
    <t>06:38:04</t>
  </si>
  <si>
    <t>STERIL FIN</t>
  </si>
  <si>
    <t>27552D40</t>
  </si>
  <si>
    <t>66115D6</t>
  </si>
  <si>
    <t>66117D6</t>
  </si>
  <si>
    <t>06:40:35</t>
  </si>
  <si>
    <t>13:14:46</t>
  </si>
  <si>
    <t>37890b26</t>
  </si>
  <si>
    <t>Sable0/2</t>
  </si>
  <si>
    <t>SABLE CONCASSAGE 0/2</t>
  </si>
  <si>
    <t>25539D40</t>
  </si>
  <si>
    <t>12:02:20</t>
  </si>
  <si>
    <t>88743A40</t>
  </si>
  <si>
    <t>25695b40</t>
  </si>
  <si>
    <t>20311D40</t>
  </si>
  <si>
    <t>07:38:09</t>
  </si>
  <si>
    <t>BILAL BENAISA</t>
  </si>
  <si>
    <t>StérileFin</t>
  </si>
  <si>
    <t>64159A13</t>
  </si>
  <si>
    <t>70908A59</t>
  </si>
  <si>
    <t>70316B40</t>
  </si>
  <si>
    <t>20631B40</t>
  </si>
  <si>
    <t>70313B40</t>
  </si>
  <si>
    <t>24289B40</t>
  </si>
  <si>
    <t>24290B40</t>
  </si>
  <si>
    <t>29796D40</t>
  </si>
  <si>
    <t>24291B40</t>
  </si>
  <si>
    <t>2285A41</t>
  </si>
  <si>
    <t>08:51:58</t>
  </si>
  <si>
    <t>12:33:03</t>
  </si>
  <si>
    <t>11:13:01</t>
  </si>
  <si>
    <t>07:11:23</t>
  </si>
  <si>
    <t>11:04:40</t>
  </si>
  <si>
    <t>82379A7</t>
  </si>
  <si>
    <t>16:40:38</t>
  </si>
  <si>
    <t>15:58:46</t>
  </si>
  <si>
    <t>09:32:47</t>
  </si>
  <si>
    <t>15:24:31</t>
  </si>
  <si>
    <t>09:22:05</t>
  </si>
  <si>
    <t>07:42:36</t>
  </si>
  <si>
    <t>66121D6</t>
  </si>
  <si>
    <t>20631b40</t>
  </si>
  <si>
    <t>13:11:44</t>
  </si>
  <si>
    <t>07:07:15</t>
  </si>
  <si>
    <t>66119D6</t>
  </si>
  <si>
    <t>07:25:00</t>
  </si>
  <si>
    <t>10:39:10</t>
  </si>
  <si>
    <t>12:51:25</t>
  </si>
  <si>
    <t>25540D40</t>
  </si>
  <si>
    <t>07:19:38</t>
  </si>
  <si>
    <t>TV0315</t>
  </si>
  <si>
    <t>07:20:13</t>
  </si>
  <si>
    <t>10:19:41</t>
  </si>
  <si>
    <t>16:01:15</t>
  </si>
  <si>
    <t>08:36:48</t>
  </si>
  <si>
    <t>31999D40</t>
  </si>
  <si>
    <t>31996D40</t>
  </si>
  <si>
    <t>10:44:20</t>
  </si>
  <si>
    <t>27533A40</t>
  </si>
  <si>
    <t>07:00:01</t>
  </si>
  <si>
    <t>00:29:07</t>
  </si>
  <si>
    <t>00:30:49</t>
  </si>
  <si>
    <t>01:35:50</t>
  </si>
  <si>
    <t>00:23:28</t>
  </si>
  <si>
    <t>00:23:41</t>
  </si>
  <si>
    <t>00:13:42</t>
  </si>
  <si>
    <t>00:28:44</t>
  </si>
  <si>
    <t>00:15:58</t>
  </si>
  <si>
    <t>00:30:36</t>
  </si>
  <si>
    <t>00:32:34</t>
  </si>
  <si>
    <t>00:33:40</t>
  </si>
  <si>
    <t>00:31:24</t>
  </si>
  <si>
    <t>00:16:17</t>
  </si>
  <si>
    <t>00:17:26</t>
  </si>
  <si>
    <t>00:18:28</t>
  </si>
  <si>
    <t>00:32:17</t>
  </si>
  <si>
    <t>00:39:26</t>
  </si>
  <si>
    <t>00:21:33</t>
  </si>
  <si>
    <t>00:12:52</t>
  </si>
  <si>
    <t>00:12:14</t>
  </si>
  <si>
    <t>00:22:15</t>
  </si>
  <si>
    <t>00:21:34</t>
  </si>
  <si>
    <t>00:17:42</t>
  </si>
  <si>
    <t>00:15:23</t>
  </si>
  <si>
    <t>00:11:38</t>
  </si>
  <si>
    <t>00:34:49</t>
  </si>
  <si>
    <t>00:26:27</t>
  </si>
  <si>
    <t>00:16:16</t>
  </si>
  <si>
    <t>00:33:20</t>
  </si>
  <si>
    <t>00:24:45</t>
  </si>
  <si>
    <t>00:43:22</t>
  </si>
  <si>
    <t>00:17:54</t>
  </si>
  <si>
    <t>00:42:30</t>
  </si>
  <si>
    <t>00:16:32</t>
  </si>
  <si>
    <t>01:03:13</t>
  </si>
  <si>
    <t>00:49:26</t>
  </si>
  <si>
    <t>00:34:25</t>
  </si>
  <si>
    <t>00:27:31</t>
  </si>
  <si>
    <t>00:10:03</t>
  </si>
  <si>
    <t>00:24:33</t>
  </si>
  <si>
    <t>00:33:13</t>
  </si>
  <si>
    <t>00:45:07</t>
  </si>
  <si>
    <t>26206A42</t>
  </si>
  <si>
    <t>06:40:01</t>
  </si>
  <si>
    <t>06:57:25</t>
  </si>
  <si>
    <t>W416740</t>
  </si>
  <si>
    <t>13:28:38</t>
  </si>
  <si>
    <t>16308A40</t>
  </si>
  <si>
    <t>TANGER</t>
  </si>
  <si>
    <t>32490D40</t>
  </si>
  <si>
    <t>16:19:27</t>
  </si>
  <si>
    <t>00:18:23</t>
  </si>
  <si>
    <t>00:21:59</t>
  </si>
  <si>
    <t>00:13:19</t>
  </si>
  <si>
    <t>00:37:47</t>
  </si>
  <si>
    <t>00:40:51</t>
  </si>
  <si>
    <t>00:48:44</t>
  </si>
  <si>
    <t>00:27:34</t>
  </si>
  <si>
    <t>00:11:53</t>
  </si>
  <si>
    <t>00:17:38</t>
  </si>
  <si>
    <t>00:20:20</t>
  </si>
  <si>
    <t>00:17:17</t>
  </si>
  <si>
    <t>00:54:53</t>
  </si>
  <si>
    <t>00:25:47</t>
  </si>
  <si>
    <t>00:36:20</t>
  </si>
  <si>
    <t>00:13:02</t>
  </si>
  <si>
    <t>00:33:59</t>
  </si>
  <si>
    <t>00:41:08</t>
  </si>
  <si>
    <t>00:28:12</t>
  </si>
  <si>
    <t>00:29:38</t>
  </si>
  <si>
    <t>00:33:21</t>
  </si>
  <si>
    <t>00:40:04</t>
  </si>
  <si>
    <t>00:46:35</t>
  </si>
  <si>
    <t>00:26:25</t>
  </si>
  <si>
    <t>00:34:45</t>
  </si>
  <si>
    <t>01:17:42</t>
  </si>
  <si>
    <t>00:20:33</t>
  </si>
  <si>
    <t>00:16:19</t>
  </si>
  <si>
    <t>00:16:40</t>
  </si>
  <si>
    <t>00:17:11</t>
  </si>
  <si>
    <t>00:13:57</t>
  </si>
  <si>
    <t>01:08:16</t>
  </si>
  <si>
    <t>00:12:57</t>
  </si>
  <si>
    <t>00:16:25</t>
  </si>
  <si>
    <t>00:23:02</t>
  </si>
  <si>
    <t>00:17:59</t>
  </si>
  <si>
    <t>00:09:50</t>
  </si>
  <si>
    <t>00:25:05</t>
  </si>
  <si>
    <t>01:22:21</t>
  </si>
  <si>
    <t>00:17:04</t>
  </si>
  <si>
    <t>00:19:46</t>
  </si>
  <si>
    <t>01:05:12</t>
  </si>
  <si>
    <t>W483660</t>
  </si>
  <si>
    <t>00:20:09</t>
  </si>
  <si>
    <t>00:24:11</t>
  </si>
  <si>
    <t>00:13:32</t>
  </si>
  <si>
    <t>00:21:14</t>
  </si>
  <si>
    <t>00:29:33</t>
  </si>
  <si>
    <t>00:10:18</t>
  </si>
  <si>
    <t>00:16:51</t>
  </si>
  <si>
    <t>00:17:03</t>
  </si>
  <si>
    <t>00:24:40</t>
  </si>
  <si>
    <t>00:20:59</t>
  </si>
  <si>
    <t>00:14:47</t>
  </si>
  <si>
    <t>01:01:02</t>
  </si>
  <si>
    <t>01:06:19</t>
  </si>
  <si>
    <t>00:29:13</t>
  </si>
  <si>
    <t>00:18:59</t>
  </si>
  <si>
    <t>00:37:54</t>
  </si>
  <si>
    <t>00:12:33</t>
  </si>
  <si>
    <t>00:17:01</t>
  </si>
  <si>
    <t>00:26:00</t>
  </si>
  <si>
    <t>00:18:34</t>
  </si>
  <si>
    <t>00:14:25</t>
  </si>
  <si>
    <t>00:15:32</t>
  </si>
  <si>
    <t>00:15:08</t>
  </si>
  <si>
    <t>00:13:10</t>
  </si>
  <si>
    <t>00:09:18</t>
  </si>
  <si>
    <t>00:17:35</t>
  </si>
  <si>
    <t>00:15:03</t>
  </si>
  <si>
    <t>00:20:12</t>
  </si>
  <si>
    <t>00:14:27</t>
  </si>
  <si>
    <t>00:17:43</t>
  </si>
  <si>
    <t>00:12:05</t>
  </si>
  <si>
    <t>00:20:31</t>
  </si>
  <si>
    <t>00:18:48</t>
  </si>
  <si>
    <t>00:30:53</t>
  </si>
  <si>
    <t>00:34:07</t>
  </si>
  <si>
    <t>00:32:21</t>
  </si>
  <si>
    <t>00:38:35</t>
  </si>
  <si>
    <t>00:50:41</t>
  </si>
  <si>
    <t>01:20:18</t>
  </si>
  <si>
    <t>00:58:35</t>
  </si>
  <si>
    <t>00:10:07</t>
  </si>
  <si>
    <t>00:22:22</t>
  </si>
  <si>
    <t>00:18:56</t>
  </si>
  <si>
    <t>00:16:59</t>
  </si>
  <si>
    <t>TANGER(8*4)</t>
  </si>
  <si>
    <t>01:08:25</t>
  </si>
  <si>
    <t>00:22:46</t>
  </si>
  <si>
    <t>00:10:42</t>
  </si>
  <si>
    <t>00:18:09</t>
  </si>
  <si>
    <t>01:36:33</t>
  </si>
  <si>
    <t>00:12:56</t>
  </si>
  <si>
    <t>00:33:32</t>
  </si>
  <si>
    <t>Block</t>
  </si>
  <si>
    <t>14:39:45</t>
  </si>
  <si>
    <t>16:25:19</t>
  </si>
  <si>
    <t>12:17:18</t>
  </si>
  <si>
    <t>N0000327</t>
  </si>
  <si>
    <t>CODE</t>
  </si>
  <si>
    <t>NOM DU CLIENT</t>
  </si>
  <si>
    <t>SECTEUR D'ACTIVITE</t>
  </si>
  <si>
    <t>REPRESENTANT</t>
  </si>
  <si>
    <t>EMAIL</t>
  </si>
  <si>
    <t>NUMERO TELEPHONE</t>
  </si>
  <si>
    <t>DATE D'EMCHEMENT</t>
  </si>
  <si>
    <t>TYPE DE GARANTIE</t>
  </si>
  <si>
    <t>MODE DE REGLEMENT</t>
  </si>
  <si>
    <t>PLAFOND MENSUELLE</t>
  </si>
  <si>
    <t>LOCALISATION</t>
  </si>
  <si>
    <t>SUIVI PAR</t>
  </si>
  <si>
    <t>POURCENTANGE FACTURATION</t>
  </si>
  <si>
    <t>UNITE VENTE</t>
  </si>
  <si>
    <t>ETAT FINANCIERE</t>
  </si>
  <si>
    <t>CENTRAL A BETON</t>
  </si>
  <si>
    <t>Routier</t>
  </si>
  <si>
    <t>NEGOCE</t>
  </si>
  <si>
    <t>06 61 32 46 88</t>
  </si>
  <si>
    <t>06 72 98 32 09</t>
  </si>
  <si>
    <t>06 61 98 89 98</t>
  </si>
  <si>
    <t>06 61 29 64 46</t>
  </si>
  <si>
    <t>06 61 53 96 20</t>
  </si>
  <si>
    <t>06 61 29 98 77</t>
  </si>
  <si>
    <t>06 61 94 29 37</t>
  </si>
  <si>
    <t>06 61 48 18 58</t>
  </si>
  <si>
    <t>06 55 27 74 13</t>
  </si>
  <si>
    <t>06 62 62 77 98</t>
  </si>
  <si>
    <t>06 63 02 43 73</t>
  </si>
  <si>
    <t>06 77 71 27 48</t>
  </si>
  <si>
    <t>06 56 95 52 77</t>
  </si>
  <si>
    <t>06 61 55 91 07</t>
  </si>
  <si>
    <t>sa2b.batiment@gmail.com</t>
  </si>
  <si>
    <t>05 24 36 13 03</t>
  </si>
  <si>
    <t>m.bouzian@energydesign.fr</t>
  </si>
  <si>
    <t>catrans.sarlau@gmail.com</t>
  </si>
  <si>
    <t>ent.hasnaoui.sarl@hotmail.fr</t>
  </si>
  <si>
    <t>sotatrans.achat@gmail.com</t>
  </si>
  <si>
    <t>trans.mansouri@gmail.com</t>
  </si>
  <si>
    <t>raoufdrissi@gmail.com</t>
  </si>
  <si>
    <t>Zakaria.SERRAGUI@cimat.ma</t>
  </si>
  <si>
    <t>boukir.materiaux@gmail.com</t>
  </si>
  <si>
    <t>Ben Sliman Mohammed</t>
  </si>
  <si>
    <t>Mohammed Renewable</t>
  </si>
  <si>
    <t>Hayat Ait Ben idder</t>
  </si>
  <si>
    <t>Ilias Andagal</t>
  </si>
  <si>
    <t>Bilal Ben Issa</t>
  </si>
  <si>
    <t>Hamza Ryma Beton</t>
  </si>
  <si>
    <t>Chaimae CA TRANS</t>
  </si>
  <si>
    <t>Haj Hasnaoui</t>
  </si>
  <si>
    <t>Abdelghafour LTS</t>
  </si>
  <si>
    <t>Said Mansouri</t>
  </si>
  <si>
    <t>Raouf Drissi NST</t>
  </si>
  <si>
    <t>Soulaiman Soumati TS</t>
  </si>
  <si>
    <t>Jamal Chahid</t>
  </si>
  <si>
    <t>Zakaria Serragui CIMAT</t>
  </si>
  <si>
    <t>Mustapha Derraz</t>
  </si>
  <si>
    <t>Mohammed Villa Marin</t>
  </si>
  <si>
    <t>Mohamed Boukir</t>
  </si>
  <si>
    <t>Sans Garantie</t>
  </si>
  <si>
    <t>En Avance</t>
  </si>
  <si>
    <t>Sans Plafond</t>
  </si>
  <si>
    <t>MAROC ,TANGER</t>
  </si>
  <si>
    <t>Route De Tétouan Au Pk9, Douar Mechlaoua, Commune Rurale Bahraouiyine - Tanger-Médina</t>
  </si>
  <si>
    <t>Imm B3 Appt 7 Etage 2 Borj Manara Mhamid - Marrakech-Médina (AR)</t>
  </si>
  <si>
    <t>N°251-253 Appt 12 Et2 Lots Wafae 1 &amp; 2 - Meknès (M)</t>
  </si>
  <si>
    <t>Bureau N°11b, 1er Étage, Im. S2, Ryad Business Center, Hay Ryad - Rabat</t>
  </si>
  <si>
    <t>Quartier Beni Ouassine Lot 6366 Etage 1 - Tanger-Médina (AR)</t>
  </si>
  <si>
    <t>Route De Rabat Gzenaya - 90102 - Gzenaya Tanger</t>
  </si>
  <si>
    <t>183 Avenue Du Prince Héritier Centre Nrea Bureau 15 Au Rdc - Tanger-Médina (AR)</t>
  </si>
  <si>
    <t>Zkt 17 « K » Kondessa Soufla Boite Posatle 503 - Fnidq (M)</t>
  </si>
  <si>
    <t>Bv Al Massira Al Khadra , Res Assafir Bureau N8 - Tanger</t>
  </si>
  <si>
    <t>Dhar El Kanfoud - Tanger-Médina (AR)</t>
  </si>
  <si>
    <t>Hay El Majd Bloc 23 Etage 4 N�1 - Tanger-Médina (AR)</t>
  </si>
  <si>
    <t>400 boulevard zektouni 3ème etage appt n°18 - Casablanca</t>
  </si>
  <si>
    <t>Qua. ain laasel lt 70. - Tanger-Médina (AR)</t>
  </si>
  <si>
    <t>28 lotissement la colline ii sidi maarouf - Casablanca</t>
  </si>
  <si>
    <t>Lots marjane 1 riad ahlal n°136 - Tanger-Médina (AR)</t>
  </si>
  <si>
    <t>Hay Rgayae 4 Rue El Kouit N°8 - Tanger-Médina (AR)</t>
  </si>
  <si>
    <t>Lots Amal 2 Rue Chahid Moh Haj Ali Lot 120 - Tanger-Médina (AR)</t>
  </si>
  <si>
    <t>COMMERCIAL</t>
  </si>
  <si>
    <t>Tonne</t>
  </si>
  <si>
    <t>Métre Cube</t>
  </si>
  <si>
    <t>VIP</t>
  </si>
  <si>
    <t>Nouveau</t>
  </si>
  <si>
    <t>Nocive</t>
  </si>
  <si>
    <t>45.00/T</t>
  </si>
  <si>
    <t>65.00/T</t>
  </si>
  <si>
    <t>25.00/T</t>
  </si>
  <si>
    <t>0.00/T</t>
  </si>
  <si>
    <t>51.00/T</t>
  </si>
  <si>
    <t>47.00/T</t>
  </si>
  <si>
    <t>30.00/T</t>
  </si>
  <si>
    <t>15.00/T</t>
  </si>
  <si>
    <t>29.00/T</t>
  </si>
  <si>
    <t>40.00/T</t>
  </si>
  <si>
    <t>0.00/M3</t>
  </si>
  <si>
    <t>48.00/M3</t>
  </si>
  <si>
    <t>25.00/M3</t>
  </si>
  <si>
    <t>40.5/M3</t>
  </si>
  <si>
    <t>60.00/M3</t>
  </si>
  <si>
    <t>64.00/M3</t>
  </si>
  <si>
    <t>43.5/M3</t>
  </si>
  <si>
    <t>24.00/M3</t>
  </si>
  <si>
    <t>27.00/T</t>
  </si>
  <si>
    <t>44.00/T</t>
  </si>
  <si>
    <t>42.00/T</t>
  </si>
  <si>
    <t>32.00/T</t>
  </si>
  <si>
    <t>50.00/T</t>
  </si>
  <si>
    <t>37.00/T</t>
  </si>
  <si>
    <t>20.00/T</t>
  </si>
  <si>
    <t>52.00/M3</t>
  </si>
  <si>
    <t>72.00/M3</t>
  </si>
  <si>
    <t>74.00/M3</t>
  </si>
  <si>
    <t>70.00/M3</t>
  </si>
  <si>
    <t>54.00/M3</t>
  </si>
  <si>
    <t>51.00/M3</t>
  </si>
  <si>
    <t>40.5.00/M3</t>
  </si>
  <si>
    <t>63.00/M3</t>
  </si>
  <si>
    <t>65.6/M3</t>
  </si>
  <si>
    <t>45.00/M3</t>
  </si>
  <si>
    <t>42.5/T</t>
  </si>
  <si>
    <t>33.00/T</t>
  </si>
  <si>
    <t>45.33/T</t>
  </si>
  <si>
    <t>46.66/T</t>
  </si>
  <si>
    <t>31.00/T</t>
  </si>
  <si>
    <t>46.00/T</t>
  </si>
  <si>
    <t>34.00/T</t>
  </si>
  <si>
    <t>17.00/T</t>
  </si>
  <si>
    <t>49.00/T</t>
  </si>
  <si>
    <t>40.00/M3</t>
  </si>
  <si>
    <t>58.00/M3</t>
  </si>
  <si>
    <t>62.00/M3</t>
  </si>
  <si>
    <t>42.00/M3</t>
  </si>
  <si>
    <t>22.00/M3</t>
  </si>
  <si>
    <t>55.00/T</t>
  </si>
  <si>
    <t>41.00/T</t>
  </si>
  <si>
    <t>37.00/M3</t>
  </si>
  <si>
    <t>43.00/T</t>
  </si>
  <si>
    <t>38.00/T</t>
  </si>
  <si>
    <t>Mode de Paiement</t>
  </si>
  <si>
    <t>ESPECE</t>
  </si>
  <si>
    <t>VRD</t>
  </si>
  <si>
    <t>REVENDEUR</t>
  </si>
  <si>
    <t>TRANSPORTEUR</t>
  </si>
  <si>
    <t>entrepriseriad@gmail.com</t>
  </si>
  <si>
    <t>05 35 60 82 79</t>
  </si>
  <si>
    <t>N°153 Quartier California Route Ain Chkef - Fès-Médina (AR)</t>
  </si>
  <si>
    <t>VIRMENT</t>
  </si>
  <si>
    <t>CIMENTS DU MAROC</t>
  </si>
  <si>
    <t>HARAM MATERIAUX</t>
  </si>
  <si>
    <t>MARCO SERVICES</t>
  </si>
  <si>
    <t>ZAZO TRANS LOGISTIQUE</t>
  </si>
  <si>
    <t>IHANDAR TRANSPORT</t>
  </si>
  <si>
    <t>COMPTOIR I.NJ</t>
  </si>
  <si>
    <t>MIGHITY MACHINERY</t>
  </si>
  <si>
    <t>SACONS BET</t>
  </si>
  <si>
    <t>SM BATIMO</t>
  </si>
  <si>
    <t>KENZA AROMED</t>
  </si>
  <si>
    <t>MOHAMMED AZNAK</t>
  </si>
  <si>
    <t>AHMED LFAITI</t>
  </si>
  <si>
    <t>IBRAHIM LANJRI</t>
  </si>
  <si>
    <t>AHMED</t>
  </si>
  <si>
    <t>MUSTAPHA OUJDI</t>
  </si>
  <si>
    <t>ZAKARIA LAMLIH</t>
  </si>
  <si>
    <t>ABDELADIM AYALOG</t>
  </si>
  <si>
    <t>AZZDINE TRANS DOUBLE VOIS</t>
  </si>
  <si>
    <t>MOHAMMED SOFANOUR</t>
  </si>
  <si>
    <t>MOUNIR KADIRI</t>
  </si>
  <si>
    <t>HAMID GERAB</t>
  </si>
  <si>
    <t>SABRINE HILALI</t>
  </si>
  <si>
    <t>MOHAMMED BAKKALI</t>
  </si>
  <si>
    <t>MOHAMMED AZZEGZAW</t>
  </si>
  <si>
    <t>RACHID BIKOMKAV</t>
  </si>
  <si>
    <t>YASSINE MIGHITY</t>
  </si>
  <si>
    <t>MOHAMMED AFFILAD</t>
  </si>
  <si>
    <t>MEHDI ANNAWAT</t>
  </si>
  <si>
    <t>MEHDI MGN</t>
  </si>
  <si>
    <t>KHADIJA FALLOUZ</t>
  </si>
  <si>
    <t>05 37 68 69 26</t>
  </si>
  <si>
    <t>Résidence Badr, Appt N°5, Avenue Fal Ould Oumeir, Agdal - Agdal Riyad (AR)</t>
  </si>
  <si>
    <t>info@cimar.co.ma</t>
  </si>
  <si>
    <t>05 22 85 94 53</t>
  </si>
  <si>
    <t>621, Boulevard Panoramique Lot My Idriss N° 30, 20150 - Casablanca</t>
  </si>
  <si>
    <t>mefitrans@gmail.com</t>
  </si>
  <si>
    <t>06 61 37 55 52</t>
  </si>
  <si>
    <t>Fgmsarl17@gmail.com</t>
  </si>
  <si>
    <t>hydrosmail20@gmail.com</t>
  </si>
  <si>
    <t>06 61 97 69 21</t>
  </si>
  <si>
    <t>06 61 91 79 73</t>
  </si>
  <si>
    <t>06 61 22 80 35</t>
  </si>
  <si>
    <t>bakkali63ahmed@gmail.com</t>
  </si>
  <si>
    <t>06 61 85 16 63</t>
  </si>
  <si>
    <t>06 61 28 02 18</t>
  </si>
  <si>
    <t>06 61 06 25 04</t>
  </si>
  <si>
    <t>06 61 76 90 46</t>
  </si>
  <si>
    <t>06 61 66 26 59</t>
  </si>
  <si>
    <t>06 61 50 66 53</t>
  </si>
  <si>
    <t>06 61 35 05 01</t>
  </si>
  <si>
    <t>06 50 75 64 35</t>
  </si>
  <si>
    <t>SAMIR AB PROJECTS</t>
  </si>
  <si>
    <t>06 08 45 05 65</t>
  </si>
  <si>
    <t>06 71 50 56 58</t>
  </si>
  <si>
    <t>06 60 65 66 54</t>
  </si>
  <si>
    <t>06 61 78 96 92</t>
  </si>
  <si>
    <t>khadija.fallouz@tgcc.ma</t>
  </si>
  <si>
    <t>Avenue de la marche verte résidence assafir 8, entresol n°8 - Tanger-Médina (AR)</t>
  </si>
  <si>
    <t>Lot amal ii lot n 97t - Tanger-Médina (AR)</t>
  </si>
  <si>
    <t>96, Rue B Al Majd L. Al Majd Lt 709 Etage 1 - Tanger-Médina (AR)</t>
  </si>
  <si>
    <t>Avenue Moulay Ismail Résidence Moulay Ismail 2eme Étage N°6 - Tanger-Médina (AR)</t>
  </si>
  <si>
    <t>Bd El Khansae N°5. - Oujda (M)</t>
  </si>
  <si>
    <t>Av. Al Qods Imm. 19 Appt. 2 Étage 1 - Tanger-Médina (AR)</t>
  </si>
  <si>
    <t>Hay al wifak selouane - Selouane</t>
  </si>
  <si>
    <t>N°85 rue 5 lot el alia bir jdid - El-Jadida (M)</t>
  </si>
  <si>
    <t>Avenue de la paix, residence chorouk bloc d n°04 - Tanger-Médina (AR)</t>
  </si>
  <si>
    <t>Residence comarispa bab rahba imm 54 etgn°3 apt 184 - Tanger-Assilah</t>
  </si>
  <si>
    <t>Bloc 5, 3eme etage residence aya "a" route de rabat - Tanger-Médina (AR)</t>
  </si>
  <si>
    <t>App n° 1 av al bahr al abiad al motawasit residence al andalous n° 4 - Martil (M)</t>
  </si>
  <si>
    <t>Imm 5 av tarik ibn ziad res el osra n°11 12000 - Temara (M)</t>
  </si>
  <si>
    <t>N b3 et b4 résidence al wifak erac n 3118 - Temara (M)</t>
  </si>
  <si>
    <t>11 rue n 38 drissia 1- 90000 - Tanger-Médina (AR)</t>
  </si>
  <si>
    <t>Hay laayoune angle rue ait yaflmane al fida n 3412 etage - Casablanca</t>
  </si>
  <si>
    <t>Lotissement meriem av al qods n°8 - Tanger-Médina (AR)</t>
  </si>
  <si>
    <t>20 rue cadi ayyad 1 etg appt 2 - Tanger-Médina (AR)</t>
  </si>
  <si>
    <t>Place roudani rue abdllah el habti resd al qouds n 34 90000 - Tanger-Médina (AR)</t>
  </si>
  <si>
    <t>Place brahim roudani, rue la sena, res beethoven ii 3éme étage n°82 - Tanger-Médina (AR)</t>
  </si>
  <si>
    <t>Rue abou baker razi n°9 - Tanger-Médina (AR)</t>
  </si>
  <si>
    <t>Rue ibn katir beethoven 1 er etage n°51 - Tanger-Médina (AR)</t>
  </si>
  <si>
    <t>Avenue moulay ismail, résidence zahrae, rdc - Tanger-Médina (AR)</t>
  </si>
  <si>
    <t>Route zinat chaouia, n°42, commune ain dalia - Tanger-Médina (AR)</t>
  </si>
  <si>
    <t>2 res.lamiae 1 abi lhassan chadli entre sol n 7 - Tanger-Médina (AR)</t>
  </si>
  <si>
    <t>Quartier draoua rue 10 n° 02 - Tanger-Médina (AR)</t>
  </si>
  <si>
    <t>11 rue oued tensift 1er etage appt n°2 - Casablanca</t>
  </si>
  <si>
    <t>119 bd mohamed v - Zagora (M)</t>
  </si>
  <si>
    <t>4 rue imam mouslim oasis - Casablanca</t>
  </si>
  <si>
    <t>55.00/M3</t>
  </si>
  <si>
    <t>56.00/M3</t>
  </si>
  <si>
    <t>50.00/M3</t>
  </si>
  <si>
    <t>75.00/M3</t>
  </si>
  <si>
    <t>48.00/T</t>
  </si>
  <si>
    <t>35.00/T</t>
  </si>
  <si>
    <t>57.00/M3</t>
  </si>
  <si>
    <t>73.00/M3</t>
  </si>
  <si>
    <t>71.00/M3</t>
  </si>
  <si>
    <t>68.00/M3</t>
  </si>
  <si>
    <t>15.50/T</t>
  </si>
  <si>
    <t>36.00/T</t>
  </si>
  <si>
    <t>53.00/M3</t>
  </si>
  <si>
    <t>43.50/T</t>
  </si>
  <si>
    <t>67.00/M3</t>
  </si>
  <si>
    <t>H.RECOUVREMENT</t>
  </si>
  <si>
    <t>CRJ</t>
  </si>
  <si>
    <t>NOCIVE</t>
  </si>
  <si>
    <t>DANGEROUS</t>
  </si>
  <si>
    <t>EFFET</t>
  </si>
  <si>
    <t>Fiable</t>
  </si>
  <si>
    <t>Client Rendu</t>
  </si>
  <si>
    <t>Client Départ</t>
  </si>
  <si>
    <t>22.00/T</t>
  </si>
  <si>
    <t>36.00/T-37.00/T</t>
  </si>
  <si>
    <t>37.00/T-40.00/T</t>
  </si>
  <si>
    <t>Transport Frs</t>
  </si>
  <si>
    <t>14.00/T</t>
  </si>
  <si>
    <t>35.00/M3</t>
  </si>
  <si>
    <t>Transport</t>
  </si>
  <si>
    <t>06 60 91 94 74</t>
  </si>
  <si>
    <t>06 62 23 91 31</t>
  </si>
  <si>
    <t>06 61 47 90 02</t>
  </si>
  <si>
    <t>06 61 42 67 79</t>
  </si>
  <si>
    <t>06 61 89 68 61</t>
  </si>
  <si>
    <t>RACHID LAGHMICHE</t>
  </si>
  <si>
    <t>06 61 39 85 47</t>
  </si>
  <si>
    <t>AKKDI ABDELSAM</t>
  </si>
  <si>
    <t>SABIR AMICAL</t>
  </si>
  <si>
    <t>CréanceClient</t>
  </si>
  <si>
    <t>TRANS SOTA EX-COMPTE-CLIENT</t>
  </si>
  <si>
    <t>REDOUAN MOUFADAL</t>
  </si>
  <si>
    <t>M3</t>
  </si>
  <si>
    <t>YOUSSEF KASAL</t>
  </si>
  <si>
    <t>kasal.trans@gmail.com</t>
  </si>
  <si>
    <t>06 61 26 41 40</t>
  </si>
  <si>
    <t>69.00/M3</t>
  </si>
  <si>
    <t>58.00/T - 60.00/T</t>
  </si>
  <si>
    <t>60.00/T</t>
  </si>
  <si>
    <t>825, Lotissement Sorya 1, Route Haj Keddour - Meknès (M)</t>
  </si>
  <si>
    <t>Immeuble N°84, Avenue Mohamed V, Bureau N°22 1er Etage. - Tanger-Médina (AR)</t>
  </si>
  <si>
    <t>Lotissement Chaoui N° 35 - Ksar El Kebir (M)</t>
  </si>
  <si>
    <t>Oulad Hammou 2eme Etage Droit Oulad Tayeb - Fès-Médina (AR)</t>
  </si>
  <si>
    <t>Client Particulier</t>
  </si>
  <si>
    <t>MUSTAPHA</t>
  </si>
  <si>
    <t>Cheque</t>
  </si>
  <si>
    <t>98212/25</t>
  </si>
  <si>
    <t>00:21:27</t>
  </si>
  <si>
    <t>98213/25</t>
  </si>
  <si>
    <t>00:22:04</t>
  </si>
  <si>
    <t>98214/25</t>
  </si>
  <si>
    <t>00:24:37</t>
  </si>
  <si>
    <t>98215/25</t>
  </si>
  <si>
    <t>00:23:59</t>
  </si>
  <si>
    <t>98216/25</t>
  </si>
  <si>
    <t>00:34:26</t>
  </si>
  <si>
    <t>98217/25</t>
  </si>
  <si>
    <t>98218/25</t>
  </si>
  <si>
    <t>16442D40</t>
  </si>
  <si>
    <t>98219/25</t>
  </si>
  <si>
    <t>98220/25</t>
  </si>
  <si>
    <t>24742D40</t>
  </si>
  <si>
    <t>00:39:45</t>
  </si>
  <si>
    <t>98221/25</t>
  </si>
  <si>
    <t>32537D40</t>
  </si>
  <si>
    <t>00:53:20</t>
  </si>
  <si>
    <t>98222/25</t>
  </si>
  <si>
    <t>00:48:30</t>
  </si>
  <si>
    <t>98223/25</t>
  </si>
  <si>
    <t>00:53:06</t>
  </si>
  <si>
    <t>98224/25</t>
  </si>
  <si>
    <t>98225/25</t>
  </si>
  <si>
    <t>00:42:35</t>
  </si>
  <si>
    <t>98226/25</t>
  </si>
  <si>
    <t>00:48:54</t>
  </si>
  <si>
    <t>98227/25</t>
  </si>
  <si>
    <t>00:25:32</t>
  </si>
  <si>
    <t>98228/25</t>
  </si>
  <si>
    <t>98229/25</t>
  </si>
  <si>
    <t>00:37:08</t>
  </si>
  <si>
    <t>98230/25</t>
  </si>
  <si>
    <t>01:28:40</t>
  </si>
  <si>
    <t>98231/25</t>
  </si>
  <si>
    <t>00:23:56</t>
  </si>
  <si>
    <t>98232/25</t>
  </si>
  <si>
    <t>98233/25</t>
  </si>
  <si>
    <t>01:09:27</t>
  </si>
  <si>
    <t>98234/25</t>
  </si>
  <si>
    <t>98235/25</t>
  </si>
  <si>
    <t>00:51:31</t>
  </si>
  <si>
    <t>98236/25</t>
  </si>
  <si>
    <t>98237/25</t>
  </si>
  <si>
    <t>33036D40</t>
  </si>
  <si>
    <t>00:58:09</t>
  </si>
  <si>
    <t>98238/25</t>
  </si>
  <si>
    <t>00:12:01</t>
  </si>
  <si>
    <t>98239/25</t>
  </si>
  <si>
    <t>00:18:11</t>
  </si>
  <si>
    <t>98240/25</t>
  </si>
  <si>
    <t>98241/25</t>
  </si>
  <si>
    <t>98242/25</t>
  </si>
  <si>
    <t>00:17:33</t>
  </si>
  <si>
    <t>98243/25</t>
  </si>
  <si>
    <t>03:05:08</t>
  </si>
  <si>
    <t>98244/25</t>
  </si>
  <si>
    <t>01:51:14</t>
  </si>
  <si>
    <t>98245/25</t>
  </si>
  <si>
    <t>00:18:08</t>
  </si>
  <si>
    <t>98246/25</t>
  </si>
  <si>
    <t>98247/25</t>
  </si>
  <si>
    <t>98248/25</t>
  </si>
  <si>
    <t>98249/25</t>
  </si>
  <si>
    <t>00:27:30</t>
  </si>
  <si>
    <t>98250/25</t>
  </si>
  <si>
    <t>00:15:25</t>
  </si>
  <si>
    <t>98251/25</t>
  </si>
  <si>
    <t>00:16:47</t>
  </si>
  <si>
    <t>98252/25</t>
  </si>
  <si>
    <t>00:19:38</t>
  </si>
  <si>
    <t>98253/25</t>
  </si>
  <si>
    <t>03:28:27</t>
  </si>
  <si>
    <t>98254/25</t>
  </si>
  <si>
    <t>98255/25</t>
  </si>
  <si>
    <t>00:52:48</t>
  </si>
  <si>
    <t>98256/25</t>
  </si>
  <si>
    <t>00:20:53</t>
  </si>
  <si>
    <t>98257/25</t>
  </si>
  <si>
    <t>00:16:02</t>
  </si>
  <si>
    <t>98258/25</t>
  </si>
  <si>
    <t>00:18:14</t>
  </si>
  <si>
    <t>98259/25</t>
  </si>
  <si>
    <t>98260/25</t>
  </si>
  <si>
    <t>00:14:52</t>
  </si>
  <si>
    <t>98261/25</t>
  </si>
  <si>
    <t>98262/25</t>
  </si>
  <si>
    <t>00:10:32</t>
  </si>
  <si>
    <t>98263/25</t>
  </si>
  <si>
    <t>03:51:30</t>
  </si>
  <si>
    <t>98264/25</t>
  </si>
  <si>
    <t>00:29:21</t>
  </si>
  <si>
    <t>98265/25</t>
  </si>
  <si>
    <t>03:17:01</t>
  </si>
  <si>
    <t>98266/25</t>
  </si>
  <si>
    <t>01:03:45</t>
  </si>
  <si>
    <t>98267/25</t>
  </si>
  <si>
    <t>98268/25</t>
  </si>
  <si>
    <t>00:29:52</t>
  </si>
  <si>
    <t>98269/25</t>
  </si>
  <si>
    <t>00:34:55</t>
  </si>
  <si>
    <t>98270/25</t>
  </si>
  <si>
    <t>98271/25</t>
  </si>
  <si>
    <t>00:41:06</t>
  </si>
  <si>
    <t>98272/25</t>
  </si>
  <si>
    <t>00:36:42</t>
  </si>
  <si>
    <t>98273/25</t>
  </si>
  <si>
    <t>00:43:45</t>
  </si>
  <si>
    <t>98274/25</t>
  </si>
  <si>
    <t>02:59:17</t>
  </si>
  <si>
    <t>98275/25</t>
  </si>
  <si>
    <t>98276/25</t>
  </si>
  <si>
    <t>00:11:11</t>
  </si>
  <si>
    <t>98277/25</t>
  </si>
  <si>
    <t>00:15:20</t>
  </si>
  <si>
    <t>98278/25</t>
  </si>
  <si>
    <t>98279/25</t>
  </si>
  <si>
    <t>98280/25</t>
  </si>
  <si>
    <t>98281/25</t>
  </si>
  <si>
    <t>00:39:15</t>
  </si>
  <si>
    <t>98283/25</t>
  </si>
  <si>
    <t>00:46:53</t>
  </si>
  <si>
    <t>98284/25</t>
  </si>
  <si>
    <t>00:14:14</t>
  </si>
  <si>
    <t>98285/25</t>
  </si>
  <si>
    <t>00:17:20</t>
  </si>
  <si>
    <t>98286/25</t>
  </si>
  <si>
    <t>03:10:34</t>
  </si>
  <si>
    <t>98287/25</t>
  </si>
  <si>
    <t>04:45:40</t>
  </si>
  <si>
    <t>98288/25</t>
  </si>
  <si>
    <t>05:07:56</t>
  </si>
  <si>
    <t>98289/25</t>
  </si>
  <si>
    <t>98290/25</t>
  </si>
  <si>
    <t>06:41:34</t>
  </si>
  <si>
    <t>98291/25</t>
  </si>
  <si>
    <t>98292/25</t>
  </si>
  <si>
    <t>98293/25</t>
  </si>
  <si>
    <t>03:56:07</t>
  </si>
  <si>
    <t>98294/25</t>
  </si>
  <si>
    <t>01:06:48</t>
  </si>
  <si>
    <t>98295/25</t>
  </si>
  <si>
    <t>00:11:48</t>
  </si>
  <si>
    <t>98296/25</t>
  </si>
  <si>
    <t>00:15:10</t>
  </si>
  <si>
    <t>98297/25</t>
  </si>
  <si>
    <t>00:23:50</t>
  </si>
  <si>
    <t>98298/25</t>
  </si>
  <si>
    <t>28916A45</t>
  </si>
  <si>
    <t>29376N40</t>
  </si>
  <si>
    <t>21124B40</t>
  </si>
  <si>
    <t>00:11:32</t>
  </si>
  <si>
    <t>98299/25</t>
  </si>
  <si>
    <t>98300/25</t>
  </si>
  <si>
    <t>98301/25</t>
  </si>
  <si>
    <t>98302/25</t>
  </si>
  <si>
    <t>00:48:29</t>
  </si>
  <si>
    <t>98303/25</t>
  </si>
  <si>
    <t>98304/25</t>
  </si>
  <si>
    <t>00:40:23</t>
  </si>
  <si>
    <t>98305/25</t>
  </si>
  <si>
    <t>98306/25</t>
  </si>
  <si>
    <t>98307/25</t>
  </si>
  <si>
    <t>00:44:57</t>
  </si>
  <si>
    <t>98308/25</t>
  </si>
  <si>
    <t>07:17:22</t>
  </si>
  <si>
    <t>98309/25</t>
  </si>
  <si>
    <t>00:42:10</t>
  </si>
  <si>
    <t>98310/25</t>
  </si>
  <si>
    <t>00:43:04</t>
  </si>
  <si>
    <t>98311/25</t>
  </si>
  <si>
    <t>00:19:00</t>
  </si>
  <si>
    <t>98312/25</t>
  </si>
  <si>
    <t>01:37:21</t>
  </si>
  <si>
    <t>98313/25</t>
  </si>
  <si>
    <t>07:41:47</t>
  </si>
  <si>
    <t>98314/25</t>
  </si>
  <si>
    <t>01:51:27</t>
  </si>
  <si>
    <t>98315/25</t>
  </si>
  <si>
    <t>01:53:57</t>
  </si>
  <si>
    <t>98316/25</t>
  </si>
  <si>
    <t>00:16:36</t>
  </si>
  <si>
    <t>98317/25</t>
  </si>
  <si>
    <t>02:07:40</t>
  </si>
  <si>
    <t>98318/25</t>
  </si>
  <si>
    <t>01:59:56</t>
  </si>
  <si>
    <t>98319/25</t>
  </si>
  <si>
    <t>01:30:28</t>
  </si>
  <si>
    <t>98320/25</t>
  </si>
  <si>
    <t>98321/25</t>
  </si>
  <si>
    <t>01:54:34</t>
  </si>
  <si>
    <t>98322/25</t>
  </si>
  <si>
    <t>01:35:26</t>
  </si>
  <si>
    <t>98324/25</t>
  </si>
  <si>
    <t>00:29:51</t>
  </si>
  <si>
    <t>98325/25</t>
  </si>
  <si>
    <t>98326/25</t>
  </si>
  <si>
    <t>01:39:30</t>
  </si>
  <si>
    <t>98327/25</t>
  </si>
  <si>
    <t>10:14:16</t>
  </si>
  <si>
    <t>98328/25</t>
  </si>
  <si>
    <t>01:04:23</t>
  </si>
  <si>
    <t>98329/25</t>
  </si>
  <si>
    <t>00:11:39</t>
  </si>
  <si>
    <t>98330/25</t>
  </si>
  <si>
    <t>00:45:14</t>
  </si>
  <si>
    <t>98331/25</t>
  </si>
  <si>
    <t>00:24:27</t>
  </si>
  <si>
    <t>98332/25</t>
  </si>
  <si>
    <t>00:26:04</t>
  </si>
  <si>
    <t>98333/25</t>
  </si>
  <si>
    <t>00:49:08</t>
  </si>
  <si>
    <t>98334/25</t>
  </si>
  <si>
    <t>98335/25</t>
  </si>
  <si>
    <t>98336/25</t>
  </si>
  <si>
    <t>00:28:24</t>
  </si>
  <si>
    <t>98337/25</t>
  </si>
  <si>
    <t>00:31:18</t>
  </si>
  <si>
    <t>98338/25</t>
  </si>
  <si>
    <t>00:37:10</t>
  </si>
  <si>
    <t>98339/25</t>
  </si>
  <si>
    <t>98340/25</t>
  </si>
  <si>
    <t>98341/25</t>
  </si>
  <si>
    <t>00:48:35</t>
  </si>
  <si>
    <t>98342/25</t>
  </si>
  <si>
    <t>00:53:53</t>
  </si>
  <si>
    <t>98343/25</t>
  </si>
  <si>
    <t>01:05:13</t>
  </si>
  <si>
    <t>98344/25</t>
  </si>
  <si>
    <t>98865b40</t>
  </si>
  <si>
    <t>01:01:22</t>
  </si>
  <si>
    <t>98345/25</t>
  </si>
  <si>
    <t>01:14:18</t>
  </si>
  <si>
    <t>98346/25</t>
  </si>
  <si>
    <t>01:25:48</t>
  </si>
  <si>
    <t>98347/25</t>
  </si>
  <si>
    <t>01:33:31</t>
  </si>
  <si>
    <t>98348/25</t>
  </si>
  <si>
    <t>01:37:14</t>
  </si>
  <si>
    <t>98349/25</t>
  </si>
  <si>
    <t>01:42:32</t>
  </si>
  <si>
    <t>98350/25</t>
  </si>
  <si>
    <t>01:57:41</t>
  </si>
  <si>
    <t>98351/25</t>
  </si>
  <si>
    <t>01:30:11</t>
  </si>
  <si>
    <t>98352/25</t>
  </si>
  <si>
    <t>98353/25</t>
  </si>
  <si>
    <t>01:31:11</t>
  </si>
  <si>
    <t>98354/25</t>
  </si>
  <si>
    <t>00:55:50</t>
  </si>
  <si>
    <t>98355/25</t>
  </si>
  <si>
    <t>01:05:43</t>
  </si>
  <si>
    <t>98356/25</t>
  </si>
  <si>
    <t>98357/25</t>
  </si>
  <si>
    <t>00:51:17</t>
  </si>
  <si>
    <t>98358/25</t>
  </si>
  <si>
    <t>00:19:50</t>
  </si>
  <si>
    <t>98359/25</t>
  </si>
  <si>
    <t>98360/25</t>
  </si>
  <si>
    <t>00:23:00</t>
  </si>
  <si>
    <t>98361/25</t>
  </si>
  <si>
    <t>00:27:01</t>
  </si>
  <si>
    <t>98362/25</t>
  </si>
  <si>
    <t>00:22:13</t>
  </si>
  <si>
    <t>98363/25</t>
  </si>
  <si>
    <t>03:52:51</t>
  </si>
  <si>
    <t>98364/25</t>
  </si>
  <si>
    <t>02:02:24</t>
  </si>
  <si>
    <t>98365/25</t>
  </si>
  <si>
    <t>98366/25</t>
  </si>
  <si>
    <t>98367/25</t>
  </si>
  <si>
    <t>00:10:16</t>
  </si>
  <si>
    <t>98368/25</t>
  </si>
  <si>
    <t>02:36:16</t>
  </si>
  <si>
    <t>98369/25</t>
  </si>
  <si>
    <t>01:16:39</t>
  </si>
  <si>
    <t>98370/25</t>
  </si>
  <si>
    <t>00:16:01</t>
  </si>
  <si>
    <t>98371/25</t>
  </si>
  <si>
    <t>01:01:11</t>
  </si>
  <si>
    <t>98372/25</t>
  </si>
  <si>
    <t>01:50:07</t>
  </si>
  <si>
    <t>98373/25</t>
  </si>
  <si>
    <t>00:57:59</t>
  </si>
  <si>
    <t>98374/25</t>
  </si>
  <si>
    <t>00:16:21</t>
  </si>
  <si>
    <t>98375/25</t>
  </si>
  <si>
    <t>01:48:41</t>
  </si>
  <si>
    <t>98376/25</t>
  </si>
  <si>
    <t>98377/25</t>
  </si>
  <si>
    <t>00:31:32</t>
  </si>
  <si>
    <t>98378/25</t>
  </si>
  <si>
    <t>98379/25</t>
  </si>
  <si>
    <t>98380/25</t>
  </si>
  <si>
    <t>00:42:18</t>
  </si>
  <si>
    <t>98381/25</t>
  </si>
  <si>
    <t>00:47:09</t>
  </si>
  <si>
    <t>98382/25</t>
  </si>
  <si>
    <t>98383/25</t>
  </si>
  <si>
    <t>98384/25</t>
  </si>
  <si>
    <t>98385/25</t>
  </si>
  <si>
    <t>00:26:05</t>
  </si>
  <si>
    <t>98386/25</t>
  </si>
  <si>
    <t>98387/25</t>
  </si>
  <si>
    <t>00:56:20</t>
  </si>
  <si>
    <t>98388/25</t>
  </si>
  <si>
    <t>00:16:53</t>
  </si>
  <si>
    <t>98389/25</t>
  </si>
  <si>
    <t>00:13:17</t>
  </si>
  <si>
    <t>98390/25</t>
  </si>
  <si>
    <t>00:17:56</t>
  </si>
  <si>
    <t>98391/25</t>
  </si>
  <si>
    <t>00:32:45</t>
  </si>
  <si>
    <t>98392/25</t>
  </si>
  <si>
    <t>01:32:40</t>
  </si>
  <si>
    <t>98393/25</t>
  </si>
  <si>
    <t>00:10:57</t>
  </si>
  <si>
    <t>98394/25</t>
  </si>
  <si>
    <t>00:12:27</t>
  </si>
  <si>
    <t>98395/25</t>
  </si>
  <si>
    <t>00:10:36</t>
  </si>
  <si>
    <t>98396/25</t>
  </si>
  <si>
    <t>00:28:09</t>
  </si>
  <si>
    <t>98397/25</t>
  </si>
  <si>
    <t>98398/25</t>
  </si>
  <si>
    <t>98399/25</t>
  </si>
  <si>
    <t>00:59:39</t>
  </si>
  <si>
    <t>98400/25</t>
  </si>
  <si>
    <t>00:26:31</t>
  </si>
  <si>
    <t>98401/25</t>
  </si>
  <si>
    <t>98402/25</t>
  </si>
  <si>
    <t>00:19:06</t>
  </si>
  <si>
    <t>98403/25</t>
  </si>
  <si>
    <t>98404/25</t>
  </si>
  <si>
    <t>98405/25</t>
  </si>
  <si>
    <t>00:26:12</t>
  </si>
  <si>
    <t>98406/25</t>
  </si>
  <si>
    <t>98407/25</t>
  </si>
  <si>
    <t>00:22:05</t>
  </si>
  <si>
    <t>98408/25</t>
  </si>
  <si>
    <t>00:39:59</t>
  </si>
  <si>
    <t>98409/25</t>
  </si>
  <si>
    <t>01:47:40</t>
  </si>
  <si>
    <t>98410/25</t>
  </si>
  <si>
    <t>01:53:53</t>
  </si>
  <si>
    <t>98411/25</t>
  </si>
  <si>
    <t>02:08:46</t>
  </si>
  <si>
    <t>98412/25</t>
  </si>
  <si>
    <t>02:14:03</t>
  </si>
  <si>
    <t>98413/25</t>
  </si>
  <si>
    <t>02:21:58</t>
  </si>
  <si>
    <t>98414/25</t>
  </si>
  <si>
    <t>02:23:16</t>
  </si>
  <si>
    <t>98415/25</t>
  </si>
  <si>
    <t>02:29:23</t>
  </si>
  <si>
    <t>98416/25</t>
  </si>
  <si>
    <t>02:25:47</t>
  </si>
  <si>
    <t>98417/25</t>
  </si>
  <si>
    <t>02:19:13</t>
  </si>
  <si>
    <t>98418/25</t>
  </si>
  <si>
    <t>00:40:02</t>
  </si>
  <si>
    <t>98419/25</t>
  </si>
  <si>
    <t>00:39:14</t>
  </si>
  <si>
    <t>98420/25</t>
  </si>
  <si>
    <t>98421/25</t>
  </si>
  <si>
    <t>00:18:13</t>
  </si>
  <si>
    <t>98422/25</t>
  </si>
  <si>
    <t>00:17:09</t>
  </si>
  <si>
    <t>98423/25</t>
  </si>
  <si>
    <t>01:29:40</t>
  </si>
  <si>
    <t>98424/25</t>
  </si>
  <si>
    <t>00:27:18</t>
  </si>
  <si>
    <t>98425/25</t>
  </si>
  <si>
    <t>98426/25</t>
  </si>
  <si>
    <t>98427/25</t>
  </si>
  <si>
    <t>00:13:13</t>
  </si>
  <si>
    <t>98428/25</t>
  </si>
  <si>
    <t>98429/25</t>
  </si>
  <si>
    <t>00:30:51</t>
  </si>
  <si>
    <t>98430/25</t>
  </si>
  <si>
    <t>00:37:55</t>
  </si>
  <si>
    <t>98431/25</t>
  </si>
  <si>
    <t>98432/25</t>
  </si>
  <si>
    <t>00:48:04</t>
  </si>
  <si>
    <t>98433/25</t>
  </si>
  <si>
    <t>98434/25</t>
  </si>
  <si>
    <t>98435/25</t>
  </si>
  <si>
    <t>00:22:58</t>
  </si>
  <si>
    <t>98436/25</t>
  </si>
  <si>
    <t>03:11:55</t>
  </si>
  <si>
    <t>98437/25</t>
  </si>
  <si>
    <t>03:25:59</t>
  </si>
  <si>
    <t>98438/25</t>
  </si>
  <si>
    <t>03:30:19</t>
  </si>
  <si>
    <t>98439/25</t>
  </si>
  <si>
    <t>98440/25</t>
  </si>
  <si>
    <t>98441/25</t>
  </si>
  <si>
    <t>00:18:54</t>
  </si>
  <si>
    <t>98442/25</t>
  </si>
  <si>
    <t>00:17:00</t>
  </si>
  <si>
    <t>98443/25</t>
  </si>
  <si>
    <t>98444/25</t>
  </si>
  <si>
    <t>04:14:47</t>
  </si>
  <si>
    <t>98445/25</t>
  </si>
  <si>
    <t>00:30:15</t>
  </si>
  <si>
    <t>98446/25</t>
  </si>
  <si>
    <t>01:40:07</t>
  </si>
  <si>
    <t>98447/25</t>
  </si>
  <si>
    <t>04:28:39</t>
  </si>
  <si>
    <t>98448/25</t>
  </si>
  <si>
    <t>00:22:20</t>
  </si>
  <si>
    <t>98449/25</t>
  </si>
  <si>
    <t>03:40:32</t>
  </si>
  <si>
    <t>98450/25</t>
  </si>
  <si>
    <t>03:37:45</t>
  </si>
  <si>
    <t>98451/25</t>
  </si>
  <si>
    <t>07:36:45</t>
  </si>
  <si>
    <t>98452/25</t>
  </si>
  <si>
    <t>00:09:29</t>
  </si>
  <si>
    <t>98453/25</t>
  </si>
  <si>
    <t>04:00:23</t>
  </si>
  <si>
    <t>98454/25</t>
  </si>
  <si>
    <t>98455/25</t>
  </si>
  <si>
    <t>98456/25</t>
  </si>
  <si>
    <t>05:37:58</t>
  </si>
  <si>
    <t>98457/25</t>
  </si>
  <si>
    <t>04:36:20</t>
  </si>
  <si>
    <t>98458/25</t>
  </si>
  <si>
    <t>03:30:51</t>
  </si>
  <si>
    <t>98459/25</t>
  </si>
  <si>
    <t>00:55:01</t>
  </si>
  <si>
    <t>98460/25</t>
  </si>
  <si>
    <t>01:26:39</t>
  </si>
  <si>
    <t>98461/25</t>
  </si>
  <si>
    <t>01:33:02</t>
  </si>
  <si>
    <t>98462/25</t>
  </si>
  <si>
    <t>00:22:09</t>
  </si>
  <si>
    <t>98463/25</t>
  </si>
  <si>
    <t>00:17:13</t>
  </si>
  <si>
    <t>98464/25</t>
  </si>
  <si>
    <t>03:50:28</t>
  </si>
  <si>
    <t>98465/25</t>
  </si>
  <si>
    <t>98466/25</t>
  </si>
  <si>
    <t>00:13:33</t>
  </si>
  <si>
    <t>98467/25</t>
  </si>
  <si>
    <t>98468/25</t>
  </si>
  <si>
    <t>98469/25</t>
  </si>
  <si>
    <t>98470/25</t>
  </si>
  <si>
    <t>98471/25</t>
  </si>
  <si>
    <t>00:44:02</t>
  </si>
  <si>
    <t>98472/25</t>
  </si>
  <si>
    <t>98473/25</t>
  </si>
  <si>
    <t>00:54:07</t>
  </si>
  <si>
    <t>98474/25</t>
  </si>
  <si>
    <t>98475/25</t>
  </si>
  <si>
    <t>00:18:40</t>
  </si>
  <si>
    <t>98476/25</t>
  </si>
  <si>
    <t>01:11:33</t>
  </si>
  <si>
    <t>98477/25</t>
  </si>
  <si>
    <t>01:16:36</t>
  </si>
  <si>
    <t>98478/25</t>
  </si>
  <si>
    <t>01:22:10</t>
  </si>
  <si>
    <t>98479/25</t>
  </si>
  <si>
    <t>01:24:49</t>
  </si>
  <si>
    <t>98480/25</t>
  </si>
  <si>
    <t>01:30:38</t>
  </si>
  <si>
    <t>98481/25</t>
  </si>
  <si>
    <t>01:34:13</t>
  </si>
  <si>
    <t>98482/25</t>
  </si>
  <si>
    <t>01:41:05</t>
  </si>
  <si>
    <t>98483/25</t>
  </si>
  <si>
    <t>98484/25</t>
  </si>
  <si>
    <t>98485/25</t>
  </si>
  <si>
    <t>01:25:21</t>
  </si>
  <si>
    <t>98486/25</t>
  </si>
  <si>
    <t>98487/25</t>
  </si>
  <si>
    <t>98488/25</t>
  </si>
  <si>
    <t>01:37:06</t>
  </si>
  <si>
    <t>98489/25</t>
  </si>
  <si>
    <t>02:21:50</t>
  </si>
  <si>
    <t>98490/25</t>
  </si>
  <si>
    <t>00:30:12</t>
  </si>
  <si>
    <t>98491/25</t>
  </si>
  <si>
    <t>00:32:14</t>
  </si>
  <si>
    <t>98492/25</t>
  </si>
  <si>
    <t>98493/25</t>
  </si>
  <si>
    <t>02:59:15</t>
  </si>
  <si>
    <t>98494/25</t>
  </si>
  <si>
    <t>02:51:24</t>
  </si>
  <si>
    <t>98495/25</t>
  </si>
  <si>
    <t>01:23:04</t>
  </si>
  <si>
    <t>98496/25</t>
  </si>
  <si>
    <t>03:00:41</t>
  </si>
  <si>
    <t>98497/25</t>
  </si>
  <si>
    <t>98498/25</t>
  </si>
  <si>
    <t>02:35:09</t>
  </si>
  <si>
    <t>98499/25</t>
  </si>
  <si>
    <t>02:47:29</t>
  </si>
  <si>
    <t>98500/25</t>
  </si>
  <si>
    <t>98502/25</t>
  </si>
  <si>
    <t>02:50:29</t>
  </si>
  <si>
    <t>98503/25</t>
  </si>
  <si>
    <t>02:36:05</t>
  </si>
  <si>
    <t>98504/25</t>
  </si>
  <si>
    <t>02:45:15</t>
  </si>
  <si>
    <t>98505/25</t>
  </si>
  <si>
    <t>00:11:28</t>
  </si>
  <si>
    <t>98506/25</t>
  </si>
  <si>
    <t>03:24:52</t>
  </si>
  <si>
    <t>98507/25</t>
  </si>
  <si>
    <t>03:31:53</t>
  </si>
  <si>
    <t>98508/25</t>
  </si>
  <si>
    <t>98509/25</t>
  </si>
  <si>
    <t>04:24:00</t>
  </si>
  <si>
    <t>98510/25</t>
  </si>
  <si>
    <t>03:11:58</t>
  </si>
  <si>
    <t>98511/25</t>
  </si>
  <si>
    <t>98512/25</t>
  </si>
  <si>
    <t>02:53:17</t>
  </si>
  <si>
    <t>98513/25</t>
  </si>
  <si>
    <t>03:02:03</t>
  </si>
  <si>
    <t>98514/25</t>
  </si>
  <si>
    <t>04:40:20</t>
  </si>
  <si>
    <t>98515/25</t>
  </si>
  <si>
    <t>03:14:14</t>
  </si>
  <si>
    <t>98516/25</t>
  </si>
  <si>
    <t>98517/25</t>
  </si>
  <si>
    <t>00:16:27</t>
  </si>
  <si>
    <t>98518/25</t>
  </si>
  <si>
    <t>98519/25</t>
  </si>
  <si>
    <t>01:57:35</t>
  </si>
  <si>
    <t>98520/25</t>
  </si>
  <si>
    <t>98521/25</t>
  </si>
  <si>
    <t>02:31:47</t>
  </si>
  <si>
    <t>98522/25</t>
  </si>
  <si>
    <t>01:34:03</t>
  </si>
  <si>
    <t>98523/25</t>
  </si>
  <si>
    <t>02:20:50</t>
  </si>
  <si>
    <t>98524/25</t>
  </si>
  <si>
    <t>00:21:46</t>
  </si>
  <si>
    <t>98525/25</t>
  </si>
  <si>
    <t>98526/25</t>
  </si>
  <si>
    <t>98527/25</t>
  </si>
  <si>
    <t>00:43:13</t>
  </si>
  <si>
    <t>98528/25</t>
  </si>
  <si>
    <t>00:45:56</t>
  </si>
  <si>
    <t>98529/25</t>
  </si>
  <si>
    <t>98530/25</t>
  </si>
  <si>
    <t>98531/25</t>
  </si>
  <si>
    <t>01:05:54</t>
  </si>
  <si>
    <t>98532/25</t>
  </si>
  <si>
    <t>01:15:45</t>
  </si>
  <si>
    <t>98533/25</t>
  </si>
  <si>
    <t>01:29:19</t>
  </si>
  <si>
    <t>98534/25</t>
  </si>
  <si>
    <t>01:31:51</t>
  </si>
  <si>
    <t>98535/25</t>
  </si>
  <si>
    <t>01:40:14</t>
  </si>
  <si>
    <t>98536/25</t>
  </si>
  <si>
    <t>01:39:22</t>
  </si>
  <si>
    <t>98537/25</t>
  </si>
  <si>
    <t>01:52:47</t>
  </si>
  <si>
    <t>98538/25</t>
  </si>
  <si>
    <t>01:35:10</t>
  </si>
  <si>
    <t>98539/25</t>
  </si>
  <si>
    <t>02:00:01</t>
  </si>
  <si>
    <t>98540/25</t>
  </si>
  <si>
    <t>01:37:34</t>
  </si>
  <si>
    <t>98541/25</t>
  </si>
  <si>
    <t>01:49:23</t>
  </si>
  <si>
    <t>98542/25</t>
  </si>
  <si>
    <t>01:54:17</t>
  </si>
  <si>
    <t>98543/25</t>
  </si>
  <si>
    <t>00:31:59</t>
  </si>
  <si>
    <t>98545/25</t>
  </si>
  <si>
    <t>03:26:44</t>
  </si>
  <si>
    <t>98546/25</t>
  </si>
  <si>
    <t>03:33:44</t>
  </si>
  <si>
    <t>98547/25</t>
  </si>
  <si>
    <t>00:32:30</t>
  </si>
  <si>
    <t>98548/25</t>
  </si>
  <si>
    <t>03:40:37</t>
  </si>
  <si>
    <t>98549/25</t>
  </si>
  <si>
    <t>03:45:14</t>
  </si>
  <si>
    <t>98550/25</t>
  </si>
  <si>
    <t>98551/25</t>
  </si>
  <si>
    <t>02:52:34</t>
  </si>
  <si>
    <t>98552/25</t>
  </si>
  <si>
    <t>00:08:45</t>
  </si>
  <si>
    <t>98553/25</t>
  </si>
  <si>
    <t>00:15:28</t>
  </si>
  <si>
    <t>98554/25</t>
  </si>
  <si>
    <t>98555/25</t>
  </si>
  <si>
    <t>02:29:09</t>
  </si>
  <si>
    <t>98556/25</t>
  </si>
  <si>
    <t>03:15:27</t>
  </si>
  <si>
    <t>98557/25</t>
  </si>
  <si>
    <t>02:29:07</t>
  </si>
  <si>
    <t>98558/25</t>
  </si>
  <si>
    <t>33209D40</t>
  </si>
  <si>
    <t>98559/25</t>
  </si>
  <si>
    <t>98560/25</t>
  </si>
  <si>
    <t>02:43:33</t>
  </si>
  <si>
    <t>98561/25</t>
  </si>
  <si>
    <t>98562/25</t>
  </si>
  <si>
    <t>98563/25</t>
  </si>
  <si>
    <t>02:46:37</t>
  </si>
  <si>
    <t>98564/25</t>
  </si>
  <si>
    <t>33208D40</t>
  </si>
  <si>
    <t>98565/25</t>
  </si>
  <si>
    <t>02:27:31</t>
  </si>
  <si>
    <t>98566/25</t>
  </si>
  <si>
    <t>00:15:21</t>
  </si>
  <si>
    <t>98567/25</t>
  </si>
  <si>
    <t>02:33:45</t>
  </si>
  <si>
    <t>98568/25</t>
  </si>
  <si>
    <t>00:16:33</t>
  </si>
  <si>
    <t>98569/25</t>
  </si>
  <si>
    <t>00:06:10</t>
  </si>
  <si>
    <t>98570/25</t>
  </si>
  <si>
    <t>01:55:18</t>
  </si>
  <si>
    <t>98571/25</t>
  </si>
  <si>
    <t>01:48:27</t>
  </si>
  <si>
    <t>98572/25</t>
  </si>
  <si>
    <t>00:15:04</t>
  </si>
  <si>
    <t>98573/25</t>
  </si>
  <si>
    <t>98574/25</t>
  </si>
  <si>
    <t>00:12:46</t>
  </si>
  <si>
    <t>98575/25</t>
  </si>
  <si>
    <t>09:20:41</t>
  </si>
  <si>
    <t>98577/25</t>
  </si>
  <si>
    <t>03:46:21</t>
  </si>
  <si>
    <t>98578/25</t>
  </si>
  <si>
    <t>03:13:01</t>
  </si>
  <si>
    <t>98579/25</t>
  </si>
  <si>
    <t>00:13:09</t>
  </si>
  <si>
    <t>98580/25</t>
  </si>
  <si>
    <t>98581/25</t>
  </si>
  <si>
    <t>02:28:20</t>
  </si>
  <si>
    <t>98582/25</t>
  </si>
  <si>
    <t>01:36:46</t>
  </si>
  <si>
    <t>98583/25</t>
  </si>
  <si>
    <t>00:24:36</t>
  </si>
  <si>
    <t>98584/25</t>
  </si>
  <si>
    <t>02:18:10</t>
  </si>
  <si>
    <t>98585/25</t>
  </si>
  <si>
    <t>00:14:39</t>
  </si>
  <si>
    <t>98586/25</t>
  </si>
  <si>
    <t>02:54:38</t>
  </si>
  <si>
    <t>98587/25</t>
  </si>
  <si>
    <t>00:11:22</t>
  </si>
  <si>
    <t>98588/24</t>
  </si>
  <si>
    <t>98589/24</t>
  </si>
  <si>
    <t>00:19:16</t>
  </si>
  <si>
    <t>98590/24</t>
  </si>
  <si>
    <t>98591/24</t>
  </si>
  <si>
    <t>98592/24</t>
  </si>
  <si>
    <t>98593/24</t>
  </si>
  <si>
    <t>00:29:54</t>
  </si>
  <si>
    <t>98594/24</t>
  </si>
  <si>
    <t>98595/24</t>
  </si>
  <si>
    <t>00:36:58</t>
  </si>
  <si>
    <t>98596/24</t>
  </si>
  <si>
    <t>00:41:39</t>
  </si>
  <si>
    <t>98597/24</t>
  </si>
  <si>
    <t>98598/24</t>
  </si>
  <si>
    <t>00:46:38</t>
  </si>
  <si>
    <t>98599/24</t>
  </si>
  <si>
    <t>00:26:01</t>
  </si>
  <si>
    <t>98600/24</t>
  </si>
  <si>
    <t>00:57:16</t>
  </si>
  <si>
    <t>98601/24</t>
  </si>
  <si>
    <t>98602/24</t>
  </si>
  <si>
    <t>33210D40</t>
  </si>
  <si>
    <t>01:02:26</t>
  </si>
  <si>
    <t>98603/24</t>
  </si>
  <si>
    <t>98604/24</t>
  </si>
  <si>
    <t>01:00:03</t>
  </si>
  <si>
    <t>98605/24</t>
  </si>
  <si>
    <t>00:45:36</t>
  </si>
  <si>
    <t>98606/24</t>
  </si>
  <si>
    <t>01:13:41</t>
  </si>
  <si>
    <t>98607/24</t>
  </si>
  <si>
    <t>98608/24</t>
  </si>
  <si>
    <t>98609/24</t>
  </si>
  <si>
    <t>98610/24</t>
  </si>
  <si>
    <t>98611/24</t>
  </si>
  <si>
    <t>00:19:48</t>
  </si>
  <si>
    <t>98612/24</t>
  </si>
  <si>
    <t>00:19:37</t>
  </si>
  <si>
    <t>98613/24</t>
  </si>
  <si>
    <t>98614/24</t>
  </si>
  <si>
    <t>02:41:01</t>
  </si>
  <si>
    <t>98615/24</t>
  </si>
  <si>
    <t>00:16:38</t>
  </si>
  <si>
    <t>98616/24</t>
  </si>
  <si>
    <t>00:14:36</t>
  </si>
  <si>
    <t>98617/24</t>
  </si>
  <si>
    <t>03:28:28</t>
  </si>
  <si>
    <t>98618/24</t>
  </si>
  <si>
    <t>98619/24</t>
  </si>
  <si>
    <t>98620/24</t>
  </si>
  <si>
    <t>00:41:03</t>
  </si>
  <si>
    <t>98621/24</t>
  </si>
  <si>
    <t>98622/24</t>
  </si>
  <si>
    <t>00:11:59</t>
  </si>
  <si>
    <t>98623/24</t>
  </si>
  <si>
    <t>02:20:42</t>
  </si>
  <si>
    <t>98625/24</t>
  </si>
  <si>
    <t>00:33:34</t>
  </si>
  <si>
    <t>98626/24</t>
  </si>
  <si>
    <t>00:08:54</t>
  </si>
  <si>
    <t>98627/24</t>
  </si>
  <si>
    <t>98628/24</t>
  </si>
  <si>
    <t>98629/24</t>
  </si>
  <si>
    <t>00:39:43</t>
  </si>
  <si>
    <t>98630/24</t>
  </si>
  <si>
    <t>98631/24</t>
  </si>
  <si>
    <t>00:53:12</t>
  </si>
  <si>
    <t>98632/24</t>
  </si>
  <si>
    <t>00:30:06</t>
  </si>
  <si>
    <t>98633/24</t>
  </si>
  <si>
    <t>98634/24</t>
  </si>
  <si>
    <t>00:29:59</t>
  </si>
  <si>
    <t>98635/24</t>
  </si>
  <si>
    <t>98636/24</t>
  </si>
  <si>
    <t>98637/24</t>
  </si>
  <si>
    <t>00:30:56</t>
  </si>
  <si>
    <t>98638/24</t>
  </si>
  <si>
    <t>98639/24</t>
  </si>
  <si>
    <t>98640/24</t>
  </si>
  <si>
    <t>00:43:59</t>
  </si>
  <si>
    <t>98641/24</t>
  </si>
  <si>
    <t>00:42:17</t>
  </si>
  <si>
    <t>98642/24</t>
  </si>
  <si>
    <t>98643/24</t>
  </si>
  <si>
    <t>00:30:47</t>
  </si>
  <si>
    <t>98645/24</t>
  </si>
  <si>
    <t>00:09:59</t>
  </si>
  <si>
    <t>98646/24</t>
  </si>
  <si>
    <t>98647/24</t>
  </si>
  <si>
    <t>98648/24</t>
  </si>
  <si>
    <t>00:23:32</t>
  </si>
  <si>
    <t>98649/24</t>
  </si>
  <si>
    <t>08:01:11</t>
  </si>
  <si>
    <t>98650/24</t>
  </si>
  <si>
    <t>98651/24</t>
  </si>
  <si>
    <t>00:47:22</t>
  </si>
  <si>
    <t>98652/24</t>
  </si>
  <si>
    <t>98653/24</t>
  </si>
  <si>
    <t>00:15:01</t>
  </si>
  <si>
    <t>98654/24</t>
  </si>
  <si>
    <t>00:18:42</t>
  </si>
  <si>
    <t>98655/24</t>
  </si>
  <si>
    <t>00:24:06</t>
  </si>
  <si>
    <t>98656/24</t>
  </si>
  <si>
    <t>00:30:14</t>
  </si>
  <si>
    <t>98657/24</t>
  </si>
  <si>
    <t>00:32:26</t>
  </si>
  <si>
    <t>98658/24</t>
  </si>
  <si>
    <t>98659/24</t>
  </si>
  <si>
    <t>98660/24</t>
  </si>
  <si>
    <t>00:34:39</t>
  </si>
  <si>
    <t>98661/24</t>
  </si>
  <si>
    <t>98662/24</t>
  </si>
  <si>
    <t>98663/24</t>
  </si>
  <si>
    <t>98664/24</t>
  </si>
  <si>
    <t>00:16:55</t>
  </si>
  <si>
    <t>98665/25</t>
  </si>
  <si>
    <t>98666/25</t>
  </si>
  <si>
    <t>98667/25</t>
  </si>
  <si>
    <t>00:19:25</t>
  </si>
  <si>
    <t>98668/25</t>
  </si>
  <si>
    <t>98669/25</t>
  </si>
  <si>
    <t>00:31:39</t>
  </si>
  <si>
    <t>98670/25</t>
  </si>
  <si>
    <t>00:28:49</t>
  </si>
  <si>
    <t>98671/25</t>
  </si>
  <si>
    <t>00:31:31</t>
  </si>
  <si>
    <t>98672/25</t>
  </si>
  <si>
    <t>00:37:44</t>
  </si>
  <si>
    <t>98673/25</t>
  </si>
  <si>
    <t>98674/25</t>
  </si>
  <si>
    <t>00:40:56</t>
  </si>
  <si>
    <t>98675/25</t>
  </si>
  <si>
    <t>00:41:51</t>
  </si>
  <si>
    <t>98676/25</t>
  </si>
  <si>
    <t>00:29:56</t>
  </si>
  <si>
    <t>98677/25</t>
  </si>
  <si>
    <t>00:36:55</t>
  </si>
  <si>
    <t>98678/25</t>
  </si>
  <si>
    <t>00:37:41</t>
  </si>
  <si>
    <t>98679/25</t>
  </si>
  <si>
    <t>98680/25</t>
  </si>
  <si>
    <t>00:34:19</t>
  </si>
  <si>
    <t>98681/25</t>
  </si>
  <si>
    <t>00:38:16</t>
  </si>
  <si>
    <t>98682/25</t>
  </si>
  <si>
    <t>98683/25</t>
  </si>
  <si>
    <t>98684/25</t>
  </si>
  <si>
    <t>98685/25</t>
  </si>
  <si>
    <t>00:15:11</t>
  </si>
  <si>
    <t>98686/25</t>
  </si>
  <si>
    <t>98687/25</t>
  </si>
  <si>
    <t>00:21:54</t>
  </si>
  <si>
    <t>98688/25</t>
  </si>
  <si>
    <t>00:24:16</t>
  </si>
  <si>
    <t>98689/25</t>
  </si>
  <si>
    <t>00:15:40</t>
  </si>
  <si>
    <t>98690/25</t>
  </si>
  <si>
    <t>98691/25</t>
  </si>
  <si>
    <t>98692/25</t>
  </si>
  <si>
    <t>98693/25</t>
  </si>
  <si>
    <t>00:15:33</t>
  </si>
  <si>
    <t>98694/25</t>
  </si>
  <si>
    <t>00:20:26</t>
  </si>
  <si>
    <t>98695/25</t>
  </si>
  <si>
    <t>00:21:53</t>
  </si>
  <si>
    <t>98696/25</t>
  </si>
  <si>
    <t>00:28:54</t>
  </si>
  <si>
    <t>98697/25</t>
  </si>
  <si>
    <t>00:36:32</t>
  </si>
  <si>
    <t>98698/25</t>
  </si>
  <si>
    <t>00:35:13</t>
  </si>
  <si>
    <t>98699/25</t>
  </si>
  <si>
    <t>04:11:47</t>
  </si>
  <si>
    <t>98700/25</t>
  </si>
  <si>
    <t>00:30:50</t>
  </si>
  <si>
    <t>98701/25</t>
  </si>
  <si>
    <t>00:30:20</t>
  </si>
  <si>
    <t>98702/25</t>
  </si>
  <si>
    <t>00:35:55</t>
  </si>
  <si>
    <t>98703/25</t>
  </si>
  <si>
    <t>00:20:47</t>
  </si>
  <si>
    <t>98705/25</t>
  </si>
  <si>
    <t>04:42:45</t>
  </si>
  <si>
    <t>98706/25</t>
  </si>
  <si>
    <t>00:42:53</t>
  </si>
  <si>
    <t>98707/25</t>
  </si>
  <si>
    <t>00:44:56</t>
  </si>
  <si>
    <t>98708/25</t>
  </si>
  <si>
    <t>00:47:08</t>
  </si>
  <si>
    <t>98709/25</t>
  </si>
  <si>
    <t>98710/25</t>
  </si>
  <si>
    <t>00:46:24</t>
  </si>
  <si>
    <t>98711/25</t>
  </si>
  <si>
    <t>98712/25</t>
  </si>
  <si>
    <t>98713/25</t>
  </si>
  <si>
    <t>00:49:44</t>
  </si>
  <si>
    <t>98714/25</t>
  </si>
  <si>
    <t>98715/25</t>
  </si>
  <si>
    <t>98716/25</t>
  </si>
  <si>
    <t>00:13:47</t>
  </si>
  <si>
    <t>98717/25</t>
  </si>
  <si>
    <t>01:07:30</t>
  </si>
  <si>
    <t>98718/25</t>
  </si>
  <si>
    <t>98719/25</t>
  </si>
  <si>
    <t>Tv315</t>
  </si>
  <si>
    <t>98720/25</t>
  </si>
  <si>
    <t>03:37:13</t>
  </si>
  <si>
    <t>98721/25</t>
  </si>
  <si>
    <t>00:08:09</t>
  </si>
  <si>
    <t>98722/25</t>
  </si>
  <si>
    <t>00:13:34</t>
  </si>
  <si>
    <t>98723/25</t>
  </si>
  <si>
    <t>00:20:18</t>
  </si>
  <si>
    <t>98724/25</t>
  </si>
  <si>
    <t>00:09:22</t>
  </si>
  <si>
    <t>98725/25</t>
  </si>
  <si>
    <t>02:12:08</t>
  </si>
  <si>
    <t>98726/25</t>
  </si>
  <si>
    <t>01:59:58</t>
  </si>
  <si>
    <t>98727/25</t>
  </si>
  <si>
    <t>00:16:14</t>
  </si>
  <si>
    <t>98728/25</t>
  </si>
  <si>
    <t>98729/25</t>
  </si>
  <si>
    <t>01:11:17</t>
  </si>
  <si>
    <t>98730/25</t>
  </si>
  <si>
    <t>01:49:49</t>
  </si>
  <si>
    <t>98731/25</t>
  </si>
  <si>
    <t>00:25:29</t>
  </si>
  <si>
    <t>98732/25</t>
  </si>
  <si>
    <t>01:34:44</t>
  </si>
  <si>
    <t>98733/25</t>
  </si>
  <si>
    <t>01:21:12</t>
  </si>
  <si>
    <t>98734/25</t>
  </si>
  <si>
    <t>00:52:16</t>
  </si>
  <si>
    <t>98735/25</t>
  </si>
  <si>
    <t>00:57:13</t>
  </si>
  <si>
    <t>98736/25</t>
  </si>
  <si>
    <t>01:29:09</t>
  </si>
  <si>
    <t>98737/25</t>
  </si>
  <si>
    <t>00:25:41</t>
  </si>
  <si>
    <t>98738/25</t>
  </si>
  <si>
    <t>01:17:08</t>
  </si>
  <si>
    <t>98739/25</t>
  </si>
  <si>
    <t>00:33:56</t>
  </si>
  <si>
    <t>98740/25</t>
  </si>
  <si>
    <t>00:39:47</t>
  </si>
  <si>
    <t>98741/25</t>
  </si>
  <si>
    <t>98742/25</t>
  </si>
  <si>
    <t>00:39:46</t>
  </si>
  <si>
    <t>98743/25</t>
  </si>
  <si>
    <t>98744/25</t>
  </si>
  <si>
    <t>00:15:55</t>
  </si>
  <si>
    <t>98745/25</t>
  </si>
  <si>
    <t>98746/25</t>
  </si>
  <si>
    <t>98747/25</t>
  </si>
  <si>
    <t>00:23:22</t>
  </si>
  <si>
    <t>98748/25</t>
  </si>
  <si>
    <t>98749/25</t>
  </si>
  <si>
    <t>98750/25</t>
  </si>
  <si>
    <t>00:52:13</t>
  </si>
  <si>
    <t>98751/25</t>
  </si>
  <si>
    <t>00:54:08</t>
  </si>
  <si>
    <t>98752/25</t>
  </si>
  <si>
    <t>00:56:27</t>
  </si>
  <si>
    <t>98753/25</t>
  </si>
  <si>
    <t>01:00:39</t>
  </si>
  <si>
    <t>98754/25</t>
  </si>
  <si>
    <t>01:06:36</t>
  </si>
  <si>
    <t>98755/25</t>
  </si>
  <si>
    <t>01:09:59</t>
  </si>
  <si>
    <t>98756/25</t>
  </si>
  <si>
    <t>01:13:10</t>
  </si>
  <si>
    <t>98757/25</t>
  </si>
  <si>
    <t>98758/25</t>
  </si>
  <si>
    <t>01:21:50</t>
  </si>
  <si>
    <t>98759/25</t>
  </si>
  <si>
    <t>01:25:20</t>
  </si>
  <si>
    <t>98760/25</t>
  </si>
  <si>
    <t>01:18:26</t>
  </si>
  <si>
    <t>98761/25</t>
  </si>
  <si>
    <t>01:35:11</t>
  </si>
  <si>
    <t>98762/25</t>
  </si>
  <si>
    <t>01:19:41</t>
  </si>
  <si>
    <t>98763/25</t>
  </si>
  <si>
    <t>01:36:38</t>
  </si>
  <si>
    <t>98764/25</t>
  </si>
  <si>
    <t>00:32:28</t>
  </si>
  <si>
    <t>98765/25</t>
  </si>
  <si>
    <t>01:39:19</t>
  </si>
  <si>
    <t>98766/25</t>
  </si>
  <si>
    <t>01:51:59</t>
  </si>
  <si>
    <t>98767/25</t>
  </si>
  <si>
    <t>00:46:54</t>
  </si>
  <si>
    <t>98768/25</t>
  </si>
  <si>
    <t>00:47:19</t>
  </si>
  <si>
    <t>98769/25</t>
  </si>
  <si>
    <t>02:10:41</t>
  </si>
  <si>
    <t>98770/25</t>
  </si>
  <si>
    <t>00:23:16</t>
  </si>
  <si>
    <t>98771/25</t>
  </si>
  <si>
    <t>00:13:00</t>
  </si>
  <si>
    <t>98772/25</t>
  </si>
  <si>
    <t>98773/25</t>
  </si>
  <si>
    <t>02:41:47</t>
  </si>
  <si>
    <t>98774/25</t>
  </si>
  <si>
    <t>00:11:52</t>
  </si>
  <si>
    <t>98775/25</t>
  </si>
  <si>
    <t>03:19:13</t>
  </si>
  <si>
    <t>98776/25</t>
  </si>
  <si>
    <t>98777/25</t>
  </si>
  <si>
    <t>03:00:16</t>
  </si>
  <si>
    <t>98778/25</t>
  </si>
  <si>
    <t>98779/25</t>
  </si>
  <si>
    <t>98780/25</t>
  </si>
  <si>
    <t>00:07:42</t>
  </si>
  <si>
    <t>98781/25</t>
  </si>
  <si>
    <t>00:28:25</t>
  </si>
  <si>
    <t>98782/25</t>
  </si>
  <si>
    <t>03:38:41</t>
  </si>
  <si>
    <t>98783/25</t>
  </si>
  <si>
    <t>98784/25</t>
  </si>
  <si>
    <t>01:30:44</t>
  </si>
  <si>
    <t>98785/25</t>
  </si>
  <si>
    <t>98786/25</t>
  </si>
  <si>
    <t>01:36:45</t>
  </si>
  <si>
    <t>98787/25</t>
  </si>
  <si>
    <t>00:57:29</t>
  </si>
  <si>
    <t>98788/25</t>
  </si>
  <si>
    <t>38556h6</t>
  </si>
  <si>
    <t>00:35:56</t>
  </si>
  <si>
    <t>98789/25</t>
  </si>
  <si>
    <t>81379d1</t>
  </si>
  <si>
    <t>01:43:58</t>
  </si>
  <si>
    <t>98790/25</t>
  </si>
  <si>
    <t>1157a81</t>
  </si>
  <si>
    <t>01:11:26</t>
  </si>
  <si>
    <t>98791/25</t>
  </si>
  <si>
    <t>01:19:44</t>
  </si>
  <si>
    <t>98792/25</t>
  </si>
  <si>
    <t>20183d40</t>
  </si>
  <si>
    <t>00:57:41</t>
  </si>
  <si>
    <t>98793/25</t>
  </si>
  <si>
    <t>21425b40</t>
  </si>
  <si>
    <t>01:22:07</t>
  </si>
  <si>
    <t>98794/25</t>
  </si>
  <si>
    <t>75878b40</t>
  </si>
  <si>
    <t>01:20:56</t>
  </si>
  <si>
    <t>98795/25</t>
  </si>
  <si>
    <t>22241d40</t>
  </si>
  <si>
    <t>01:25:32</t>
  </si>
  <si>
    <t>98796/25</t>
  </si>
  <si>
    <t>70953b40</t>
  </si>
  <si>
    <t>01:24:58</t>
  </si>
  <si>
    <t>98797/25</t>
  </si>
  <si>
    <t>98798/25</t>
  </si>
  <si>
    <t>01:22:47</t>
  </si>
  <si>
    <t>98799/25</t>
  </si>
  <si>
    <t>01:06:32</t>
  </si>
  <si>
    <t>98800/25</t>
  </si>
  <si>
    <t>49227b40</t>
  </si>
  <si>
    <t>98801/25</t>
  </si>
  <si>
    <t>28916a45</t>
  </si>
  <si>
    <t>00:20:28</t>
  </si>
  <si>
    <t>98802/25</t>
  </si>
  <si>
    <t>13487a40</t>
  </si>
  <si>
    <t>98803/25</t>
  </si>
  <si>
    <t>06:12:56</t>
  </si>
  <si>
    <t>98804/25</t>
  </si>
  <si>
    <t>06:14:24</t>
  </si>
  <si>
    <t>98805/25</t>
  </si>
  <si>
    <t>06:16:45</t>
  </si>
  <si>
    <t>98806/25</t>
  </si>
  <si>
    <t>06:15:24</t>
  </si>
  <si>
    <t>98807/25</t>
  </si>
  <si>
    <t>06:18:33</t>
  </si>
  <si>
    <t>98808/25</t>
  </si>
  <si>
    <t>06:20:57</t>
  </si>
  <si>
    <t>98809/25</t>
  </si>
  <si>
    <t>06:19:59</t>
  </si>
  <si>
    <t>98810/25</t>
  </si>
  <si>
    <t>06:25:37</t>
  </si>
  <si>
    <t>98811/25</t>
  </si>
  <si>
    <t>06:21:40</t>
  </si>
  <si>
    <t>98812/25</t>
  </si>
  <si>
    <t>06:26:44</t>
  </si>
  <si>
    <t>98813/25</t>
  </si>
  <si>
    <t>98814/25</t>
  </si>
  <si>
    <t>98815/25</t>
  </si>
  <si>
    <t>98816/25</t>
  </si>
  <si>
    <t>06:39:21</t>
  </si>
  <si>
    <t>98817/25</t>
  </si>
  <si>
    <t>98818/25</t>
  </si>
  <si>
    <t>06:59:07</t>
  </si>
  <si>
    <t>98819/25</t>
  </si>
  <si>
    <t>98820/25</t>
  </si>
  <si>
    <t>98821/25</t>
  </si>
  <si>
    <t>06:52:41</t>
  </si>
  <si>
    <t>98822/25</t>
  </si>
  <si>
    <t>07:12:32</t>
  </si>
  <si>
    <t>98823/25</t>
  </si>
  <si>
    <t>98824/25</t>
  </si>
  <si>
    <t>07:13:28</t>
  </si>
  <si>
    <t>98825/25</t>
  </si>
  <si>
    <t>98826/25</t>
  </si>
  <si>
    <t>33282D40</t>
  </si>
  <si>
    <t>98827/25</t>
  </si>
  <si>
    <t>08:14:39</t>
  </si>
  <si>
    <t>98828/25</t>
  </si>
  <si>
    <t>08:06:30</t>
  </si>
  <si>
    <t>98829/25</t>
  </si>
  <si>
    <t>08:43:42</t>
  </si>
  <si>
    <t>98830/25</t>
  </si>
  <si>
    <t>98831/25</t>
  </si>
  <si>
    <t>08:46:50</t>
  </si>
  <si>
    <t>98832/25</t>
  </si>
  <si>
    <t>09:03:11</t>
  </si>
  <si>
    <t>98833/25</t>
  </si>
  <si>
    <t>08:48:55</t>
  </si>
  <si>
    <t>98834/25</t>
  </si>
  <si>
    <t>08:50:01</t>
  </si>
  <si>
    <t>98835/25</t>
  </si>
  <si>
    <t>90122A40</t>
  </si>
  <si>
    <t>98836/25</t>
  </si>
  <si>
    <t>98837/25</t>
  </si>
  <si>
    <t>09:33:54</t>
  </si>
  <si>
    <t>98838/25</t>
  </si>
  <si>
    <t>07:43:57</t>
  </si>
  <si>
    <t>98839/25</t>
  </si>
  <si>
    <t>98840/25</t>
  </si>
  <si>
    <t>98841/25</t>
  </si>
  <si>
    <t>07:52:43</t>
  </si>
  <si>
    <t>98842/25</t>
  </si>
  <si>
    <t>10:13:38</t>
  </si>
  <si>
    <t>98843/25</t>
  </si>
  <si>
    <t>09:04:33</t>
  </si>
  <si>
    <t>98844/25</t>
  </si>
  <si>
    <t>10:15:47</t>
  </si>
  <si>
    <t>98845/25</t>
  </si>
  <si>
    <t>09:33:34</t>
  </si>
  <si>
    <t>98846/25</t>
  </si>
  <si>
    <t>98847/25</t>
  </si>
  <si>
    <t>08:08:20</t>
  </si>
  <si>
    <t>98848/25</t>
  </si>
  <si>
    <t>98849/25</t>
  </si>
  <si>
    <t>10:05:21</t>
  </si>
  <si>
    <t>98850/25</t>
  </si>
  <si>
    <t>98851/25</t>
  </si>
  <si>
    <t>11:43:21</t>
  </si>
  <si>
    <t>98852/25</t>
  </si>
  <si>
    <t>11:51:58</t>
  </si>
  <si>
    <t>98853/25</t>
  </si>
  <si>
    <t>98854/25</t>
  </si>
  <si>
    <t>98855/25</t>
  </si>
  <si>
    <t>12:06:24</t>
  </si>
  <si>
    <t>98856/25</t>
  </si>
  <si>
    <t>10:41:22</t>
  </si>
  <si>
    <t>98857/25</t>
  </si>
  <si>
    <t>12:35:59</t>
  </si>
  <si>
    <t>98858/25</t>
  </si>
  <si>
    <t>10:43:02</t>
  </si>
  <si>
    <t>98859/25</t>
  </si>
  <si>
    <t>10:57:56</t>
  </si>
  <si>
    <t>98860/25</t>
  </si>
  <si>
    <t>12:41:46</t>
  </si>
  <si>
    <t>98861/25</t>
  </si>
  <si>
    <t>10:44:55</t>
  </si>
  <si>
    <t>98862/25</t>
  </si>
  <si>
    <t>13:00:16</t>
  </si>
  <si>
    <t>98863/25</t>
  </si>
  <si>
    <t>98864/25</t>
  </si>
  <si>
    <t>98865/25</t>
  </si>
  <si>
    <t>11:12:08</t>
  </si>
  <si>
    <t>98866/25</t>
  </si>
  <si>
    <t>13:15:19</t>
  </si>
  <si>
    <t>98867/25</t>
  </si>
  <si>
    <t>13:21:28</t>
  </si>
  <si>
    <t>98868/25</t>
  </si>
  <si>
    <t>13:35:56</t>
  </si>
  <si>
    <t>98869/25</t>
  </si>
  <si>
    <t>11633A38</t>
  </si>
  <si>
    <t>13:34:48</t>
  </si>
  <si>
    <t>98870/25</t>
  </si>
  <si>
    <t>13:51:25</t>
  </si>
  <si>
    <t>98871/25</t>
  </si>
  <si>
    <t>13:59:59</t>
  </si>
  <si>
    <t>98872/25</t>
  </si>
  <si>
    <t>14:04:10</t>
  </si>
  <si>
    <t>98873/25</t>
  </si>
  <si>
    <t>14:28:46</t>
  </si>
  <si>
    <t>98874/25</t>
  </si>
  <si>
    <t>14:42:52</t>
  </si>
  <si>
    <t>98875/25</t>
  </si>
  <si>
    <t>14:30:59</t>
  </si>
  <si>
    <t>98876/25</t>
  </si>
  <si>
    <t>14:52:03</t>
  </si>
  <si>
    <t>98877/25</t>
  </si>
  <si>
    <t>12:05:28</t>
  </si>
  <si>
    <t>98878/25</t>
  </si>
  <si>
    <t>11:24:26</t>
  </si>
  <si>
    <t>98879/25</t>
  </si>
  <si>
    <t>15:26:09</t>
  </si>
  <si>
    <t>98880/25</t>
  </si>
  <si>
    <t>98881/25</t>
  </si>
  <si>
    <t>98882/25</t>
  </si>
  <si>
    <t>98883/25</t>
  </si>
  <si>
    <t>16:17:38</t>
  </si>
  <si>
    <t>98884/25</t>
  </si>
  <si>
    <t>98885/25</t>
  </si>
  <si>
    <t>13:49:21</t>
  </si>
  <si>
    <t>98886/25</t>
  </si>
  <si>
    <t>16:27:19</t>
  </si>
  <si>
    <t>98887/25</t>
  </si>
  <si>
    <t>14:01:55</t>
  </si>
  <si>
    <t>98888/25</t>
  </si>
  <si>
    <t>98889/25</t>
  </si>
  <si>
    <t>16:18:45</t>
  </si>
  <si>
    <t>98890/25</t>
  </si>
  <si>
    <t>98891/25</t>
  </si>
  <si>
    <t>98892/25</t>
  </si>
  <si>
    <t>98893/25</t>
  </si>
  <si>
    <t>98894/25</t>
  </si>
  <si>
    <t>00:18:35</t>
  </si>
  <si>
    <t>98895/25</t>
  </si>
  <si>
    <t>98896/25</t>
  </si>
  <si>
    <t>00:20:15</t>
  </si>
  <si>
    <t>98897/25</t>
  </si>
  <si>
    <t>00:26:02</t>
  </si>
  <si>
    <t>98898/25</t>
  </si>
  <si>
    <t>98899/25</t>
  </si>
  <si>
    <t>98900/25</t>
  </si>
  <si>
    <t>00:24:31</t>
  </si>
  <si>
    <t>98901/25</t>
  </si>
  <si>
    <t>00:43:11</t>
  </si>
  <si>
    <t>98902/25</t>
  </si>
  <si>
    <t>00:32:46</t>
  </si>
  <si>
    <t>98903/25</t>
  </si>
  <si>
    <t>01:01:15</t>
  </si>
  <si>
    <t>98904/25</t>
  </si>
  <si>
    <t>98905/25</t>
  </si>
  <si>
    <t>00:45:24</t>
  </si>
  <si>
    <t>98906/25</t>
  </si>
  <si>
    <t>00:52:15</t>
  </si>
  <si>
    <t>98907/25</t>
  </si>
  <si>
    <t>01:00:43</t>
  </si>
  <si>
    <t>98908/25</t>
  </si>
  <si>
    <t>00:46:34</t>
  </si>
  <si>
    <t>98909/25</t>
  </si>
  <si>
    <t>98910/25</t>
  </si>
  <si>
    <t>98911/25</t>
  </si>
  <si>
    <t>01:31:14</t>
  </si>
  <si>
    <t>98912/25</t>
  </si>
  <si>
    <t>02:02:52</t>
  </si>
  <si>
    <t>98913/25</t>
  </si>
  <si>
    <t>98914/25</t>
  </si>
  <si>
    <t>02:05:54</t>
  </si>
  <si>
    <t>98915/25</t>
  </si>
  <si>
    <t>02:35:02</t>
  </si>
  <si>
    <t>98916/25</t>
  </si>
  <si>
    <t>98917/25</t>
  </si>
  <si>
    <t>03:30:20</t>
  </si>
  <si>
    <t>98918/25</t>
  </si>
  <si>
    <t>03:02:33</t>
  </si>
  <si>
    <t>98919/25</t>
  </si>
  <si>
    <t>98920/25</t>
  </si>
  <si>
    <t>00:10:41</t>
  </si>
  <si>
    <t>98921/25</t>
  </si>
  <si>
    <t>98922/25</t>
  </si>
  <si>
    <t>04:14:33</t>
  </si>
  <si>
    <t>98923/25</t>
  </si>
  <si>
    <t>04:19:42</t>
  </si>
  <si>
    <t>98924/25</t>
  </si>
  <si>
    <t>03:28:17</t>
  </si>
  <si>
    <t>98925/25</t>
  </si>
  <si>
    <t>00:23:15</t>
  </si>
  <si>
    <t>98926/25</t>
  </si>
  <si>
    <t>01:59:46</t>
  </si>
  <si>
    <t>98927/25</t>
  </si>
  <si>
    <t>03:37:19</t>
  </si>
  <si>
    <t>98928/25</t>
  </si>
  <si>
    <t>98929/25</t>
  </si>
  <si>
    <t>98930/25</t>
  </si>
  <si>
    <t>00:21:21</t>
  </si>
  <si>
    <t>98931/25</t>
  </si>
  <si>
    <t>03:49:40</t>
  </si>
  <si>
    <t>98932/25</t>
  </si>
  <si>
    <t>98933/25</t>
  </si>
  <si>
    <t>98934/25</t>
  </si>
  <si>
    <t>03:44:38</t>
  </si>
  <si>
    <t>98935/25</t>
  </si>
  <si>
    <t>98936/25</t>
  </si>
  <si>
    <t>04:19:17</t>
  </si>
  <si>
    <t>98937/25</t>
  </si>
  <si>
    <t>03:29:01</t>
  </si>
  <si>
    <t>98938/25</t>
  </si>
  <si>
    <t>98939/25</t>
  </si>
  <si>
    <t>03:45:21</t>
  </si>
  <si>
    <t>98940/25</t>
  </si>
  <si>
    <t>04:45:07</t>
  </si>
  <si>
    <t>98941/25</t>
  </si>
  <si>
    <t>98942/25</t>
  </si>
  <si>
    <t>03:49:42</t>
  </si>
  <si>
    <t>98943/25</t>
  </si>
  <si>
    <t>04:11:17</t>
  </si>
  <si>
    <t>98944/25</t>
  </si>
  <si>
    <t>00:18:45</t>
  </si>
  <si>
    <t>98945/25</t>
  </si>
  <si>
    <t>04:32:18</t>
  </si>
  <si>
    <t>98946/25</t>
  </si>
  <si>
    <t>00:35:34</t>
  </si>
  <si>
    <t>98947/25</t>
  </si>
  <si>
    <t>03:09:51</t>
  </si>
  <si>
    <t>98948/25</t>
  </si>
  <si>
    <t>04:24:40</t>
  </si>
  <si>
    <t>98949/25</t>
  </si>
  <si>
    <t>01:02:06</t>
  </si>
  <si>
    <t>98950/25</t>
  </si>
  <si>
    <t>02:43:43</t>
  </si>
  <si>
    <t>98951/25</t>
  </si>
  <si>
    <t>06:29:41</t>
  </si>
  <si>
    <t>98952/25</t>
  </si>
  <si>
    <t>06:35:03</t>
  </si>
  <si>
    <t>98953/25</t>
  </si>
  <si>
    <t>98954/25</t>
  </si>
  <si>
    <t>98955/25</t>
  </si>
  <si>
    <t>06:47:23</t>
  </si>
  <si>
    <t>98956/25</t>
  </si>
  <si>
    <t>06:52:39</t>
  </si>
  <si>
    <t>98957/25</t>
  </si>
  <si>
    <t>06:55:19</t>
  </si>
  <si>
    <t>98958/25</t>
  </si>
  <si>
    <t>07:02:37</t>
  </si>
  <si>
    <t>98959/25</t>
  </si>
  <si>
    <t>07:04:17</t>
  </si>
  <si>
    <t>98960/25</t>
  </si>
  <si>
    <t>98961/25</t>
  </si>
  <si>
    <t>07:08:44</t>
  </si>
  <si>
    <t>98962/25</t>
  </si>
  <si>
    <t>98963/25</t>
  </si>
  <si>
    <t>98964/25</t>
  </si>
  <si>
    <t>98965/25</t>
  </si>
  <si>
    <t>07:35:42</t>
  </si>
  <si>
    <t>98966/25</t>
  </si>
  <si>
    <t>98967/25</t>
  </si>
  <si>
    <t>98968/25</t>
  </si>
  <si>
    <t>07:47:10</t>
  </si>
  <si>
    <t>98969/25</t>
  </si>
  <si>
    <t>07:52:15</t>
  </si>
  <si>
    <t>98970/25</t>
  </si>
  <si>
    <t>98971/25</t>
  </si>
  <si>
    <t>08:28:00</t>
  </si>
  <si>
    <t>98972/25</t>
  </si>
  <si>
    <t>98973/25</t>
  </si>
  <si>
    <t>08:39:56</t>
  </si>
  <si>
    <t>98974/25</t>
  </si>
  <si>
    <t>08:50:48</t>
  </si>
  <si>
    <t>98975/25</t>
  </si>
  <si>
    <t>09:08:36</t>
  </si>
  <si>
    <t>98976/25</t>
  </si>
  <si>
    <t>09:14:32</t>
  </si>
  <si>
    <t>98977/25</t>
  </si>
  <si>
    <t>09:19:45</t>
  </si>
  <si>
    <t>98978/25</t>
  </si>
  <si>
    <t>98979/25</t>
  </si>
  <si>
    <t>09:53:26</t>
  </si>
  <si>
    <t>98980/25</t>
  </si>
  <si>
    <t>10:03:00</t>
  </si>
  <si>
    <t>98981/25</t>
  </si>
  <si>
    <t>10:09:15</t>
  </si>
  <si>
    <t>98982/25</t>
  </si>
  <si>
    <t>98983/25</t>
  </si>
  <si>
    <t>98984/25</t>
  </si>
  <si>
    <t>98985/25</t>
  </si>
  <si>
    <t>10:50:50</t>
  </si>
  <si>
    <t>98986/25</t>
  </si>
  <si>
    <t>98987/25</t>
  </si>
  <si>
    <t>98988/25</t>
  </si>
  <si>
    <t>11:38:07</t>
  </si>
  <si>
    <t>98989/25</t>
  </si>
  <si>
    <t>11:41:31</t>
  </si>
  <si>
    <t>98990/25</t>
  </si>
  <si>
    <t>12:02:55</t>
  </si>
  <si>
    <t>98991/25</t>
  </si>
  <si>
    <t>98992/25</t>
  </si>
  <si>
    <t>12:07:54</t>
  </si>
  <si>
    <t>98993/25</t>
  </si>
  <si>
    <t>12:09:43</t>
  </si>
  <si>
    <t>98994/25</t>
  </si>
  <si>
    <t>12:18:43</t>
  </si>
  <si>
    <t>98995/25</t>
  </si>
  <si>
    <t>12:40:16</t>
  </si>
  <si>
    <t>98996/25</t>
  </si>
  <si>
    <t>12:48:27</t>
  </si>
  <si>
    <t>98997/25</t>
  </si>
  <si>
    <t>12:52:11</t>
  </si>
  <si>
    <t>98998/25</t>
  </si>
  <si>
    <t>98999/25</t>
  </si>
  <si>
    <t>99000/25</t>
  </si>
  <si>
    <t>13:05:32</t>
  </si>
  <si>
    <t>99001/25</t>
  </si>
  <si>
    <t>99002/25</t>
  </si>
  <si>
    <t>13:21:09</t>
  </si>
  <si>
    <t>99003/25</t>
  </si>
  <si>
    <t>13:28:55</t>
  </si>
  <si>
    <t>99004/25</t>
  </si>
  <si>
    <t>13:34:02</t>
  </si>
  <si>
    <t>99005/25</t>
  </si>
  <si>
    <t>99006/25</t>
  </si>
  <si>
    <t>13:52:24</t>
  </si>
  <si>
    <t>99008/25</t>
  </si>
  <si>
    <t>99009/25</t>
  </si>
  <si>
    <t>14:02:27</t>
  </si>
  <si>
    <t>99010/25</t>
  </si>
  <si>
    <t>14:04:28</t>
  </si>
  <si>
    <t>99011/25</t>
  </si>
  <si>
    <t>99012/25</t>
  </si>
  <si>
    <t>14:17:27</t>
  </si>
  <si>
    <t>99013/25</t>
  </si>
  <si>
    <t>14:28:15</t>
  </si>
  <si>
    <t>99014/25</t>
  </si>
  <si>
    <t>14:30:27</t>
  </si>
  <si>
    <t>99015/25</t>
  </si>
  <si>
    <t>14:32:28</t>
  </si>
  <si>
    <t>99016/25</t>
  </si>
  <si>
    <t>99017/25</t>
  </si>
  <si>
    <t>14:44:22</t>
  </si>
  <si>
    <t>99018/25</t>
  </si>
  <si>
    <t>15:26:45</t>
  </si>
  <si>
    <t>99019/25</t>
  </si>
  <si>
    <t>15:30:07</t>
  </si>
  <si>
    <t>99020/25</t>
  </si>
  <si>
    <t>15:44:04</t>
  </si>
  <si>
    <t>99021/25</t>
  </si>
  <si>
    <t>15:45:24</t>
  </si>
  <si>
    <t>99022/25</t>
  </si>
  <si>
    <t>15:57:01</t>
  </si>
  <si>
    <t>99023/25</t>
  </si>
  <si>
    <t>17:06:56</t>
  </si>
  <si>
    <t>99024/25</t>
  </si>
  <si>
    <t>17:21:19</t>
  </si>
  <si>
    <t>99025/25</t>
  </si>
  <si>
    <t>17:46:37</t>
  </si>
  <si>
    <t>99026/25</t>
  </si>
  <si>
    <t>99027/25</t>
  </si>
  <si>
    <t>00:16:20</t>
  </si>
  <si>
    <t>99028/25</t>
  </si>
  <si>
    <t>00:20:35</t>
  </si>
  <si>
    <t>99029/25</t>
  </si>
  <si>
    <t>99030/25</t>
  </si>
  <si>
    <t>00:25:28</t>
  </si>
  <si>
    <t>99031/25</t>
  </si>
  <si>
    <t>00:27:42</t>
  </si>
  <si>
    <t>99032/25</t>
  </si>
  <si>
    <t>99033/25</t>
  </si>
  <si>
    <t>00:35:15</t>
  </si>
  <si>
    <t>99034/25</t>
  </si>
  <si>
    <t>00:42:09</t>
  </si>
  <si>
    <t>99035/25</t>
  </si>
  <si>
    <t>00:45:23</t>
  </si>
  <si>
    <t>99036/25</t>
  </si>
  <si>
    <t>00:43:28</t>
  </si>
  <si>
    <t>99037/25</t>
  </si>
  <si>
    <t>99038/25</t>
  </si>
  <si>
    <t>99039/25</t>
  </si>
  <si>
    <t>99040/25</t>
  </si>
  <si>
    <t>99041/25</t>
  </si>
  <si>
    <t>00:18:29</t>
  </si>
  <si>
    <t>99042/25</t>
  </si>
  <si>
    <t>99043/25</t>
  </si>
  <si>
    <t>99044/25</t>
  </si>
  <si>
    <t>99045/25</t>
  </si>
  <si>
    <t>00:34:42</t>
  </si>
  <si>
    <t>99046/25</t>
  </si>
  <si>
    <t>00:46:58</t>
  </si>
  <si>
    <t>99047/25</t>
  </si>
  <si>
    <t>00:37:03</t>
  </si>
  <si>
    <t>99048/25</t>
  </si>
  <si>
    <t>99049/25</t>
  </si>
  <si>
    <t>99050/25</t>
  </si>
  <si>
    <t>99051/25</t>
  </si>
  <si>
    <t>99052/25</t>
  </si>
  <si>
    <t>99053/25</t>
  </si>
  <si>
    <t>99054/25</t>
  </si>
  <si>
    <t>99055/25</t>
  </si>
  <si>
    <t>00:22:21</t>
  </si>
  <si>
    <t>99056/25</t>
  </si>
  <si>
    <t>99057/25</t>
  </si>
  <si>
    <t>99058/25</t>
  </si>
  <si>
    <t>99059/25</t>
  </si>
  <si>
    <t>00:19:28</t>
  </si>
  <si>
    <t>99060/25</t>
  </si>
  <si>
    <t>00:06:37</t>
  </si>
  <si>
    <t>99061/25</t>
  </si>
  <si>
    <t>00:08:57</t>
  </si>
  <si>
    <t>99062/25</t>
  </si>
  <si>
    <t>99063/25</t>
  </si>
  <si>
    <t>99064/25</t>
  </si>
  <si>
    <t>99065/25</t>
  </si>
  <si>
    <t>00:18:43</t>
  </si>
  <si>
    <t>99066/25</t>
  </si>
  <si>
    <t>99067/25</t>
  </si>
  <si>
    <t>99068/25</t>
  </si>
  <si>
    <t>00:12:06</t>
  </si>
  <si>
    <t>99069/25</t>
  </si>
  <si>
    <t>99070/25</t>
  </si>
  <si>
    <t>99071/25</t>
  </si>
  <si>
    <t>05:56:54</t>
  </si>
  <si>
    <t>99072/25</t>
  </si>
  <si>
    <t>99073/25</t>
  </si>
  <si>
    <t>00:15:56</t>
  </si>
  <si>
    <t>99075/25</t>
  </si>
  <si>
    <t>00:26:14</t>
  </si>
  <si>
    <t>99076/25</t>
  </si>
  <si>
    <t>99077/25</t>
  </si>
  <si>
    <t>01:30:08</t>
  </si>
  <si>
    <t>99078/25</t>
  </si>
  <si>
    <t>99079/25</t>
  </si>
  <si>
    <t>99080/25</t>
  </si>
  <si>
    <t>99081/25</t>
  </si>
  <si>
    <t>99082/25</t>
  </si>
  <si>
    <t>99083/25</t>
  </si>
  <si>
    <t>00:07:40</t>
  </si>
  <si>
    <t>99084/25</t>
  </si>
  <si>
    <t>99085/25</t>
  </si>
  <si>
    <t>99086/25</t>
  </si>
  <si>
    <t>03:14:32</t>
  </si>
  <si>
    <t>99087/25</t>
  </si>
  <si>
    <t>00:09:38</t>
  </si>
  <si>
    <t>99088/25</t>
  </si>
  <si>
    <t>02:19:45</t>
  </si>
  <si>
    <t>99089/25</t>
  </si>
  <si>
    <t>00:06:13</t>
  </si>
  <si>
    <t>99090/25</t>
  </si>
  <si>
    <t>99091/25</t>
  </si>
  <si>
    <t>00:12:58</t>
  </si>
  <si>
    <t>99092/25</t>
  </si>
  <si>
    <t>00:41:30</t>
  </si>
  <si>
    <t>99093/25</t>
  </si>
  <si>
    <t>01:23:24</t>
  </si>
  <si>
    <t>99094/25</t>
  </si>
  <si>
    <t>01:13:06</t>
  </si>
  <si>
    <t>99095/25</t>
  </si>
  <si>
    <t>99096/25</t>
  </si>
  <si>
    <t>99097/25</t>
  </si>
  <si>
    <t>99098/25</t>
  </si>
  <si>
    <t>00:16:39</t>
  </si>
  <si>
    <t>99099/25</t>
  </si>
  <si>
    <t>99100/25</t>
  </si>
  <si>
    <t>00:19:04</t>
  </si>
  <si>
    <t>99101/25</t>
  </si>
  <si>
    <t>99102/25</t>
  </si>
  <si>
    <t>99103/25</t>
  </si>
  <si>
    <t>00:26:41</t>
  </si>
  <si>
    <t>99104/25</t>
  </si>
  <si>
    <t>99105/25</t>
  </si>
  <si>
    <t>00:22:52</t>
  </si>
  <si>
    <t>99106/25</t>
  </si>
  <si>
    <t>99107/25</t>
  </si>
  <si>
    <t>99108/25</t>
  </si>
  <si>
    <t>99109/25</t>
  </si>
  <si>
    <t>00:30:33</t>
  </si>
  <si>
    <t>99110/25</t>
  </si>
  <si>
    <t>99111/25</t>
  </si>
  <si>
    <t>99112/25</t>
  </si>
  <si>
    <t>00:42:57</t>
  </si>
  <si>
    <t>99113/25</t>
  </si>
  <si>
    <t>00:40:59</t>
  </si>
  <si>
    <t>99114/25</t>
  </si>
  <si>
    <t>99115/25</t>
  </si>
  <si>
    <t>00:49:03</t>
  </si>
  <si>
    <t>99116/25</t>
  </si>
  <si>
    <t>00:49:46</t>
  </si>
  <si>
    <t>99117/25</t>
  </si>
  <si>
    <t>99118/25</t>
  </si>
  <si>
    <t>00:52:56</t>
  </si>
  <si>
    <t>99119/25</t>
  </si>
  <si>
    <t>99120/25</t>
  </si>
  <si>
    <t>99121/25</t>
  </si>
  <si>
    <t>01:28:00</t>
  </si>
  <si>
    <t>99122/25</t>
  </si>
  <si>
    <t>99123/25</t>
  </si>
  <si>
    <t>99124/25</t>
  </si>
  <si>
    <t>99125/25</t>
  </si>
  <si>
    <t>02:01:45</t>
  </si>
  <si>
    <t>99126/25</t>
  </si>
  <si>
    <t>99127/25</t>
  </si>
  <si>
    <t>00:13:04</t>
  </si>
  <si>
    <t>99128/25</t>
  </si>
  <si>
    <t>02:25:46</t>
  </si>
  <si>
    <t>99129/25</t>
  </si>
  <si>
    <t>00:18:51</t>
  </si>
  <si>
    <t>99130/25</t>
  </si>
  <si>
    <t>99131/25</t>
  </si>
  <si>
    <t>99132/25</t>
  </si>
  <si>
    <t>99133/25</t>
  </si>
  <si>
    <t>99134/25</t>
  </si>
  <si>
    <t>00:18:00</t>
  </si>
  <si>
    <t>99135/25</t>
  </si>
  <si>
    <t>00:46:09</t>
  </si>
  <si>
    <t>99136/25</t>
  </si>
  <si>
    <t>99137/25</t>
  </si>
  <si>
    <t>99138/25</t>
  </si>
  <si>
    <t>99139/25</t>
  </si>
  <si>
    <t>04:56:47</t>
  </si>
  <si>
    <t>99140/25</t>
  </si>
  <si>
    <t>01:04:31</t>
  </si>
  <si>
    <t>99141/25</t>
  </si>
  <si>
    <t>01:25:22</t>
  </si>
  <si>
    <t>99142/25</t>
  </si>
  <si>
    <t>99143/25</t>
  </si>
  <si>
    <t>99144/25</t>
  </si>
  <si>
    <t>99145/25</t>
  </si>
  <si>
    <t>00:38:53</t>
  </si>
  <si>
    <t>99146/25</t>
  </si>
  <si>
    <t>40122A44</t>
  </si>
  <si>
    <t>99147/25</t>
  </si>
  <si>
    <t>99148/25</t>
  </si>
  <si>
    <t>01:19:55</t>
  </si>
  <si>
    <t>99149/25</t>
  </si>
  <si>
    <t>00:30:24</t>
  </si>
  <si>
    <t>99150/25</t>
  </si>
  <si>
    <t>99151/25</t>
  </si>
  <si>
    <t>99152/25</t>
  </si>
  <si>
    <t>00:18:57</t>
  </si>
  <si>
    <t>99153/25</t>
  </si>
  <si>
    <t>06:43:32</t>
  </si>
  <si>
    <t>99154/25</t>
  </si>
  <si>
    <t>00:57:36</t>
  </si>
  <si>
    <t>99155/25</t>
  </si>
  <si>
    <t>99156/25</t>
  </si>
  <si>
    <t>99157/25</t>
  </si>
  <si>
    <t>99158/25</t>
  </si>
  <si>
    <t>01:12:53</t>
  </si>
  <si>
    <t>99159/25</t>
  </si>
  <si>
    <t>00:14:32</t>
  </si>
  <si>
    <t>99160/25</t>
  </si>
  <si>
    <t>00:19:34</t>
  </si>
  <si>
    <t>99161/25</t>
  </si>
  <si>
    <t>00:12:28</t>
  </si>
  <si>
    <t>99162/25</t>
  </si>
  <si>
    <t>01:45:43</t>
  </si>
  <si>
    <t>99163/25</t>
  </si>
  <si>
    <t>00:16:52</t>
  </si>
  <si>
    <t>99164/25</t>
  </si>
  <si>
    <t>00:52:24</t>
  </si>
  <si>
    <t>99165/25</t>
  </si>
  <si>
    <t>99166/25</t>
  </si>
  <si>
    <t>04:27:56</t>
  </si>
  <si>
    <t>99167/25</t>
  </si>
  <si>
    <t>01:55:35</t>
  </si>
  <si>
    <t>99168/25</t>
  </si>
  <si>
    <t>00:30:54</t>
  </si>
  <si>
    <t>99169/25</t>
  </si>
  <si>
    <t>00:44:59</t>
  </si>
  <si>
    <t>99170/25</t>
  </si>
  <si>
    <t>00:19:02</t>
  </si>
  <si>
    <t>99171/25</t>
  </si>
  <si>
    <t>99172/25</t>
  </si>
  <si>
    <t>00:15:44</t>
  </si>
  <si>
    <t>99173/25</t>
  </si>
  <si>
    <t>01:05:33</t>
  </si>
  <si>
    <t>99174/25</t>
  </si>
  <si>
    <t>99175/25</t>
  </si>
  <si>
    <t>01:13:11</t>
  </si>
  <si>
    <t>99176/25</t>
  </si>
  <si>
    <t>99177/25</t>
  </si>
  <si>
    <t>00:12:02</t>
  </si>
  <si>
    <t>99178/25</t>
  </si>
  <si>
    <t>02:18:51</t>
  </si>
  <si>
    <t>99179/25</t>
  </si>
  <si>
    <t>00:52:18</t>
  </si>
  <si>
    <t>99180/25</t>
  </si>
  <si>
    <t>00:10:55</t>
  </si>
  <si>
    <t>99181/25</t>
  </si>
  <si>
    <t>00:56:16</t>
  </si>
  <si>
    <t>99182/25</t>
  </si>
  <si>
    <t>99183/25</t>
  </si>
  <si>
    <t>00:58:10</t>
  </si>
  <si>
    <t>99184/25</t>
  </si>
  <si>
    <t>99185/25</t>
  </si>
  <si>
    <t>01:02:11</t>
  </si>
  <si>
    <t>99186/25</t>
  </si>
  <si>
    <t>03:06:01</t>
  </si>
  <si>
    <t>99187/25</t>
  </si>
  <si>
    <t>99188/25</t>
  </si>
  <si>
    <t>01:23:22</t>
  </si>
  <si>
    <t>99189/25</t>
  </si>
  <si>
    <t>01:03:36</t>
  </si>
  <si>
    <t>99190/25</t>
  </si>
  <si>
    <t>01:13:00</t>
  </si>
  <si>
    <t>99191/25</t>
  </si>
  <si>
    <t>01:11:16</t>
  </si>
  <si>
    <t>99192/25</t>
  </si>
  <si>
    <t>01:18:46</t>
  </si>
  <si>
    <t>99193/25</t>
  </si>
  <si>
    <t>00:13:35</t>
  </si>
  <si>
    <t>99194/25</t>
  </si>
  <si>
    <t>99195/25</t>
  </si>
  <si>
    <t>00:21:20</t>
  </si>
  <si>
    <t>99196/25</t>
  </si>
  <si>
    <t>99197/25</t>
  </si>
  <si>
    <t>00:31:10</t>
  </si>
  <si>
    <t>99198/25</t>
  </si>
  <si>
    <t>00:31:29</t>
  </si>
  <si>
    <t>99199/25</t>
  </si>
  <si>
    <t>99200/25</t>
  </si>
  <si>
    <t>00:25:48</t>
  </si>
  <si>
    <t>99201/25</t>
  </si>
  <si>
    <t>00:41:14</t>
  </si>
  <si>
    <t>99202/25</t>
  </si>
  <si>
    <t>00:38:15</t>
  </si>
  <si>
    <t>99203/25</t>
  </si>
  <si>
    <t>00:54:33</t>
  </si>
  <si>
    <t>99204/25</t>
  </si>
  <si>
    <t>00:40:35</t>
  </si>
  <si>
    <t>99205/25</t>
  </si>
  <si>
    <t>00:38:01</t>
  </si>
  <si>
    <t>99206/25</t>
  </si>
  <si>
    <t>01:14:26</t>
  </si>
  <si>
    <t>99207/25</t>
  </si>
  <si>
    <t>00:29:15</t>
  </si>
  <si>
    <t>99208/25</t>
  </si>
  <si>
    <t>01:02:50</t>
  </si>
  <si>
    <t>99209/25</t>
  </si>
  <si>
    <t>00:46:29</t>
  </si>
  <si>
    <t>99210/25</t>
  </si>
  <si>
    <t>01:01:29</t>
  </si>
  <si>
    <t>99211/25</t>
  </si>
  <si>
    <t>00:54:35</t>
  </si>
  <si>
    <t>99212/25</t>
  </si>
  <si>
    <t>01:05:29</t>
  </si>
  <si>
    <t>99213/25</t>
  </si>
  <si>
    <t>00:52:11</t>
  </si>
  <si>
    <t>99214/25</t>
  </si>
  <si>
    <t>00:18:38</t>
  </si>
  <si>
    <t>99215/25</t>
  </si>
  <si>
    <t>99216/25</t>
  </si>
  <si>
    <t>99217/25</t>
  </si>
  <si>
    <t>99218/25</t>
  </si>
  <si>
    <t>99219/25</t>
  </si>
  <si>
    <t>99220/25</t>
  </si>
  <si>
    <t>99222/25</t>
  </si>
  <si>
    <t>01:00:42</t>
  </si>
  <si>
    <t>99223/25</t>
  </si>
  <si>
    <t>00:39:07</t>
  </si>
  <si>
    <t>99224/25</t>
  </si>
  <si>
    <t>00:46:12</t>
  </si>
  <si>
    <t>99225/25</t>
  </si>
  <si>
    <t>04:51:07</t>
  </si>
  <si>
    <t>99228/25</t>
  </si>
  <si>
    <t>00:42:13</t>
  </si>
  <si>
    <t>99229/25</t>
  </si>
  <si>
    <t>00:31:16</t>
  </si>
  <si>
    <t>99230/25</t>
  </si>
  <si>
    <t>00:10:24</t>
  </si>
  <si>
    <t>99231/25</t>
  </si>
  <si>
    <t>01:53:18</t>
  </si>
  <si>
    <t>99232/25</t>
  </si>
  <si>
    <t>02:11:24</t>
  </si>
  <si>
    <t>99233/25</t>
  </si>
  <si>
    <t>00:49:00</t>
  </si>
  <si>
    <t>99234/25</t>
  </si>
  <si>
    <t>00:11:43</t>
  </si>
  <si>
    <t>99235/25</t>
  </si>
  <si>
    <t>99236/25</t>
  </si>
  <si>
    <t>99237/25</t>
  </si>
  <si>
    <t>00:23:34</t>
  </si>
  <si>
    <t>99238/25</t>
  </si>
  <si>
    <t>03:13:35</t>
  </si>
  <si>
    <t>99239/25</t>
  </si>
  <si>
    <t>99240/25</t>
  </si>
  <si>
    <t>99241/25</t>
  </si>
  <si>
    <t>00:21:41</t>
  </si>
  <si>
    <t>99242/25</t>
  </si>
  <si>
    <t>99243/25</t>
  </si>
  <si>
    <t>99244/25</t>
  </si>
  <si>
    <t>99245/25</t>
  </si>
  <si>
    <t>00:06:35</t>
  </si>
  <si>
    <t>99246/25</t>
  </si>
  <si>
    <t>01:25:54</t>
  </si>
  <si>
    <t>99247/25</t>
  </si>
  <si>
    <t>00:18:30</t>
  </si>
  <si>
    <t>99248/25</t>
  </si>
  <si>
    <t>99249/25</t>
  </si>
  <si>
    <t>00:19:41</t>
  </si>
  <si>
    <t>99250/25</t>
  </si>
  <si>
    <t>99251/25</t>
  </si>
  <si>
    <t>99252/25</t>
  </si>
  <si>
    <t>00:16:04</t>
  </si>
  <si>
    <t>99253/25</t>
  </si>
  <si>
    <t>99254/25</t>
  </si>
  <si>
    <t>99255/25</t>
  </si>
  <si>
    <t>99256/25</t>
  </si>
  <si>
    <t>00:23:46</t>
  </si>
  <si>
    <t>99257/25</t>
  </si>
  <si>
    <t>99258/25</t>
  </si>
  <si>
    <t>99259/25</t>
  </si>
  <si>
    <t>99260/25</t>
  </si>
  <si>
    <t>99261/25</t>
  </si>
  <si>
    <t>99262/25</t>
  </si>
  <si>
    <t>99263/25</t>
  </si>
  <si>
    <t>00:50:43</t>
  </si>
  <si>
    <t>99264/25</t>
  </si>
  <si>
    <t>01:41:16</t>
  </si>
  <si>
    <t>99265/25</t>
  </si>
  <si>
    <t>99266/25</t>
  </si>
  <si>
    <t>99267/25</t>
  </si>
  <si>
    <t>99268/25</t>
  </si>
  <si>
    <t>99269/25</t>
  </si>
  <si>
    <t>99270/25</t>
  </si>
  <si>
    <t>00:28:08</t>
  </si>
  <si>
    <t>99271/25</t>
  </si>
  <si>
    <t>00:29:06</t>
  </si>
  <si>
    <t>99272/25</t>
  </si>
  <si>
    <t>99273/25</t>
  </si>
  <si>
    <t>00:36:12</t>
  </si>
  <si>
    <t>99274/25</t>
  </si>
  <si>
    <t>00:46:21</t>
  </si>
  <si>
    <t>99275/25</t>
  </si>
  <si>
    <t>99276/25</t>
  </si>
  <si>
    <t>00:29:27</t>
  </si>
  <si>
    <t>99277/25</t>
  </si>
  <si>
    <t>00:47:21</t>
  </si>
  <si>
    <t>99278/25</t>
  </si>
  <si>
    <t>00:29:19</t>
  </si>
  <si>
    <t>99279/25</t>
  </si>
  <si>
    <t>00:45:19</t>
  </si>
  <si>
    <t>99280/25</t>
  </si>
  <si>
    <t>99281/25</t>
  </si>
  <si>
    <t>99282/25</t>
  </si>
  <si>
    <t>00:52:53</t>
  </si>
  <si>
    <t>99283/25</t>
  </si>
  <si>
    <t>01:28:46</t>
  </si>
  <si>
    <t>99284/25</t>
  </si>
  <si>
    <t>01:45:25</t>
  </si>
  <si>
    <t>99285/25</t>
  </si>
  <si>
    <t>01:42:29</t>
  </si>
  <si>
    <t>99286/25</t>
  </si>
  <si>
    <t>01:40:03</t>
  </si>
  <si>
    <t>99287/25</t>
  </si>
  <si>
    <t>02:11:06</t>
  </si>
  <si>
    <t>99288/25</t>
  </si>
  <si>
    <t>01:41:08</t>
  </si>
  <si>
    <t>99289/25</t>
  </si>
  <si>
    <t>02:07:21</t>
  </si>
  <si>
    <t>99290/25</t>
  </si>
  <si>
    <t>01:49:29</t>
  </si>
  <si>
    <t>99291/25</t>
  </si>
  <si>
    <t>02:13:46</t>
  </si>
  <si>
    <t>99292/25</t>
  </si>
  <si>
    <t>01:54:21</t>
  </si>
  <si>
    <t>99293/25</t>
  </si>
  <si>
    <t>99294/25</t>
  </si>
  <si>
    <t>99295/25</t>
  </si>
  <si>
    <t>02:27:11</t>
  </si>
  <si>
    <t>99296/25</t>
  </si>
  <si>
    <t>99297/25</t>
  </si>
  <si>
    <t>00:30:26</t>
  </si>
  <si>
    <t>99298/25</t>
  </si>
  <si>
    <t>02:17:59</t>
  </si>
  <si>
    <t>99299/25</t>
  </si>
  <si>
    <t>00:09:41</t>
  </si>
  <si>
    <t>99300/25</t>
  </si>
  <si>
    <t>99301/25</t>
  </si>
  <si>
    <t>03:42:49</t>
  </si>
  <si>
    <t>99302/25</t>
  </si>
  <si>
    <t>01:36:52</t>
  </si>
  <si>
    <t>99303/25</t>
  </si>
  <si>
    <t>99304/25</t>
  </si>
  <si>
    <t>99305/25</t>
  </si>
  <si>
    <t>99306/25</t>
  </si>
  <si>
    <t>02:12:22</t>
  </si>
  <si>
    <t>99307/25</t>
  </si>
  <si>
    <t>99308/25</t>
  </si>
  <si>
    <t>04:44:50</t>
  </si>
  <si>
    <t>99309/25</t>
  </si>
  <si>
    <t>99310/25</t>
  </si>
  <si>
    <t>00:49:53</t>
  </si>
  <si>
    <t>99311/25</t>
  </si>
  <si>
    <t>99312/25</t>
  </si>
  <si>
    <t>99313/25</t>
  </si>
  <si>
    <t>00:25:43</t>
  </si>
  <si>
    <t>99314/25</t>
  </si>
  <si>
    <t>00:27:12</t>
  </si>
  <si>
    <t>99315/25</t>
  </si>
  <si>
    <t>00:28:59</t>
  </si>
  <si>
    <t>99316/25</t>
  </si>
  <si>
    <t>99317/25</t>
  </si>
  <si>
    <t>00:20:38</t>
  </si>
  <si>
    <t>99318/25</t>
  </si>
  <si>
    <t>99319/25</t>
  </si>
  <si>
    <t>01:05:52</t>
  </si>
  <si>
    <t>99321/25</t>
  </si>
  <si>
    <t>99322/25</t>
  </si>
  <si>
    <t>00:33:02</t>
  </si>
  <si>
    <t>99323/25</t>
  </si>
  <si>
    <t>00:44:24</t>
  </si>
  <si>
    <t>99324/25</t>
  </si>
  <si>
    <t>99325/25</t>
  </si>
  <si>
    <t>99326/25</t>
  </si>
  <si>
    <t>00:30:34</t>
  </si>
  <si>
    <t>99327/25</t>
  </si>
  <si>
    <t>99328/25</t>
  </si>
  <si>
    <t>00:53:36</t>
  </si>
  <si>
    <t>99329/25</t>
  </si>
  <si>
    <t>00:19:32</t>
  </si>
  <si>
    <t>99330/25</t>
  </si>
  <si>
    <t>99331/25</t>
  </si>
  <si>
    <t>99333/25</t>
  </si>
  <si>
    <t>99334/25</t>
  </si>
  <si>
    <t>99335/25</t>
  </si>
  <si>
    <t>99336/25</t>
  </si>
  <si>
    <t>00:10:21</t>
  </si>
  <si>
    <t>99337/25</t>
  </si>
  <si>
    <t>99338/25</t>
  </si>
  <si>
    <t>00:17:52</t>
  </si>
  <si>
    <t>99339/25</t>
  </si>
  <si>
    <t>00:57:57</t>
  </si>
  <si>
    <t>99340/25</t>
  </si>
  <si>
    <t>99341/25</t>
  </si>
  <si>
    <t>00:40:22</t>
  </si>
  <si>
    <t>99342/25</t>
  </si>
  <si>
    <t>01:26:53</t>
  </si>
  <si>
    <t>99343/25</t>
  </si>
  <si>
    <t>00:35:39</t>
  </si>
  <si>
    <t>99344/25</t>
  </si>
  <si>
    <t>01:00:16</t>
  </si>
  <si>
    <t>99345/25</t>
  </si>
  <si>
    <t>99346/25</t>
  </si>
  <si>
    <t>00:29:35</t>
  </si>
  <si>
    <t>99347/25</t>
  </si>
  <si>
    <t>00:09:28</t>
  </si>
  <si>
    <t>99348/25</t>
  </si>
  <si>
    <t>99349/25</t>
  </si>
  <si>
    <t>00:41:56</t>
  </si>
  <si>
    <t>99350/25</t>
  </si>
  <si>
    <t>99351/25</t>
  </si>
  <si>
    <t>00:51:48</t>
  </si>
  <si>
    <t>99352/25</t>
  </si>
  <si>
    <t>99353/25</t>
  </si>
  <si>
    <t>00:36:08</t>
  </si>
  <si>
    <t>99354/25</t>
  </si>
  <si>
    <t>00:23:38</t>
  </si>
  <si>
    <t>99355/25</t>
  </si>
  <si>
    <t>01:45:45</t>
  </si>
  <si>
    <t>99356/25</t>
  </si>
  <si>
    <t>02:22:50</t>
  </si>
  <si>
    <t>99357/25</t>
  </si>
  <si>
    <t>02:08:49</t>
  </si>
  <si>
    <t>99358/25</t>
  </si>
  <si>
    <t>99359/25</t>
  </si>
  <si>
    <t>01:29:53</t>
  </si>
  <si>
    <t>99360/25</t>
  </si>
  <si>
    <t>00:42:47</t>
  </si>
  <si>
    <t>99361/25</t>
  </si>
  <si>
    <t>99362/25</t>
  </si>
  <si>
    <t>00:04:45</t>
  </si>
  <si>
    <t>99363/25</t>
  </si>
  <si>
    <t>00:12:35</t>
  </si>
  <si>
    <t>99364/25</t>
  </si>
  <si>
    <t>99365/25</t>
  </si>
  <si>
    <t>00:21:51</t>
  </si>
  <si>
    <t>99366/25</t>
  </si>
  <si>
    <t>00:24:23</t>
  </si>
  <si>
    <t>99367/25</t>
  </si>
  <si>
    <t>00:28:01</t>
  </si>
  <si>
    <t>99368/25</t>
  </si>
  <si>
    <t>00:32:51</t>
  </si>
  <si>
    <t>99369/25</t>
  </si>
  <si>
    <t>99370/25</t>
  </si>
  <si>
    <t>00:37:09</t>
  </si>
  <si>
    <t>99371/25</t>
  </si>
  <si>
    <t>00:21:12</t>
  </si>
  <si>
    <t>99372/25</t>
  </si>
  <si>
    <t>00:40:12</t>
  </si>
  <si>
    <t>99373/25</t>
  </si>
  <si>
    <t>00:41:54</t>
  </si>
  <si>
    <t>99374/25</t>
  </si>
  <si>
    <t>99375/25</t>
  </si>
  <si>
    <t>00:33:49</t>
  </si>
  <si>
    <t>99376/25</t>
  </si>
  <si>
    <t>99377/25</t>
  </si>
  <si>
    <t>00:43:01</t>
  </si>
  <si>
    <t>99378/25</t>
  </si>
  <si>
    <t>00:35:11</t>
  </si>
  <si>
    <t>99379/25</t>
  </si>
  <si>
    <t>99380/25</t>
  </si>
  <si>
    <t>99381/25</t>
  </si>
  <si>
    <t>00:41:28</t>
  </si>
  <si>
    <t>99382/25</t>
  </si>
  <si>
    <t>01:39:38</t>
  </si>
  <si>
    <t>99383/25</t>
  </si>
  <si>
    <t>99384/25</t>
  </si>
  <si>
    <t>99385/25</t>
  </si>
  <si>
    <t>02:22:01</t>
  </si>
  <si>
    <t>99386/25</t>
  </si>
  <si>
    <t>02:27:49</t>
  </si>
  <si>
    <t>99387/25</t>
  </si>
  <si>
    <t>00:47:43</t>
  </si>
  <si>
    <t>99388/25</t>
  </si>
  <si>
    <t>99389/25</t>
  </si>
  <si>
    <t>00:17:51</t>
  </si>
  <si>
    <t>99390/25</t>
  </si>
  <si>
    <t>03:38:17</t>
  </si>
  <si>
    <t>99391/25</t>
  </si>
  <si>
    <t>99392/25</t>
  </si>
  <si>
    <t>99393/25</t>
  </si>
  <si>
    <t>01:58:13</t>
  </si>
  <si>
    <t>99394/25</t>
  </si>
  <si>
    <t>00:20:46</t>
  </si>
  <si>
    <t>99395/25</t>
  </si>
  <si>
    <t>99396/25</t>
  </si>
  <si>
    <t>99397/25</t>
  </si>
  <si>
    <t>00:16:06</t>
  </si>
  <si>
    <t>99398/25</t>
  </si>
  <si>
    <t>00:12:29</t>
  </si>
  <si>
    <t>99399/25</t>
  </si>
  <si>
    <t>99400/25</t>
  </si>
  <si>
    <t>99401/25</t>
  </si>
  <si>
    <t>99402/25</t>
  </si>
  <si>
    <t>03:04:29</t>
  </si>
  <si>
    <t>99403/25</t>
  </si>
  <si>
    <t>00:26:34</t>
  </si>
  <si>
    <t>99404/25</t>
  </si>
  <si>
    <t>00:16:56</t>
  </si>
  <si>
    <t>99405/25</t>
  </si>
  <si>
    <t>00:38:44</t>
  </si>
  <si>
    <t>99406/25</t>
  </si>
  <si>
    <t>99407/25</t>
  </si>
  <si>
    <t>00:35:17</t>
  </si>
  <si>
    <t>99408/25</t>
  </si>
  <si>
    <t>01:23:46</t>
  </si>
  <si>
    <t>99409/25</t>
  </si>
  <si>
    <t>00:13:48</t>
  </si>
  <si>
    <t>99410/25</t>
  </si>
  <si>
    <t>03:40:44</t>
  </si>
  <si>
    <t>99411/25</t>
  </si>
  <si>
    <t>01:53:29</t>
  </si>
  <si>
    <t>99412/25</t>
  </si>
  <si>
    <t>99413/25</t>
  </si>
  <si>
    <t>01:00:06</t>
  </si>
  <si>
    <t>99414/25</t>
  </si>
  <si>
    <t>00:14:06</t>
  </si>
  <si>
    <t>99415/25</t>
  </si>
  <si>
    <t>00:14:49</t>
  </si>
  <si>
    <t>99416/25</t>
  </si>
  <si>
    <t>01:17:22</t>
  </si>
  <si>
    <t>99417/25</t>
  </si>
  <si>
    <t>02:43:15</t>
  </si>
  <si>
    <t>99418/25</t>
  </si>
  <si>
    <t>99419/25</t>
  </si>
  <si>
    <t>01:30:00</t>
  </si>
  <si>
    <t>99420/25</t>
  </si>
  <si>
    <t>99421/25</t>
  </si>
  <si>
    <t>01:40:12</t>
  </si>
  <si>
    <t>99422/25</t>
  </si>
  <si>
    <t>99423/25</t>
  </si>
  <si>
    <t>10:09:33</t>
  </si>
  <si>
    <t>99424/25</t>
  </si>
  <si>
    <t>01:40:52</t>
  </si>
  <si>
    <t>99425/25</t>
  </si>
  <si>
    <t>01:12:39</t>
  </si>
  <si>
    <t>99426/25</t>
  </si>
  <si>
    <t>00:31:19</t>
  </si>
  <si>
    <t>99427/25</t>
  </si>
  <si>
    <t>01:23:14</t>
  </si>
  <si>
    <t>99428/25</t>
  </si>
  <si>
    <t>00:40:31</t>
  </si>
  <si>
    <t>99429/25</t>
  </si>
  <si>
    <t>00:34:58</t>
  </si>
  <si>
    <t>99430/25</t>
  </si>
  <si>
    <t>06:33:06</t>
  </si>
  <si>
    <t>99431/25</t>
  </si>
  <si>
    <t>99432/25</t>
  </si>
  <si>
    <t>06:38:07</t>
  </si>
  <si>
    <t>99433/25</t>
  </si>
  <si>
    <t>99434/25</t>
  </si>
  <si>
    <t>06:47:03</t>
  </si>
  <si>
    <t>99435/25</t>
  </si>
  <si>
    <t>99436/25</t>
  </si>
  <si>
    <t>07:00:09</t>
  </si>
  <si>
    <t>99437/25</t>
  </si>
  <si>
    <t>99438/25</t>
  </si>
  <si>
    <t>99439/25</t>
  </si>
  <si>
    <t>07:12:01</t>
  </si>
  <si>
    <t>99440/25</t>
  </si>
  <si>
    <t>07:13:42</t>
  </si>
  <si>
    <t>99441/25</t>
  </si>
  <si>
    <t>99442/25</t>
  </si>
  <si>
    <t>99443/25</t>
  </si>
  <si>
    <t>07:30:45</t>
  </si>
  <si>
    <t>99444/25</t>
  </si>
  <si>
    <t>07:33:00</t>
  </si>
  <si>
    <t>99445/25</t>
  </si>
  <si>
    <t>99446/25</t>
  </si>
  <si>
    <t>99447/25</t>
  </si>
  <si>
    <t>08:12:23</t>
  </si>
  <si>
    <t>99448/25</t>
  </si>
  <si>
    <t>08:15:46</t>
  </si>
  <si>
    <t>99449/25</t>
  </si>
  <si>
    <t>08:26:41</t>
  </si>
  <si>
    <t>99450/25</t>
  </si>
  <si>
    <t>99451/25</t>
  </si>
  <si>
    <t>08:38:08</t>
  </si>
  <si>
    <t>99452/25</t>
  </si>
  <si>
    <t>99453/25</t>
  </si>
  <si>
    <t>08:56:15</t>
  </si>
  <si>
    <t>99454/25</t>
  </si>
  <si>
    <t>09:01:11</t>
  </si>
  <si>
    <t>99455/25</t>
  </si>
  <si>
    <t>09:06:26</t>
  </si>
  <si>
    <t>99456/25</t>
  </si>
  <si>
    <t>09:12:50</t>
  </si>
  <si>
    <t>99457/25</t>
  </si>
  <si>
    <t>09:15:48</t>
  </si>
  <si>
    <t>99458/25</t>
  </si>
  <si>
    <t>99459/25</t>
  </si>
  <si>
    <t>09:48:09</t>
  </si>
  <si>
    <t>99460/25</t>
  </si>
  <si>
    <t>09:59:45</t>
  </si>
  <si>
    <t>99461/25</t>
  </si>
  <si>
    <t>10:06:20</t>
  </si>
  <si>
    <t>99462/25</t>
  </si>
  <si>
    <t>10:12:48</t>
  </si>
  <si>
    <t>99463/25</t>
  </si>
  <si>
    <t>10:22:02</t>
  </si>
  <si>
    <t>99464/25</t>
  </si>
  <si>
    <t>10:30:18</t>
  </si>
  <si>
    <t>99465/25</t>
  </si>
  <si>
    <t>99466/25</t>
  </si>
  <si>
    <t>99467/25</t>
  </si>
  <si>
    <t>10:51:39</t>
  </si>
  <si>
    <t>99468/25</t>
  </si>
  <si>
    <t>10:54:03</t>
  </si>
  <si>
    <t>99469/25</t>
  </si>
  <si>
    <t>10:58:38</t>
  </si>
  <si>
    <t>99470/25</t>
  </si>
  <si>
    <t>11:01:40</t>
  </si>
  <si>
    <t>99471/25</t>
  </si>
  <si>
    <t>99472/25</t>
  </si>
  <si>
    <t>11:17:02</t>
  </si>
  <si>
    <t>99473/25</t>
  </si>
  <si>
    <t>99474/25</t>
  </si>
  <si>
    <t>99475/25</t>
  </si>
  <si>
    <t>11:46:30</t>
  </si>
  <si>
    <t>99476/25</t>
  </si>
  <si>
    <t>11:49:45</t>
  </si>
  <si>
    <t>99477/25</t>
  </si>
  <si>
    <t>11:54:19</t>
  </si>
  <si>
    <t>99478/25</t>
  </si>
  <si>
    <t>99479/25</t>
  </si>
  <si>
    <t>12:14:39</t>
  </si>
  <si>
    <t>99480/25</t>
  </si>
  <si>
    <t>99481/25</t>
  </si>
  <si>
    <t>99482/25</t>
  </si>
  <si>
    <t>12:35:24</t>
  </si>
  <si>
    <t>99483/25</t>
  </si>
  <si>
    <t>12:50:34</t>
  </si>
  <si>
    <t>99484/25</t>
  </si>
  <si>
    <t>12:56:14</t>
  </si>
  <si>
    <t>99485/25</t>
  </si>
  <si>
    <t>13:04:33</t>
  </si>
  <si>
    <t>99486/25</t>
  </si>
  <si>
    <t>13:07:21</t>
  </si>
  <si>
    <t>99487/25</t>
  </si>
  <si>
    <t>13:17:10</t>
  </si>
  <si>
    <t>99488/25</t>
  </si>
  <si>
    <t>99489/25</t>
  </si>
  <si>
    <t>13:34:21</t>
  </si>
  <si>
    <t>99490/25</t>
  </si>
  <si>
    <t>13:38:20</t>
  </si>
  <si>
    <t>99491/25</t>
  </si>
  <si>
    <t>13:55:31</t>
  </si>
  <si>
    <t>99492/25</t>
  </si>
  <si>
    <t>14:03:44</t>
  </si>
  <si>
    <t>99493/25</t>
  </si>
  <si>
    <t>14:16:39</t>
  </si>
  <si>
    <t>99494/25</t>
  </si>
  <si>
    <t>14:22:06</t>
  </si>
  <si>
    <t>99495/25</t>
  </si>
  <si>
    <t>99496/25</t>
  </si>
  <si>
    <t>14:35:09</t>
  </si>
  <si>
    <t>99497/25</t>
  </si>
  <si>
    <t>99498/25</t>
  </si>
  <si>
    <t>14:45:30</t>
  </si>
  <si>
    <t>99499/25</t>
  </si>
  <si>
    <t>14:51:49</t>
  </si>
  <si>
    <t>99500/25</t>
  </si>
  <si>
    <t>14:55:13</t>
  </si>
  <si>
    <t>99501/25</t>
  </si>
  <si>
    <t>15:02:54</t>
  </si>
  <si>
    <t>99502/25</t>
  </si>
  <si>
    <t>15:15:11</t>
  </si>
  <si>
    <t>99503/25</t>
  </si>
  <si>
    <t>99504/25</t>
  </si>
  <si>
    <t>15:34:38</t>
  </si>
  <si>
    <t>99505/25</t>
  </si>
  <si>
    <t>15:41:05</t>
  </si>
  <si>
    <t>99506/25</t>
  </si>
  <si>
    <t>15:47:53</t>
  </si>
  <si>
    <t>99507/25</t>
  </si>
  <si>
    <t>15:52:26</t>
  </si>
  <si>
    <t>99508/25</t>
  </si>
  <si>
    <t>15:53:46</t>
  </si>
  <si>
    <t>99509/25</t>
  </si>
  <si>
    <t>99510/25</t>
  </si>
  <si>
    <t>99511/25</t>
  </si>
  <si>
    <t>99512/25</t>
  </si>
  <si>
    <t>16:10:39</t>
  </si>
  <si>
    <t>99513/25</t>
  </si>
  <si>
    <t>16:17:28</t>
  </si>
  <si>
    <t>99514/25</t>
  </si>
  <si>
    <t>99515/25</t>
  </si>
  <si>
    <t>99516/25</t>
  </si>
  <si>
    <t>99517/25</t>
  </si>
  <si>
    <t>99518/25</t>
  </si>
  <si>
    <t>16:48:30</t>
  </si>
  <si>
    <t>99519/25</t>
  </si>
  <si>
    <t>17:14:13</t>
  </si>
  <si>
    <t>99520/25</t>
  </si>
  <si>
    <t>17:19:00</t>
  </si>
  <si>
    <t>99521/25</t>
  </si>
  <si>
    <t>17:42:28</t>
  </si>
  <si>
    <t>99522/25</t>
  </si>
  <si>
    <t>17:52:56</t>
  </si>
  <si>
    <t>99523/25</t>
  </si>
  <si>
    <t>99524/25</t>
  </si>
  <si>
    <t>99525/25</t>
  </si>
  <si>
    <t>99526/25</t>
  </si>
  <si>
    <t>99527/25</t>
  </si>
  <si>
    <t>00:27:54</t>
  </si>
  <si>
    <t>99528/25</t>
  </si>
  <si>
    <t>99529/25</t>
  </si>
  <si>
    <t>00:37:49</t>
  </si>
  <si>
    <t>99530/25</t>
  </si>
  <si>
    <t>99531/25</t>
  </si>
  <si>
    <t>00:34:05</t>
  </si>
  <si>
    <t>99532/25</t>
  </si>
  <si>
    <t>99533/25</t>
  </si>
  <si>
    <t>00:48:32</t>
  </si>
  <si>
    <t>99534/25</t>
  </si>
  <si>
    <t>00:41:27</t>
  </si>
  <si>
    <t>99535/25</t>
  </si>
  <si>
    <t>00:46:59</t>
  </si>
  <si>
    <t>99536/25</t>
  </si>
  <si>
    <t>00:36:02</t>
  </si>
  <si>
    <t>99537/25</t>
  </si>
  <si>
    <t>00:35:53</t>
  </si>
  <si>
    <t>99538/25</t>
  </si>
  <si>
    <t>99539/25</t>
  </si>
  <si>
    <t>01:12:51</t>
  </si>
  <si>
    <t>99540/25</t>
  </si>
  <si>
    <t>01:14:33</t>
  </si>
  <si>
    <t>99541/25</t>
  </si>
  <si>
    <t>00:58:29</t>
  </si>
  <si>
    <t>99542/25</t>
  </si>
  <si>
    <t>99543/25</t>
  </si>
  <si>
    <t>99544/25</t>
  </si>
  <si>
    <t>01:22:48</t>
  </si>
  <si>
    <t>99545/25</t>
  </si>
  <si>
    <t>00:59:36</t>
  </si>
  <si>
    <t>99546/25</t>
  </si>
  <si>
    <t>00:40:44</t>
  </si>
  <si>
    <t>99547/25</t>
  </si>
  <si>
    <t>00:45:15</t>
  </si>
  <si>
    <t>99548/25</t>
  </si>
  <si>
    <t>01:52:32</t>
  </si>
  <si>
    <t>99549/25</t>
  </si>
  <si>
    <t>99550/25</t>
  </si>
  <si>
    <t>99551/25</t>
  </si>
  <si>
    <t>02:30:36</t>
  </si>
  <si>
    <t>99552/25</t>
  </si>
  <si>
    <t>00:22:54</t>
  </si>
  <si>
    <t>99553/25</t>
  </si>
  <si>
    <t>99554/25</t>
  </si>
  <si>
    <t>01:11:27</t>
  </si>
  <si>
    <t>99555/25</t>
  </si>
  <si>
    <t>99556/25</t>
  </si>
  <si>
    <t>99557/25</t>
  </si>
  <si>
    <t>01:10:06</t>
  </si>
  <si>
    <t>99558/25</t>
  </si>
  <si>
    <t>99559/25</t>
  </si>
  <si>
    <t>99560/25</t>
  </si>
  <si>
    <t>00:21:01</t>
  </si>
  <si>
    <t>99561/25</t>
  </si>
  <si>
    <t>00:26:55</t>
  </si>
  <si>
    <t>99562/25</t>
  </si>
  <si>
    <t>00:44:38</t>
  </si>
  <si>
    <t>99563/25</t>
  </si>
  <si>
    <t>00:55:59</t>
  </si>
  <si>
    <t>99564/25</t>
  </si>
  <si>
    <t>99565/25</t>
  </si>
  <si>
    <t>04:06:41</t>
  </si>
  <si>
    <t>99566/25</t>
  </si>
  <si>
    <t>99567/25</t>
  </si>
  <si>
    <t>01:01:26</t>
  </si>
  <si>
    <t>99568/25</t>
  </si>
  <si>
    <t>99569/25</t>
  </si>
  <si>
    <t>99570/25</t>
  </si>
  <si>
    <t>00:12:55</t>
  </si>
  <si>
    <t>99571/25</t>
  </si>
  <si>
    <t>99572/25</t>
  </si>
  <si>
    <t>01:00:36</t>
  </si>
  <si>
    <t>99573/25</t>
  </si>
  <si>
    <t>99574/25</t>
  </si>
  <si>
    <t>00:35:35</t>
  </si>
  <si>
    <t>99575/25</t>
  </si>
  <si>
    <t>00:52:28</t>
  </si>
  <si>
    <t>99576/25</t>
  </si>
  <si>
    <t>00:55:21</t>
  </si>
  <si>
    <t>99577/25</t>
  </si>
  <si>
    <t>04:03:56</t>
  </si>
  <si>
    <t>99578/25</t>
  </si>
  <si>
    <t>00:45:52</t>
  </si>
  <si>
    <t>99579/25</t>
  </si>
  <si>
    <t>00:13:40</t>
  </si>
  <si>
    <t>99580/25</t>
  </si>
  <si>
    <t>00:14:56</t>
  </si>
  <si>
    <t>99581/25</t>
  </si>
  <si>
    <t>00:25:35</t>
  </si>
  <si>
    <t>99582/25</t>
  </si>
  <si>
    <t>00:40:26</t>
  </si>
  <si>
    <t>99583/25</t>
  </si>
  <si>
    <t>99584/25</t>
  </si>
  <si>
    <t>03:12:40</t>
  </si>
  <si>
    <t>99585/25</t>
  </si>
  <si>
    <t>02:33:47</t>
  </si>
  <si>
    <t>99586/25</t>
  </si>
  <si>
    <t>00:27:23</t>
  </si>
  <si>
    <t>99587/25</t>
  </si>
  <si>
    <t>00:23:12</t>
  </si>
  <si>
    <t>99588/25</t>
  </si>
  <si>
    <t>00:57:10</t>
  </si>
  <si>
    <t>99589/25</t>
  </si>
  <si>
    <t>99590/25</t>
  </si>
  <si>
    <t>00:34:16</t>
  </si>
  <si>
    <t>99591/25</t>
  </si>
  <si>
    <t>00:24:24</t>
  </si>
  <si>
    <t>99592/25</t>
  </si>
  <si>
    <t>02:40:54</t>
  </si>
  <si>
    <t>99593/25</t>
  </si>
  <si>
    <t>01:30:43</t>
  </si>
  <si>
    <t>99594/25</t>
  </si>
  <si>
    <t>99595/25</t>
  </si>
  <si>
    <t>31613B40</t>
  </si>
  <si>
    <t>00:45:25</t>
  </si>
  <si>
    <t>99596/25</t>
  </si>
  <si>
    <t>00:51:19</t>
  </si>
  <si>
    <t>99597/25</t>
  </si>
  <si>
    <t>46563B40</t>
  </si>
  <si>
    <t>01:20:19</t>
  </si>
  <si>
    <t>99598/25</t>
  </si>
  <si>
    <t>99599/25</t>
  </si>
  <si>
    <t>00:33:37</t>
  </si>
  <si>
    <t>99600/25</t>
  </si>
  <si>
    <t>99601/25</t>
  </si>
  <si>
    <t>99602/25</t>
  </si>
  <si>
    <t>00:19:15</t>
  </si>
  <si>
    <t>99603/25</t>
  </si>
  <si>
    <t>99604/25</t>
  </si>
  <si>
    <t>99605/25</t>
  </si>
  <si>
    <t>00:12:17</t>
  </si>
  <si>
    <t>99606/25</t>
  </si>
  <si>
    <t>99607/25</t>
  </si>
  <si>
    <t>00:24:15</t>
  </si>
  <si>
    <t>99608/25</t>
  </si>
  <si>
    <t>00:36:18</t>
  </si>
  <si>
    <t>99609/25</t>
  </si>
  <si>
    <t>00:39:37</t>
  </si>
  <si>
    <t>99610/25</t>
  </si>
  <si>
    <t>99611/25</t>
  </si>
  <si>
    <t>99612/25</t>
  </si>
  <si>
    <t>99613/25</t>
  </si>
  <si>
    <t>00:50:11</t>
  </si>
  <si>
    <t>99614/25</t>
  </si>
  <si>
    <t>00:58:33</t>
  </si>
  <si>
    <t>99615/25</t>
  </si>
  <si>
    <t>00:38:20</t>
  </si>
  <si>
    <t>99616/25</t>
  </si>
  <si>
    <t>01:03:30</t>
  </si>
  <si>
    <t>99617/25</t>
  </si>
  <si>
    <t>01:09:51</t>
  </si>
  <si>
    <t>99618/25</t>
  </si>
  <si>
    <t>99619/25</t>
  </si>
  <si>
    <t>01:15:47</t>
  </si>
  <si>
    <t>99620/25</t>
  </si>
  <si>
    <t>00:49:43</t>
  </si>
  <si>
    <t>99621/25</t>
  </si>
  <si>
    <t>01:22:41</t>
  </si>
  <si>
    <t>99622/25</t>
  </si>
  <si>
    <t>01:31:09</t>
  </si>
  <si>
    <t>99623/25</t>
  </si>
  <si>
    <t>01:36:07</t>
  </si>
  <si>
    <t>99624/25</t>
  </si>
  <si>
    <t>01:37:10</t>
  </si>
  <si>
    <t>99625/25</t>
  </si>
  <si>
    <t>01:42:18</t>
  </si>
  <si>
    <t>99626/25</t>
  </si>
  <si>
    <t>01:47:36</t>
  </si>
  <si>
    <t>99627/25</t>
  </si>
  <si>
    <t>01:57:56</t>
  </si>
  <si>
    <t>99628/25</t>
  </si>
  <si>
    <t>00:13:38</t>
  </si>
  <si>
    <t>99629/25</t>
  </si>
  <si>
    <t>00:19:54</t>
  </si>
  <si>
    <t>99630/25</t>
  </si>
  <si>
    <t>02:03:53</t>
  </si>
  <si>
    <t>99631/25</t>
  </si>
  <si>
    <t>00:15:15</t>
  </si>
  <si>
    <t>99632/25</t>
  </si>
  <si>
    <t>00:22:03</t>
  </si>
  <si>
    <t>99633/25</t>
  </si>
  <si>
    <t>99634/25</t>
  </si>
  <si>
    <t>01:15:39</t>
  </si>
  <si>
    <t>99635/25</t>
  </si>
  <si>
    <t>99636/25</t>
  </si>
  <si>
    <t>00:07:59</t>
  </si>
  <si>
    <t>99637/25</t>
  </si>
  <si>
    <t>00:34:28</t>
  </si>
  <si>
    <t>99638/25</t>
  </si>
  <si>
    <t>00:46:45</t>
  </si>
  <si>
    <t>99639/25</t>
  </si>
  <si>
    <t>99640/25</t>
  </si>
  <si>
    <t>99641/25</t>
  </si>
  <si>
    <t>01:08:49</t>
  </si>
  <si>
    <t>99642/25</t>
  </si>
  <si>
    <t>99643/25</t>
  </si>
  <si>
    <t>01:19:01</t>
  </si>
  <si>
    <t>99644/25</t>
  </si>
  <si>
    <t>00:49:30</t>
  </si>
  <si>
    <t>99645/25</t>
  </si>
  <si>
    <t>00:56:12</t>
  </si>
  <si>
    <t>99646/25</t>
  </si>
  <si>
    <t>00:39:57</t>
  </si>
  <si>
    <t>99647/25</t>
  </si>
  <si>
    <t>99648/25</t>
  </si>
  <si>
    <t>00:46:27</t>
  </si>
  <si>
    <t>99649/25</t>
  </si>
  <si>
    <t>99650/25</t>
  </si>
  <si>
    <t>99651/25</t>
  </si>
  <si>
    <t>00:35:41</t>
  </si>
  <si>
    <t>99652/25</t>
  </si>
  <si>
    <t>00:39:54</t>
  </si>
  <si>
    <t>99653/25</t>
  </si>
  <si>
    <t>06:07:17</t>
  </si>
  <si>
    <t>99654/25</t>
  </si>
  <si>
    <t>06:14:17</t>
  </si>
  <si>
    <t>99655/25</t>
  </si>
  <si>
    <t>00:22:26</t>
  </si>
  <si>
    <t>99656/25</t>
  </si>
  <si>
    <t>00:45:53</t>
  </si>
  <si>
    <t>99657/25</t>
  </si>
  <si>
    <t>99658/25</t>
  </si>
  <si>
    <t>99659/25</t>
  </si>
  <si>
    <t>00:53:22</t>
  </si>
  <si>
    <t>99660/25</t>
  </si>
  <si>
    <t>00:46:03</t>
  </si>
  <si>
    <t>99661/25</t>
  </si>
  <si>
    <t>00:07:10</t>
  </si>
  <si>
    <t>99662/25</t>
  </si>
  <si>
    <t>00:56:07</t>
  </si>
  <si>
    <t>99663/25</t>
  </si>
  <si>
    <t>01:03:23</t>
  </si>
  <si>
    <t>99664/25</t>
  </si>
  <si>
    <t>01:11:25</t>
  </si>
  <si>
    <t>99665/25</t>
  </si>
  <si>
    <t>01:49:11</t>
  </si>
  <si>
    <t>99666/25</t>
  </si>
  <si>
    <t>00:51:46</t>
  </si>
  <si>
    <t>99667/25</t>
  </si>
  <si>
    <t>00:33:08</t>
  </si>
  <si>
    <t>99668/25</t>
  </si>
  <si>
    <t>99669/25</t>
  </si>
  <si>
    <t>00:20:16</t>
  </si>
  <si>
    <t>99670/25</t>
  </si>
  <si>
    <t>99671/25</t>
  </si>
  <si>
    <t>02:25:20</t>
  </si>
  <si>
    <t>99672/25</t>
  </si>
  <si>
    <t>00:30:46</t>
  </si>
  <si>
    <t>99673/25</t>
  </si>
  <si>
    <t>00:41:29</t>
  </si>
  <si>
    <t>99674/25</t>
  </si>
  <si>
    <t>00:53:57</t>
  </si>
  <si>
    <t>99675/25</t>
  </si>
  <si>
    <t>00:51:55</t>
  </si>
  <si>
    <t>99676/25</t>
  </si>
  <si>
    <t>00:29:44</t>
  </si>
  <si>
    <t>99677/25</t>
  </si>
  <si>
    <t>99678/25</t>
  </si>
  <si>
    <t>00:13:41</t>
  </si>
  <si>
    <t>99679/25</t>
  </si>
  <si>
    <t>99680/25</t>
  </si>
  <si>
    <t>99681/25</t>
  </si>
  <si>
    <t>99682/25</t>
  </si>
  <si>
    <t>00:15:36</t>
  </si>
  <si>
    <t>99683/25</t>
  </si>
  <si>
    <t>99684/25</t>
  </si>
  <si>
    <t>99685/25</t>
  </si>
  <si>
    <t>00:24:02</t>
  </si>
  <si>
    <t>99686/25</t>
  </si>
  <si>
    <t>01:04:24</t>
  </si>
  <si>
    <t>99687/25</t>
  </si>
  <si>
    <t>99688/25</t>
  </si>
  <si>
    <t>99689/25</t>
  </si>
  <si>
    <t>99690/25</t>
  </si>
  <si>
    <t>99691/25</t>
  </si>
  <si>
    <t>99692/25</t>
  </si>
  <si>
    <t>00:28:15</t>
  </si>
  <si>
    <t>99693/25</t>
  </si>
  <si>
    <t>99694/25</t>
  </si>
  <si>
    <t>00:30:40</t>
  </si>
  <si>
    <t>99695/25</t>
  </si>
  <si>
    <t>99696/25</t>
  </si>
  <si>
    <t>99697/25</t>
  </si>
  <si>
    <t>00:48:23</t>
  </si>
  <si>
    <t>99698/25</t>
  </si>
  <si>
    <t>99699/25</t>
  </si>
  <si>
    <t>00:31:37</t>
  </si>
  <si>
    <t>99700/25</t>
  </si>
  <si>
    <t>00:47:15</t>
  </si>
  <si>
    <t>99701/25</t>
  </si>
  <si>
    <t>99702/25</t>
  </si>
  <si>
    <t>01:10:49</t>
  </si>
  <si>
    <t>99703/25</t>
  </si>
  <si>
    <t>01:13:50</t>
  </si>
  <si>
    <t>99704/25</t>
  </si>
  <si>
    <t>00:32:38</t>
  </si>
  <si>
    <t>99705/25</t>
  </si>
  <si>
    <t>00:35:24</t>
  </si>
  <si>
    <t>99706/25</t>
  </si>
  <si>
    <t>01:19:14</t>
  </si>
  <si>
    <t>99707/25</t>
  </si>
  <si>
    <t>01:06:25</t>
  </si>
  <si>
    <t>99708/25</t>
  </si>
  <si>
    <t>00:43:02</t>
  </si>
  <si>
    <t>99709/25</t>
  </si>
  <si>
    <t>00:58:57</t>
  </si>
  <si>
    <t>99710/25</t>
  </si>
  <si>
    <t>99711/25</t>
  </si>
  <si>
    <t>01:14:25</t>
  </si>
  <si>
    <t>99712/25</t>
  </si>
  <si>
    <t>01:20:09</t>
  </si>
  <si>
    <t>99713/25</t>
  </si>
  <si>
    <t>00:59:07</t>
  </si>
  <si>
    <t>99714/25</t>
  </si>
  <si>
    <t>01:56:15</t>
  </si>
  <si>
    <t>99715/25</t>
  </si>
  <si>
    <t>99716/25</t>
  </si>
  <si>
    <t>99717/25</t>
  </si>
  <si>
    <t>01:34:00</t>
  </si>
  <si>
    <t>99718/25</t>
  </si>
  <si>
    <t>01:13:23</t>
  </si>
  <si>
    <t>99719/25</t>
  </si>
  <si>
    <t>01:26:27</t>
  </si>
  <si>
    <t>99720/25</t>
  </si>
  <si>
    <t>00:13:24</t>
  </si>
  <si>
    <t>99721/25</t>
  </si>
  <si>
    <t>00:40:13</t>
  </si>
  <si>
    <t>99722/25</t>
  </si>
  <si>
    <t>01:42:54</t>
  </si>
  <si>
    <t>99723/25</t>
  </si>
  <si>
    <t>01:25:18</t>
  </si>
  <si>
    <t>99724/25</t>
  </si>
  <si>
    <t>01:48:51</t>
  </si>
  <si>
    <t>99725/25</t>
  </si>
  <si>
    <t>00:52:08</t>
  </si>
  <si>
    <t>99726/25</t>
  </si>
  <si>
    <t>99727/25</t>
  </si>
  <si>
    <t>01:38:03</t>
  </si>
  <si>
    <t>99728/25</t>
  </si>
  <si>
    <t>00:22:34</t>
  </si>
  <si>
    <t>99729/25</t>
  </si>
  <si>
    <t>01:13:56</t>
  </si>
  <si>
    <t>99730/25</t>
  </si>
  <si>
    <t>99731/25</t>
  </si>
  <si>
    <t>00:13:30</t>
  </si>
  <si>
    <t>99732/25</t>
  </si>
  <si>
    <t>02:51:38</t>
  </si>
  <si>
    <t>99733/25</t>
  </si>
  <si>
    <t>99734/25</t>
  </si>
  <si>
    <t>00:09:09</t>
  </si>
  <si>
    <t>99735/25</t>
  </si>
  <si>
    <t>5183A75</t>
  </si>
  <si>
    <t>99736/25</t>
  </si>
  <si>
    <t>99737/25</t>
  </si>
  <si>
    <t>99738/25</t>
  </si>
  <si>
    <t>04:06:21</t>
  </si>
  <si>
    <t>99739/25</t>
  </si>
  <si>
    <t>99740/25</t>
  </si>
  <si>
    <t>00:14:29</t>
  </si>
  <si>
    <t>99741/25</t>
  </si>
  <si>
    <t>99742/25</t>
  </si>
  <si>
    <t>99743/25</t>
  </si>
  <si>
    <t>99744/25</t>
  </si>
  <si>
    <t>99745/25</t>
  </si>
  <si>
    <t>00:47:27</t>
  </si>
  <si>
    <t>99746/25</t>
  </si>
  <si>
    <t>99747/25</t>
  </si>
  <si>
    <t>00:43:34</t>
  </si>
  <si>
    <t>99748/25</t>
  </si>
  <si>
    <t>01:11:43</t>
  </si>
  <si>
    <t>99749/25</t>
  </si>
  <si>
    <t>00:29:36</t>
  </si>
  <si>
    <t>99750/25</t>
  </si>
  <si>
    <t>99751/25</t>
  </si>
  <si>
    <t>01:02:27</t>
  </si>
  <si>
    <t>99752/25</t>
  </si>
  <si>
    <t>00:38:04</t>
  </si>
  <si>
    <t>99753/25</t>
  </si>
  <si>
    <t>99754/25</t>
  </si>
  <si>
    <t>99755/25</t>
  </si>
  <si>
    <t>99756/25</t>
  </si>
  <si>
    <t>99757/25</t>
  </si>
  <si>
    <t>99758/25</t>
  </si>
  <si>
    <t>00:35:38</t>
  </si>
  <si>
    <t>99759/25</t>
  </si>
  <si>
    <t>00:33:36</t>
  </si>
  <si>
    <t>99761/25</t>
  </si>
  <si>
    <t>99762/25</t>
  </si>
  <si>
    <t>00:18:50</t>
  </si>
  <si>
    <t>99763/25</t>
  </si>
  <si>
    <t>99764/25</t>
  </si>
  <si>
    <t>01:57:12</t>
  </si>
  <si>
    <t>99765/25</t>
  </si>
  <si>
    <t>99766/25</t>
  </si>
  <si>
    <t>00:54:52</t>
  </si>
  <si>
    <t>99767/25</t>
  </si>
  <si>
    <t>99768/25</t>
  </si>
  <si>
    <t>00:17:14</t>
  </si>
  <si>
    <t>99769/25</t>
  </si>
  <si>
    <t>00:10:29</t>
  </si>
  <si>
    <t>99770/25</t>
  </si>
  <si>
    <t>99771/25</t>
  </si>
  <si>
    <t>2579A75</t>
  </si>
  <si>
    <t>99772/25</t>
  </si>
  <si>
    <t>00:23:03</t>
  </si>
  <si>
    <t>99773/25</t>
  </si>
  <si>
    <t>00:32:49</t>
  </si>
  <si>
    <t>99774/25</t>
  </si>
  <si>
    <t>00:33:43</t>
  </si>
  <si>
    <t>99775/25</t>
  </si>
  <si>
    <t>99776/25</t>
  </si>
  <si>
    <t>99777/25</t>
  </si>
  <si>
    <t>99778/25</t>
  </si>
  <si>
    <t>00:26:45</t>
  </si>
  <si>
    <t>99779/25</t>
  </si>
  <si>
    <t>99780/25</t>
  </si>
  <si>
    <t>99781/25</t>
  </si>
  <si>
    <t>99783/25</t>
  </si>
  <si>
    <t>02:59:14</t>
  </si>
  <si>
    <t>99784/25</t>
  </si>
  <si>
    <t>00:32:36</t>
  </si>
  <si>
    <t>99785/25</t>
  </si>
  <si>
    <t>99786/25</t>
  </si>
  <si>
    <t>00:07:55</t>
  </si>
  <si>
    <t>99787/25</t>
  </si>
  <si>
    <t>00:13:45</t>
  </si>
  <si>
    <t>99788/25</t>
  </si>
  <si>
    <t>99789/25</t>
  </si>
  <si>
    <t>00:12:15</t>
  </si>
  <si>
    <t>99790/25</t>
  </si>
  <si>
    <t>99791/25</t>
  </si>
  <si>
    <t>99792/25</t>
  </si>
  <si>
    <t>00:21:13</t>
  </si>
  <si>
    <t>99793/25</t>
  </si>
  <si>
    <t>99794/25</t>
  </si>
  <si>
    <t>99795/25</t>
  </si>
  <si>
    <t>99796/25</t>
  </si>
  <si>
    <t>99797/25</t>
  </si>
  <si>
    <t>00:17:34</t>
  </si>
  <si>
    <t>99798/25</t>
  </si>
  <si>
    <t>99799/25</t>
  </si>
  <si>
    <t>00:25:13</t>
  </si>
  <si>
    <t>99800/25</t>
  </si>
  <si>
    <t>99801/25</t>
  </si>
  <si>
    <t>99802/25</t>
  </si>
  <si>
    <t>00:34:27</t>
  </si>
  <si>
    <t>99803/25</t>
  </si>
  <si>
    <t>00:35:28</t>
  </si>
  <si>
    <t>99804/25</t>
  </si>
  <si>
    <t>00:27:50</t>
  </si>
  <si>
    <t>99805/25</t>
  </si>
  <si>
    <t>00:46:04</t>
  </si>
  <si>
    <t>99806/25</t>
  </si>
  <si>
    <t>99807/25</t>
  </si>
  <si>
    <t>00:52:43</t>
  </si>
  <si>
    <t>99808/25</t>
  </si>
  <si>
    <t>00:49:21</t>
  </si>
  <si>
    <t>99809/25</t>
  </si>
  <si>
    <t>00:42:14</t>
  </si>
  <si>
    <t>99810/25</t>
  </si>
  <si>
    <t>99811/25</t>
  </si>
  <si>
    <t>00:33:54</t>
  </si>
  <si>
    <t>99812/25</t>
  </si>
  <si>
    <t>01:03:14</t>
  </si>
  <si>
    <t>99813/25</t>
  </si>
  <si>
    <t>00:41:05</t>
  </si>
  <si>
    <t>99814/25</t>
  </si>
  <si>
    <t>99815/25</t>
  </si>
  <si>
    <t>00:32:19</t>
  </si>
  <si>
    <t>99816/25</t>
  </si>
  <si>
    <t>01:01:17</t>
  </si>
  <si>
    <t>99817/25</t>
  </si>
  <si>
    <t>99818/25</t>
  </si>
  <si>
    <t>01:00:51</t>
  </si>
  <si>
    <t>99819/25</t>
  </si>
  <si>
    <t>99820/25</t>
  </si>
  <si>
    <t>01:02:09</t>
  </si>
  <si>
    <t>99821/25</t>
  </si>
  <si>
    <t>00:14:09</t>
  </si>
  <si>
    <t>99822/25</t>
  </si>
  <si>
    <t>01:19:56</t>
  </si>
  <si>
    <t>99823/25</t>
  </si>
  <si>
    <t>00:56:40</t>
  </si>
  <si>
    <t>99824/25</t>
  </si>
  <si>
    <t>99825/25</t>
  </si>
  <si>
    <t>99826/25</t>
  </si>
  <si>
    <t>01:06:49</t>
  </si>
  <si>
    <t>99827/25</t>
  </si>
  <si>
    <t>00:14:46</t>
  </si>
  <si>
    <t>99828/25</t>
  </si>
  <si>
    <t>99829/25</t>
  </si>
  <si>
    <t>00:18:10</t>
  </si>
  <si>
    <t>99830/25</t>
  </si>
  <si>
    <t>99831/25</t>
  </si>
  <si>
    <t>02:35:59</t>
  </si>
  <si>
    <t>99832/25</t>
  </si>
  <si>
    <t>99833/25</t>
  </si>
  <si>
    <t>99834/25</t>
  </si>
  <si>
    <t>99835/25</t>
  </si>
  <si>
    <t>00:09:14</t>
  </si>
  <si>
    <t>99836/25</t>
  </si>
  <si>
    <t>99837/25</t>
  </si>
  <si>
    <t>00:36:00</t>
  </si>
  <si>
    <t>99838/25</t>
  </si>
  <si>
    <t>99839/25</t>
  </si>
  <si>
    <t>00:50:14</t>
  </si>
  <si>
    <t>99840/25</t>
  </si>
  <si>
    <t>00:22:42</t>
  </si>
  <si>
    <t>99841/25</t>
  </si>
  <si>
    <t>00:57:03</t>
  </si>
  <si>
    <t>99842/25</t>
  </si>
  <si>
    <t>00:25:11</t>
  </si>
  <si>
    <t>99843/25</t>
  </si>
  <si>
    <t>99844/25</t>
  </si>
  <si>
    <t>99845/25</t>
  </si>
  <si>
    <t>00:07:28</t>
  </si>
  <si>
    <t>99846/25</t>
  </si>
  <si>
    <t>99847/25</t>
  </si>
  <si>
    <t>99848/25</t>
  </si>
  <si>
    <t>99849/25</t>
  </si>
  <si>
    <t>99850/25</t>
  </si>
  <si>
    <t>00:11:20</t>
  </si>
  <si>
    <t>99851/25</t>
  </si>
  <si>
    <t>02:43:46</t>
  </si>
  <si>
    <t>99852/25</t>
  </si>
  <si>
    <t>99853/25</t>
  </si>
  <si>
    <t>00:10:40</t>
  </si>
  <si>
    <t>99854/25</t>
  </si>
  <si>
    <t>99855/25</t>
  </si>
  <si>
    <t>00:52:38</t>
  </si>
  <si>
    <t>99856/25</t>
  </si>
  <si>
    <t>99857/25</t>
  </si>
  <si>
    <t>99858/25</t>
  </si>
  <si>
    <t>00:43:18</t>
  </si>
  <si>
    <t>99859/25</t>
  </si>
  <si>
    <t>99860/25</t>
  </si>
  <si>
    <t>99861/25</t>
  </si>
  <si>
    <t>99862/25</t>
  </si>
  <si>
    <t>99863/25</t>
  </si>
  <si>
    <t>00:11:02</t>
  </si>
  <si>
    <t>99864/25</t>
  </si>
  <si>
    <t>00:10:38</t>
  </si>
  <si>
    <t>99865/25</t>
  </si>
  <si>
    <t>01:20:06</t>
  </si>
  <si>
    <t>99866/25</t>
  </si>
  <si>
    <t>99867/25</t>
  </si>
  <si>
    <t>00:22:19</t>
  </si>
  <si>
    <t>99868/25</t>
  </si>
  <si>
    <t>99869/25</t>
  </si>
  <si>
    <t>99870/25</t>
  </si>
  <si>
    <t>99871/25</t>
  </si>
  <si>
    <t>33361D40</t>
  </si>
  <si>
    <t>99872/25</t>
  </si>
  <si>
    <t>99873/25</t>
  </si>
  <si>
    <t>99874/25</t>
  </si>
  <si>
    <t>99875/25</t>
  </si>
  <si>
    <t>00:33:57</t>
  </si>
  <si>
    <t>99876/25</t>
  </si>
  <si>
    <t>99877/25</t>
  </si>
  <si>
    <t>99878/25</t>
  </si>
  <si>
    <t>00:29:20</t>
  </si>
  <si>
    <t>99879/25</t>
  </si>
  <si>
    <t>99880/25</t>
  </si>
  <si>
    <t>99881/25</t>
  </si>
  <si>
    <t>01:42:00</t>
  </si>
  <si>
    <t>99882/25</t>
  </si>
  <si>
    <t>99883/25</t>
  </si>
  <si>
    <t>99884/25</t>
  </si>
  <si>
    <t>99885/25</t>
  </si>
  <si>
    <t>00:33:22</t>
  </si>
  <si>
    <t>99886/25</t>
  </si>
  <si>
    <t>99887/25</t>
  </si>
  <si>
    <t>00:28:35</t>
  </si>
  <si>
    <t>99888/25</t>
  </si>
  <si>
    <t>01:33:29</t>
  </si>
  <si>
    <t>99889/25</t>
  </si>
  <si>
    <t>02:47:09</t>
  </si>
  <si>
    <t>99890/25</t>
  </si>
  <si>
    <t>99891/25</t>
  </si>
  <si>
    <t>00:50:33</t>
  </si>
  <si>
    <t>99892/25</t>
  </si>
  <si>
    <t>00:57:18</t>
  </si>
  <si>
    <t>99893/25</t>
  </si>
  <si>
    <t>99894/25</t>
  </si>
  <si>
    <t>99895/25</t>
  </si>
  <si>
    <t>99896/25</t>
  </si>
  <si>
    <t>00:22:41</t>
  </si>
  <si>
    <t>99897/25</t>
  </si>
  <si>
    <t>00:23:52</t>
  </si>
  <si>
    <t>99898/25</t>
  </si>
  <si>
    <t>99899/25</t>
  </si>
  <si>
    <t>99900/25</t>
  </si>
  <si>
    <t>00:42:55</t>
  </si>
  <si>
    <t>99901/25</t>
  </si>
  <si>
    <t>00:27:46</t>
  </si>
  <si>
    <t>99902/25</t>
  </si>
  <si>
    <t>99903/25</t>
  </si>
  <si>
    <t>00:14:38</t>
  </si>
  <si>
    <t>99904/25</t>
  </si>
  <si>
    <t>29806D40</t>
  </si>
  <si>
    <t>99905/25</t>
  </si>
  <si>
    <t>99906/25</t>
  </si>
  <si>
    <t>00:21:02</t>
  </si>
  <si>
    <t>99907/25</t>
  </si>
  <si>
    <t>99908/25</t>
  </si>
  <si>
    <t>00:21:38</t>
  </si>
  <si>
    <t>99909/25</t>
  </si>
  <si>
    <t>99910/25</t>
  </si>
  <si>
    <t>99911/25</t>
  </si>
  <si>
    <t>01:47:56</t>
  </si>
  <si>
    <t>99912/25</t>
  </si>
  <si>
    <t>99913/25</t>
  </si>
  <si>
    <t>99914/25</t>
  </si>
  <si>
    <t>00:19:43</t>
  </si>
  <si>
    <t>99915/25</t>
  </si>
  <si>
    <t>99916/25</t>
  </si>
  <si>
    <t>00:11:47</t>
  </si>
  <si>
    <t>99917/25</t>
  </si>
  <si>
    <t>02:42:46</t>
  </si>
  <si>
    <t>99918/25</t>
  </si>
  <si>
    <t>00:20:25</t>
  </si>
  <si>
    <t>99919/25</t>
  </si>
  <si>
    <t>00:31:53</t>
  </si>
  <si>
    <t>99920/25</t>
  </si>
  <si>
    <t>02:01:32</t>
  </si>
  <si>
    <t>99921/25</t>
  </si>
  <si>
    <t>99922/25</t>
  </si>
  <si>
    <t>99923/25</t>
  </si>
  <si>
    <t>99924/25</t>
  </si>
  <si>
    <t>02:09:23</t>
  </si>
  <si>
    <t>99925/25</t>
  </si>
  <si>
    <t>99926/25</t>
  </si>
  <si>
    <t>00:15:13</t>
  </si>
  <si>
    <t>99927/25</t>
  </si>
  <si>
    <t>99928/25</t>
  </si>
  <si>
    <t>00:24:26</t>
  </si>
  <si>
    <t>99929/25</t>
  </si>
  <si>
    <t>00:50:51</t>
  </si>
  <si>
    <t>99930/25</t>
  </si>
  <si>
    <t>00:53:41</t>
  </si>
  <si>
    <t>99931/25</t>
  </si>
  <si>
    <t>PK/20 TANGER</t>
  </si>
  <si>
    <t>99932/25</t>
  </si>
  <si>
    <t>00:25:37</t>
  </si>
  <si>
    <t>99933/25</t>
  </si>
  <si>
    <t>99934/25</t>
  </si>
  <si>
    <t>99935/25</t>
  </si>
  <si>
    <t>99936/25</t>
  </si>
  <si>
    <t>00:46:50</t>
  </si>
  <si>
    <t>99937/25</t>
  </si>
  <si>
    <t>99938/25</t>
  </si>
  <si>
    <t>99939/25</t>
  </si>
  <si>
    <t>01:25:35</t>
  </si>
  <si>
    <t>99940/25</t>
  </si>
  <si>
    <t>01:12:22</t>
  </si>
  <si>
    <t>99941/25</t>
  </si>
  <si>
    <t>00:28:47</t>
  </si>
  <si>
    <t>99942/25</t>
  </si>
  <si>
    <t>00:24:35</t>
  </si>
  <si>
    <t>99943/25</t>
  </si>
  <si>
    <t>00:31:15</t>
  </si>
  <si>
    <t>99944/25</t>
  </si>
  <si>
    <t>00:19:33</t>
  </si>
  <si>
    <t>99945/25</t>
  </si>
  <si>
    <t>01:24:20</t>
  </si>
  <si>
    <t>99946/25</t>
  </si>
  <si>
    <t>00:59:23</t>
  </si>
  <si>
    <t>99947/25</t>
  </si>
  <si>
    <t>99948/25</t>
  </si>
  <si>
    <t>99949/25</t>
  </si>
  <si>
    <t>00:13:23</t>
  </si>
  <si>
    <t>99950/25</t>
  </si>
  <si>
    <t>01:14:09</t>
  </si>
  <si>
    <t>99951/25</t>
  </si>
  <si>
    <t>00:21:40</t>
  </si>
  <si>
    <t>99952/25</t>
  </si>
  <si>
    <t>00:28:16</t>
  </si>
  <si>
    <t>99953/25</t>
  </si>
  <si>
    <t>01:16:13</t>
  </si>
  <si>
    <t>99954/25</t>
  </si>
  <si>
    <t>00:12:32</t>
  </si>
  <si>
    <t>99955/25</t>
  </si>
  <si>
    <t>99956/25</t>
  </si>
  <si>
    <t>99957/25</t>
  </si>
  <si>
    <t>01:05:24</t>
  </si>
  <si>
    <t>99958/25</t>
  </si>
  <si>
    <t>99959/25</t>
  </si>
  <si>
    <t>99960/25</t>
  </si>
  <si>
    <t>99961/25</t>
  </si>
  <si>
    <t>01:25:24</t>
  </si>
  <si>
    <t>99962/25</t>
  </si>
  <si>
    <t>01:19:49</t>
  </si>
  <si>
    <t>99963/25</t>
  </si>
  <si>
    <t>99964/25</t>
  </si>
  <si>
    <t>99965/25</t>
  </si>
  <si>
    <t>02:33:42</t>
  </si>
  <si>
    <t>99966/25</t>
  </si>
  <si>
    <t>00:45:35</t>
  </si>
  <si>
    <t>99967/25</t>
  </si>
  <si>
    <t>00:41:53</t>
  </si>
  <si>
    <t>99968/25</t>
  </si>
  <si>
    <t>00:31:33</t>
  </si>
  <si>
    <t>99969/25</t>
  </si>
  <si>
    <t>393A43</t>
  </si>
  <si>
    <t>99970/25</t>
  </si>
  <si>
    <t>99971/25</t>
  </si>
  <si>
    <t>00:51:24</t>
  </si>
  <si>
    <t>99972/25</t>
  </si>
  <si>
    <t>03:28:02</t>
  </si>
  <si>
    <t>99973/25</t>
  </si>
  <si>
    <t>02:56:49</t>
  </si>
  <si>
    <t>99974/25</t>
  </si>
  <si>
    <t>00:41:55</t>
  </si>
  <si>
    <t>99975/25</t>
  </si>
  <si>
    <t>01:14:21</t>
  </si>
  <si>
    <t>99976/25</t>
  </si>
  <si>
    <t>00:48:51</t>
  </si>
  <si>
    <t>99977/25</t>
  </si>
  <si>
    <t>00:53:40</t>
  </si>
  <si>
    <t>99978/25</t>
  </si>
  <si>
    <t>99979/25</t>
  </si>
  <si>
    <t>03:58:23</t>
  </si>
  <si>
    <t>99980/25</t>
  </si>
  <si>
    <t>01:03:31</t>
  </si>
  <si>
    <t>99981/25</t>
  </si>
  <si>
    <t>01:07:59</t>
  </si>
  <si>
    <t>99982/25</t>
  </si>
  <si>
    <t>04:17:17</t>
  </si>
  <si>
    <t>99983/25</t>
  </si>
  <si>
    <t>04:05:29</t>
  </si>
  <si>
    <t>99984/25</t>
  </si>
  <si>
    <t>01:21:26</t>
  </si>
  <si>
    <t>99985/25</t>
  </si>
  <si>
    <t>01:05:58</t>
  </si>
  <si>
    <t>99986/25</t>
  </si>
  <si>
    <t>01:11:55</t>
  </si>
  <si>
    <t>99987/25</t>
  </si>
  <si>
    <t>01:54:39</t>
  </si>
  <si>
    <t>99988/25</t>
  </si>
  <si>
    <t>99989/25</t>
  </si>
  <si>
    <t>00:24:43</t>
  </si>
  <si>
    <t>99990/25</t>
  </si>
  <si>
    <t>99991/25</t>
  </si>
  <si>
    <t>99992/25</t>
  </si>
  <si>
    <t>99993/25</t>
  </si>
  <si>
    <t>00:47:36</t>
  </si>
  <si>
    <t>99994/25</t>
  </si>
  <si>
    <t>99995/25</t>
  </si>
  <si>
    <t>00:58:16</t>
  </si>
  <si>
    <t>99996/25</t>
  </si>
  <si>
    <t>01:05:44</t>
  </si>
  <si>
    <t>99997/25</t>
  </si>
  <si>
    <t>99998/25</t>
  </si>
  <si>
    <t>01:32:32</t>
  </si>
  <si>
    <t>99999/25</t>
  </si>
  <si>
    <t>00:26:03</t>
  </si>
  <si>
    <t>100000/25</t>
  </si>
  <si>
    <t>00:19:59</t>
  </si>
  <si>
    <t>100001/25</t>
  </si>
  <si>
    <t>00:19:13</t>
  </si>
  <si>
    <t>100002/25</t>
  </si>
  <si>
    <t>01:44:30</t>
  </si>
  <si>
    <t>100003/25</t>
  </si>
  <si>
    <t>01:26:59</t>
  </si>
  <si>
    <t>100004/25</t>
  </si>
  <si>
    <t>100005/25</t>
  </si>
  <si>
    <t>01:33:52</t>
  </si>
  <si>
    <t>100006/25</t>
  </si>
  <si>
    <t>100007/25</t>
  </si>
  <si>
    <t>00:18:17</t>
  </si>
  <si>
    <t>100008/25</t>
  </si>
  <si>
    <t>01:27:34</t>
  </si>
  <si>
    <t>100009/25</t>
  </si>
  <si>
    <t>01:56:47</t>
  </si>
  <si>
    <t>100010/25</t>
  </si>
  <si>
    <t>01:50:08</t>
  </si>
  <si>
    <t>100011/25</t>
  </si>
  <si>
    <t>01:26:26</t>
  </si>
  <si>
    <t>100012/25</t>
  </si>
  <si>
    <t>01:31:20</t>
  </si>
  <si>
    <t>100013/25</t>
  </si>
  <si>
    <t>01:04:29</t>
  </si>
  <si>
    <t>100014/25</t>
  </si>
  <si>
    <t>01:14:46</t>
  </si>
  <si>
    <t>100015/25</t>
  </si>
  <si>
    <t>100016/25</t>
  </si>
  <si>
    <t>02:05:50</t>
  </si>
  <si>
    <t>100017/25</t>
  </si>
  <si>
    <t>03:09:36</t>
  </si>
  <si>
    <t>100018/25</t>
  </si>
  <si>
    <t>100019/25</t>
  </si>
  <si>
    <t>02:10:22</t>
  </si>
  <si>
    <t>100020/25</t>
  </si>
  <si>
    <t>100021/25</t>
  </si>
  <si>
    <t>100022/25</t>
  </si>
  <si>
    <t>100023/25</t>
  </si>
  <si>
    <t>100024/25</t>
  </si>
  <si>
    <t>00:08:05</t>
  </si>
  <si>
    <t>100025/25</t>
  </si>
  <si>
    <t>100026/25</t>
  </si>
  <si>
    <t>01:57:01</t>
  </si>
  <si>
    <t>100027/25</t>
  </si>
  <si>
    <t>00:12:11</t>
  </si>
  <si>
    <t>100028/25</t>
  </si>
  <si>
    <t>01:43:11</t>
  </si>
  <si>
    <t>100029/25</t>
  </si>
  <si>
    <t>100030/25</t>
  </si>
  <si>
    <t>00:24:51</t>
  </si>
  <si>
    <t>100031/25</t>
  </si>
  <si>
    <t>100032/25</t>
  </si>
  <si>
    <t>100033/25</t>
  </si>
  <si>
    <t>00:33:42</t>
  </si>
  <si>
    <t>100034/25</t>
  </si>
  <si>
    <t>01:36:49</t>
  </si>
  <si>
    <t>100035/25</t>
  </si>
  <si>
    <t>100036/25</t>
  </si>
  <si>
    <t>100037/25</t>
  </si>
  <si>
    <t>00:41:32</t>
  </si>
  <si>
    <t>100038/25</t>
  </si>
  <si>
    <t>00:17:53</t>
  </si>
  <si>
    <t>100039/25</t>
  </si>
  <si>
    <t>100040/25</t>
  </si>
  <si>
    <t>100041/25</t>
  </si>
  <si>
    <t>00:22:32</t>
  </si>
  <si>
    <t>100042/25</t>
  </si>
  <si>
    <t>100043/25</t>
  </si>
  <si>
    <t>00:49:18</t>
  </si>
  <si>
    <t>100044/25</t>
  </si>
  <si>
    <t>100045/25</t>
  </si>
  <si>
    <t>01:03:22</t>
  </si>
  <si>
    <t>100046/25</t>
  </si>
  <si>
    <t>00:28:43</t>
  </si>
  <si>
    <t>100047/25</t>
  </si>
  <si>
    <t>100048/25</t>
  </si>
  <si>
    <t>02:50:42</t>
  </si>
  <si>
    <t>100049/25</t>
  </si>
  <si>
    <t>00:22:25</t>
  </si>
  <si>
    <t>100050/25</t>
  </si>
  <si>
    <t>01:04:11</t>
  </si>
  <si>
    <t>100051/25</t>
  </si>
  <si>
    <t>00:43:33</t>
  </si>
  <si>
    <t>100052/25</t>
  </si>
  <si>
    <t>100053/25</t>
  </si>
  <si>
    <t>00:06:25</t>
  </si>
  <si>
    <t>100054/25</t>
  </si>
  <si>
    <t>100055/25</t>
  </si>
  <si>
    <t>00:26:51</t>
  </si>
  <si>
    <t>100056/25</t>
  </si>
  <si>
    <t>00:13:22</t>
  </si>
  <si>
    <t>100057/25</t>
  </si>
  <si>
    <t>100058/25</t>
  </si>
  <si>
    <t>100059/25</t>
  </si>
  <si>
    <t>00:59:40</t>
  </si>
  <si>
    <t>100060/25</t>
  </si>
  <si>
    <t>100061/25</t>
  </si>
  <si>
    <t>100062/25</t>
  </si>
  <si>
    <t>100063/25</t>
  </si>
  <si>
    <t>01:09:19</t>
  </si>
  <si>
    <t>100064/25</t>
  </si>
  <si>
    <t>100065/25</t>
  </si>
  <si>
    <t>00:07:31</t>
  </si>
  <si>
    <t>100066/25</t>
  </si>
  <si>
    <t>00:38:40</t>
  </si>
  <si>
    <t>100067/25</t>
  </si>
  <si>
    <t>100068/25</t>
  </si>
  <si>
    <t>01:34:14</t>
  </si>
  <si>
    <t>100069/25</t>
  </si>
  <si>
    <t>100070/25</t>
  </si>
  <si>
    <t>01:25:39</t>
  </si>
  <si>
    <t>100071/25</t>
  </si>
  <si>
    <t>100072/25</t>
  </si>
  <si>
    <t>00:20:49</t>
  </si>
  <si>
    <t>100073/25</t>
  </si>
  <si>
    <t>100074/25</t>
  </si>
  <si>
    <t>02:09:19</t>
  </si>
  <si>
    <t>100075/25</t>
  </si>
  <si>
    <t>100076/25</t>
  </si>
  <si>
    <t>100077/25</t>
  </si>
  <si>
    <t>02:04:31</t>
  </si>
  <si>
    <t>100078/25</t>
  </si>
  <si>
    <t>100079/25</t>
  </si>
  <si>
    <t>100080/25</t>
  </si>
  <si>
    <t>100081/25</t>
  </si>
  <si>
    <t>100082/25</t>
  </si>
  <si>
    <t>100083/25</t>
  </si>
  <si>
    <t>00:17:37</t>
  </si>
  <si>
    <t>100084/25</t>
  </si>
  <si>
    <t>100085/25</t>
  </si>
  <si>
    <t>100086/25</t>
  </si>
  <si>
    <t>00:25:55</t>
  </si>
  <si>
    <t>100087/25</t>
  </si>
  <si>
    <t>100088/25</t>
  </si>
  <si>
    <t>100089/25</t>
  </si>
  <si>
    <t>01:12:05</t>
  </si>
  <si>
    <t>100090/25</t>
  </si>
  <si>
    <t>00:54:30</t>
  </si>
  <si>
    <t>100091/25</t>
  </si>
  <si>
    <t>03:05:48</t>
  </si>
  <si>
    <t>100092/25</t>
  </si>
  <si>
    <t>100093/25</t>
  </si>
  <si>
    <t>00:19:22</t>
  </si>
  <si>
    <t>100094/25</t>
  </si>
  <si>
    <t>100095/25</t>
  </si>
  <si>
    <t>00:26:18</t>
  </si>
  <si>
    <t>100096/25</t>
  </si>
  <si>
    <t>00:28:10</t>
  </si>
  <si>
    <t>100097/25</t>
  </si>
  <si>
    <t>100098/25</t>
  </si>
  <si>
    <t>100099/25</t>
  </si>
  <si>
    <t>100100/25</t>
  </si>
  <si>
    <t>00:39:01</t>
  </si>
  <si>
    <t>100101/25</t>
  </si>
  <si>
    <t>00:40:46</t>
  </si>
  <si>
    <t>100102/25</t>
  </si>
  <si>
    <t>00:27:08</t>
  </si>
  <si>
    <t>100103/25</t>
  </si>
  <si>
    <t>100104/25</t>
  </si>
  <si>
    <t>100105/25</t>
  </si>
  <si>
    <t>00:41:22</t>
  </si>
  <si>
    <t>100106/25</t>
  </si>
  <si>
    <t>100107/25</t>
  </si>
  <si>
    <t>00:36:38</t>
  </si>
  <si>
    <t>100108/25</t>
  </si>
  <si>
    <t>100109/25</t>
  </si>
  <si>
    <t>00:32:07</t>
  </si>
  <si>
    <t>100110/25</t>
  </si>
  <si>
    <t>33924D40</t>
  </si>
  <si>
    <t>100111/25</t>
  </si>
  <si>
    <t>100112/25</t>
  </si>
  <si>
    <t>100113/25</t>
  </si>
  <si>
    <t>100114/25</t>
  </si>
  <si>
    <t>100115/25</t>
  </si>
  <si>
    <t>100116/25</t>
  </si>
  <si>
    <t>100117/25</t>
  </si>
  <si>
    <t>00:18:39</t>
  </si>
  <si>
    <t>100118/25</t>
  </si>
  <si>
    <t>00:10:31</t>
  </si>
  <si>
    <t>100119/25</t>
  </si>
  <si>
    <t>100120/25</t>
  </si>
  <si>
    <t>100121/25</t>
  </si>
  <si>
    <t>100122/25</t>
  </si>
  <si>
    <t>00:23:04</t>
  </si>
  <si>
    <t>100123/25</t>
  </si>
  <si>
    <t>100124/25</t>
  </si>
  <si>
    <t>00:34:44</t>
  </si>
  <si>
    <t>100125/25</t>
  </si>
  <si>
    <t>00:31:35</t>
  </si>
  <si>
    <t>100126/25</t>
  </si>
  <si>
    <t>00:39:24</t>
  </si>
  <si>
    <t>100127/25</t>
  </si>
  <si>
    <t>100128/25</t>
  </si>
  <si>
    <t>00:13:37</t>
  </si>
  <si>
    <t>100129/25</t>
  </si>
  <si>
    <t>100130/25</t>
  </si>
  <si>
    <t>00:18:02</t>
  </si>
  <si>
    <t>100131/25</t>
  </si>
  <si>
    <t>100132/25</t>
  </si>
  <si>
    <t>100133/25</t>
  </si>
  <si>
    <t>100134/25</t>
  </si>
  <si>
    <t>01:05:30</t>
  </si>
  <si>
    <t>100135/25</t>
  </si>
  <si>
    <t>100136/25</t>
  </si>
  <si>
    <t>100137/25</t>
  </si>
  <si>
    <t>100138/25</t>
  </si>
  <si>
    <t>100139/25</t>
  </si>
  <si>
    <t>00:25:24</t>
  </si>
  <si>
    <t>100140/25</t>
  </si>
  <si>
    <t>100141/25</t>
  </si>
  <si>
    <t>100142/25</t>
  </si>
  <si>
    <t>00:58:34</t>
  </si>
  <si>
    <t>100143/25</t>
  </si>
  <si>
    <t>100144/25</t>
  </si>
  <si>
    <t>100145/25</t>
  </si>
  <si>
    <t>00:16:50</t>
  </si>
  <si>
    <t>100146/25</t>
  </si>
  <si>
    <t>100147/25</t>
  </si>
  <si>
    <t>02:18:40</t>
  </si>
  <si>
    <t>100148/25</t>
  </si>
  <si>
    <t>100149/25</t>
  </si>
  <si>
    <t>100150/25</t>
  </si>
  <si>
    <t>100151/25</t>
  </si>
  <si>
    <t>100152/25</t>
  </si>
  <si>
    <t>01:23:06</t>
  </si>
  <si>
    <t>100153/25</t>
  </si>
  <si>
    <t>01:40:02</t>
  </si>
  <si>
    <t>100154/25</t>
  </si>
  <si>
    <t>100155/25</t>
  </si>
  <si>
    <t>00:22:33</t>
  </si>
  <si>
    <t>100156/25</t>
  </si>
  <si>
    <t>00:19:14</t>
  </si>
  <si>
    <t>100157/25</t>
  </si>
  <si>
    <t>01:54:46</t>
  </si>
  <si>
    <t>100158/25</t>
  </si>
  <si>
    <t>100159/25</t>
  </si>
  <si>
    <t>100160/25</t>
  </si>
  <si>
    <t>100161/25</t>
  </si>
  <si>
    <t>01:29:37</t>
  </si>
  <si>
    <t>100162/25</t>
  </si>
  <si>
    <t>100163/25</t>
  </si>
  <si>
    <t>100164/25</t>
  </si>
  <si>
    <t>01:19:48</t>
  </si>
  <si>
    <t>100165/25</t>
  </si>
  <si>
    <t>100166/25</t>
  </si>
  <si>
    <t>00:07:05</t>
  </si>
  <si>
    <t>100167/25</t>
  </si>
  <si>
    <t>01:03:42</t>
  </si>
  <si>
    <t>100168/25</t>
  </si>
  <si>
    <t>02:01:05</t>
  </si>
  <si>
    <t>100169/25</t>
  </si>
  <si>
    <t>100170/25</t>
  </si>
  <si>
    <t>02:00:25</t>
  </si>
  <si>
    <t>100171/25</t>
  </si>
  <si>
    <t>00:20:55</t>
  </si>
  <si>
    <t>100172/25</t>
  </si>
  <si>
    <t>100173/25</t>
  </si>
  <si>
    <t>00:23:23</t>
  </si>
  <si>
    <t>100174/25</t>
  </si>
  <si>
    <t>00:38:05</t>
  </si>
  <si>
    <t>100175/25</t>
  </si>
  <si>
    <t>100176/25</t>
  </si>
  <si>
    <t>02:35:08</t>
  </si>
  <si>
    <t>100177/25</t>
  </si>
  <si>
    <t>02:27:14</t>
  </si>
  <si>
    <t>100178/25</t>
  </si>
  <si>
    <t>00:42:52</t>
  </si>
  <si>
    <t>100179/25</t>
  </si>
  <si>
    <t>00:35:45</t>
  </si>
  <si>
    <t>100180/25</t>
  </si>
  <si>
    <t>02:51:18</t>
  </si>
  <si>
    <t>100181/25</t>
  </si>
  <si>
    <t>100182/25</t>
  </si>
  <si>
    <t>01:27:12</t>
  </si>
  <si>
    <t>100183/25</t>
  </si>
  <si>
    <t>100184/25</t>
  </si>
  <si>
    <t>100185/25</t>
  </si>
  <si>
    <t>00:14:51</t>
  </si>
  <si>
    <t>100186/25</t>
  </si>
  <si>
    <t>100187/25</t>
  </si>
  <si>
    <t>100188/25</t>
  </si>
  <si>
    <t>100189/25</t>
  </si>
  <si>
    <t>100190/25</t>
  </si>
  <si>
    <t>100191/25</t>
  </si>
  <si>
    <t>100192/25</t>
  </si>
  <si>
    <t>00:33:47</t>
  </si>
  <si>
    <t>100193/25</t>
  </si>
  <si>
    <t>100194/25</t>
  </si>
  <si>
    <t>00:35:33</t>
  </si>
  <si>
    <t>100195/25</t>
  </si>
  <si>
    <t>100196/25</t>
  </si>
  <si>
    <t>100197/25</t>
  </si>
  <si>
    <t>100198/25</t>
  </si>
  <si>
    <t>00:23:36</t>
  </si>
  <si>
    <t>100199/25</t>
  </si>
  <si>
    <t>00:59:15</t>
  </si>
  <si>
    <t>100200/25</t>
  </si>
  <si>
    <t>00:56:14</t>
  </si>
  <si>
    <t>100201/25</t>
  </si>
  <si>
    <t>00:36:31</t>
  </si>
  <si>
    <t>100202/25</t>
  </si>
  <si>
    <t>00:32:53</t>
  </si>
  <si>
    <t>100203/25</t>
  </si>
  <si>
    <t>00:35:36</t>
  </si>
  <si>
    <t>100204/25</t>
  </si>
  <si>
    <t>00:36:45</t>
  </si>
  <si>
    <t>100205/25</t>
  </si>
  <si>
    <t>100206/25</t>
  </si>
  <si>
    <t>00:44:35</t>
  </si>
  <si>
    <t>100207/25</t>
  </si>
  <si>
    <t>00:34:30</t>
  </si>
  <si>
    <t>100208/25</t>
  </si>
  <si>
    <t>100209/25</t>
  </si>
  <si>
    <t>00:27:26</t>
  </si>
  <si>
    <t>100210/25</t>
  </si>
  <si>
    <t>00:41:18</t>
  </si>
  <si>
    <t>100211/25</t>
  </si>
  <si>
    <t>00:33:28</t>
  </si>
  <si>
    <t>100212/25</t>
  </si>
  <si>
    <t>100213/25</t>
  </si>
  <si>
    <t>00:31:01</t>
  </si>
  <si>
    <t>100214/25</t>
  </si>
  <si>
    <t>100215/25</t>
  </si>
  <si>
    <t>01:44:32</t>
  </si>
  <si>
    <t>100216/25</t>
  </si>
  <si>
    <t>01:49:19</t>
  </si>
  <si>
    <t>100217/25</t>
  </si>
  <si>
    <t>100218/25</t>
  </si>
  <si>
    <t>100219/25</t>
  </si>
  <si>
    <t>100220/25</t>
  </si>
  <si>
    <t>52023A2</t>
  </si>
  <si>
    <t>100221/25</t>
  </si>
  <si>
    <t>01:30:23</t>
  </si>
  <si>
    <t>100222/25</t>
  </si>
  <si>
    <t>100223/25</t>
  </si>
  <si>
    <t>00:36:28</t>
  </si>
  <si>
    <t>100224/25</t>
  </si>
  <si>
    <t>100225/25</t>
  </si>
  <si>
    <t>100226/25</t>
  </si>
  <si>
    <t>100227/25</t>
  </si>
  <si>
    <t>100228/25</t>
  </si>
  <si>
    <t>00:16:11</t>
  </si>
  <si>
    <t>100229/25</t>
  </si>
  <si>
    <t>00:11:58</t>
  </si>
  <si>
    <t>100230/25</t>
  </si>
  <si>
    <t>00:41:57</t>
  </si>
  <si>
    <t>100231/25</t>
  </si>
  <si>
    <t>100232/25</t>
  </si>
  <si>
    <t>100233/25</t>
  </si>
  <si>
    <t>02:14:22</t>
  </si>
  <si>
    <t>100234/25</t>
  </si>
  <si>
    <t>00:34:22</t>
  </si>
  <si>
    <t>100235/25</t>
  </si>
  <si>
    <t>100236/25</t>
  </si>
  <si>
    <t>00:50:55</t>
  </si>
  <si>
    <t>100237/25</t>
  </si>
  <si>
    <t>100238/25</t>
  </si>
  <si>
    <t>01:06:07</t>
  </si>
  <si>
    <t>100239/25</t>
  </si>
  <si>
    <t>100240/25</t>
  </si>
  <si>
    <t>100241/25</t>
  </si>
  <si>
    <t>01:33:17</t>
  </si>
  <si>
    <t>100242/25</t>
  </si>
  <si>
    <t>00:18:19</t>
  </si>
  <si>
    <t>100243/25</t>
  </si>
  <si>
    <t>100244/25</t>
  </si>
  <si>
    <t>00:12:19</t>
  </si>
  <si>
    <t>100245/25</t>
  </si>
  <si>
    <t>100246/25</t>
  </si>
  <si>
    <t>01:57:16</t>
  </si>
  <si>
    <t>100247/25</t>
  </si>
  <si>
    <t>100248/25</t>
  </si>
  <si>
    <t>100249/25</t>
  </si>
  <si>
    <t>00:32:59</t>
  </si>
  <si>
    <t>100250/25</t>
  </si>
  <si>
    <t>02:14:30</t>
  </si>
  <si>
    <t>100251/25</t>
  </si>
  <si>
    <t>100252/25</t>
  </si>
  <si>
    <t>00:13:08</t>
  </si>
  <si>
    <t>100253/25</t>
  </si>
  <si>
    <t>00:29:58</t>
  </si>
  <si>
    <t>100254/25</t>
  </si>
  <si>
    <t>100255/25</t>
  </si>
  <si>
    <t>100256/25</t>
  </si>
  <si>
    <t>100257/25</t>
  </si>
  <si>
    <t>100258/25</t>
  </si>
  <si>
    <t>100259/25</t>
  </si>
  <si>
    <t>100260/25</t>
  </si>
  <si>
    <t>100261/25</t>
  </si>
  <si>
    <t>01:22:32</t>
  </si>
  <si>
    <t>100262/25</t>
  </si>
  <si>
    <t>100263/25</t>
  </si>
  <si>
    <t>00:17:19</t>
  </si>
  <si>
    <t>100264/25</t>
  </si>
  <si>
    <t>100265/25</t>
  </si>
  <si>
    <t>00:21:32</t>
  </si>
  <si>
    <t>100266/25</t>
  </si>
  <si>
    <t>100267/25</t>
  </si>
  <si>
    <t>100268/25</t>
  </si>
  <si>
    <t>100269/25</t>
  </si>
  <si>
    <t>100270/25</t>
  </si>
  <si>
    <t>00:11:57</t>
  </si>
  <si>
    <t>100271/25</t>
  </si>
  <si>
    <t>100272/25</t>
  </si>
  <si>
    <t>00:21:16</t>
  </si>
  <si>
    <t>100273/25</t>
  </si>
  <si>
    <t>VIRMT ANDAGAL</t>
  </si>
  <si>
    <t>N° 8184795</t>
  </si>
  <si>
    <t>BCN ° 240 TTSUD CARRIERE</t>
  </si>
  <si>
    <t>BCN ° 241 TTSUD CARRIERE</t>
  </si>
  <si>
    <t>N9862074</t>
  </si>
  <si>
    <t>N0060833</t>
  </si>
  <si>
    <t>N0060818</t>
  </si>
  <si>
    <t>N8539229</t>
  </si>
  <si>
    <t>N3100692</t>
  </si>
  <si>
    <t>N3100696</t>
  </si>
  <si>
    <t>N3100695</t>
  </si>
  <si>
    <t>N3100694</t>
  </si>
  <si>
    <t>N3100693</t>
  </si>
  <si>
    <t>VIRMT ENTREPRISE RIAD</t>
  </si>
  <si>
    <t>N0060783</t>
  </si>
  <si>
    <t>N0060782</t>
  </si>
  <si>
    <t>N8184891</t>
  </si>
  <si>
    <t>N8184892</t>
  </si>
  <si>
    <t>N8184893</t>
  </si>
  <si>
    <t>VIRMENT ANDAGAL</t>
  </si>
  <si>
    <t>VIRMENT AIT BEN IDDER</t>
  </si>
  <si>
    <t>N0060918</t>
  </si>
  <si>
    <t>VIRMENT NOUKATEL</t>
  </si>
  <si>
    <t>STE CIMENTS DE L'ATLAS SA</t>
  </si>
  <si>
    <t>STE NORD SUD DE TRANSPORT ET MATERIAUX DE CONSTRUCTION</t>
  </si>
  <si>
    <t>AIT BEN IDER BATIMENT (SA2B)</t>
  </si>
  <si>
    <t>COMP</t>
  </si>
  <si>
    <t>Remise En Espéce Cheq N0000327</t>
  </si>
  <si>
    <t>Avance</t>
  </si>
  <si>
    <t>CASH PLUS N 22080879118266</t>
  </si>
  <si>
    <t>Remise En Espéce Effet N31000592</t>
  </si>
  <si>
    <t>AVANCE</t>
  </si>
  <si>
    <t>Remise En Espéce Cheq N8373915</t>
  </si>
  <si>
    <t>N3100712</t>
  </si>
  <si>
    <t>N3100700</t>
  </si>
  <si>
    <t>N3100701</t>
  </si>
  <si>
    <t>CASH PLUS N951 630 204 951</t>
  </si>
  <si>
    <t>CASH PLUS N923 150 139 923</t>
  </si>
  <si>
    <t>Remise En Espéce CHEQ N0000001</t>
  </si>
  <si>
    <t>POINT BASCULE ESPECE</t>
  </si>
  <si>
    <t>COMPENSATION DU TRANSPORT 01-2025</t>
  </si>
  <si>
    <t>Oumkaltoum.baba@noukatel.com</t>
  </si>
  <si>
    <t>OUMKALTOUM BABA</t>
  </si>
  <si>
    <t>STE NOUKATEL SARL</t>
  </si>
  <si>
    <t>Résidence Idriss Ii, N 10 Bis, Appartement N 2, Bettana - Bettana (AR) SALE</t>
  </si>
  <si>
    <t>SOCIETE AMICALE DES TRAVAUX DE POINTE</t>
  </si>
  <si>
    <t>RENEWABLE ENERGYDESIGN</t>
  </si>
  <si>
    <t>RYMA BETTON</t>
  </si>
  <si>
    <t>ENTREPRISE HASNAOUI SARL</t>
  </si>
  <si>
    <t>STE MANSOURI SJH</t>
  </si>
  <si>
    <t>ENTRPRISE RIAD POUR LA CONSTRUCTION ET L'EQUIPEMENT</t>
  </si>
  <si>
    <t>AMENAGEMENT ET ROUTES MEDITERRANEENS</t>
  </si>
  <si>
    <t>STE ZEL TRANS SARL</t>
  </si>
  <si>
    <t>STE TRANS DOUBLE VOIE SARL AU</t>
  </si>
  <si>
    <t>STE SOFANORTRAV  SARL AU</t>
  </si>
  <si>
    <t>UNIVERS BAT SA</t>
  </si>
  <si>
    <t>STE A-TAMZ</t>
  </si>
  <si>
    <t>STE SITRAD</t>
  </si>
  <si>
    <t>GROUPEMENT ETUDES ET DE REALISATIONS DE BATIMENTS (GERAB)</t>
  </si>
  <si>
    <t>SOCIETE WLNJ TRAVAUX</t>
  </si>
  <si>
    <t>STE B.T.A CONSTRUCTION SARL AU</t>
  </si>
  <si>
    <t>AB PROJECTS AND EPC</t>
  </si>
  <si>
    <t>TRANS SERVICE BETON SARL AU</t>
  </si>
  <si>
    <t>STE ANNAWAT VARIE SARL</t>
  </si>
  <si>
    <t>STE TRANS MGN SARL</t>
  </si>
  <si>
    <t>NOVALIS CONSULTING</t>
  </si>
  <si>
    <t>ZAGORA LOGISTIC</t>
  </si>
  <si>
    <t>TRAVAUX GENERAUX DE CONSTRUCTIONS DE CASABLANCA  (TGCC)</t>
  </si>
  <si>
    <t>WASTE WATER SARL AU</t>
  </si>
  <si>
    <t>MAROC ORIENTAL DE GENIE CIVIL</t>
  </si>
  <si>
    <t>Type d'opération</t>
  </si>
  <si>
    <t>Modalité</t>
  </si>
  <si>
    <t>Valeur</t>
  </si>
  <si>
    <t>Date D'éachéance</t>
  </si>
  <si>
    <t>Etat</t>
  </si>
  <si>
    <t>Solde Débit</t>
  </si>
  <si>
    <t>Solde Crédit</t>
  </si>
  <si>
    <t>Rest à Payer</t>
  </si>
  <si>
    <t>Solde N-1</t>
  </si>
  <si>
    <t>IMPAYE</t>
  </si>
  <si>
    <t>EFFET IMPAYE N7689665</t>
  </si>
  <si>
    <t>REGLEMENT</t>
  </si>
  <si>
    <t>CREDIT</t>
  </si>
  <si>
    <t>AGOURA DE TRAVAUX GENERALES (SARL)</t>
  </si>
  <si>
    <t>DETROIT PLANCHER</t>
  </si>
  <si>
    <t>KHALIS TRANS SARL AU</t>
  </si>
  <si>
    <t>REMPLACEMENT REG</t>
  </si>
  <si>
    <t>CHEQ</t>
  </si>
  <si>
    <t>CHEQ N 8373915</t>
  </si>
  <si>
    <t>N8863261</t>
  </si>
  <si>
    <t>CHEQ N0000001</t>
  </si>
  <si>
    <t>CHEQ N1300096</t>
  </si>
  <si>
    <t>Remise En Espéce Effet N3100593</t>
  </si>
  <si>
    <t>IMPAYE N7689666</t>
  </si>
  <si>
    <t>IMAPYE N9724714</t>
  </si>
  <si>
    <t>VIRMENT CA TRANS</t>
  </si>
  <si>
    <t>Remise En Espéce Cheq N1300096</t>
  </si>
  <si>
    <t>FACTURE</t>
  </si>
  <si>
    <t>N 2025000004</t>
  </si>
  <si>
    <t>N 2025000005</t>
  </si>
  <si>
    <t>N 2025000006</t>
  </si>
  <si>
    <t>N 2025000007</t>
  </si>
  <si>
    <t>N 2025000008</t>
  </si>
  <si>
    <t>N 202500009</t>
  </si>
  <si>
    <t>N 2025000010</t>
  </si>
  <si>
    <t>N 2025000011</t>
  </si>
  <si>
    <t>N 2025000012</t>
  </si>
  <si>
    <t>N 2025000014</t>
  </si>
  <si>
    <t>SITUATION</t>
  </si>
  <si>
    <t>Situation HT</t>
  </si>
  <si>
    <t xml:space="preserve">AVANCE </t>
  </si>
  <si>
    <t>CHEQ N1682828</t>
  </si>
  <si>
    <t>N9862692</t>
  </si>
  <si>
    <t>N0000011</t>
  </si>
  <si>
    <t>N8539230</t>
  </si>
  <si>
    <t>N8539231</t>
  </si>
  <si>
    <t>ENCIASSEMENT DU CHEQ N0000011</t>
  </si>
  <si>
    <t>ENCIASSEMENT DU CHEQ N1682828</t>
  </si>
  <si>
    <t>AVANCE ESPECE</t>
  </si>
  <si>
    <t>N3100736</t>
  </si>
  <si>
    <t>N3100735</t>
  </si>
  <si>
    <t>N3100733</t>
  </si>
  <si>
    <t>N3100734</t>
  </si>
  <si>
    <t>N3100737</t>
  </si>
  <si>
    <t>N3100738</t>
  </si>
  <si>
    <t>N8863263</t>
  </si>
  <si>
    <t>CHEQ N</t>
  </si>
  <si>
    <t>Etat D'échéance</t>
  </si>
  <si>
    <t>N°Serie</t>
  </si>
  <si>
    <t>100274/25</t>
  </si>
  <si>
    <t>100275/25</t>
  </si>
  <si>
    <t>100276/25</t>
  </si>
  <si>
    <t>100277/25</t>
  </si>
  <si>
    <t>100278/25</t>
  </si>
  <si>
    <t>100279/25</t>
  </si>
  <si>
    <t>100280/25</t>
  </si>
  <si>
    <t>100281/25</t>
  </si>
  <si>
    <t>100282/25</t>
  </si>
  <si>
    <t>100283/25</t>
  </si>
  <si>
    <t>100284/25</t>
  </si>
  <si>
    <t>100285/25</t>
  </si>
  <si>
    <t>100286/25</t>
  </si>
  <si>
    <t>100287/25</t>
  </si>
  <si>
    <t>100288/25</t>
  </si>
  <si>
    <t>100289/25</t>
  </si>
  <si>
    <t>100290/25</t>
  </si>
  <si>
    <t>31173B40</t>
  </si>
  <si>
    <t>100291/25</t>
  </si>
  <si>
    <t>100292/25</t>
  </si>
  <si>
    <t>100293/25</t>
  </si>
  <si>
    <t>100294/25</t>
  </si>
  <si>
    <t>100295/25</t>
  </si>
  <si>
    <t>100296/25</t>
  </si>
  <si>
    <t>100297/25</t>
  </si>
  <si>
    <t>100298/25</t>
  </si>
  <si>
    <t>100299/25</t>
  </si>
  <si>
    <t>100300/25</t>
  </si>
  <si>
    <t>100301/25</t>
  </si>
  <si>
    <t>100302/25</t>
  </si>
  <si>
    <t>100303/25</t>
  </si>
  <si>
    <t>31958A40</t>
  </si>
  <si>
    <t>100304/25</t>
  </si>
  <si>
    <t>100305/25</t>
  </si>
  <si>
    <t>100306/25</t>
  </si>
  <si>
    <t>100307/25</t>
  </si>
  <si>
    <t>100308/25</t>
  </si>
  <si>
    <t>100309/25</t>
  </si>
  <si>
    <t>100310/25</t>
  </si>
  <si>
    <t>100311/25</t>
  </si>
  <si>
    <t>100312/25</t>
  </si>
  <si>
    <t>100313/25</t>
  </si>
  <si>
    <t>100314/25</t>
  </si>
  <si>
    <t>100315/25</t>
  </si>
  <si>
    <t>100316/25</t>
  </si>
  <si>
    <t>100317/25</t>
  </si>
  <si>
    <t>100318/25</t>
  </si>
  <si>
    <t>100319/25</t>
  </si>
  <si>
    <t>100320/25</t>
  </si>
  <si>
    <t>100321/25</t>
  </si>
  <si>
    <t>100322/25</t>
  </si>
  <si>
    <t>100323/25</t>
  </si>
  <si>
    <t>100324/25</t>
  </si>
  <si>
    <t>100325/25</t>
  </si>
  <si>
    <t>100326/25</t>
  </si>
  <si>
    <t>100327/25</t>
  </si>
  <si>
    <t>100328/25</t>
  </si>
  <si>
    <t>100329/25</t>
  </si>
  <si>
    <t>100330/25</t>
  </si>
  <si>
    <t>100331/25</t>
  </si>
  <si>
    <t>100332/25</t>
  </si>
  <si>
    <t>100333/25</t>
  </si>
  <si>
    <t>100334/25</t>
  </si>
  <si>
    <t>100335/25</t>
  </si>
  <si>
    <t>100336/25</t>
  </si>
  <si>
    <t>100337/25</t>
  </si>
  <si>
    <t>100338/25</t>
  </si>
  <si>
    <t>17436D40</t>
  </si>
  <si>
    <t>100339/25</t>
  </si>
  <si>
    <t>100340/25</t>
  </si>
  <si>
    <t>100341/25</t>
  </si>
  <si>
    <t>100342/25</t>
  </si>
  <si>
    <t>100343/25</t>
  </si>
  <si>
    <t>100344/25</t>
  </si>
  <si>
    <t>100345/25</t>
  </si>
  <si>
    <t>100346/25</t>
  </si>
  <si>
    <t>100347/25</t>
  </si>
  <si>
    <t>100348/25</t>
  </si>
  <si>
    <t>100349/25</t>
  </si>
  <si>
    <t>100350/25</t>
  </si>
  <si>
    <t>100351/25</t>
  </si>
  <si>
    <t>100352/25</t>
  </si>
  <si>
    <t>100353/25</t>
  </si>
  <si>
    <t>100354/25</t>
  </si>
  <si>
    <t>100355/25</t>
  </si>
  <si>
    <t>100356/25</t>
  </si>
  <si>
    <t>100357/25</t>
  </si>
  <si>
    <t>100358/25</t>
  </si>
  <si>
    <t>100359/25</t>
  </si>
  <si>
    <t>100360/25</t>
  </si>
  <si>
    <t>100361/25</t>
  </si>
  <si>
    <t>100362/25</t>
  </si>
  <si>
    <t>100363/25</t>
  </si>
  <si>
    <t>100364/25</t>
  </si>
  <si>
    <t>100365/25</t>
  </si>
  <si>
    <t>100366/25</t>
  </si>
  <si>
    <t>100367/25</t>
  </si>
  <si>
    <t>100368/25</t>
  </si>
  <si>
    <t>100369/25</t>
  </si>
  <si>
    <t>100370/25</t>
  </si>
  <si>
    <t>100371/25</t>
  </si>
  <si>
    <t>100372/25</t>
  </si>
  <si>
    <t>100373/25</t>
  </si>
  <si>
    <t>100374/25</t>
  </si>
  <si>
    <t>100375/25</t>
  </si>
  <si>
    <t>100376/25</t>
  </si>
  <si>
    <t>100377/25</t>
  </si>
  <si>
    <t>100378/25</t>
  </si>
  <si>
    <t>100379/25</t>
  </si>
  <si>
    <t>100380/25</t>
  </si>
  <si>
    <t>100381/25</t>
  </si>
  <si>
    <t>100382/25</t>
  </si>
  <si>
    <t>100383/25</t>
  </si>
  <si>
    <t>100384/25</t>
  </si>
  <si>
    <t>100385/25</t>
  </si>
  <si>
    <t>100386/25</t>
  </si>
  <si>
    <t>100387/25</t>
  </si>
  <si>
    <t>100388/25</t>
  </si>
  <si>
    <t>100389/25</t>
  </si>
  <si>
    <t>100390/25</t>
  </si>
  <si>
    <t>100391/25</t>
  </si>
  <si>
    <t>100392/25</t>
  </si>
  <si>
    <t>100393/25</t>
  </si>
  <si>
    <t>100394/25</t>
  </si>
  <si>
    <t>100395/25</t>
  </si>
  <si>
    <t>100396/25</t>
  </si>
  <si>
    <t>100397/25</t>
  </si>
  <si>
    <t>100398/25</t>
  </si>
  <si>
    <t>100399/25</t>
  </si>
  <si>
    <t>100400/25</t>
  </si>
  <si>
    <t>100401/25</t>
  </si>
  <si>
    <t>100402/25</t>
  </si>
  <si>
    <t>100403/25</t>
  </si>
  <si>
    <t>100404/25</t>
  </si>
  <si>
    <t>100405/25</t>
  </si>
  <si>
    <t>100406/25</t>
  </si>
  <si>
    <t>100407/25</t>
  </si>
  <si>
    <t>100408/25</t>
  </si>
  <si>
    <t>100409/25</t>
  </si>
  <si>
    <t>100410/25</t>
  </si>
  <si>
    <t>100411/25</t>
  </si>
  <si>
    <t>100412/25</t>
  </si>
  <si>
    <t>100413/25</t>
  </si>
  <si>
    <t>100414/25</t>
  </si>
  <si>
    <t>100415/25</t>
  </si>
  <si>
    <t>100416/25</t>
  </si>
  <si>
    <t>100417/25</t>
  </si>
  <si>
    <t>100418/25</t>
  </si>
  <si>
    <t>100419/25</t>
  </si>
  <si>
    <t>100420/25</t>
  </si>
  <si>
    <t>100421/25</t>
  </si>
  <si>
    <t>100422/25</t>
  </si>
  <si>
    <t>100423/25</t>
  </si>
  <si>
    <t>100424/25</t>
  </si>
  <si>
    <t>100425/25</t>
  </si>
  <si>
    <t>100426/25</t>
  </si>
  <si>
    <t>100427/25</t>
  </si>
  <si>
    <t>100428/25</t>
  </si>
  <si>
    <t>100429/25</t>
  </si>
  <si>
    <t>100430/25</t>
  </si>
  <si>
    <t>TV</t>
  </si>
  <si>
    <t>100431/25</t>
  </si>
  <si>
    <t>100432/25</t>
  </si>
  <si>
    <t>100433/25</t>
  </si>
  <si>
    <t>100434/25</t>
  </si>
  <si>
    <t>100435/25</t>
  </si>
  <si>
    <t>100436/25</t>
  </si>
  <si>
    <t>100437/25</t>
  </si>
  <si>
    <t>100438/25</t>
  </si>
  <si>
    <t>100439/25</t>
  </si>
  <si>
    <t>100440/25</t>
  </si>
  <si>
    <t>100441/25</t>
  </si>
  <si>
    <t>100442/25</t>
  </si>
  <si>
    <t>100443/25</t>
  </si>
  <si>
    <t>100444/25</t>
  </si>
  <si>
    <t>100445/25</t>
  </si>
  <si>
    <t>100446/25</t>
  </si>
  <si>
    <t>100447/25</t>
  </si>
  <si>
    <t>100448/25</t>
  </si>
  <si>
    <t>100449/25</t>
  </si>
  <si>
    <t>100450/25</t>
  </si>
  <si>
    <t>100451/25</t>
  </si>
  <si>
    <t>100452/25</t>
  </si>
  <si>
    <t>100453/25</t>
  </si>
  <si>
    <t>100454/25</t>
  </si>
  <si>
    <t>100455/25</t>
  </si>
  <si>
    <t>100456/25</t>
  </si>
  <si>
    <t>100457/25</t>
  </si>
  <si>
    <t>100458/25</t>
  </si>
  <si>
    <t>100459/25</t>
  </si>
  <si>
    <t>100460/25</t>
  </si>
  <si>
    <t>100461/25</t>
  </si>
  <si>
    <t>100462/25</t>
  </si>
  <si>
    <t>100463/25</t>
  </si>
  <si>
    <t>100464/25</t>
  </si>
  <si>
    <t>100465/25</t>
  </si>
  <si>
    <t>100466/25</t>
  </si>
  <si>
    <t>100467/25</t>
  </si>
  <si>
    <t>100468/25</t>
  </si>
  <si>
    <t>100469/25</t>
  </si>
  <si>
    <t>100470/25</t>
  </si>
  <si>
    <t>100471/25</t>
  </si>
  <si>
    <t>100472/25</t>
  </si>
  <si>
    <t>100473/25</t>
  </si>
  <si>
    <t>100474/25</t>
  </si>
  <si>
    <t>100475/25</t>
  </si>
  <si>
    <t>100476/25</t>
  </si>
  <si>
    <t>100477/25</t>
  </si>
  <si>
    <t>100478/25</t>
  </si>
  <si>
    <t>100479/25</t>
  </si>
  <si>
    <t>100480/25</t>
  </si>
  <si>
    <t>100481/25</t>
  </si>
  <si>
    <t>100482/25</t>
  </si>
  <si>
    <t>100483/25</t>
  </si>
  <si>
    <t>100484/25</t>
  </si>
  <si>
    <t>100485/25</t>
  </si>
  <si>
    <t>100486/25</t>
  </si>
  <si>
    <t>100487/25</t>
  </si>
  <si>
    <t>100488/25</t>
  </si>
  <si>
    <t>100489/25</t>
  </si>
  <si>
    <t>100490/25</t>
  </si>
  <si>
    <t>100491/25</t>
  </si>
  <si>
    <t>100492/25</t>
  </si>
  <si>
    <t>100493/25</t>
  </si>
  <si>
    <t>100494/25</t>
  </si>
  <si>
    <t>100495/25</t>
  </si>
  <si>
    <t>100496/25</t>
  </si>
  <si>
    <t>100497/25</t>
  </si>
  <si>
    <t>100498/25</t>
  </si>
  <si>
    <t>100499/25</t>
  </si>
  <si>
    <t>100500/25</t>
  </si>
  <si>
    <t>100501/25</t>
  </si>
  <si>
    <t>100502/25</t>
  </si>
  <si>
    <t>100503/25</t>
  </si>
  <si>
    <t>80272B40</t>
  </si>
  <si>
    <t>100504/25</t>
  </si>
  <si>
    <t>20910D40</t>
  </si>
  <si>
    <t>100505/25</t>
  </si>
  <si>
    <t>100506/25</t>
  </si>
  <si>
    <t>100507/25</t>
  </si>
  <si>
    <t>100508/25</t>
  </si>
  <si>
    <t>100509/25</t>
  </si>
  <si>
    <t>100510/25</t>
  </si>
  <si>
    <t>100511/25</t>
  </si>
  <si>
    <t>100512/25</t>
  </si>
  <si>
    <t>100513/25</t>
  </si>
  <si>
    <t>100514/25</t>
  </si>
  <si>
    <t>100515/25</t>
  </si>
  <si>
    <t>153A75</t>
  </si>
  <si>
    <t>100516/25</t>
  </si>
  <si>
    <t>100517/25</t>
  </si>
  <si>
    <t>100518/25</t>
  </si>
  <si>
    <t>100519/25</t>
  </si>
  <si>
    <t>100520/25</t>
  </si>
  <si>
    <t>100521/25</t>
  </si>
  <si>
    <t>100522/25</t>
  </si>
  <si>
    <t>100523/25</t>
  </si>
  <si>
    <t>100524/25</t>
  </si>
  <si>
    <t>100525/25</t>
  </si>
  <si>
    <t>100526/25</t>
  </si>
  <si>
    <t>100527/25</t>
  </si>
  <si>
    <t>100528/25</t>
  </si>
  <si>
    <t>100529/25</t>
  </si>
  <si>
    <t>100530/25</t>
  </si>
  <si>
    <t>100531/25</t>
  </si>
  <si>
    <t>100532/25</t>
  </si>
  <si>
    <t>100533/25</t>
  </si>
  <si>
    <t>100534/25</t>
  </si>
  <si>
    <t>100535/25</t>
  </si>
  <si>
    <t>100536/25</t>
  </si>
  <si>
    <t>100537/25</t>
  </si>
  <si>
    <t>100538/25</t>
  </si>
  <si>
    <t>100539/25</t>
  </si>
  <si>
    <t>100540/25</t>
  </si>
  <si>
    <t>100541/25</t>
  </si>
  <si>
    <t>100542/25</t>
  </si>
  <si>
    <t>100543/25</t>
  </si>
  <si>
    <t>100544/25</t>
  </si>
  <si>
    <t>100545/25</t>
  </si>
  <si>
    <t>100546/25</t>
  </si>
  <si>
    <t>100547/25</t>
  </si>
  <si>
    <t>100548/25</t>
  </si>
  <si>
    <t>100549/25</t>
  </si>
  <si>
    <t>13487A4</t>
  </si>
  <si>
    <t>100550/25</t>
  </si>
  <si>
    <t>100551/25</t>
  </si>
  <si>
    <t>100552/25</t>
  </si>
  <si>
    <t>100553/25</t>
  </si>
  <si>
    <t>100554/25</t>
  </si>
  <si>
    <t>87009B40</t>
  </si>
  <si>
    <t>100555/25</t>
  </si>
  <si>
    <t>100556/25</t>
  </si>
  <si>
    <t>100557/25</t>
  </si>
  <si>
    <t>100558/25</t>
  </si>
  <si>
    <t>100559/25</t>
  </si>
  <si>
    <t>100561/25</t>
  </si>
  <si>
    <t>100562/25</t>
  </si>
  <si>
    <t>100563/25</t>
  </si>
  <si>
    <t>100564/25</t>
  </si>
  <si>
    <t>100565/25</t>
  </si>
  <si>
    <t>100566/25</t>
  </si>
  <si>
    <t>100567/25</t>
  </si>
  <si>
    <t>100568/25</t>
  </si>
  <si>
    <t>100570/25</t>
  </si>
  <si>
    <t>100571/25</t>
  </si>
  <si>
    <t>100572/25</t>
  </si>
  <si>
    <t>100573/25</t>
  </si>
  <si>
    <t>100574/25</t>
  </si>
  <si>
    <t>100575/25</t>
  </si>
  <si>
    <t>100576/25</t>
  </si>
  <si>
    <t>100577/25</t>
  </si>
  <si>
    <t>100578/25</t>
  </si>
  <si>
    <t>100579/25</t>
  </si>
  <si>
    <t>100580/25</t>
  </si>
  <si>
    <t>100582/25</t>
  </si>
  <si>
    <t>100583/25</t>
  </si>
  <si>
    <t>100584/25</t>
  </si>
  <si>
    <t>100585/25</t>
  </si>
  <si>
    <t>100586/25</t>
  </si>
  <si>
    <t>100587/25</t>
  </si>
  <si>
    <t>100588/25</t>
  </si>
  <si>
    <t>100589/25</t>
  </si>
  <si>
    <t>100590/25</t>
  </si>
  <si>
    <t>100591/25</t>
  </si>
  <si>
    <t>100592/25</t>
  </si>
  <si>
    <t>100593/25</t>
  </si>
  <si>
    <t>100594/25</t>
  </si>
  <si>
    <t>100595/25</t>
  </si>
  <si>
    <t>100596/25</t>
  </si>
  <si>
    <t>100597/25</t>
  </si>
  <si>
    <t>100598/25</t>
  </si>
  <si>
    <t>100599/25</t>
  </si>
  <si>
    <t>100600/25</t>
  </si>
  <si>
    <t>100601/25</t>
  </si>
  <si>
    <t>100602/25</t>
  </si>
  <si>
    <t>100603/25</t>
  </si>
  <si>
    <t>100604/25</t>
  </si>
  <si>
    <t>100605/25</t>
  </si>
  <si>
    <t>100606/25</t>
  </si>
  <si>
    <t>100607/25</t>
  </si>
  <si>
    <t>100608/25</t>
  </si>
  <si>
    <t>100609/25</t>
  </si>
  <si>
    <t>100610/25</t>
  </si>
  <si>
    <t>100611/25</t>
  </si>
  <si>
    <t>100612/25</t>
  </si>
  <si>
    <t>100613/25</t>
  </si>
  <si>
    <t>100614/25</t>
  </si>
  <si>
    <t>100615/25</t>
  </si>
  <si>
    <t>100616/25</t>
  </si>
  <si>
    <t>100617/25</t>
  </si>
  <si>
    <t>31172B40</t>
  </si>
  <si>
    <t>100618/25</t>
  </si>
  <si>
    <t>100619/25</t>
  </si>
  <si>
    <t>100620/25</t>
  </si>
  <si>
    <t>100621/25</t>
  </si>
  <si>
    <t>100622/25</t>
  </si>
  <si>
    <t>100623/25</t>
  </si>
  <si>
    <t>100624/25</t>
  </si>
  <si>
    <t>100625/25</t>
  </si>
  <si>
    <t>100626/25</t>
  </si>
  <si>
    <t>100627/25</t>
  </si>
  <si>
    <t>100628/25</t>
  </si>
  <si>
    <t>100629/25</t>
  </si>
  <si>
    <t>100630/25</t>
  </si>
  <si>
    <t>100631/25</t>
  </si>
  <si>
    <t>100632/25</t>
  </si>
  <si>
    <t>100633/25</t>
  </si>
  <si>
    <t>100634/25</t>
  </si>
  <si>
    <t>100635/25</t>
  </si>
  <si>
    <t>100636/25</t>
  </si>
  <si>
    <t>100637/25</t>
  </si>
  <si>
    <t>100638/25</t>
  </si>
  <si>
    <t>100639/25</t>
  </si>
  <si>
    <t>100640/25</t>
  </si>
  <si>
    <t>100641/25</t>
  </si>
  <si>
    <t>100642/25</t>
  </si>
  <si>
    <t>100643/25</t>
  </si>
  <si>
    <t>100645/25</t>
  </si>
  <si>
    <t>100646/25</t>
  </si>
  <si>
    <t>100647/25</t>
  </si>
  <si>
    <t>100648/25</t>
  </si>
  <si>
    <t>100649/25</t>
  </si>
  <si>
    <t>100650/25</t>
  </si>
  <si>
    <t>100651/25</t>
  </si>
  <si>
    <t>100652/25</t>
  </si>
  <si>
    <t>100653/25</t>
  </si>
  <si>
    <t>100654/25</t>
  </si>
  <si>
    <t>100655/25</t>
  </si>
  <si>
    <t>100656/25</t>
  </si>
  <si>
    <t>100657/25</t>
  </si>
  <si>
    <t>100658/25</t>
  </si>
  <si>
    <t>100659/25</t>
  </si>
  <si>
    <t>100660/25</t>
  </si>
  <si>
    <t>100661/25</t>
  </si>
  <si>
    <t>100662/25</t>
  </si>
  <si>
    <t>100663/25</t>
  </si>
  <si>
    <t>100665/25</t>
  </si>
  <si>
    <t>100666/25</t>
  </si>
  <si>
    <t>100667/25</t>
  </si>
  <si>
    <t>100668/25</t>
  </si>
  <si>
    <t>100669/25</t>
  </si>
  <si>
    <t>100670/25</t>
  </si>
  <si>
    <t>100671/25</t>
  </si>
  <si>
    <t>100672/25</t>
  </si>
  <si>
    <t>100673/25</t>
  </si>
  <si>
    <t>100674/25</t>
  </si>
  <si>
    <t>100675/25</t>
  </si>
  <si>
    <t>100676/25</t>
  </si>
  <si>
    <t>100677/25</t>
  </si>
  <si>
    <t>100678/25</t>
  </si>
  <si>
    <t>100679/25</t>
  </si>
  <si>
    <t>100680/25</t>
  </si>
  <si>
    <t>100681/25</t>
  </si>
  <si>
    <t>100682/25</t>
  </si>
  <si>
    <t>100683/25</t>
  </si>
  <si>
    <t>100684/25</t>
  </si>
  <si>
    <t>100685/25</t>
  </si>
  <si>
    <t>100686/25</t>
  </si>
  <si>
    <t>100687/25</t>
  </si>
  <si>
    <t>100688/25</t>
  </si>
  <si>
    <t>100689/25</t>
  </si>
  <si>
    <t>100690/25</t>
  </si>
  <si>
    <t>100691/25</t>
  </si>
  <si>
    <t>100692/25</t>
  </si>
  <si>
    <t>100693/25</t>
  </si>
  <si>
    <t>100694/25</t>
  </si>
  <si>
    <t>100695/25</t>
  </si>
  <si>
    <t>100696/25</t>
  </si>
  <si>
    <t>100697/25</t>
  </si>
  <si>
    <t>100698/25</t>
  </si>
  <si>
    <t>100699/25</t>
  </si>
  <si>
    <t>100700/25</t>
  </si>
  <si>
    <t>100701/25</t>
  </si>
  <si>
    <t>100702/25</t>
  </si>
  <si>
    <t>100703/25</t>
  </si>
  <si>
    <t>100704/25</t>
  </si>
  <si>
    <t>100705/25</t>
  </si>
  <si>
    <t>100706/25</t>
  </si>
  <si>
    <t>100707/25</t>
  </si>
  <si>
    <t>100708/25</t>
  </si>
  <si>
    <t>100709/25</t>
  </si>
  <si>
    <t>100710/25</t>
  </si>
  <si>
    <t>100711/25</t>
  </si>
  <si>
    <t>100712/25</t>
  </si>
  <si>
    <t>100713/25</t>
  </si>
  <si>
    <t>100714/25</t>
  </si>
  <si>
    <t>100715/25</t>
  </si>
  <si>
    <t>100716/25</t>
  </si>
  <si>
    <t>100717/25</t>
  </si>
  <si>
    <t>100718/25</t>
  </si>
  <si>
    <t>100719/25</t>
  </si>
  <si>
    <t>100720/25</t>
  </si>
  <si>
    <t>100721/25</t>
  </si>
  <si>
    <t>100722/25</t>
  </si>
  <si>
    <t>100723/25</t>
  </si>
  <si>
    <t>100724/25</t>
  </si>
  <si>
    <t>100725/25</t>
  </si>
  <si>
    <t>100726/25</t>
  </si>
  <si>
    <t>100727/25</t>
  </si>
  <si>
    <t>100728/25</t>
  </si>
  <si>
    <t>100729/25</t>
  </si>
  <si>
    <t>100730/25</t>
  </si>
  <si>
    <t>100731/25</t>
  </si>
  <si>
    <t>100732/25</t>
  </si>
  <si>
    <t>100733/25</t>
  </si>
  <si>
    <t>100734/25</t>
  </si>
  <si>
    <t>100735/25</t>
  </si>
  <si>
    <t>100736/25</t>
  </si>
  <si>
    <t>100737/25</t>
  </si>
  <si>
    <t>100738/25</t>
  </si>
  <si>
    <t>100739/25</t>
  </si>
  <si>
    <t>100740/25</t>
  </si>
  <si>
    <t>100741/25</t>
  </si>
  <si>
    <t>100742/25</t>
  </si>
  <si>
    <t>100743/25</t>
  </si>
  <si>
    <t>100744/25</t>
  </si>
  <si>
    <t>100745/25</t>
  </si>
  <si>
    <t>100746/25</t>
  </si>
  <si>
    <t>100747/25</t>
  </si>
  <si>
    <t>100748/25</t>
  </si>
  <si>
    <t>100749/25</t>
  </si>
  <si>
    <t>100750/25</t>
  </si>
  <si>
    <t>100751/25</t>
  </si>
  <si>
    <t>100752/25</t>
  </si>
  <si>
    <t>100753/25</t>
  </si>
  <si>
    <t>100754/25</t>
  </si>
  <si>
    <t>100755/25</t>
  </si>
  <si>
    <t>100756/25</t>
  </si>
  <si>
    <t>100757/25</t>
  </si>
  <si>
    <t>100758/25</t>
  </si>
  <si>
    <t>100759/25</t>
  </si>
  <si>
    <t>100760/25</t>
  </si>
  <si>
    <t>100761/25</t>
  </si>
  <si>
    <t>100762/25</t>
  </si>
  <si>
    <t>100763/25</t>
  </si>
  <si>
    <t>100764/25</t>
  </si>
  <si>
    <t>100765/25</t>
  </si>
  <si>
    <t>100766/25</t>
  </si>
  <si>
    <t>100767/25</t>
  </si>
  <si>
    <t>100768/25</t>
  </si>
  <si>
    <t>100769/25</t>
  </si>
  <si>
    <t>100770/25</t>
  </si>
  <si>
    <t>100771/25</t>
  </si>
  <si>
    <t>100772/25</t>
  </si>
  <si>
    <t>33952D40</t>
  </si>
  <si>
    <t>100773/25</t>
  </si>
  <si>
    <t>100774/25</t>
  </si>
  <si>
    <t>100775/25</t>
  </si>
  <si>
    <t>100776/25</t>
  </si>
  <si>
    <t>100777/25</t>
  </si>
  <si>
    <t>100778/25</t>
  </si>
  <si>
    <t>100779/25</t>
  </si>
  <si>
    <t>100780/25</t>
  </si>
  <si>
    <t>100781/25</t>
  </si>
  <si>
    <t>100782/25</t>
  </si>
  <si>
    <t>100783/25</t>
  </si>
  <si>
    <t>100784/25</t>
  </si>
  <si>
    <t>100785/25</t>
  </si>
  <si>
    <t>100786/25</t>
  </si>
  <si>
    <t>100787/25</t>
  </si>
  <si>
    <t>100788/25</t>
  </si>
  <si>
    <t>100789/25</t>
  </si>
  <si>
    <t>100790/25</t>
  </si>
  <si>
    <t>100791/25</t>
  </si>
  <si>
    <t>100792/25</t>
  </si>
  <si>
    <t>100793/25</t>
  </si>
  <si>
    <t>100794/25</t>
  </si>
  <si>
    <t>100795/25</t>
  </si>
  <si>
    <t>100796/25</t>
  </si>
  <si>
    <t>100797/25</t>
  </si>
  <si>
    <t>100798/25</t>
  </si>
  <si>
    <t>100799/25</t>
  </si>
  <si>
    <t>100800/25</t>
  </si>
  <si>
    <t>100801/25</t>
  </si>
  <si>
    <t>100802/25</t>
  </si>
  <si>
    <t>100803/25</t>
  </si>
  <si>
    <t>100804/25</t>
  </si>
  <si>
    <t>100805/25</t>
  </si>
  <si>
    <t>100806/25</t>
  </si>
  <si>
    <t>100807/25</t>
  </si>
  <si>
    <t>100808/25</t>
  </si>
  <si>
    <t>100809/25</t>
  </si>
  <si>
    <t>100810/25</t>
  </si>
  <si>
    <t>100811/25</t>
  </si>
  <si>
    <t>100812/25</t>
  </si>
  <si>
    <t>100813/25</t>
  </si>
  <si>
    <t>100814/25</t>
  </si>
  <si>
    <t>100815/25</t>
  </si>
  <si>
    <t>100816/25</t>
  </si>
  <si>
    <t>100817/25</t>
  </si>
  <si>
    <t>100818/25</t>
  </si>
  <si>
    <t>100819/25</t>
  </si>
  <si>
    <t>100820/25</t>
  </si>
  <si>
    <t>100821/25</t>
  </si>
  <si>
    <t>100822/25</t>
  </si>
  <si>
    <t>100823/25</t>
  </si>
  <si>
    <t>100824/25</t>
  </si>
  <si>
    <t>100825/25</t>
  </si>
  <si>
    <t>100826/25</t>
  </si>
  <si>
    <t>100827/25</t>
  </si>
  <si>
    <t>100828/25</t>
  </si>
  <si>
    <t>100829/25</t>
  </si>
  <si>
    <t>100830/25</t>
  </si>
  <si>
    <t>100831/25</t>
  </si>
  <si>
    <t>100832/25</t>
  </si>
  <si>
    <t>100833/25</t>
  </si>
  <si>
    <t>100834/25</t>
  </si>
  <si>
    <t>100835/25</t>
  </si>
  <si>
    <t>100836/25</t>
  </si>
  <si>
    <t>100837/25</t>
  </si>
  <si>
    <t>100838/25</t>
  </si>
  <si>
    <t>100839/25</t>
  </si>
  <si>
    <t>100840/25</t>
  </si>
  <si>
    <t>100841/25</t>
  </si>
  <si>
    <t>100842/25</t>
  </si>
  <si>
    <t>33958D40</t>
  </si>
  <si>
    <t>100843/25</t>
  </si>
  <si>
    <t>100844/25</t>
  </si>
  <si>
    <t>100845/25</t>
  </si>
  <si>
    <t>100846/25</t>
  </si>
  <si>
    <t>100847/25</t>
  </si>
  <si>
    <t>100848/25</t>
  </si>
  <si>
    <t>100849/25</t>
  </si>
  <si>
    <t>100850/25</t>
  </si>
  <si>
    <t>100851/25</t>
  </si>
  <si>
    <t>100852/25</t>
  </si>
  <si>
    <t>100853/25</t>
  </si>
  <si>
    <t>100854/25</t>
  </si>
  <si>
    <t>100855/25</t>
  </si>
  <si>
    <t>100856/25</t>
  </si>
  <si>
    <t>100857/25</t>
  </si>
  <si>
    <t>100858/25</t>
  </si>
  <si>
    <t>100859/25</t>
  </si>
  <si>
    <t>100860/25</t>
  </si>
  <si>
    <t>33957D40</t>
  </si>
  <si>
    <t>100861/25</t>
  </si>
  <si>
    <t>100862/25</t>
  </si>
  <si>
    <t>100863/25</t>
  </si>
  <si>
    <t>100864/25</t>
  </si>
  <si>
    <t>100865/25</t>
  </si>
  <si>
    <t>100866/25</t>
  </si>
  <si>
    <t>100867/25</t>
  </si>
  <si>
    <t>100868/25</t>
  </si>
  <si>
    <t>100869/25</t>
  </si>
  <si>
    <t>100870/25</t>
  </si>
  <si>
    <t>100871/25</t>
  </si>
  <si>
    <t>100872/25</t>
  </si>
  <si>
    <t>100873/25</t>
  </si>
  <si>
    <t>100874/25</t>
  </si>
  <si>
    <t>100875/25</t>
  </si>
  <si>
    <t>100876/25</t>
  </si>
  <si>
    <t>100877/25</t>
  </si>
  <si>
    <t>100878/25</t>
  </si>
  <si>
    <t>100879/25</t>
  </si>
  <si>
    <t>100880/25</t>
  </si>
  <si>
    <t>100881/25</t>
  </si>
  <si>
    <t>100882/25</t>
  </si>
  <si>
    <t>100883/25</t>
  </si>
  <si>
    <t>100884/25</t>
  </si>
  <si>
    <t>100885/25</t>
  </si>
  <si>
    <t>100886/25</t>
  </si>
  <si>
    <t>100887/25</t>
  </si>
  <si>
    <t>100888/25</t>
  </si>
  <si>
    <t>100889/25</t>
  </si>
  <si>
    <t>100890/25</t>
  </si>
  <si>
    <t>100891/25</t>
  </si>
  <si>
    <t>100892/25</t>
  </si>
  <si>
    <t>100893/25</t>
  </si>
  <si>
    <t>100894/25</t>
  </si>
  <si>
    <t>100895/25</t>
  </si>
  <si>
    <t>100896/25</t>
  </si>
  <si>
    <t>100897/25</t>
  </si>
  <si>
    <t>100898/25</t>
  </si>
  <si>
    <t>100899/25</t>
  </si>
  <si>
    <t>100900/25</t>
  </si>
  <si>
    <t>100901/25</t>
  </si>
  <si>
    <t>100902/25</t>
  </si>
  <si>
    <t>100903/24</t>
  </si>
  <si>
    <t>100904/25</t>
  </si>
  <si>
    <t>100905/25</t>
  </si>
  <si>
    <t>100906/25</t>
  </si>
  <si>
    <t>100907/25</t>
  </si>
  <si>
    <t>100908/25</t>
  </si>
  <si>
    <t>100909/25</t>
  </si>
  <si>
    <t>100910/25</t>
  </si>
  <si>
    <t>19620A42</t>
  </si>
  <si>
    <t>100911/25</t>
  </si>
  <si>
    <t>100912/25</t>
  </si>
  <si>
    <t>100913/25</t>
  </si>
  <si>
    <t>100914/25</t>
  </si>
  <si>
    <t>100915/25</t>
  </si>
  <si>
    <t>100916/25</t>
  </si>
  <si>
    <t>100917/25</t>
  </si>
  <si>
    <t>100918/25</t>
  </si>
  <si>
    <t>100919/25</t>
  </si>
  <si>
    <t>100920/25</t>
  </si>
  <si>
    <t>100921/25</t>
  </si>
  <si>
    <t>100922/25</t>
  </si>
  <si>
    <t>100923/25</t>
  </si>
  <si>
    <t>100924/25</t>
  </si>
  <si>
    <t>100925/25</t>
  </si>
  <si>
    <t>100926/25</t>
  </si>
  <si>
    <t>100927/25</t>
  </si>
  <si>
    <t>100928/25</t>
  </si>
  <si>
    <t>100929/25</t>
  </si>
  <si>
    <t>100930/25</t>
  </si>
  <si>
    <t>20185D40</t>
  </si>
  <si>
    <t>100931/25</t>
  </si>
  <si>
    <t>100932/25</t>
  </si>
  <si>
    <t>100933/25</t>
  </si>
  <si>
    <t>100934/25</t>
  </si>
  <si>
    <t>100935/25</t>
  </si>
  <si>
    <t>100936/25</t>
  </si>
  <si>
    <t>100937/25</t>
  </si>
  <si>
    <t>100938/25</t>
  </si>
  <si>
    <t>100940/25</t>
  </si>
  <si>
    <t>100941/25</t>
  </si>
  <si>
    <t>100942/25</t>
  </si>
  <si>
    <t>100943/25</t>
  </si>
  <si>
    <t>100944/25</t>
  </si>
  <si>
    <t>100945/25</t>
  </si>
  <si>
    <t>34606A13</t>
  </si>
  <si>
    <t>100946/25</t>
  </si>
  <si>
    <t>100947/25</t>
  </si>
  <si>
    <t>100948/25</t>
  </si>
  <si>
    <t>100950/25</t>
  </si>
  <si>
    <t>100951/25</t>
  </si>
  <si>
    <t>100952/25</t>
  </si>
  <si>
    <t>100953/25</t>
  </si>
  <si>
    <t>100954/25</t>
  </si>
  <si>
    <t>100955/25</t>
  </si>
  <si>
    <t>66121d6</t>
  </si>
  <si>
    <t>100956/25</t>
  </si>
  <si>
    <t>100957/25</t>
  </si>
  <si>
    <t>100958/25</t>
  </si>
  <si>
    <t>100959/25</t>
  </si>
  <si>
    <t>100960/25</t>
  </si>
  <si>
    <t>100961/25</t>
  </si>
  <si>
    <t>100962/25</t>
  </si>
  <si>
    <t>100963/25</t>
  </si>
  <si>
    <t>100964/25</t>
  </si>
  <si>
    <t>100965/25</t>
  </si>
  <si>
    <t>100966/25</t>
  </si>
  <si>
    <t>100967/25</t>
  </si>
  <si>
    <t>100968/25</t>
  </si>
  <si>
    <t>100969/25</t>
  </si>
  <si>
    <t>100970/25</t>
  </si>
  <si>
    <t>100971/25</t>
  </si>
  <si>
    <t>100972/25</t>
  </si>
  <si>
    <t>100973/25</t>
  </si>
  <si>
    <t>100974/25</t>
  </si>
  <si>
    <t>100975/25</t>
  </si>
  <si>
    <t>88743a40</t>
  </si>
  <si>
    <t>100976/25</t>
  </si>
  <si>
    <t>87785b40</t>
  </si>
  <si>
    <t>100977/25</t>
  </si>
  <si>
    <t>62867b40</t>
  </si>
  <si>
    <t>100978/25</t>
  </si>
  <si>
    <t>100979/25</t>
  </si>
  <si>
    <t>100980/25</t>
  </si>
  <si>
    <t>100981/25</t>
  </si>
  <si>
    <t>100982/25</t>
  </si>
  <si>
    <t>00:12:23</t>
  </si>
  <si>
    <t>100983/25</t>
  </si>
  <si>
    <t>100984/25</t>
  </si>
  <si>
    <t>00:17:25</t>
  </si>
  <si>
    <t>100985/25</t>
  </si>
  <si>
    <t>100986/25</t>
  </si>
  <si>
    <t>00:33:55</t>
  </si>
  <si>
    <t>100987/25</t>
  </si>
  <si>
    <t>00:41:16</t>
  </si>
  <si>
    <t>100988/25</t>
  </si>
  <si>
    <t>01:26:23</t>
  </si>
  <si>
    <t>100989/25</t>
  </si>
  <si>
    <t>01:09:13</t>
  </si>
  <si>
    <t>100990/25</t>
  </si>
  <si>
    <t>100991/25</t>
  </si>
  <si>
    <t>100992/25</t>
  </si>
  <si>
    <t>100993/25</t>
  </si>
  <si>
    <t>02:57:24</t>
  </si>
  <si>
    <t>100994/25</t>
  </si>
  <si>
    <t>02:02:20</t>
  </si>
  <si>
    <t>100995/25</t>
  </si>
  <si>
    <t>03:11:26</t>
  </si>
  <si>
    <t>100996/25</t>
  </si>
  <si>
    <t>00:29:02</t>
  </si>
  <si>
    <t>100997/25</t>
  </si>
  <si>
    <t>00:20:08</t>
  </si>
  <si>
    <t>100998/25</t>
  </si>
  <si>
    <t>00:54:32</t>
  </si>
  <si>
    <t>100999/25</t>
  </si>
  <si>
    <t>01:20:14</t>
  </si>
  <si>
    <t>101000/25</t>
  </si>
  <si>
    <t>00:16:54</t>
  </si>
  <si>
    <t>101001/25</t>
  </si>
  <si>
    <t>101002/25</t>
  </si>
  <si>
    <t>01:21:20</t>
  </si>
  <si>
    <t>101003/25</t>
  </si>
  <si>
    <t>101004/25</t>
  </si>
  <si>
    <t>00:06:46</t>
  </si>
  <si>
    <t>101005/25</t>
  </si>
  <si>
    <t>04:53:45</t>
  </si>
  <si>
    <t>101006/25</t>
  </si>
  <si>
    <t>04:04:50</t>
  </si>
  <si>
    <t>101007/25</t>
  </si>
  <si>
    <t>101008/25</t>
  </si>
  <si>
    <t>101009/25</t>
  </si>
  <si>
    <t>101010/25</t>
  </si>
  <si>
    <t>05:30:08</t>
  </si>
  <si>
    <t>101011/25</t>
  </si>
  <si>
    <t>101012/25</t>
  </si>
  <si>
    <t>00:50:36</t>
  </si>
  <si>
    <t>101013/25</t>
  </si>
  <si>
    <t>06:10:07</t>
  </si>
  <si>
    <t>101014/25</t>
  </si>
  <si>
    <t>101015/25</t>
  </si>
  <si>
    <t>101016/25</t>
  </si>
  <si>
    <t>06:38:09</t>
  </si>
  <si>
    <t>101017/25</t>
  </si>
  <si>
    <t>101018/25</t>
  </si>
  <si>
    <t>00:19:57</t>
  </si>
  <si>
    <t>101019/25</t>
  </si>
  <si>
    <t>00:12:21</t>
  </si>
  <si>
    <t>101020/25</t>
  </si>
  <si>
    <t>101021/25</t>
  </si>
  <si>
    <t>07:03:12</t>
  </si>
  <si>
    <t>101022/25</t>
  </si>
  <si>
    <t>101023/25</t>
  </si>
  <si>
    <t>07:12:34</t>
  </si>
  <si>
    <t>101024/25</t>
  </si>
  <si>
    <t>06:51:18</t>
  </si>
  <si>
    <t>101025/25</t>
  </si>
  <si>
    <t>00:41:46</t>
  </si>
  <si>
    <t>101026/25</t>
  </si>
  <si>
    <t>101027/25</t>
  </si>
  <si>
    <t>07:18:15</t>
  </si>
  <si>
    <t>101028/25</t>
  </si>
  <si>
    <t>06:40:57</t>
  </si>
  <si>
    <t>101029/25</t>
  </si>
  <si>
    <t>101030/25</t>
  </si>
  <si>
    <t>101031/25</t>
  </si>
  <si>
    <t>05:15:10</t>
  </si>
  <si>
    <t>101032/25</t>
  </si>
  <si>
    <t>08:18:42</t>
  </si>
  <si>
    <t>101033/25</t>
  </si>
  <si>
    <t>04:14:07</t>
  </si>
  <si>
    <t>101034/25</t>
  </si>
  <si>
    <t>02:38:01</t>
  </si>
  <si>
    <t>101035/25</t>
  </si>
  <si>
    <t>01:34:16</t>
  </si>
  <si>
    <t>101036/25</t>
  </si>
  <si>
    <t>00:12:49</t>
  </si>
  <si>
    <t>101037/25</t>
  </si>
  <si>
    <t>00:10:33</t>
  </si>
  <si>
    <t>101038/25</t>
  </si>
  <si>
    <t>04:16:33</t>
  </si>
  <si>
    <t>101039/25</t>
  </si>
  <si>
    <t>00:10:50</t>
  </si>
  <si>
    <t>101040/25</t>
  </si>
  <si>
    <t>02:55:07</t>
  </si>
  <si>
    <t>101041/25</t>
  </si>
  <si>
    <t>24085A7</t>
  </si>
  <si>
    <t>00:09:01</t>
  </si>
  <si>
    <t>101042/25</t>
  </si>
  <si>
    <t>00:08:15</t>
  </si>
  <si>
    <t>101043/25</t>
  </si>
  <si>
    <t>00:15:49</t>
  </si>
  <si>
    <t>101044/25</t>
  </si>
  <si>
    <t>03:21:13</t>
  </si>
  <si>
    <t>101045/25</t>
  </si>
  <si>
    <t>01:53:04</t>
  </si>
  <si>
    <t>101046/25</t>
  </si>
  <si>
    <t>101047/25</t>
  </si>
  <si>
    <t>00:10:46</t>
  </si>
  <si>
    <t>101048/25</t>
  </si>
  <si>
    <t>00:12:48</t>
  </si>
  <si>
    <t>101049/25</t>
  </si>
  <si>
    <t>01:18:34</t>
  </si>
  <si>
    <t>101050/25</t>
  </si>
  <si>
    <t>101051/25</t>
  </si>
  <si>
    <t>101052/25</t>
  </si>
  <si>
    <t>97970b40</t>
  </si>
  <si>
    <t>01:05:10</t>
  </si>
  <si>
    <t>101053/25</t>
  </si>
  <si>
    <t>101054/25</t>
  </si>
  <si>
    <t>24015a42</t>
  </si>
  <si>
    <t>101055/25</t>
  </si>
  <si>
    <t>101056/25</t>
  </si>
  <si>
    <t>00:22:49</t>
  </si>
  <si>
    <t>101057/25</t>
  </si>
  <si>
    <t>00:25:30</t>
  </si>
  <si>
    <t>101058/25</t>
  </si>
  <si>
    <t>00:26:32</t>
  </si>
  <si>
    <t>101059/25</t>
  </si>
  <si>
    <t>101060/25</t>
  </si>
  <si>
    <t>00:33:26</t>
  </si>
  <si>
    <t>101061/25</t>
  </si>
  <si>
    <t>00:34:03</t>
  </si>
  <si>
    <t>101062/25</t>
  </si>
  <si>
    <t>101063/25</t>
  </si>
  <si>
    <t>00:43:12</t>
  </si>
  <si>
    <t>101064/25</t>
  </si>
  <si>
    <t>00:13:56</t>
  </si>
  <si>
    <t>101065/25</t>
  </si>
  <si>
    <t>00:45:57</t>
  </si>
  <si>
    <t>101066/25</t>
  </si>
  <si>
    <t>00:47:17</t>
  </si>
  <si>
    <t>101067/25</t>
  </si>
  <si>
    <t>101068/25</t>
  </si>
  <si>
    <t>00:38:09</t>
  </si>
  <si>
    <t>101069/25</t>
  </si>
  <si>
    <t>00:37:05</t>
  </si>
  <si>
    <t>101070/25</t>
  </si>
  <si>
    <t>00:45:58</t>
  </si>
  <si>
    <t>101071/25</t>
  </si>
  <si>
    <t>101072/25</t>
  </si>
  <si>
    <t>00:14:26</t>
  </si>
  <si>
    <t>101073/25</t>
  </si>
  <si>
    <t>101074/25</t>
  </si>
  <si>
    <t>01:35:00</t>
  </si>
  <si>
    <t>101075/25</t>
  </si>
  <si>
    <t>02:34:58</t>
  </si>
  <si>
    <t>101076/25</t>
  </si>
  <si>
    <t>101077/25</t>
  </si>
  <si>
    <t>00:11:14</t>
  </si>
  <si>
    <t>101078/25</t>
  </si>
  <si>
    <t>00:11:42</t>
  </si>
  <si>
    <t>101079/25</t>
  </si>
  <si>
    <t>01:53:06</t>
  </si>
  <si>
    <t>101080/25</t>
  </si>
  <si>
    <t>66119d6</t>
  </si>
  <si>
    <t>01:07:19</t>
  </si>
  <si>
    <t>101081/25</t>
  </si>
  <si>
    <t>00:14:30</t>
  </si>
  <si>
    <t>101082/25</t>
  </si>
  <si>
    <t>00:17:36</t>
  </si>
  <si>
    <t>101083/25</t>
  </si>
  <si>
    <t>01:47:14</t>
  </si>
  <si>
    <t>101084/25</t>
  </si>
  <si>
    <t>101085/25</t>
  </si>
  <si>
    <t>00:12:25</t>
  </si>
  <si>
    <t>101086/25</t>
  </si>
  <si>
    <t>00:13:49</t>
  </si>
  <si>
    <t>101087/25</t>
  </si>
  <si>
    <t>101088/25</t>
  </si>
  <si>
    <t>00:16:46</t>
  </si>
  <si>
    <t>101089/25</t>
  </si>
  <si>
    <t>00:49:48</t>
  </si>
  <si>
    <t>101090/25</t>
  </si>
  <si>
    <t>00:12:34</t>
  </si>
  <si>
    <t>101091/25</t>
  </si>
  <si>
    <t>101092/25</t>
  </si>
  <si>
    <t>101094/25</t>
  </si>
  <si>
    <t>00:07:19</t>
  </si>
  <si>
    <t>101095/25</t>
  </si>
  <si>
    <t>101096/25</t>
  </si>
  <si>
    <t>00:05:50</t>
  </si>
  <si>
    <t>101097/25</t>
  </si>
  <si>
    <t>101098/25</t>
  </si>
  <si>
    <t>101099/25</t>
  </si>
  <si>
    <t>101100/25</t>
  </si>
  <si>
    <t>00:11:31</t>
  </si>
  <si>
    <t>101101/25</t>
  </si>
  <si>
    <t>101102/25</t>
  </si>
  <si>
    <t>101103/25</t>
  </si>
  <si>
    <t>00:22:10</t>
  </si>
  <si>
    <t>101104/25</t>
  </si>
  <si>
    <t>00:29:00</t>
  </si>
  <si>
    <t>101105/25</t>
  </si>
  <si>
    <t>01:43:24</t>
  </si>
  <si>
    <t>101106/25</t>
  </si>
  <si>
    <t>00:24:34</t>
  </si>
  <si>
    <t>101107/25</t>
  </si>
  <si>
    <t>101108/25</t>
  </si>
  <si>
    <t>00:27:28</t>
  </si>
  <si>
    <t>101109/25</t>
  </si>
  <si>
    <t>101110/25</t>
  </si>
  <si>
    <t>101111/25</t>
  </si>
  <si>
    <t>00:52:46</t>
  </si>
  <si>
    <t>101112/25</t>
  </si>
  <si>
    <t>00:32:01</t>
  </si>
  <si>
    <t>101113/25</t>
  </si>
  <si>
    <t>08:24:01</t>
  </si>
  <si>
    <t>101114/25</t>
  </si>
  <si>
    <t>90122a40</t>
  </si>
  <si>
    <t>00:32:56</t>
  </si>
  <si>
    <t>101116/25</t>
  </si>
  <si>
    <t>101117/25</t>
  </si>
  <si>
    <t>101118/25</t>
  </si>
  <si>
    <t>01:34:59</t>
  </si>
  <si>
    <t>101119/25</t>
  </si>
  <si>
    <t>101120/25</t>
  </si>
  <si>
    <t>01:08:34</t>
  </si>
  <si>
    <t>101121/25</t>
  </si>
  <si>
    <t>101122/25</t>
  </si>
  <si>
    <t>01:28:59</t>
  </si>
  <si>
    <t>101123/25</t>
  </si>
  <si>
    <t>01:20:02</t>
  </si>
  <si>
    <t>101124/25</t>
  </si>
  <si>
    <t>01:54:41</t>
  </si>
  <si>
    <t>101125/25</t>
  </si>
  <si>
    <t>00:43:27</t>
  </si>
  <si>
    <t>101126/25</t>
  </si>
  <si>
    <t>00:26:11</t>
  </si>
  <si>
    <t>101127/25</t>
  </si>
  <si>
    <t>01:04:43</t>
  </si>
  <si>
    <t>101128/25</t>
  </si>
  <si>
    <t>24454d40</t>
  </si>
  <si>
    <t>01:52:16</t>
  </si>
  <si>
    <t>101129/25</t>
  </si>
  <si>
    <t>101130/25</t>
  </si>
  <si>
    <t>101131/25</t>
  </si>
  <si>
    <t>01:50:32</t>
  </si>
  <si>
    <t>111132/25</t>
  </si>
  <si>
    <t>00:14:18</t>
  </si>
  <si>
    <t>101133/25</t>
  </si>
  <si>
    <t>101134/25</t>
  </si>
  <si>
    <t>101135/25</t>
  </si>
  <si>
    <t>101136/25</t>
  </si>
  <si>
    <t>101137/25</t>
  </si>
  <si>
    <t>101138/25</t>
  </si>
  <si>
    <t>00:42:27</t>
  </si>
  <si>
    <t>101139/25</t>
  </si>
  <si>
    <t>00:46:10</t>
  </si>
  <si>
    <t>101140/25</t>
  </si>
  <si>
    <t>101141/25</t>
  </si>
  <si>
    <t>00:20:56</t>
  </si>
  <si>
    <t>101142/25</t>
  </si>
  <si>
    <t>00:54:55</t>
  </si>
  <si>
    <t>101143/25</t>
  </si>
  <si>
    <t>00:26:09</t>
  </si>
  <si>
    <t>101144/25</t>
  </si>
  <si>
    <t>00:59:49</t>
  </si>
  <si>
    <t>101145/25</t>
  </si>
  <si>
    <t>01:09:21</t>
  </si>
  <si>
    <t>101146/25</t>
  </si>
  <si>
    <t>01:08:36</t>
  </si>
  <si>
    <t>101147/25</t>
  </si>
  <si>
    <t>00:43:21</t>
  </si>
  <si>
    <t>101148/25</t>
  </si>
  <si>
    <t>01:04:51</t>
  </si>
  <si>
    <t>101149/25</t>
  </si>
  <si>
    <t>01:00:33</t>
  </si>
  <si>
    <t>101150/25</t>
  </si>
  <si>
    <t>00:52:30</t>
  </si>
  <si>
    <t>101151/25</t>
  </si>
  <si>
    <t>01:10:43</t>
  </si>
  <si>
    <t>101152/25</t>
  </si>
  <si>
    <t>01:15:43</t>
  </si>
  <si>
    <t>101153/25</t>
  </si>
  <si>
    <t>101154/25</t>
  </si>
  <si>
    <t>01:21:35</t>
  </si>
  <si>
    <t>101155/25</t>
  </si>
  <si>
    <t>101156/25</t>
  </si>
  <si>
    <t>01:17:51</t>
  </si>
  <si>
    <t>101157/25</t>
  </si>
  <si>
    <t>101158/25</t>
  </si>
  <si>
    <t>02:03:11</t>
  </si>
  <si>
    <t>101159/25</t>
  </si>
  <si>
    <t>01:31:06</t>
  </si>
  <si>
    <t>101160/25</t>
  </si>
  <si>
    <t>00:39:44</t>
  </si>
  <si>
    <t>101161/25</t>
  </si>
  <si>
    <t>02:17:43</t>
  </si>
  <si>
    <t>101162/25</t>
  </si>
  <si>
    <t>01:05:05</t>
  </si>
  <si>
    <t>101163/25</t>
  </si>
  <si>
    <t>00:36:16</t>
  </si>
  <si>
    <t>101164/25</t>
  </si>
  <si>
    <t>101165/25</t>
  </si>
  <si>
    <t>101166/25</t>
  </si>
  <si>
    <t>101167/25</t>
  </si>
  <si>
    <t>00:10:25</t>
  </si>
  <si>
    <t>101168/25</t>
  </si>
  <si>
    <t>101169/25</t>
  </si>
  <si>
    <t>101170/25</t>
  </si>
  <si>
    <t>101171/25</t>
  </si>
  <si>
    <t>101172/25</t>
  </si>
  <si>
    <t>04:02:39</t>
  </si>
  <si>
    <t>101173/25</t>
  </si>
  <si>
    <t>04:15:46</t>
  </si>
  <si>
    <t>101174/25</t>
  </si>
  <si>
    <t>101175/25</t>
  </si>
  <si>
    <t>101176/25</t>
  </si>
  <si>
    <t>101177/25</t>
  </si>
  <si>
    <t>00:10:13</t>
  </si>
  <si>
    <t>101178/25</t>
  </si>
  <si>
    <t>04:44:09</t>
  </si>
  <si>
    <t>101179/25</t>
  </si>
  <si>
    <t>101180/25</t>
  </si>
  <si>
    <t>04:13:28</t>
  </si>
  <si>
    <t>101181/25</t>
  </si>
  <si>
    <t>101182/25</t>
  </si>
  <si>
    <t>101183/25</t>
  </si>
  <si>
    <t>00:34:17</t>
  </si>
  <si>
    <t>101184/25</t>
  </si>
  <si>
    <t>101185/25</t>
  </si>
  <si>
    <t>00:20:22</t>
  </si>
  <si>
    <t>101186/25</t>
  </si>
  <si>
    <t>03:55:35</t>
  </si>
  <si>
    <t>101187/25</t>
  </si>
  <si>
    <t>01:52:43</t>
  </si>
  <si>
    <t>101188/25</t>
  </si>
  <si>
    <t>101189/25</t>
  </si>
  <si>
    <t>03:12:16</t>
  </si>
  <si>
    <t>101190/25</t>
  </si>
  <si>
    <t>101191/25</t>
  </si>
  <si>
    <t>101192/25</t>
  </si>
  <si>
    <t>101193/25</t>
  </si>
  <si>
    <t>01:14:53</t>
  </si>
  <si>
    <t>101194/25</t>
  </si>
  <si>
    <t>01:53:58</t>
  </si>
  <si>
    <t>101195/25</t>
  </si>
  <si>
    <t>00:10:52</t>
  </si>
  <si>
    <t>101196/25</t>
  </si>
  <si>
    <t>101197/25</t>
  </si>
  <si>
    <t>101198/25</t>
  </si>
  <si>
    <t>00:24:18</t>
  </si>
  <si>
    <t>101199/25</t>
  </si>
  <si>
    <t>01:05:55</t>
  </si>
  <si>
    <t>101200/25</t>
  </si>
  <si>
    <t>101201/25</t>
  </si>
  <si>
    <t>101202/25</t>
  </si>
  <si>
    <t>00:12:22</t>
  </si>
  <si>
    <t>101203/25</t>
  </si>
  <si>
    <t>00:45:22</t>
  </si>
  <si>
    <t>101204/25</t>
  </si>
  <si>
    <t>00:49:14</t>
  </si>
  <si>
    <t>101205/25</t>
  </si>
  <si>
    <t>00:38:17</t>
  </si>
  <si>
    <t>101206/25</t>
  </si>
  <si>
    <t>101207/25</t>
  </si>
  <si>
    <t>00:38:45</t>
  </si>
  <si>
    <t>101208/25</t>
  </si>
  <si>
    <t>00:15:18</t>
  </si>
  <si>
    <t>101209/25</t>
  </si>
  <si>
    <t>01:34:35</t>
  </si>
  <si>
    <t>101210/25</t>
  </si>
  <si>
    <t>01:19:18</t>
  </si>
  <si>
    <t>101211/25</t>
  </si>
  <si>
    <t>00:46:56</t>
  </si>
  <si>
    <t>101212/25</t>
  </si>
  <si>
    <t>101213/25</t>
  </si>
  <si>
    <t>101214/25</t>
  </si>
  <si>
    <t>34606a13</t>
  </si>
  <si>
    <t>01:22:38</t>
  </si>
  <si>
    <t>101215/25</t>
  </si>
  <si>
    <t>00:23:58</t>
  </si>
  <si>
    <t>101216/25</t>
  </si>
  <si>
    <t>101217/25</t>
  </si>
  <si>
    <t>00:32:31</t>
  </si>
  <si>
    <t>101218/25</t>
  </si>
  <si>
    <t>101219/25</t>
  </si>
  <si>
    <t>02:06:52</t>
  </si>
  <si>
    <t>101220/25</t>
  </si>
  <si>
    <t>101221/25</t>
  </si>
  <si>
    <t>00:24:04</t>
  </si>
  <si>
    <t>101222/25</t>
  </si>
  <si>
    <t>101223/25</t>
  </si>
  <si>
    <t>101224/25</t>
  </si>
  <si>
    <t>101225/25</t>
  </si>
  <si>
    <t>00:31:12</t>
  </si>
  <si>
    <t>101226/25</t>
  </si>
  <si>
    <t>00:38:26</t>
  </si>
  <si>
    <t>101227/25</t>
  </si>
  <si>
    <t>00:36:09</t>
  </si>
  <si>
    <t>101228/25</t>
  </si>
  <si>
    <t>00:47:13</t>
  </si>
  <si>
    <t>101229/25</t>
  </si>
  <si>
    <t>00:41:41</t>
  </si>
  <si>
    <t>101230/25</t>
  </si>
  <si>
    <t>00:31:04</t>
  </si>
  <si>
    <t>101231/25</t>
  </si>
  <si>
    <t>00:45:05</t>
  </si>
  <si>
    <t>101232/25</t>
  </si>
  <si>
    <t>101233/25</t>
  </si>
  <si>
    <t>00:40:39</t>
  </si>
  <si>
    <t>101234/25</t>
  </si>
  <si>
    <t>101235/25</t>
  </si>
  <si>
    <t>101236/25</t>
  </si>
  <si>
    <t>00:44:31</t>
  </si>
  <si>
    <t>101237/25</t>
  </si>
  <si>
    <t>00:42:04</t>
  </si>
  <si>
    <t>101238/25</t>
  </si>
  <si>
    <t>01:27:31</t>
  </si>
  <si>
    <t>101239/25</t>
  </si>
  <si>
    <t>101240/25</t>
  </si>
  <si>
    <t>00:06:51</t>
  </si>
  <si>
    <t>101241/25</t>
  </si>
  <si>
    <t>00:30:38</t>
  </si>
  <si>
    <t>101242/25</t>
  </si>
  <si>
    <t>01:58:59</t>
  </si>
  <si>
    <t>101243/25</t>
  </si>
  <si>
    <t>00:07:09</t>
  </si>
  <si>
    <t>101244/25</t>
  </si>
  <si>
    <t>101245/25</t>
  </si>
  <si>
    <t>00:17:27</t>
  </si>
  <si>
    <t>101246/25</t>
  </si>
  <si>
    <t>03:03:37</t>
  </si>
  <si>
    <t>101247/25</t>
  </si>
  <si>
    <t>00:11:03</t>
  </si>
  <si>
    <t>101248/25</t>
  </si>
  <si>
    <t>03:09:25</t>
  </si>
  <si>
    <t>101249/25</t>
  </si>
  <si>
    <t>101250/25</t>
  </si>
  <si>
    <t>00:12:39</t>
  </si>
  <si>
    <t>101251/25</t>
  </si>
  <si>
    <t>04:41:17</t>
  </si>
  <si>
    <t>101252/25</t>
  </si>
  <si>
    <t>00:28:38</t>
  </si>
  <si>
    <t>101253/25</t>
  </si>
  <si>
    <t>00:11:12</t>
  </si>
  <si>
    <t>101254/25</t>
  </si>
  <si>
    <t>00:31:46</t>
  </si>
  <si>
    <t>101255/25</t>
  </si>
  <si>
    <t>02:34:38</t>
  </si>
  <si>
    <t>101256/25</t>
  </si>
  <si>
    <t>101257/25</t>
  </si>
  <si>
    <t>01:21:21</t>
  </si>
  <si>
    <t>101258/25</t>
  </si>
  <si>
    <t>00:24:39</t>
  </si>
  <si>
    <t>101259/25</t>
  </si>
  <si>
    <t>101260/25</t>
  </si>
  <si>
    <t>Tv0315</t>
  </si>
  <si>
    <t>01:28:47</t>
  </si>
  <si>
    <t>101261/25</t>
  </si>
  <si>
    <t>02:06:51</t>
  </si>
  <si>
    <t>101262/25</t>
  </si>
  <si>
    <t>101263/25</t>
  </si>
  <si>
    <t>101264/25</t>
  </si>
  <si>
    <t>01:52:39</t>
  </si>
  <si>
    <t>101265/25</t>
  </si>
  <si>
    <t>01:31:29</t>
  </si>
  <si>
    <t>101266/25</t>
  </si>
  <si>
    <t>00:20:57</t>
  </si>
  <si>
    <t>101267/25</t>
  </si>
  <si>
    <t>00:10:15</t>
  </si>
  <si>
    <t>101268/25</t>
  </si>
  <si>
    <t>9837A60</t>
  </si>
  <si>
    <t>00:16:28</t>
  </si>
  <si>
    <t>101269/25</t>
  </si>
  <si>
    <t>101270/25</t>
  </si>
  <si>
    <t>101271/25</t>
  </si>
  <si>
    <t>101272/25</t>
  </si>
  <si>
    <t>00:55:06</t>
  </si>
  <si>
    <t>101273/25</t>
  </si>
  <si>
    <t>00:28:07</t>
  </si>
  <si>
    <t>101274/25</t>
  </si>
  <si>
    <t>101275/25</t>
  </si>
  <si>
    <t>101276/25</t>
  </si>
  <si>
    <t>101277/25</t>
  </si>
  <si>
    <t>25541D40</t>
  </si>
  <si>
    <t>00:30:55</t>
  </si>
  <si>
    <t>101278/25</t>
  </si>
  <si>
    <t>16669B50</t>
  </si>
  <si>
    <t>00:37:26</t>
  </si>
  <si>
    <t>101279/25</t>
  </si>
  <si>
    <t>24054D40</t>
  </si>
  <si>
    <t>101280/25</t>
  </si>
  <si>
    <t>101281/25</t>
  </si>
  <si>
    <t>07:24:08</t>
  </si>
  <si>
    <t>101282/25</t>
  </si>
  <si>
    <t>101283/25</t>
  </si>
  <si>
    <t>00:25:06</t>
  </si>
  <si>
    <t>101284/25</t>
  </si>
  <si>
    <t>00:15:27</t>
  </si>
  <si>
    <t>101285/25</t>
  </si>
  <si>
    <t>00:18:16</t>
  </si>
  <si>
    <t>101286/25</t>
  </si>
  <si>
    <t>00:19:17</t>
  </si>
  <si>
    <t>101287/25</t>
  </si>
  <si>
    <t>101288/25</t>
  </si>
  <si>
    <t>00:23:55</t>
  </si>
  <si>
    <t>101289/25</t>
  </si>
  <si>
    <t>101290/25</t>
  </si>
  <si>
    <t>00:30:22</t>
  </si>
  <si>
    <t>101291/25</t>
  </si>
  <si>
    <t>101292/25</t>
  </si>
  <si>
    <t>101293/25</t>
  </si>
  <si>
    <t>101294/25</t>
  </si>
  <si>
    <t>01:18:59</t>
  </si>
  <si>
    <t>101295/25</t>
  </si>
  <si>
    <t>00:11:13</t>
  </si>
  <si>
    <t>101296/25</t>
  </si>
  <si>
    <t>101297/25</t>
  </si>
  <si>
    <t>00:09:25</t>
  </si>
  <si>
    <t>101298/25</t>
  </si>
  <si>
    <t>02:03:13</t>
  </si>
  <si>
    <t>101299/25</t>
  </si>
  <si>
    <t>101300/25</t>
  </si>
  <si>
    <t>101301/25</t>
  </si>
  <si>
    <t>101302/25</t>
  </si>
  <si>
    <t>101303/25</t>
  </si>
  <si>
    <t>00:07:14</t>
  </si>
  <si>
    <t>101304/25</t>
  </si>
  <si>
    <t>00:29:39</t>
  </si>
  <si>
    <t>101305/25</t>
  </si>
  <si>
    <t>00:20:03</t>
  </si>
  <si>
    <t>101306/25</t>
  </si>
  <si>
    <t>101307/25</t>
  </si>
  <si>
    <t>00:10:12</t>
  </si>
  <si>
    <t>101308/25</t>
  </si>
  <si>
    <t>101309/25</t>
  </si>
  <si>
    <t>03:24:53</t>
  </si>
  <si>
    <t>101310/25</t>
  </si>
  <si>
    <t>03:26:23</t>
  </si>
  <si>
    <t>101311/25</t>
  </si>
  <si>
    <t>101312/25</t>
  </si>
  <si>
    <t>00:20:24</t>
  </si>
  <si>
    <t>101313/25</t>
  </si>
  <si>
    <t>00:29:45</t>
  </si>
  <si>
    <t>101314/25</t>
  </si>
  <si>
    <t>00:10:11</t>
  </si>
  <si>
    <t>101315/25</t>
  </si>
  <si>
    <t>01:02:40</t>
  </si>
  <si>
    <t>101316/25</t>
  </si>
  <si>
    <t>101317/25</t>
  </si>
  <si>
    <t>00:44:30</t>
  </si>
  <si>
    <t>101318/25</t>
  </si>
  <si>
    <t>00:37:00</t>
  </si>
  <si>
    <t>101320/25</t>
  </si>
  <si>
    <t>101322/25</t>
  </si>
  <si>
    <t>101323/25</t>
  </si>
  <si>
    <t>00:17:07</t>
  </si>
  <si>
    <t>101324/25</t>
  </si>
  <si>
    <t>00:16:00</t>
  </si>
  <si>
    <t>101325/25</t>
  </si>
  <si>
    <t>00:20:04</t>
  </si>
  <si>
    <t>101326/25</t>
  </si>
  <si>
    <t>00:19:53</t>
  </si>
  <si>
    <t>101327/25</t>
  </si>
  <si>
    <t>101328/25</t>
  </si>
  <si>
    <t>101329/25</t>
  </si>
  <si>
    <t>101330/25</t>
  </si>
  <si>
    <t>00:49:20</t>
  </si>
  <si>
    <t>101331/25</t>
  </si>
  <si>
    <t>101332/25</t>
  </si>
  <si>
    <t>101333/25</t>
  </si>
  <si>
    <t>101334/25</t>
  </si>
  <si>
    <t>01:27:51</t>
  </si>
  <si>
    <t>101335/25</t>
  </si>
  <si>
    <t>00:36:54</t>
  </si>
  <si>
    <t>101336/25</t>
  </si>
  <si>
    <t>00:34:51</t>
  </si>
  <si>
    <t>101337/25</t>
  </si>
  <si>
    <t>09:07:40</t>
  </si>
  <si>
    <t>101338/25</t>
  </si>
  <si>
    <t>101339/25</t>
  </si>
  <si>
    <t>00:58:49</t>
  </si>
  <si>
    <t>101340/25</t>
  </si>
  <si>
    <t>01:20:31</t>
  </si>
  <si>
    <t>101341/25</t>
  </si>
  <si>
    <t>101342/25</t>
  </si>
  <si>
    <t>101343/25</t>
  </si>
  <si>
    <t>00:15:42</t>
  </si>
  <si>
    <t>101344/25</t>
  </si>
  <si>
    <t>101345/25</t>
  </si>
  <si>
    <t>101346/25</t>
  </si>
  <si>
    <t>01:01:51</t>
  </si>
  <si>
    <t>101347/25</t>
  </si>
  <si>
    <t>101348/25</t>
  </si>
  <si>
    <t>00:10:43</t>
  </si>
  <si>
    <t>101349/25</t>
  </si>
  <si>
    <t>101350/25</t>
  </si>
  <si>
    <t>101351/25</t>
  </si>
  <si>
    <t>00:24:28</t>
  </si>
  <si>
    <t>101352/25</t>
  </si>
  <si>
    <t>101353/25</t>
  </si>
  <si>
    <t>101354/25</t>
  </si>
  <si>
    <t>00:35:21</t>
  </si>
  <si>
    <t>101355/25</t>
  </si>
  <si>
    <t>00:42:38</t>
  </si>
  <si>
    <t>101356/25</t>
  </si>
  <si>
    <t>00:42:06</t>
  </si>
  <si>
    <t>101357/25</t>
  </si>
  <si>
    <t>00:49:27</t>
  </si>
  <si>
    <t>101358/25</t>
  </si>
  <si>
    <t>00:50:42</t>
  </si>
  <si>
    <t>101359/25</t>
  </si>
  <si>
    <t>00:53:18</t>
  </si>
  <si>
    <t>101360/25</t>
  </si>
  <si>
    <t>101361/25</t>
  </si>
  <si>
    <t>00:04:04</t>
  </si>
  <si>
    <t>101362/25</t>
  </si>
  <si>
    <t>01:07:22</t>
  </si>
  <si>
    <t>101363/25</t>
  </si>
  <si>
    <t>101364/25</t>
  </si>
  <si>
    <t>00:57:27</t>
  </si>
  <si>
    <t>101365/25</t>
  </si>
  <si>
    <t>00:15:26</t>
  </si>
  <si>
    <t>101366/25</t>
  </si>
  <si>
    <t>00:05:55</t>
  </si>
  <si>
    <t>101367/25</t>
  </si>
  <si>
    <t>101368/25</t>
  </si>
  <si>
    <t>101369/25</t>
  </si>
  <si>
    <t>101370/25</t>
  </si>
  <si>
    <t>101371/25</t>
  </si>
  <si>
    <t>00:21:31</t>
  </si>
  <si>
    <t>101372/25</t>
  </si>
  <si>
    <t>00:09:19</t>
  </si>
  <si>
    <t>101373/25</t>
  </si>
  <si>
    <t>101374/25</t>
  </si>
  <si>
    <t>101375/25</t>
  </si>
  <si>
    <t>00:44:32</t>
  </si>
  <si>
    <t>101376/25</t>
  </si>
  <si>
    <t>101377/25</t>
  </si>
  <si>
    <t>70993A26</t>
  </si>
  <si>
    <t>101378/25</t>
  </si>
  <si>
    <t>101379/25</t>
  </si>
  <si>
    <t>101380/25</t>
  </si>
  <si>
    <t>101381/25</t>
  </si>
  <si>
    <t>00:27:21</t>
  </si>
  <si>
    <t>101382/25</t>
  </si>
  <si>
    <t>75879B40</t>
  </si>
  <si>
    <t>00:31:57</t>
  </si>
  <si>
    <t>101383/25</t>
  </si>
  <si>
    <t>00:33:52</t>
  </si>
  <si>
    <t>101384/25</t>
  </si>
  <si>
    <t>00:11:09</t>
  </si>
  <si>
    <t>101385/25</t>
  </si>
  <si>
    <t>02:18:47</t>
  </si>
  <si>
    <t>101386/25</t>
  </si>
  <si>
    <t>00:11:04</t>
  </si>
  <si>
    <t>101387/25</t>
  </si>
  <si>
    <t>02:37:50</t>
  </si>
  <si>
    <t>101388/25</t>
  </si>
  <si>
    <t>02:15:50</t>
  </si>
  <si>
    <t>101389/25</t>
  </si>
  <si>
    <t>00:19:40</t>
  </si>
  <si>
    <t>101390/25</t>
  </si>
  <si>
    <t>75880B40</t>
  </si>
  <si>
    <t>00:25:42</t>
  </si>
  <si>
    <t>101392/25</t>
  </si>
  <si>
    <t>00:25:38</t>
  </si>
  <si>
    <t>101393/25</t>
  </si>
  <si>
    <t>101394/25</t>
  </si>
  <si>
    <t>74869A59</t>
  </si>
  <si>
    <t>00:56:08</t>
  </si>
  <si>
    <t>101395/25</t>
  </si>
  <si>
    <t>101396/25</t>
  </si>
  <si>
    <t>101397/25</t>
  </si>
  <si>
    <t>101398/25</t>
  </si>
  <si>
    <t>00:25:45</t>
  </si>
  <si>
    <t>101399/25</t>
  </si>
  <si>
    <t>101400/25</t>
  </si>
  <si>
    <t>00:12:51</t>
  </si>
  <si>
    <t>101401/25</t>
  </si>
  <si>
    <t>00:07:22</t>
  </si>
  <si>
    <t>101402/25</t>
  </si>
  <si>
    <t>101403/25</t>
  </si>
  <si>
    <t>101404/25</t>
  </si>
  <si>
    <t>00:10:59</t>
  </si>
  <si>
    <t>101405/25</t>
  </si>
  <si>
    <t>101406/25</t>
  </si>
  <si>
    <t>01:00:26</t>
  </si>
  <si>
    <t>101407/25</t>
  </si>
  <si>
    <t>101408/25</t>
  </si>
  <si>
    <t>00:09:17</t>
  </si>
  <si>
    <t>101409/25</t>
  </si>
  <si>
    <t>101410/25</t>
  </si>
  <si>
    <t>101411/25</t>
  </si>
  <si>
    <t>00:19:36</t>
  </si>
  <si>
    <t>101412/25</t>
  </si>
  <si>
    <t>00:22:01</t>
  </si>
  <si>
    <t>101413/25</t>
  </si>
  <si>
    <t>101414/25</t>
  </si>
  <si>
    <t>101415/25</t>
  </si>
  <si>
    <t>00:36:35</t>
  </si>
  <si>
    <t>101416/25</t>
  </si>
  <si>
    <t>00:35:14</t>
  </si>
  <si>
    <t>101417/25</t>
  </si>
  <si>
    <t>00:41:04</t>
  </si>
  <si>
    <t>101418/25</t>
  </si>
  <si>
    <t>101419/25</t>
  </si>
  <si>
    <t>101420/25</t>
  </si>
  <si>
    <t>00:40:21</t>
  </si>
  <si>
    <t>101421/25</t>
  </si>
  <si>
    <t>101422/25</t>
  </si>
  <si>
    <t>00:34:00</t>
  </si>
  <si>
    <t>101423/25</t>
  </si>
  <si>
    <t>00:27:44</t>
  </si>
  <si>
    <t>101424/25</t>
  </si>
  <si>
    <t>00:35:31</t>
  </si>
  <si>
    <t>101425/25</t>
  </si>
  <si>
    <t>101426/25</t>
  </si>
  <si>
    <t>101427/25</t>
  </si>
  <si>
    <t>01:41:41</t>
  </si>
  <si>
    <t>101428/25</t>
  </si>
  <si>
    <t>01:00:54</t>
  </si>
  <si>
    <t>101429/25</t>
  </si>
  <si>
    <t>101430/25</t>
  </si>
  <si>
    <t>101431/25</t>
  </si>
  <si>
    <t>01:33:34</t>
  </si>
  <si>
    <t>101432/25</t>
  </si>
  <si>
    <t>101433/25</t>
  </si>
  <si>
    <t>01:20:41</t>
  </si>
  <si>
    <t>101434/25</t>
  </si>
  <si>
    <t>00:15:43</t>
  </si>
  <si>
    <t>101435/25</t>
  </si>
  <si>
    <t>01:04:05</t>
  </si>
  <si>
    <t>101436/25</t>
  </si>
  <si>
    <t>00:08:47</t>
  </si>
  <si>
    <t>101437/25</t>
  </si>
  <si>
    <t>02:16:15</t>
  </si>
  <si>
    <t>101438/25</t>
  </si>
  <si>
    <t>101439/25</t>
  </si>
  <si>
    <t>101440/25</t>
  </si>
  <si>
    <t>101441/25</t>
  </si>
  <si>
    <t>01:26:32</t>
  </si>
  <si>
    <t>101442/25</t>
  </si>
  <si>
    <t>00:33:39</t>
  </si>
  <si>
    <t>101443/25</t>
  </si>
  <si>
    <t>00:36:25</t>
  </si>
  <si>
    <t>101444/25</t>
  </si>
  <si>
    <t>101445/25</t>
  </si>
  <si>
    <t>101446/25</t>
  </si>
  <si>
    <t>101447/25</t>
  </si>
  <si>
    <t>101448/25</t>
  </si>
  <si>
    <t>00:41:07</t>
  </si>
  <si>
    <t>101449/25</t>
  </si>
  <si>
    <t>101450/25</t>
  </si>
  <si>
    <t>00:35:46</t>
  </si>
  <si>
    <t>101451/25</t>
  </si>
  <si>
    <t>02:01:39</t>
  </si>
  <si>
    <t>101452/25</t>
  </si>
  <si>
    <t>00:40:52</t>
  </si>
  <si>
    <t>101453/25</t>
  </si>
  <si>
    <t>01:42:41</t>
  </si>
  <si>
    <t>101454/25</t>
  </si>
  <si>
    <t>101455/25</t>
  </si>
  <si>
    <t>101456/25</t>
  </si>
  <si>
    <t>02:39:39</t>
  </si>
  <si>
    <t>101457/25</t>
  </si>
  <si>
    <t>02:20:54</t>
  </si>
  <si>
    <t>101458/25</t>
  </si>
  <si>
    <t>101459/25</t>
  </si>
  <si>
    <t>00:37:27</t>
  </si>
  <si>
    <t>101460/25</t>
  </si>
  <si>
    <t>00:12:07</t>
  </si>
  <si>
    <t>101461/25</t>
  </si>
  <si>
    <t>00:14:11</t>
  </si>
  <si>
    <t>101462/25</t>
  </si>
  <si>
    <t>CHARAKA</t>
  </si>
  <si>
    <t>101463/25</t>
  </si>
  <si>
    <t>101464/25</t>
  </si>
  <si>
    <t>00:21:09</t>
  </si>
  <si>
    <t>101465/25</t>
  </si>
  <si>
    <t>101466/25</t>
  </si>
  <si>
    <t>101467/25</t>
  </si>
  <si>
    <t>101468/25</t>
  </si>
  <si>
    <t>01:34:55</t>
  </si>
  <si>
    <t>101469/25</t>
  </si>
  <si>
    <t>101470/25</t>
  </si>
  <si>
    <t>101471/25</t>
  </si>
  <si>
    <t>02:52:10</t>
  </si>
  <si>
    <t>101472/25</t>
  </si>
  <si>
    <t>101473/25</t>
  </si>
  <si>
    <t>101474/25</t>
  </si>
  <si>
    <t>00:13:18</t>
  </si>
  <si>
    <t>101475/25</t>
  </si>
  <si>
    <t>00:32:39</t>
  </si>
  <si>
    <t>101476/25</t>
  </si>
  <si>
    <t>00:15:59</t>
  </si>
  <si>
    <t>101477/25</t>
  </si>
  <si>
    <t>00:17:02</t>
  </si>
  <si>
    <t>101478/25</t>
  </si>
  <si>
    <t>30615W1</t>
  </si>
  <si>
    <t>00:09:20</t>
  </si>
  <si>
    <t>101479/25</t>
  </si>
  <si>
    <t>101480/25</t>
  </si>
  <si>
    <t>101481/25</t>
  </si>
  <si>
    <t>02:54:30</t>
  </si>
  <si>
    <t>101482/25</t>
  </si>
  <si>
    <t>02:59:51</t>
  </si>
  <si>
    <t>101483/25</t>
  </si>
  <si>
    <t>02:04:07</t>
  </si>
  <si>
    <t>101484/25</t>
  </si>
  <si>
    <t>02:06:01</t>
  </si>
  <si>
    <t>101485/25</t>
  </si>
  <si>
    <t>02:19:23</t>
  </si>
  <si>
    <t>101486/25</t>
  </si>
  <si>
    <t>101487/25</t>
  </si>
  <si>
    <t>00:13:06</t>
  </si>
  <si>
    <t>101488/25</t>
  </si>
  <si>
    <t>00:16:26</t>
  </si>
  <si>
    <t>101489/25</t>
  </si>
  <si>
    <t>101490/25</t>
  </si>
  <si>
    <t>00:46:13</t>
  </si>
  <si>
    <t>101491/25</t>
  </si>
  <si>
    <t>101492/25</t>
  </si>
  <si>
    <t>00:27:27</t>
  </si>
  <si>
    <t>101493/25</t>
  </si>
  <si>
    <t>00:26:29</t>
  </si>
  <si>
    <t>101494/25</t>
  </si>
  <si>
    <t>101495/25</t>
  </si>
  <si>
    <t>00:10:19</t>
  </si>
  <si>
    <t>101496/25</t>
  </si>
  <si>
    <t>00:13:46</t>
  </si>
  <si>
    <t>101497/25</t>
  </si>
  <si>
    <t>101498/25</t>
  </si>
  <si>
    <t>101499/25</t>
  </si>
  <si>
    <t>101500/25</t>
  </si>
  <si>
    <t>02:00:07</t>
  </si>
  <si>
    <t>101501/25</t>
  </si>
  <si>
    <t>02:17:26</t>
  </si>
  <si>
    <t>101502/25</t>
  </si>
  <si>
    <t>00:42:31</t>
  </si>
  <si>
    <t>101503/25</t>
  </si>
  <si>
    <t>101504/25</t>
  </si>
  <si>
    <t>02:01:31</t>
  </si>
  <si>
    <t>101505/25</t>
  </si>
  <si>
    <t>03:04:02</t>
  </si>
  <si>
    <t>101506/25</t>
  </si>
  <si>
    <t>03:35:51</t>
  </si>
  <si>
    <t>101507/25</t>
  </si>
  <si>
    <t>00:28:42</t>
  </si>
  <si>
    <t>101508/25</t>
  </si>
  <si>
    <t>00:15:02</t>
  </si>
  <si>
    <t>101509/25</t>
  </si>
  <si>
    <t>101510/25</t>
  </si>
  <si>
    <t>04:26:10</t>
  </si>
  <si>
    <t>101511/25</t>
  </si>
  <si>
    <t>04:04:38</t>
  </si>
  <si>
    <t>101512/25</t>
  </si>
  <si>
    <t>04:11:03</t>
  </si>
  <si>
    <t>101513/25</t>
  </si>
  <si>
    <t>101514/25</t>
  </si>
  <si>
    <t>04:35:39</t>
  </si>
  <si>
    <t>101515/25</t>
  </si>
  <si>
    <t>101516/25</t>
  </si>
  <si>
    <t>02:55:47</t>
  </si>
  <si>
    <t>101517/25</t>
  </si>
  <si>
    <t>00:13:20</t>
  </si>
  <si>
    <t>101518/25</t>
  </si>
  <si>
    <t>00:10:49</t>
  </si>
  <si>
    <t>101519/25</t>
  </si>
  <si>
    <t>00:08:10</t>
  </si>
  <si>
    <t>101520/25</t>
  </si>
  <si>
    <t>01:55:13</t>
  </si>
  <si>
    <t>101521/25</t>
  </si>
  <si>
    <t>01:24:56</t>
  </si>
  <si>
    <t>101522/25</t>
  </si>
  <si>
    <t>00:33:04</t>
  </si>
  <si>
    <t>101523/25</t>
  </si>
  <si>
    <t>101524/25</t>
  </si>
  <si>
    <t>01:38:11</t>
  </si>
  <si>
    <t>101525/25</t>
  </si>
  <si>
    <t>26253A2</t>
  </si>
  <si>
    <t>01:40:00</t>
  </si>
  <si>
    <t>101526/25</t>
  </si>
  <si>
    <t>101527/25</t>
  </si>
  <si>
    <t>101528/25</t>
  </si>
  <si>
    <t>02:06:37</t>
  </si>
  <si>
    <t>101529/25</t>
  </si>
  <si>
    <t>101530/25</t>
  </si>
  <si>
    <t>101531/25</t>
  </si>
  <si>
    <t>5918A85</t>
  </si>
  <si>
    <t>02:46:49</t>
  </si>
  <si>
    <t>101532/25</t>
  </si>
  <si>
    <t>01:04:35</t>
  </si>
  <si>
    <t>101533/25</t>
  </si>
  <si>
    <t>101534/25</t>
  </si>
  <si>
    <t>101535/25</t>
  </si>
  <si>
    <t>01:41:02</t>
  </si>
  <si>
    <t>101536/25</t>
  </si>
  <si>
    <t>101537/25</t>
  </si>
  <si>
    <t>101538/25</t>
  </si>
  <si>
    <t>00:15:34</t>
  </si>
  <si>
    <t>101539/25</t>
  </si>
  <si>
    <t>00:08:53</t>
  </si>
  <si>
    <t>101540/25</t>
  </si>
  <si>
    <t>HICHAM BOULAICH</t>
  </si>
  <si>
    <t>06 61 14 92 46</t>
  </si>
  <si>
    <t>ksar Sghir -- Fersioua Tanger</t>
  </si>
  <si>
    <t>67.50/M3</t>
  </si>
  <si>
    <t>EXTRA SERVICE DALIA</t>
  </si>
  <si>
    <t>Ali Extra Service Dalia</t>
  </si>
  <si>
    <t>06 62 11 97 03 - 06 62 11 77 03</t>
  </si>
  <si>
    <t>Avenue Sayda N°68 - Tetouan (M)</t>
  </si>
  <si>
    <t>BAKKALI TAHIRI FRERES SARL</t>
  </si>
  <si>
    <t>Mouhcine Bakkali</t>
  </si>
  <si>
    <t>06 64 43 06 54</t>
  </si>
  <si>
    <t>147 Route De La Montagne - Tanger-Assilah</t>
  </si>
  <si>
    <t>Bon</t>
  </si>
  <si>
    <t>101541/25</t>
  </si>
  <si>
    <t>101542/25</t>
  </si>
  <si>
    <t>101543/25</t>
  </si>
  <si>
    <t>101544/25</t>
  </si>
  <si>
    <t>101545/25</t>
  </si>
  <si>
    <t>101546/25</t>
  </si>
  <si>
    <t>101547/25</t>
  </si>
  <si>
    <t>101548/25</t>
  </si>
  <si>
    <t>101549/25</t>
  </si>
  <si>
    <t>101550/25</t>
  </si>
  <si>
    <t>00:19:09</t>
  </si>
  <si>
    <t>101551/25</t>
  </si>
  <si>
    <t>00:34:21</t>
  </si>
  <si>
    <t>101552/25</t>
  </si>
  <si>
    <t>101553/25</t>
  </si>
  <si>
    <t>101554/25</t>
  </si>
  <si>
    <t>00:19:10</t>
  </si>
  <si>
    <t>101555/25</t>
  </si>
  <si>
    <t>101556/25</t>
  </si>
  <si>
    <t>00:38:07</t>
  </si>
  <si>
    <t>101557/25</t>
  </si>
  <si>
    <t>00:11:08</t>
  </si>
  <si>
    <t>101558/25</t>
  </si>
  <si>
    <t>101559/25</t>
  </si>
  <si>
    <t>101560/25</t>
  </si>
  <si>
    <t>101561/25</t>
  </si>
  <si>
    <t>01:24:42</t>
  </si>
  <si>
    <t>101562/25</t>
  </si>
  <si>
    <t>101563/25</t>
  </si>
  <si>
    <t>01:01:21</t>
  </si>
  <si>
    <t>101564/25</t>
  </si>
  <si>
    <t>101565/25</t>
  </si>
  <si>
    <t>101566/25</t>
  </si>
  <si>
    <t>101567/25</t>
  </si>
  <si>
    <t>101568/25</t>
  </si>
  <si>
    <t>101569/25</t>
  </si>
  <si>
    <t>101570/25</t>
  </si>
  <si>
    <t>101571/25</t>
  </si>
  <si>
    <t>00:32:00</t>
  </si>
  <si>
    <t>101572/25</t>
  </si>
  <si>
    <t>00:44:46</t>
  </si>
  <si>
    <t>101573/25</t>
  </si>
  <si>
    <t>01:26:40</t>
  </si>
  <si>
    <t>101574/25</t>
  </si>
  <si>
    <t>101575/25</t>
  </si>
  <si>
    <t>01:30:16</t>
  </si>
  <si>
    <t>101576/25</t>
  </si>
  <si>
    <t>01:51:12</t>
  </si>
  <si>
    <t>101577/25</t>
  </si>
  <si>
    <t>02:29:17</t>
  </si>
  <si>
    <t>101578/25</t>
  </si>
  <si>
    <t>101579/25</t>
  </si>
  <si>
    <t>101580/25</t>
  </si>
  <si>
    <t>101581/25</t>
  </si>
  <si>
    <t>00:54:05</t>
  </si>
  <si>
    <t>101582/25</t>
  </si>
  <si>
    <t>00:20:40</t>
  </si>
  <si>
    <t>101583/25</t>
  </si>
  <si>
    <t>00:22:27</t>
  </si>
  <si>
    <t>101584/25</t>
  </si>
  <si>
    <t>101585/25</t>
  </si>
  <si>
    <t>00:55:08</t>
  </si>
  <si>
    <t>101586/25</t>
  </si>
  <si>
    <t>01:08:11</t>
  </si>
  <si>
    <t>101587/25</t>
  </si>
  <si>
    <t>101588/25</t>
  </si>
  <si>
    <t>101589/25</t>
  </si>
  <si>
    <t>00:10:28</t>
  </si>
  <si>
    <t>101590/25</t>
  </si>
  <si>
    <t>101591/25</t>
  </si>
  <si>
    <t>101592/25</t>
  </si>
  <si>
    <t>02:03:56</t>
  </si>
  <si>
    <t>101593/25</t>
  </si>
  <si>
    <t>101594/25</t>
  </si>
  <si>
    <t>00:24:55</t>
  </si>
  <si>
    <t>101595/25</t>
  </si>
  <si>
    <t>101596/25</t>
  </si>
  <si>
    <t>101597/25</t>
  </si>
  <si>
    <t>00:37:13</t>
  </si>
  <si>
    <t>101598/25</t>
  </si>
  <si>
    <t>00:22:38</t>
  </si>
  <si>
    <t>101599/25</t>
  </si>
  <si>
    <t>101600/25</t>
  </si>
  <si>
    <t>101601/25</t>
  </si>
  <si>
    <t>01:41:31</t>
  </si>
  <si>
    <t>101602/25</t>
  </si>
  <si>
    <t>101603/25</t>
  </si>
  <si>
    <t>101604/25</t>
  </si>
  <si>
    <t>00:20:14</t>
  </si>
  <si>
    <t>101605/25</t>
  </si>
  <si>
    <t>101606/25</t>
  </si>
  <si>
    <t>00:25:25</t>
  </si>
  <si>
    <t>101607/25</t>
  </si>
  <si>
    <t>101608/25</t>
  </si>
  <si>
    <t>101609/25</t>
  </si>
  <si>
    <t>00:31:22</t>
  </si>
  <si>
    <t>101610/25</t>
  </si>
  <si>
    <t>101611/25</t>
  </si>
  <si>
    <t>101612/25</t>
  </si>
  <si>
    <t>00:43:19</t>
  </si>
  <si>
    <t>101613/25</t>
  </si>
  <si>
    <t>00:32:23</t>
  </si>
  <si>
    <t>101614/25</t>
  </si>
  <si>
    <t>00:48:37</t>
  </si>
  <si>
    <t>101615/25</t>
  </si>
  <si>
    <t>00:53:52</t>
  </si>
  <si>
    <t>101616/25</t>
  </si>
  <si>
    <t>00:57:51</t>
  </si>
  <si>
    <t>101617/25</t>
  </si>
  <si>
    <t>00:41:19</t>
  </si>
  <si>
    <t>101618/25</t>
  </si>
  <si>
    <t>00:56:37</t>
  </si>
  <si>
    <t>101619/25</t>
  </si>
  <si>
    <t>00:56:25</t>
  </si>
  <si>
    <t>101620/25</t>
  </si>
  <si>
    <t>00:40:18</t>
  </si>
  <si>
    <t>101621/25</t>
  </si>
  <si>
    <t>101622/25</t>
  </si>
  <si>
    <t>00:32:35</t>
  </si>
  <si>
    <t>101623/25</t>
  </si>
  <si>
    <t>00:14:31</t>
  </si>
  <si>
    <t>101624/25</t>
  </si>
  <si>
    <t>00:07:43</t>
  </si>
  <si>
    <t>101625/25</t>
  </si>
  <si>
    <t>101626/25</t>
  </si>
  <si>
    <t>101627/25</t>
  </si>
  <si>
    <t>TOUT VENANT 0/100</t>
  </si>
  <si>
    <t>101628/25</t>
  </si>
  <si>
    <t>101629/25</t>
  </si>
  <si>
    <t>18025A4</t>
  </si>
  <si>
    <t>00:20:32</t>
  </si>
  <si>
    <t>101630/25</t>
  </si>
  <si>
    <t>101631/25</t>
  </si>
  <si>
    <t>00:11:33</t>
  </si>
  <si>
    <t>101632/25</t>
  </si>
  <si>
    <t>101633/25</t>
  </si>
  <si>
    <t>00:15:05</t>
  </si>
  <si>
    <t>101634/25</t>
  </si>
  <si>
    <t>101635/25</t>
  </si>
  <si>
    <t>00:45:31</t>
  </si>
  <si>
    <t>101636/25</t>
  </si>
  <si>
    <t>101637/25</t>
  </si>
  <si>
    <t>00:39:20</t>
  </si>
  <si>
    <t>101638/25</t>
  </si>
  <si>
    <t>00:14:48</t>
  </si>
  <si>
    <t>101640/25</t>
  </si>
  <si>
    <t>01:17:27</t>
  </si>
  <si>
    <t>101641/25</t>
  </si>
  <si>
    <t>101642/25</t>
  </si>
  <si>
    <t>101643/25</t>
  </si>
  <si>
    <t>101644/25</t>
  </si>
  <si>
    <t>00:14:43</t>
  </si>
  <si>
    <t>101646/25</t>
  </si>
  <si>
    <t>73652B40</t>
  </si>
  <si>
    <t>01:08:17</t>
  </si>
  <si>
    <t>101647/25</t>
  </si>
  <si>
    <t>LOGISTIC TRANSPORT SUR</t>
  </si>
  <si>
    <t>N8863264</t>
  </si>
  <si>
    <t>Non Echueé</t>
  </si>
  <si>
    <t>Echueé</t>
  </si>
  <si>
    <t>101648/25</t>
  </si>
  <si>
    <t>00:19:24</t>
  </si>
  <si>
    <t>101649/25</t>
  </si>
  <si>
    <t>00:21:17</t>
  </si>
  <si>
    <t>101650/25</t>
  </si>
  <si>
    <t>101651/25</t>
  </si>
  <si>
    <t>00:26:52</t>
  </si>
  <si>
    <t>101652/25</t>
  </si>
  <si>
    <t>101653/25</t>
  </si>
  <si>
    <t>00:20:54</t>
  </si>
  <si>
    <t>101654/25</t>
  </si>
  <si>
    <t>00:44:36</t>
  </si>
  <si>
    <t>101655/25</t>
  </si>
  <si>
    <t>00:46:57</t>
  </si>
  <si>
    <t>101656/25</t>
  </si>
  <si>
    <t>00:48:31</t>
  </si>
  <si>
    <t>101657/25</t>
  </si>
  <si>
    <t>00:58:26</t>
  </si>
  <si>
    <t>101658/25</t>
  </si>
  <si>
    <t>00:56:42</t>
  </si>
  <si>
    <t>101659/25</t>
  </si>
  <si>
    <t>101660/25</t>
  </si>
  <si>
    <t>101661/25</t>
  </si>
  <si>
    <t>01:16:32</t>
  </si>
  <si>
    <t>101662/25</t>
  </si>
  <si>
    <t>101663/25</t>
  </si>
  <si>
    <t>00:15:38</t>
  </si>
  <si>
    <t>101664/25</t>
  </si>
  <si>
    <t>00:35:00</t>
  </si>
  <si>
    <t>101665/25</t>
  </si>
  <si>
    <t>00:09:54</t>
  </si>
  <si>
    <t>101666/25</t>
  </si>
  <si>
    <t>101667/25</t>
  </si>
  <si>
    <t>02:19:03</t>
  </si>
  <si>
    <t>101668/25</t>
  </si>
  <si>
    <t>00:23:43</t>
  </si>
  <si>
    <t>101669/25</t>
  </si>
  <si>
    <t>02:11:14</t>
  </si>
  <si>
    <t>101670/25</t>
  </si>
  <si>
    <t>00:24:03</t>
  </si>
  <si>
    <t>101671/25</t>
  </si>
  <si>
    <t>01:06:21</t>
  </si>
  <si>
    <t>101672/25</t>
  </si>
  <si>
    <t>02:49:19</t>
  </si>
  <si>
    <t>101673/25</t>
  </si>
  <si>
    <t>01:33:54</t>
  </si>
  <si>
    <t>101674/25</t>
  </si>
  <si>
    <t>101675/25</t>
  </si>
  <si>
    <t>03:05:57</t>
  </si>
  <si>
    <t>101676/25</t>
  </si>
  <si>
    <t>02:21:25</t>
  </si>
  <si>
    <t>101677/25</t>
  </si>
  <si>
    <t>00:19:27</t>
  </si>
  <si>
    <t>101678/25</t>
  </si>
  <si>
    <t>02:08:00</t>
  </si>
  <si>
    <t>101679/25</t>
  </si>
  <si>
    <t>101680/25</t>
  </si>
  <si>
    <t>00:10:27</t>
  </si>
  <si>
    <t>101681/25</t>
  </si>
  <si>
    <t>01:33:32</t>
  </si>
  <si>
    <t>101682/25</t>
  </si>
  <si>
    <t>101683/25</t>
  </si>
  <si>
    <t>17634A44</t>
  </si>
  <si>
    <t>101684/25</t>
  </si>
  <si>
    <t>01:50:53</t>
  </si>
  <si>
    <t>101685/25</t>
  </si>
  <si>
    <t>101686/25</t>
  </si>
  <si>
    <t>00:08:24</t>
  </si>
  <si>
    <t>101687/25</t>
  </si>
  <si>
    <t>101688/25</t>
  </si>
  <si>
    <t>00:14:16</t>
  </si>
  <si>
    <t>101689/25</t>
  </si>
  <si>
    <t>00:10:05</t>
  </si>
  <si>
    <t>101690/25</t>
  </si>
  <si>
    <t>05:05:35</t>
  </si>
  <si>
    <t>101691/25</t>
  </si>
  <si>
    <t>00:04:32</t>
  </si>
  <si>
    <t>101692/25</t>
  </si>
  <si>
    <t>101693/25</t>
  </si>
  <si>
    <t>03:00:44</t>
  </si>
  <si>
    <t>101694/25</t>
  </si>
  <si>
    <t>101695/25</t>
  </si>
  <si>
    <t>101696/25</t>
  </si>
  <si>
    <t>101697/25</t>
  </si>
  <si>
    <t>101698/25</t>
  </si>
  <si>
    <t>00:16:43</t>
  </si>
  <si>
    <t>101699/25</t>
  </si>
  <si>
    <t>101701/25</t>
  </si>
  <si>
    <t>101702/25</t>
  </si>
  <si>
    <t>00:09:46</t>
  </si>
  <si>
    <t>101703/25</t>
  </si>
  <si>
    <t>00:08:28</t>
  </si>
  <si>
    <t>101704/25</t>
  </si>
  <si>
    <t>00:04:15</t>
  </si>
  <si>
    <t>101705/25</t>
  </si>
  <si>
    <t>101706/25</t>
  </si>
  <si>
    <t>00:12:50</t>
  </si>
  <si>
    <t>101707/25</t>
  </si>
  <si>
    <t>00:08:43</t>
  </si>
  <si>
    <t>101708/25</t>
  </si>
  <si>
    <t>01:17:21</t>
  </si>
  <si>
    <t>101709/25</t>
  </si>
  <si>
    <t>00:05:36</t>
  </si>
  <si>
    <t>101710/25</t>
  </si>
  <si>
    <t>00:18:25</t>
  </si>
  <si>
    <t>101711/25</t>
  </si>
  <si>
    <t>101712/25</t>
  </si>
  <si>
    <t>101713/25</t>
  </si>
  <si>
    <t>00:35:02</t>
  </si>
  <si>
    <t>101714/25</t>
  </si>
  <si>
    <t>101715/25</t>
  </si>
  <si>
    <t>101716/25</t>
  </si>
  <si>
    <t>101717/25</t>
  </si>
  <si>
    <t>101718/25</t>
  </si>
  <si>
    <t>101719/25</t>
  </si>
  <si>
    <t>101720/25</t>
  </si>
  <si>
    <t>00:23:40</t>
  </si>
  <si>
    <t>101721/25</t>
  </si>
  <si>
    <t>00:24:58</t>
  </si>
  <si>
    <t>101722/25</t>
  </si>
  <si>
    <t>00:25:20</t>
  </si>
  <si>
    <t>101723/25</t>
  </si>
  <si>
    <t>101724/25</t>
  </si>
  <si>
    <t>101725/25</t>
  </si>
  <si>
    <t>101726/25</t>
  </si>
  <si>
    <t>00:43:09</t>
  </si>
  <si>
    <t>101727/25</t>
  </si>
  <si>
    <t>00:12:04</t>
  </si>
  <si>
    <t>101728/25</t>
  </si>
  <si>
    <t>101729/25</t>
  </si>
  <si>
    <t>101730/25</t>
  </si>
  <si>
    <t>101731/25</t>
  </si>
  <si>
    <t>00:20:48</t>
  </si>
  <si>
    <t>101732/25</t>
  </si>
  <si>
    <t>101733/25</t>
  </si>
  <si>
    <t>101734/25</t>
  </si>
  <si>
    <t>00:10:44</t>
  </si>
  <si>
    <t>101735/25</t>
  </si>
  <si>
    <t>101736/25</t>
  </si>
  <si>
    <t>101737/25</t>
  </si>
  <si>
    <t>101738/25</t>
  </si>
  <si>
    <t>101739/25</t>
  </si>
  <si>
    <t>101740/25</t>
  </si>
  <si>
    <t>101741/25</t>
  </si>
  <si>
    <t>101742/25</t>
  </si>
  <si>
    <t>00:33:11</t>
  </si>
  <si>
    <t>101743/25</t>
  </si>
  <si>
    <t>101744/25</t>
  </si>
  <si>
    <t>101745/25</t>
  </si>
  <si>
    <t>101746/25</t>
  </si>
  <si>
    <t>101747/25</t>
  </si>
  <si>
    <t>101748/25</t>
  </si>
  <si>
    <t>101749/25</t>
  </si>
  <si>
    <t>01:09:17</t>
  </si>
  <si>
    <t>101750/25</t>
  </si>
  <si>
    <t>00:19:21</t>
  </si>
  <si>
    <t>101751/25</t>
  </si>
  <si>
    <t>101752/25</t>
  </si>
  <si>
    <t>01:14:24</t>
  </si>
  <si>
    <t>101753/25</t>
  </si>
  <si>
    <t>01:48:10</t>
  </si>
  <si>
    <t>101754/25</t>
  </si>
  <si>
    <t>00:51:14</t>
  </si>
  <si>
    <t>101755/25</t>
  </si>
  <si>
    <t>00:55:30</t>
  </si>
  <si>
    <t>101756/25</t>
  </si>
  <si>
    <t>00:37:40</t>
  </si>
  <si>
    <t>101757/25</t>
  </si>
  <si>
    <t>00:44:52</t>
  </si>
  <si>
    <t>101759/25</t>
  </si>
  <si>
    <t>01:17:23</t>
  </si>
  <si>
    <t>101760/25</t>
  </si>
  <si>
    <t>00:44:50</t>
  </si>
  <si>
    <t>101761/25</t>
  </si>
  <si>
    <t>101762/25</t>
  </si>
  <si>
    <t>101763/25</t>
  </si>
  <si>
    <t>00:48:47</t>
  </si>
  <si>
    <t>101764/25</t>
  </si>
  <si>
    <t>101765/25</t>
  </si>
  <si>
    <t>00:28:56</t>
  </si>
  <si>
    <t>101766/25</t>
  </si>
  <si>
    <t>101767/25</t>
  </si>
  <si>
    <t>00:14:41</t>
  </si>
  <si>
    <t>101768/25</t>
  </si>
  <si>
    <t>00:39:32</t>
  </si>
  <si>
    <t>101770/25</t>
  </si>
  <si>
    <t>00:37:06</t>
  </si>
  <si>
    <t>101771/25</t>
  </si>
  <si>
    <t>101772/25</t>
  </si>
  <si>
    <t>00:26:19</t>
  </si>
  <si>
    <t>101773/25</t>
  </si>
  <si>
    <t>00:21:50</t>
  </si>
  <si>
    <t>101774/25</t>
  </si>
  <si>
    <t>101775/25</t>
  </si>
  <si>
    <t>101776/25</t>
  </si>
  <si>
    <t>00:20:58</t>
  </si>
  <si>
    <t>101777/25</t>
  </si>
  <si>
    <t>00:16:24</t>
  </si>
  <si>
    <t>101778/25</t>
  </si>
  <si>
    <t>101779/25</t>
  </si>
  <si>
    <t>101780/25</t>
  </si>
  <si>
    <t>101781/25</t>
  </si>
  <si>
    <t>101782/25</t>
  </si>
  <si>
    <t>101783/25</t>
  </si>
  <si>
    <t>00:16:31</t>
  </si>
  <si>
    <t>101784/25</t>
  </si>
  <si>
    <t>101785/25</t>
  </si>
  <si>
    <t>101786/25</t>
  </si>
  <si>
    <t>101787/25</t>
  </si>
  <si>
    <t>101788/25</t>
  </si>
  <si>
    <t>00:34:12</t>
  </si>
  <si>
    <t>101789/25</t>
  </si>
  <si>
    <t>00:13:16</t>
  </si>
  <si>
    <t>101790/25</t>
  </si>
  <si>
    <t>101791/25</t>
  </si>
  <si>
    <t>00:24:50</t>
  </si>
  <si>
    <t>101792/25</t>
  </si>
  <si>
    <t>101793/25</t>
  </si>
  <si>
    <t>101794/25</t>
  </si>
  <si>
    <t>101795/25</t>
  </si>
  <si>
    <t>00:19:49</t>
  </si>
  <si>
    <t>101796/25</t>
  </si>
  <si>
    <t>101797/25</t>
  </si>
  <si>
    <t>00:23:47</t>
  </si>
  <si>
    <t>101798/25</t>
  </si>
  <si>
    <t>101799/25</t>
  </si>
  <si>
    <t>00:39:39</t>
  </si>
  <si>
    <t>101800/25</t>
  </si>
  <si>
    <t>00:37:53</t>
  </si>
  <si>
    <t>101801/25</t>
  </si>
  <si>
    <t>101802/25</t>
  </si>
  <si>
    <t>00:47:18</t>
  </si>
  <si>
    <t>101803/25</t>
  </si>
  <si>
    <t>00:46:00</t>
  </si>
  <si>
    <t>101804/25</t>
  </si>
  <si>
    <t>101805/25</t>
  </si>
  <si>
    <t>01:01:44</t>
  </si>
  <si>
    <t>101806/25</t>
  </si>
  <si>
    <t>101807/25</t>
  </si>
  <si>
    <t>00:32:29</t>
  </si>
  <si>
    <t>101808/25</t>
  </si>
  <si>
    <t>00:30:21</t>
  </si>
  <si>
    <t>101809/25</t>
  </si>
  <si>
    <t>00:19:52</t>
  </si>
  <si>
    <t>101810/25</t>
  </si>
  <si>
    <t>101811/25</t>
  </si>
  <si>
    <t>101812/25</t>
  </si>
  <si>
    <t>101813/25</t>
  </si>
  <si>
    <t>00:14:07</t>
  </si>
  <si>
    <t>101814/25</t>
  </si>
  <si>
    <t>24893D40</t>
  </si>
  <si>
    <t>02:24:42</t>
  </si>
  <si>
    <t>101815/25</t>
  </si>
  <si>
    <t>101816/25</t>
  </si>
  <si>
    <t>101817/25</t>
  </si>
  <si>
    <t>01:50:09</t>
  </si>
  <si>
    <t>101819/25</t>
  </si>
  <si>
    <t>01:33:42</t>
  </si>
  <si>
    <t>101820/25</t>
  </si>
  <si>
    <t>00:36:50</t>
  </si>
  <si>
    <t>101821/25</t>
  </si>
  <si>
    <t>00:10:08</t>
  </si>
  <si>
    <t>101822/25</t>
  </si>
  <si>
    <t>01:42:51</t>
  </si>
  <si>
    <t>101823/25</t>
  </si>
  <si>
    <t>101824/25</t>
  </si>
  <si>
    <t>00:07:08</t>
  </si>
  <si>
    <t>101825/25</t>
  </si>
  <si>
    <t>101826/25</t>
  </si>
  <si>
    <t>00:10:35</t>
  </si>
  <si>
    <t>101827/25</t>
  </si>
  <si>
    <t>101828/25</t>
  </si>
  <si>
    <t>101829/25</t>
  </si>
  <si>
    <t>158A75</t>
  </si>
  <si>
    <t>00:42:19</t>
  </si>
  <si>
    <t>101830/25</t>
  </si>
  <si>
    <t>101831/25</t>
  </si>
  <si>
    <t>00:07:25</t>
  </si>
  <si>
    <t>101832/25</t>
  </si>
  <si>
    <t>101833/25</t>
  </si>
  <si>
    <t>101834/25</t>
  </si>
  <si>
    <t>101835/25</t>
  </si>
  <si>
    <t>00:38:30</t>
  </si>
  <si>
    <t>101836/25</t>
  </si>
  <si>
    <t>00:13:51</t>
  </si>
  <si>
    <t>101837/25</t>
  </si>
  <si>
    <t>101838/25</t>
  </si>
  <si>
    <t>101839/25</t>
  </si>
  <si>
    <t>00:24:29</t>
  </si>
  <si>
    <t>101840/25</t>
  </si>
  <si>
    <t>101841/25</t>
  </si>
  <si>
    <t>00:32:55</t>
  </si>
  <si>
    <t>101842/25</t>
  </si>
  <si>
    <t>101843/25</t>
  </si>
  <si>
    <t>00:35:01</t>
  </si>
  <si>
    <t>101844/25</t>
  </si>
  <si>
    <t>101845/25</t>
  </si>
  <si>
    <t>101846/25</t>
  </si>
  <si>
    <t>101847/25</t>
  </si>
  <si>
    <t>101848/25</t>
  </si>
  <si>
    <t>101849/25</t>
  </si>
  <si>
    <t>101850/25</t>
  </si>
  <si>
    <t>101851/25</t>
  </si>
  <si>
    <t>101852/25</t>
  </si>
  <si>
    <t>00:09:23</t>
  </si>
  <si>
    <t>101853/25</t>
  </si>
  <si>
    <t>101854/25</t>
  </si>
  <si>
    <t>101855/25</t>
  </si>
  <si>
    <t>101856/25</t>
  </si>
  <si>
    <t>00:12:03</t>
  </si>
  <si>
    <t>101857/25</t>
  </si>
  <si>
    <t>00:08:25</t>
  </si>
  <si>
    <t>101858/25</t>
  </si>
  <si>
    <t>101859/25</t>
  </si>
  <si>
    <t>00:38:50</t>
  </si>
  <si>
    <t>101860/25</t>
  </si>
  <si>
    <t>00:45:20</t>
  </si>
  <si>
    <t>101861/25</t>
  </si>
  <si>
    <t>00:11:00</t>
  </si>
  <si>
    <t>101863/25</t>
  </si>
  <si>
    <t>00:27:58</t>
  </si>
  <si>
    <t>101864/25</t>
  </si>
  <si>
    <t>00:43:42</t>
  </si>
  <si>
    <t>101865/25</t>
  </si>
  <si>
    <t>00:41:24</t>
  </si>
  <si>
    <t>101866/25</t>
  </si>
  <si>
    <t>00:48:12</t>
  </si>
  <si>
    <t>101867/25</t>
  </si>
  <si>
    <t>00:46:43</t>
  </si>
  <si>
    <t>101868/25</t>
  </si>
  <si>
    <t>101869/25</t>
  </si>
  <si>
    <t>101870/25</t>
  </si>
  <si>
    <t>CHEQ N00000341</t>
  </si>
  <si>
    <t>CHEQ N00000343</t>
  </si>
  <si>
    <t>N0060995</t>
  </si>
  <si>
    <t>N0060994</t>
  </si>
  <si>
    <t>N3100614</t>
  </si>
  <si>
    <t>REMISE ESPECE N3100614</t>
  </si>
  <si>
    <t>PREFA</t>
  </si>
  <si>
    <t>AZIZ BENANI</t>
  </si>
  <si>
    <t>contact@detroitplancher.com</t>
  </si>
  <si>
    <t>06 61 10 24 24</t>
  </si>
  <si>
    <t>Route De Tetouan Km 18 Hakkama Propriete Dite Nabila Tf 13239/19 - Tanger-Médina (AR)</t>
  </si>
  <si>
    <t>Avenue Hassan Ii, Immeuble Yassmina, Hay Ibn Sina N°86 - Temara (M)</t>
  </si>
  <si>
    <t>16.00/T</t>
  </si>
  <si>
    <t>00:09:05</t>
  </si>
  <si>
    <t>101871/25</t>
  </si>
  <si>
    <t>00:13:59</t>
  </si>
  <si>
    <t>101872/25</t>
  </si>
  <si>
    <t>101873/25</t>
  </si>
  <si>
    <t>101874/25</t>
  </si>
  <si>
    <t>101875/25</t>
  </si>
  <si>
    <t>101876/25</t>
  </si>
  <si>
    <t>101877/25</t>
  </si>
  <si>
    <t>00:34:36</t>
  </si>
  <si>
    <t>101878/25</t>
  </si>
  <si>
    <t>00:33:35</t>
  </si>
  <si>
    <t>101879/25</t>
  </si>
  <si>
    <t>101880/25</t>
  </si>
  <si>
    <t>101881/25</t>
  </si>
  <si>
    <t>101882/25</t>
  </si>
  <si>
    <t>00:16:09</t>
  </si>
  <si>
    <t>101883/25</t>
  </si>
  <si>
    <t>00:17:22</t>
  </si>
  <si>
    <t>101884/25</t>
  </si>
  <si>
    <t>00:13:28</t>
  </si>
  <si>
    <t>101885/25</t>
  </si>
  <si>
    <t>00:07:52</t>
  </si>
  <si>
    <t>101886/25</t>
  </si>
  <si>
    <t>101887/25</t>
  </si>
  <si>
    <t>101888/25</t>
  </si>
  <si>
    <t>101889/25</t>
  </si>
  <si>
    <t>101890/25</t>
  </si>
  <si>
    <t>101891/25</t>
  </si>
  <si>
    <t>00:27:37</t>
  </si>
  <si>
    <t>101892/25</t>
  </si>
  <si>
    <t>101893/25</t>
  </si>
  <si>
    <t>00:08:34</t>
  </si>
  <si>
    <t>101894/25</t>
  </si>
  <si>
    <t>101895/25</t>
  </si>
  <si>
    <t>00:16:58</t>
  </si>
  <si>
    <t>101896/25</t>
  </si>
  <si>
    <t>101897/25</t>
  </si>
  <si>
    <t>101898/25</t>
  </si>
  <si>
    <t>101899/25</t>
  </si>
  <si>
    <t>101900/25</t>
  </si>
  <si>
    <t>101901/25</t>
  </si>
  <si>
    <t>101902/25</t>
  </si>
  <si>
    <t>101903/25</t>
  </si>
  <si>
    <t>101904/25</t>
  </si>
  <si>
    <t>101905/25</t>
  </si>
  <si>
    <t>00:09:37</t>
  </si>
  <si>
    <t>101906/25</t>
  </si>
  <si>
    <t>101907/25</t>
  </si>
  <si>
    <t>101908/25</t>
  </si>
  <si>
    <t>101909/25</t>
  </si>
  <si>
    <t>101910/25</t>
  </si>
  <si>
    <t>101911/25</t>
  </si>
  <si>
    <t>101912/25</t>
  </si>
  <si>
    <t>00:29:31</t>
  </si>
  <si>
    <t>101913/25</t>
  </si>
  <si>
    <t>101914/25</t>
  </si>
  <si>
    <t>AG</t>
  </si>
  <si>
    <t>AGREGATS DE POSE</t>
  </si>
  <si>
    <t>101915/25</t>
  </si>
  <si>
    <t>00:26:37</t>
  </si>
  <si>
    <t>101916/25</t>
  </si>
  <si>
    <t>101917/25</t>
  </si>
  <si>
    <t>101918/25</t>
  </si>
  <si>
    <t>00:28:48</t>
  </si>
  <si>
    <t>101919/25</t>
  </si>
  <si>
    <t>00:29:05</t>
  </si>
  <si>
    <t>101920/25</t>
  </si>
  <si>
    <t>101921/25</t>
  </si>
  <si>
    <t>101922/25</t>
  </si>
  <si>
    <t>00:14:04</t>
  </si>
  <si>
    <t>101923/25</t>
  </si>
  <si>
    <t>01:05:14</t>
  </si>
  <si>
    <t>101924/25</t>
  </si>
  <si>
    <t>00:33:24</t>
  </si>
  <si>
    <t>101925/25</t>
  </si>
  <si>
    <t>01:04:27</t>
  </si>
  <si>
    <t>101926/25</t>
  </si>
  <si>
    <t>101927/25</t>
  </si>
  <si>
    <t>101928/25</t>
  </si>
  <si>
    <t>101929/25</t>
  </si>
  <si>
    <t>00:20:36</t>
  </si>
  <si>
    <t>101930/25</t>
  </si>
  <si>
    <t>01:42:57</t>
  </si>
  <si>
    <t>101931/25</t>
  </si>
  <si>
    <t>01:26:03</t>
  </si>
  <si>
    <t>101932/25</t>
  </si>
  <si>
    <t>101933/25</t>
  </si>
  <si>
    <t>00:25:59</t>
  </si>
  <si>
    <t>101934/25</t>
  </si>
  <si>
    <t>101935/25</t>
  </si>
  <si>
    <t>00:35:30</t>
  </si>
  <si>
    <t>101936/25</t>
  </si>
  <si>
    <t>101937/25</t>
  </si>
  <si>
    <t>101938/25</t>
  </si>
  <si>
    <t>00:11:27</t>
  </si>
  <si>
    <t>101939/25</t>
  </si>
  <si>
    <t>101940/25</t>
  </si>
  <si>
    <t>101941/25</t>
  </si>
  <si>
    <t>PRODUTS</t>
  </si>
  <si>
    <t>UNITE</t>
  </si>
  <si>
    <t>T</t>
  </si>
  <si>
    <t>CoutRevienENT</t>
  </si>
  <si>
    <t>CoutRevienENM3</t>
  </si>
  <si>
    <t>120 Jours</t>
  </si>
  <si>
    <t>60 Jours</t>
  </si>
  <si>
    <t>90 Jours</t>
  </si>
  <si>
    <t>EFFET-COMP</t>
  </si>
  <si>
    <t>ESPECE-VIRMENT</t>
  </si>
  <si>
    <t>ESPECE-COMP</t>
  </si>
  <si>
    <t>ESPECE-EFFET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</si>
</sst>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_-* #,##0.00_-;\-* #,##0.00_-;_-* &quot;-&quot;??_-;_-@_-"/>
    <numFmt numFmtId="165" formatCode="_-* #,##0.00\ _€_-;\-* #,##0.00\ _€_-;_-* &quot;-&quot;??\ _€_-;_-@_-"/>
    <numFmt numFmtId="166" formatCode="_ * #,##0.00_)_ ;_ * \(#,##0.00\)_ ;_ * &quot;-&quot;??_)_ ;_ @_ "/>
    <numFmt numFmtId="167" formatCode="_-* #,##0.00\ &quot;€&quot;_-;\-* #,##0.00\ &quot;€&quot;_-;_-* &quot;-&quot;??\ &quot;€&quot;_-;_-@_-"/>
    <numFmt numFmtId="168" formatCode="dd/mm/yy;@"/>
    <numFmt numFmtId="169" formatCode="[$-809]dd\ mmmm\ yyyy;@"/>
    <numFmt numFmtId="170" formatCode="[$-F400]h:mm:ss\ AM/PM"/>
    <numFmt numFmtId="171" formatCode="yyyy\-mm\-dd;@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Times New Roman"/>
      <family val="1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Times New Roman"/>
      <family val="1"/>
    </font>
    <font>
      <sz val="12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b/>
      <i/>
      <sz val="10"/>
      <name val="Times New Roman"/>
      <family val="1"/>
    </font>
    <font>
      <sz val="9"/>
      <color theme="0"/>
      <name val="Times New Roman"/>
      <family val="1"/>
    </font>
    <font>
      <sz val="9"/>
      <color theme="1"/>
      <name val="Times New Roman"/>
      <family val="1"/>
    </font>
    <font>
      <sz val="10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505050"/>
      <name val="Arial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/>
    <xf numFmtId="0" fontId="12" fillId="0" borderId="0" applyNumberFormat="0" applyFill="0" applyBorder="0" applyAlignment="0" applyProtection="0"/>
  </cellStyleXfs>
  <cellXfs count="93">
    <xf numFmtId="0" fontId="0" fillId="0" borderId="0" xfId="0"/>
    <xf numFmtId="14" fontId="2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165" fontId="2" fillId="2" borderId="2" xfId="0" applyNumberFormat="1" applyFont="1" applyFill="1" applyBorder="1" applyAlignment="1">
      <alignment horizontal="center" vertical="center"/>
    </xf>
    <xf numFmtId="165" fontId="2" fillId="2" borderId="2" xfId="2" applyNumberFormat="1" applyFont="1" applyFill="1" applyBorder="1" applyAlignment="1">
      <alignment horizontal="center" vertical="center"/>
    </xf>
    <xf numFmtId="165" fontId="2" fillId="2" borderId="2" xfId="0" applyNumberFormat="1" applyFont="1" applyFill="1" applyBorder="1" applyAlignment="1">
      <alignment horizontal="center" vertical="center" wrapText="1"/>
    </xf>
    <xf numFmtId="165" fontId="2" fillId="2" borderId="3" xfId="2" applyNumberFormat="1" applyFont="1" applyFill="1" applyBorder="1" applyAlignment="1">
      <alignment horizontal="center" vertical="center" wrapText="1"/>
    </xf>
    <xf numFmtId="165" fontId="2" fillId="2" borderId="4" xfId="0" applyNumberFormat="1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14" fontId="0" fillId="0" borderId="7" xfId="0" applyNumberFormat="1" applyBorder="1"/>
    <xf numFmtId="0" fontId="0" fillId="0" borderId="7" xfId="0" applyBorder="1" applyAlignment="1">
      <alignment horizontal="center"/>
    </xf>
    <xf numFmtId="0" fontId="0" fillId="0" borderId="7" xfId="0" applyBorder="1"/>
    <xf numFmtId="2" fontId="0" fillId="0" borderId="7" xfId="0" applyNumberFormat="1" applyBorder="1" applyAlignment="1">
      <alignment horizontal="center"/>
    </xf>
    <xf numFmtId="2" fontId="0" fillId="0" borderId="7" xfId="0" applyNumberFormat="1" applyBorder="1"/>
    <xf numFmtId="2" fontId="0" fillId="0" borderId="7" xfId="0" applyNumberFormat="1" applyBorder="1" applyAlignment="1">
      <alignment horizontal="right"/>
    </xf>
    <xf numFmtId="2" fontId="3" fillId="0" borderId="7" xfId="0" applyNumberFormat="1" applyFont="1" applyBorder="1" applyAlignment="1">
      <alignment horizontal="right"/>
    </xf>
    <xf numFmtId="168" fontId="5" fillId="0" borderId="7" xfId="3" applyNumberFormat="1" applyFont="1" applyFill="1" applyBorder="1" applyAlignment="1">
      <alignment horizontal="center"/>
    </xf>
    <xf numFmtId="14" fontId="5" fillId="0" borderId="7" xfId="3" applyNumberFormat="1" applyFont="1" applyFill="1" applyBorder="1" applyAlignment="1">
      <alignment horizontal="center"/>
    </xf>
    <xf numFmtId="164" fontId="5" fillId="0" borderId="7" xfId="1" applyFont="1" applyFill="1" applyBorder="1" applyAlignment="1">
      <alignment horizontal="center"/>
    </xf>
    <xf numFmtId="165" fontId="8" fillId="0" borderId="7" xfId="3" applyNumberFormat="1" applyFont="1" applyFill="1" applyBorder="1" applyAlignment="1">
      <alignment horizontal="left" vertical="center" wrapText="1"/>
    </xf>
    <xf numFmtId="0" fontId="4" fillId="0" borderId="0" xfId="0" applyFont="1"/>
    <xf numFmtId="165" fontId="7" fillId="3" borderId="10" xfId="4" applyNumberFormat="1" applyFont="1" applyFill="1" applyBorder="1" applyAlignment="1">
      <alignment horizontal="center" vertical="center" wrapText="1"/>
    </xf>
    <xf numFmtId="14" fontId="7" fillId="3" borderId="9" xfId="4" applyNumberFormat="1" applyFont="1" applyFill="1" applyBorder="1" applyAlignment="1">
      <alignment horizontal="center" vertical="center" wrapText="1"/>
    </xf>
    <xf numFmtId="14" fontId="7" fillId="3" borderId="10" xfId="4" applyNumberFormat="1" applyFont="1" applyFill="1" applyBorder="1" applyAlignment="1">
      <alignment horizontal="center" vertical="center" wrapText="1"/>
    </xf>
    <xf numFmtId="165" fontId="7" fillId="3" borderId="9" xfId="2" applyNumberFormat="1" applyFont="1" applyFill="1" applyBorder="1" applyAlignment="1">
      <alignment horizontal="center" vertical="center" wrapText="1"/>
    </xf>
    <xf numFmtId="14" fontId="7" fillId="3" borderId="9" xfId="4" applyNumberFormat="1" applyFont="1" applyFill="1" applyBorder="1" applyAlignment="1">
      <alignment horizontal="center" vertical="center" wrapText="1" shrinkToFit="1"/>
    </xf>
    <xf numFmtId="165" fontId="7" fillId="3" borderId="7" xfId="4" applyNumberFormat="1" applyFont="1" applyFill="1" applyBorder="1" applyAlignment="1">
      <alignment horizontal="center" vertical="center" wrapText="1"/>
    </xf>
    <xf numFmtId="17" fontId="0" fillId="0" borderId="7" xfId="0" applyNumberFormat="1" applyBorder="1" applyAlignment="1">
      <alignment horizontal="left"/>
    </xf>
    <xf numFmtId="164" fontId="0" fillId="0" borderId="7" xfId="1" applyFont="1" applyBorder="1"/>
    <xf numFmtId="0" fontId="9" fillId="3" borderId="7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/>
    <xf numFmtId="164" fontId="10" fillId="0" borderId="7" xfId="1" applyFont="1" applyBorder="1"/>
    <xf numFmtId="164" fontId="10" fillId="0" borderId="0" xfId="1" applyFont="1"/>
    <xf numFmtId="164" fontId="0" fillId="0" borderId="7" xfId="1" applyFont="1" applyFill="1" applyBorder="1"/>
    <xf numFmtId="0" fontId="11" fillId="0" borderId="0" xfId="0" applyFont="1"/>
    <xf numFmtId="0" fontId="1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1" fillId="2" borderId="7" xfId="0" applyFont="1" applyFill="1" applyBorder="1" applyAlignment="1">
      <alignment horizontal="center"/>
    </xf>
    <xf numFmtId="0" fontId="11" fillId="0" borderId="7" xfId="0" applyFont="1" applyBorder="1"/>
    <xf numFmtId="0" fontId="11" fillId="0" borderId="7" xfId="0" applyFont="1" applyBorder="1" applyAlignment="1">
      <alignment horizontal="center"/>
    </xf>
    <xf numFmtId="0" fontId="12" fillId="0" borderId="7" xfId="5" applyBorder="1" applyAlignment="1">
      <alignment horizontal="center"/>
    </xf>
    <xf numFmtId="169" fontId="11" fillId="0" borderId="7" xfId="0" applyNumberFormat="1" applyFont="1" applyBorder="1" applyAlignment="1">
      <alignment horizontal="center"/>
    </xf>
    <xf numFmtId="164" fontId="11" fillId="0" borderId="7" xfId="1" applyFont="1" applyBorder="1" applyAlignment="1">
      <alignment horizontal="center"/>
    </xf>
    <xf numFmtId="0" fontId="11" fillId="2" borderId="11" xfId="0" applyFont="1" applyFill="1" applyBorder="1" applyAlignment="1">
      <alignment horizontal="center"/>
    </xf>
    <xf numFmtId="164" fontId="11" fillId="0" borderId="7" xfId="0" applyNumberFormat="1" applyFont="1" applyBorder="1"/>
    <xf numFmtId="0" fontId="13" fillId="0" borderId="7" xfId="0" applyFont="1" applyBorder="1" applyAlignment="1">
      <alignment horizontal="center"/>
    </xf>
    <xf numFmtId="9" fontId="11" fillId="0" borderId="7" xfId="0" applyNumberFormat="1" applyFont="1" applyBorder="1" applyAlignment="1">
      <alignment horizontal="center"/>
    </xf>
    <xf numFmtId="2" fontId="11" fillId="0" borderId="7" xfId="1" applyNumberFormat="1" applyFont="1" applyBorder="1" applyAlignment="1">
      <alignment horizontal="center"/>
    </xf>
    <xf numFmtId="0" fontId="12" fillId="0" borderId="11" xfId="5" applyBorder="1" applyAlignment="1">
      <alignment horizontal="center"/>
    </xf>
    <xf numFmtId="14" fontId="5" fillId="0" borderId="7" xfId="3" applyNumberFormat="1" applyFont="1" applyFill="1" applyBorder="1" applyAlignment="1">
      <alignment horizontal="left" wrapText="1" shrinkToFit="1"/>
    </xf>
    <xf numFmtId="165" fontId="14" fillId="3" borderId="4" xfId="2" applyNumberFormat="1" applyFont="1" applyFill="1" applyBorder="1" applyAlignment="1">
      <alignment horizontal="center" vertical="center" wrapText="1"/>
    </xf>
    <xf numFmtId="49" fontId="14" fillId="3" borderId="1" xfId="2" applyNumberFormat="1" applyFont="1" applyFill="1" applyBorder="1" applyAlignment="1">
      <alignment horizontal="center" vertical="center" wrapText="1"/>
    </xf>
    <xf numFmtId="49" fontId="14" fillId="3" borderId="12" xfId="2" applyNumberFormat="1" applyFont="1" applyFill="1" applyBorder="1" applyAlignment="1">
      <alignment horizontal="center" vertical="center" wrapText="1"/>
    </xf>
    <xf numFmtId="49" fontId="14" fillId="3" borderId="13" xfId="2" applyNumberFormat="1" applyFont="1" applyFill="1" applyBorder="1" applyAlignment="1">
      <alignment horizontal="center" vertical="center" wrapText="1"/>
    </xf>
    <xf numFmtId="165" fontId="14" fillId="3" borderId="13" xfId="2" applyNumberFormat="1" applyFont="1" applyFill="1" applyBorder="1" applyAlignment="1">
      <alignment horizontal="center" vertical="center" wrapText="1"/>
    </xf>
    <xf numFmtId="165" fontId="14" fillId="3" borderId="4" xfId="4" applyNumberFormat="1" applyFont="1" applyFill="1" applyBorder="1" applyAlignment="1">
      <alignment horizontal="center" vertical="center" wrapText="1"/>
    </xf>
    <xf numFmtId="165" fontId="14" fillId="3" borderId="14" xfId="4" applyNumberFormat="1" applyFont="1" applyFill="1" applyBorder="1" applyAlignment="1">
      <alignment horizontal="center" vertical="center" wrapText="1"/>
    </xf>
    <xf numFmtId="0" fontId="1" fillId="0" borderId="0" xfId="0" applyFont="1"/>
    <xf numFmtId="0" fontId="3" fillId="0" borderId="8" xfId="0" applyFont="1" applyBorder="1" applyAlignment="1">
      <alignment horizontal="left"/>
    </xf>
    <xf numFmtId="0" fontId="3" fillId="0" borderId="8" xfId="0" applyFont="1" applyBorder="1" applyAlignment="1">
      <alignment horizontal="center"/>
    </xf>
    <xf numFmtId="164" fontId="3" fillId="0" borderId="8" xfId="1" applyFont="1" applyBorder="1" applyAlignment="1">
      <alignment horizontal="center"/>
    </xf>
    <xf numFmtId="164" fontId="3" fillId="0" borderId="8" xfId="0" applyNumberFormat="1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7" xfId="0" applyFont="1" applyBorder="1" applyAlignment="1">
      <alignment horizontal="left"/>
    </xf>
    <xf numFmtId="0" fontId="3" fillId="0" borderId="7" xfId="0" applyFont="1" applyBorder="1"/>
    <xf numFmtId="0" fontId="0" fillId="0" borderId="7" xfId="0" applyBorder="1" applyAlignment="1">
      <alignment horizontal="left"/>
    </xf>
    <xf numFmtId="0" fontId="0" fillId="0" borderId="0" xfId="0" applyAlignment="1">
      <alignment horizontal="left"/>
    </xf>
    <xf numFmtId="170" fontId="0" fillId="0" borderId="7" xfId="0" applyNumberFormat="1" applyBorder="1" applyAlignment="1">
      <alignment horizontal="center"/>
    </xf>
    <xf numFmtId="166" fontId="0" fillId="0" borderId="7" xfId="2" applyFont="1" applyFill="1" applyBorder="1" applyAlignment="1">
      <alignment horizontal="right"/>
    </xf>
    <xf numFmtId="2" fontId="0" fillId="0" borderId="8" xfId="0" applyNumberFormat="1" applyBorder="1"/>
    <xf numFmtId="2" fontId="0" fillId="0" borderId="7" xfId="2" applyNumberFormat="1" applyFont="1" applyFill="1" applyBorder="1" applyAlignment="1">
      <alignment horizontal="right"/>
    </xf>
    <xf numFmtId="166" fontId="0" fillId="0" borderId="7" xfId="2" applyFont="1" applyFill="1" applyBorder="1" applyAlignment="1">
      <alignment horizontal="center"/>
    </xf>
    <xf numFmtId="166" fontId="0" fillId="0" borderId="7" xfId="2" applyFont="1" applyFill="1" applyBorder="1"/>
    <xf numFmtId="0" fontId="2" fillId="2" borderId="5" xfId="0" applyFont="1" applyFill="1" applyBorder="1" applyAlignment="1">
      <alignment horizontal="left" vertical="center"/>
    </xf>
    <xf numFmtId="164" fontId="0" fillId="0" borderId="8" xfId="1" applyFont="1" applyBorder="1" applyAlignment="1">
      <alignment horizontal="center"/>
    </xf>
    <xf numFmtId="164" fontId="0" fillId="0" borderId="8" xfId="1" applyFont="1" applyFill="1" applyBorder="1" applyAlignment="1">
      <alignment horizontal="center"/>
    </xf>
    <xf numFmtId="164" fontId="11" fillId="0" borderId="7" xfId="0" applyNumberFormat="1" applyFont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64" fontId="0" fillId="0" borderId="7" xfId="1" applyFont="1" applyBorder="1" applyAlignment="1">
      <alignment horizontal="center"/>
    </xf>
    <xf numFmtId="164" fontId="0" fillId="0" borderId="7" xfId="1" applyFont="1" applyBorder="1" applyAlignment="1">
      <alignment horizontal="right"/>
    </xf>
    <xf numFmtId="164" fontId="3" fillId="0" borderId="7" xfId="1" applyFont="1" applyBorder="1" applyAlignment="1">
      <alignment horizontal="right"/>
    </xf>
    <xf numFmtId="43" fontId="0" fillId="0" borderId="7" xfId="0" applyNumberFormat="1" applyBorder="1"/>
    <xf numFmtId="43" fontId="0" fillId="0" borderId="0" xfId="0" applyNumberFormat="1"/>
    <xf numFmtId="171" fontId="3" fillId="0" borderId="8" xfId="0" applyNumberFormat="1" applyFont="1" applyBorder="1" applyAlignment="1">
      <alignment horizontal="center"/>
    </xf>
    <xf numFmtId="171" fontId="3" fillId="0" borderId="7" xfId="0" applyNumberFormat="1" applyFont="1" applyBorder="1" applyAlignment="1">
      <alignment horizontal="center"/>
    </xf>
    <xf numFmtId="171" fontId="0" fillId="0" borderId="7" xfId="0" applyNumberFormat="1" applyBorder="1" applyAlignment="1">
      <alignment horizontal="center"/>
    </xf>
    <xf numFmtId="171" fontId="0" fillId="0" borderId="8" xfId="0" applyNumberFormat="1" applyBorder="1" applyAlignment="1">
      <alignment horizontal="center"/>
    </xf>
    <xf numFmtId="164" fontId="1" fillId="0" borderId="0" xfId="0" applyNumberFormat="1" applyFont="1"/>
  </cellXfs>
  <cellStyles count="6">
    <cellStyle name="Lien hypertexte" xfId="5" builtinId="8"/>
    <cellStyle name="Milliers" xfId="1" builtinId="3"/>
    <cellStyle name="Milliers 2" xfId="2" xr:uid="{7A99C7C3-92E4-442E-BFB8-92D4C27AB383}"/>
    <cellStyle name="Monétaire 2" xfId="3" xr:uid="{337399A2-4870-41D3-8C53-ADD1D43203EF}"/>
    <cellStyle name="Normal" xfId="0" builtinId="0"/>
    <cellStyle name="Normal 2" xfId="4" xr:uid="{E68CE39E-6022-4DEA-B987-E1A8067D05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mailto:Zakaria.SERRAGUI@cimat.ma" TargetMode="External"/><Relationship Id="rId13" Type="http://schemas.openxmlformats.org/officeDocument/2006/relationships/hyperlink" Target="mailto:Fgmsarl17@gmail.com" TargetMode="External"/><Relationship Id="rId18" Type="http://schemas.openxmlformats.org/officeDocument/2006/relationships/hyperlink" Target="mailto:sotatrans.achat@gmail.com" TargetMode="External"/><Relationship Id="rId26" Type="http://schemas.openxmlformats.org/officeDocument/2006/relationships/hyperlink" Target="mailto:khadija.fallouz@tgcc.ma" TargetMode="External"/><Relationship Id="rId3" Type="http://schemas.openxmlformats.org/officeDocument/2006/relationships/hyperlink" Target="mailto:catrans.sarlau@gmail.com" TargetMode="External"/><Relationship Id="rId21" Type="http://schemas.openxmlformats.org/officeDocument/2006/relationships/hyperlink" Target="mailto:kasal.trans@gmail.com" TargetMode="External"/><Relationship Id="rId7" Type="http://schemas.openxmlformats.org/officeDocument/2006/relationships/hyperlink" Target="mailto:raoufdrissi@gmail.com" TargetMode="External"/><Relationship Id="rId12" Type="http://schemas.openxmlformats.org/officeDocument/2006/relationships/hyperlink" Target="mailto:mefitrans@gmail.com" TargetMode="External"/><Relationship Id="rId17" Type="http://schemas.openxmlformats.org/officeDocument/2006/relationships/hyperlink" Target="mailto:khadija.fallouz@tgcc.ma" TargetMode="External"/><Relationship Id="rId25" Type="http://schemas.openxmlformats.org/officeDocument/2006/relationships/hyperlink" Target="mailto:khadija.fallouz@tgcc.ma" TargetMode="External"/><Relationship Id="rId2" Type="http://schemas.openxmlformats.org/officeDocument/2006/relationships/hyperlink" Target="mailto:m.bouzian@energydesign.fr" TargetMode="External"/><Relationship Id="rId16" Type="http://schemas.openxmlformats.org/officeDocument/2006/relationships/hyperlink" Target="mailto:khadija.fallouz@tgcc.ma" TargetMode="External"/><Relationship Id="rId20" Type="http://schemas.openxmlformats.org/officeDocument/2006/relationships/hyperlink" Target="mailto:khadija.fallouz@tgcc.ma" TargetMode="External"/><Relationship Id="rId1" Type="http://schemas.openxmlformats.org/officeDocument/2006/relationships/hyperlink" Target="mailto:sa2b.batiment@gmail.com" TargetMode="External"/><Relationship Id="rId6" Type="http://schemas.openxmlformats.org/officeDocument/2006/relationships/hyperlink" Target="mailto:trans.mansouri@gmail.com" TargetMode="External"/><Relationship Id="rId11" Type="http://schemas.openxmlformats.org/officeDocument/2006/relationships/hyperlink" Target="mailto:info@cimar.co.ma" TargetMode="External"/><Relationship Id="rId24" Type="http://schemas.openxmlformats.org/officeDocument/2006/relationships/hyperlink" Target="mailto:khadija.fallouz@tgcc.ma" TargetMode="External"/><Relationship Id="rId5" Type="http://schemas.openxmlformats.org/officeDocument/2006/relationships/hyperlink" Target="mailto:sotatrans.achat@gmail.com" TargetMode="External"/><Relationship Id="rId15" Type="http://schemas.openxmlformats.org/officeDocument/2006/relationships/hyperlink" Target="mailto:bakkali63ahmed@gmail.com" TargetMode="External"/><Relationship Id="rId23" Type="http://schemas.openxmlformats.org/officeDocument/2006/relationships/hyperlink" Target="mailto:Oumkaltoum.baba@noukatel.com" TargetMode="External"/><Relationship Id="rId10" Type="http://schemas.openxmlformats.org/officeDocument/2006/relationships/hyperlink" Target="mailto:entrepriseriad@gmail.com" TargetMode="External"/><Relationship Id="rId19" Type="http://schemas.openxmlformats.org/officeDocument/2006/relationships/hyperlink" Target="mailto:khadija.fallouz@tgcc.ma" TargetMode="External"/><Relationship Id="rId4" Type="http://schemas.openxmlformats.org/officeDocument/2006/relationships/hyperlink" Target="mailto:ent.hasnaoui.sarl@hotmail.fr" TargetMode="External"/><Relationship Id="rId9" Type="http://schemas.openxmlformats.org/officeDocument/2006/relationships/hyperlink" Target="mailto:boukir.materiaux@gmail.com" TargetMode="External"/><Relationship Id="rId14" Type="http://schemas.openxmlformats.org/officeDocument/2006/relationships/hyperlink" Target="mailto:hydrosmail20@gmail.com" TargetMode="External"/><Relationship Id="rId22" Type="http://schemas.openxmlformats.org/officeDocument/2006/relationships/hyperlink" Target="mailto:khadija.fallouz@tgcc.ma" TargetMode="External"/><Relationship Id="rId27" Type="http://schemas.openxmlformats.org/officeDocument/2006/relationships/hyperlink" Target="mailto:contact@detroitplanch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09D17-1C23-4742-B986-241C51B51520}">
  <sheetPr>
    <tabColor rgb="FF00B050"/>
  </sheetPr>
  <dimension ref="A1:AA3813"/>
  <sheetViews>
    <sheetView workbookViewId="0">
      <selection activeCell="F25" sqref="F25"/>
    </sheetView>
  </sheetViews>
  <sheetFormatPr baseColWidth="10" defaultRowHeight="15" x14ac:dyDescent="0.25"/>
  <cols>
    <col min="2" max="2" width="17.7109375" customWidth="1"/>
    <col min="3" max="5" width="11.42578125" customWidth="1"/>
    <col min="8" max="8" width="54" bestFit="1" customWidth="1"/>
    <col min="11" max="11" width="19.140625" bestFit="1" customWidth="1"/>
    <col min="18" max="18" width="13.140625" bestFit="1" customWidth="1"/>
    <col min="19" max="19" width="17.140625" customWidth="1"/>
    <col min="20" max="20" width="11.5703125" bestFit="1" customWidth="1"/>
    <col min="21" max="23" width="13.140625" bestFit="1" customWidth="1"/>
    <col min="24" max="24" width="16" customWidth="1"/>
    <col min="25" max="25" width="22.7109375" customWidth="1"/>
    <col min="26" max="26" width="32.140625" style="68" bestFit="1" customWidth="1"/>
    <col min="27" max="27" width="17.7109375" customWidth="1"/>
  </cols>
  <sheetData>
    <row r="1" spans="1:27" ht="14.25" customHeight="1" thickBot="1" x14ac:dyDescent="0.3">
      <c r="A1" s="1" t="s">
        <v>0</v>
      </c>
      <c r="B1" s="2" t="s">
        <v>1</v>
      </c>
      <c r="C1" s="3" t="s">
        <v>2</v>
      </c>
      <c r="D1" s="3" t="s">
        <v>4527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5" t="s">
        <v>16</v>
      </c>
      <c r="S1" s="6" t="s">
        <v>17</v>
      </c>
      <c r="T1" s="4" t="s">
        <v>18</v>
      </c>
      <c r="U1" s="5" t="s">
        <v>19</v>
      </c>
      <c r="V1" s="5" t="s">
        <v>20</v>
      </c>
      <c r="W1" s="5" t="s">
        <v>21</v>
      </c>
      <c r="X1" s="7" t="s">
        <v>22</v>
      </c>
      <c r="Y1" s="8" t="s">
        <v>23</v>
      </c>
      <c r="Z1" s="75" t="s">
        <v>24</v>
      </c>
      <c r="AA1" s="9" t="s">
        <v>25</v>
      </c>
    </row>
    <row r="2" spans="1:27" x14ac:dyDescent="0.25">
      <c r="A2" s="10">
        <v>45658</v>
      </c>
      <c r="B2" s="11" t="s">
        <v>712</v>
      </c>
      <c r="C2" s="11" t="s">
        <v>1050</v>
      </c>
      <c r="D2" s="11" t="s">
        <v>26</v>
      </c>
      <c r="E2" s="11" t="s">
        <v>574</v>
      </c>
      <c r="F2" s="11" t="s">
        <v>26</v>
      </c>
      <c r="G2" s="11" t="s">
        <v>26</v>
      </c>
      <c r="H2" s="12" t="s">
        <v>4422</v>
      </c>
      <c r="I2" s="12" t="s">
        <v>27</v>
      </c>
      <c r="J2" s="12" t="s">
        <v>47</v>
      </c>
      <c r="K2" s="12" t="s">
        <v>48</v>
      </c>
      <c r="L2" s="13">
        <v>42.08</v>
      </c>
      <c r="M2" s="13">
        <v>29</v>
      </c>
      <c r="N2" s="13">
        <v>1.451034482758621</v>
      </c>
      <c r="O2" s="83">
        <v>87</v>
      </c>
      <c r="P2" s="83" t="s">
        <v>30</v>
      </c>
      <c r="Q2" s="83">
        <v>0</v>
      </c>
      <c r="R2" s="29">
        <v>3660.96</v>
      </c>
      <c r="S2" s="84">
        <v>38</v>
      </c>
      <c r="T2" s="84">
        <v>1599.04</v>
      </c>
      <c r="U2" s="84">
        <v>2061.92</v>
      </c>
      <c r="V2" s="84">
        <v>2061.92</v>
      </c>
      <c r="W2" s="84">
        <v>0</v>
      </c>
      <c r="X2" s="84">
        <v>1514.8799999999999</v>
      </c>
      <c r="Y2" s="85">
        <v>84.160000000000082</v>
      </c>
      <c r="Z2" s="67" t="s">
        <v>141</v>
      </c>
      <c r="AA2" s="12" t="s">
        <v>78</v>
      </c>
    </row>
    <row r="3" spans="1:27" x14ac:dyDescent="0.25">
      <c r="A3" s="10">
        <v>45658</v>
      </c>
      <c r="B3" s="11" t="s">
        <v>1051</v>
      </c>
      <c r="C3" s="11" t="s">
        <v>1052</v>
      </c>
      <c r="D3" s="11" t="s">
        <v>26</v>
      </c>
      <c r="E3" s="11" t="s">
        <v>431</v>
      </c>
      <c r="F3" s="11" t="s">
        <v>26</v>
      </c>
      <c r="G3" s="11">
        <v>127</v>
      </c>
      <c r="H3" s="12" t="s">
        <v>6328</v>
      </c>
      <c r="I3" s="12" t="s">
        <v>27</v>
      </c>
      <c r="J3" s="12" t="s">
        <v>42</v>
      </c>
      <c r="K3" s="12" t="s">
        <v>43</v>
      </c>
      <c r="L3" s="13">
        <v>39.58</v>
      </c>
      <c r="M3" s="13">
        <v>25</v>
      </c>
      <c r="N3" s="13">
        <v>1.5831999999999999</v>
      </c>
      <c r="O3" s="83">
        <v>42.5</v>
      </c>
      <c r="P3" s="83"/>
      <c r="Q3" s="83">
        <v>0</v>
      </c>
      <c r="R3" s="29">
        <v>1682.1499999999999</v>
      </c>
      <c r="S3" s="84">
        <v>0</v>
      </c>
      <c r="T3" s="84">
        <v>0</v>
      </c>
      <c r="U3" s="84">
        <v>1682.1499999999999</v>
      </c>
      <c r="V3" s="84">
        <v>0</v>
      </c>
      <c r="W3" s="84">
        <v>1682.1499999999999</v>
      </c>
      <c r="X3" s="84">
        <v>0</v>
      </c>
      <c r="Y3" s="85">
        <v>0</v>
      </c>
      <c r="Z3" s="67" t="s">
        <v>26</v>
      </c>
      <c r="AA3" s="12" t="s">
        <v>31</v>
      </c>
    </row>
    <row r="4" spans="1:27" x14ac:dyDescent="0.25">
      <c r="A4" s="10">
        <v>45658</v>
      </c>
      <c r="B4" s="11" t="s">
        <v>1053</v>
      </c>
      <c r="C4" s="11" t="s">
        <v>1054</v>
      </c>
      <c r="D4" s="11" t="s">
        <v>26</v>
      </c>
      <c r="E4" s="11" t="s">
        <v>563</v>
      </c>
      <c r="F4" s="11" t="s">
        <v>26</v>
      </c>
      <c r="G4" s="11" t="s">
        <v>26</v>
      </c>
      <c r="H4" s="12" t="s">
        <v>4424</v>
      </c>
      <c r="I4" s="12" t="s">
        <v>27</v>
      </c>
      <c r="J4" s="12" t="s">
        <v>33</v>
      </c>
      <c r="K4" s="12" t="s">
        <v>34</v>
      </c>
      <c r="L4" s="13">
        <v>35.56</v>
      </c>
      <c r="M4" s="13">
        <v>24</v>
      </c>
      <c r="N4" s="13">
        <v>1.4816666666666669</v>
      </c>
      <c r="O4" s="83">
        <v>88</v>
      </c>
      <c r="P4" s="83" t="s">
        <v>30</v>
      </c>
      <c r="Q4" s="83">
        <v>0</v>
      </c>
      <c r="R4" s="29">
        <v>3129.28</v>
      </c>
      <c r="S4" s="84">
        <v>41</v>
      </c>
      <c r="T4" s="84">
        <v>1457.96</v>
      </c>
      <c r="U4" s="84">
        <v>1671.3200000000002</v>
      </c>
      <c r="V4" s="84">
        <v>1671.3200000000002</v>
      </c>
      <c r="W4" s="84">
        <v>0</v>
      </c>
      <c r="X4" s="84">
        <v>1422.4</v>
      </c>
      <c r="Y4" s="85">
        <v>35.559999999999945</v>
      </c>
      <c r="Z4" s="67" t="s">
        <v>141</v>
      </c>
      <c r="AA4" s="12" t="s">
        <v>746</v>
      </c>
    </row>
    <row r="5" spans="1:27" x14ac:dyDescent="0.25">
      <c r="A5" s="10">
        <v>45658</v>
      </c>
      <c r="B5" s="11" t="s">
        <v>1055</v>
      </c>
      <c r="C5" s="11" t="s">
        <v>1056</v>
      </c>
      <c r="D5" s="11" t="s">
        <v>26</v>
      </c>
      <c r="E5" s="11" t="s">
        <v>184</v>
      </c>
      <c r="F5" s="11" t="s">
        <v>26</v>
      </c>
      <c r="G5" s="11" t="s">
        <v>26</v>
      </c>
      <c r="H5" s="12" t="s">
        <v>4422</v>
      </c>
      <c r="I5" s="12" t="s">
        <v>27</v>
      </c>
      <c r="J5" s="12" t="s">
        <v>47</v>
      </c>
      <c r="K5" s="12" t="s">
        <v>48</v>
      </c>
      <c r="L5" s="13">
        <v>40.86</v>
      </c>
      <c r="M5" s="13">
        <v>28</v>
      </c>
      <c r="N5" s="13">
        <v>1.4592857142857141</v>
      </c>
      <c r="O5" s="83">
        <v>87</v>
      </c>
      <c r="P5" s="83" t="s">
        <v>30</v>
      </c>
      <c r="Q5" s="83">
        <v>0</v>
      </c>
      <c r="R5" s="29">
        <v>3554.82</v>
      </c>
      <c r="S5" s="84">
        <v>38</v>
      </c>
      <c r="T5" s="84">
        <v>1552.68</v>
      </c>
      <c r="U5" s="84">
        <v>2002.14</v>
      </c>
      <c r="V5" s="84">
        <v>2002.14</v>
      </c>
      <c r="W5" s="84">
        <v>0</v>
      </c>
      <c r="X5" s="84">
        <v>1470.96</v>
      </c>
      <c r="Y5" s="85">
        <v>81.720000000000027</v>
      </c>
      <c r="Z5" s="67" t="s">
        <v>141</v>
      </c>
      <c r="AA5" s="12" t="s">
        <v>78</v>
      </c>
    </row>
    <row r="6" spans="1:27" x14ac:dyDescent="0.25">
      <c r="A6" s="10">
        <v>45658</v>
      </c>
      <c r="B6" s="11" t="s">
        <v>1057</v>
      </c>
      <c r="C6" s="11" t="s">
        <v>1058</v>
      </c>
      <c r="D6" s="11" t="s">
        <v>26</v>
      </c>
      <c r="E6" s="11" t="s">
        <v>501</v>
      </c>
      <c r="F6" s="11" t="s">
        <v>26</v>
      </c>
      <c r="G6" s="11" t="s">
        <v>26</v>
      </c>
      <c r="H6" s="12" t="s">
        <v>4422</v>
      </c>
      <c r="I6" s="12" t="s">
        <v>27</v>
      </c>
      <c r="J6" s="12" t="s">
        <v>33</v>
      </c>
      <c r="K6" s="12" t="s">
        <v>34</v>
      </c>
      <c r="L6" s="13">
        <v>42.3</v>
      </c>
      <c r="M6" s="13">
        <v>29</v>
      </c>
      <c r="N6" s="13">
        <v>1.4586206896551721</v>
      </c>
      <c r="O6" s="83">
        <v>85</v>
      </c>
      <c r="P6" s="83" t="s">
        <v>30</v>
      </c>
      <c r="Q6" s="83">
        <v>0</v>
      </c>
      <c r="R6" s="84">
        <v>3595.4999999999995</v>
      </c>
      <c r="S6" s="84">
        <v>38</v>
      </c>
      <c r="T6" s="84">
        <v>1607.3999999999999</v>
      </c>
      <c r="U6" s="84">
        <v>1988.0999999999997</v>
      </c>
      <c r="V6" s="84">
        <v>1988.0999999999997</v>
      </c>
      <c r="W6" s="84">
        <v>0</v>
      </c>
      <c r="X6" s="84">
        <v>1522.8</v>
      </c>
      <c r="Y6" s="85">
        <v>84.599999999999909</v>
      </c>
      <c r="Z6" s="67" t="s">
        <v>141</v>
      </c>
      <c r="AA6" s="12" t="s">
        <v>78</v>
      </c>
    </row>
    <row r="7" spans="1:27" x14ac:dyDescent="0.25">
      <c r="A7" s="10">
        <v>45658</v>
      </c>
      <c r="B7" s="11" t="s">
        <v>1059</v>
      </c>
      <c r="C7" s="11" t="s">
        <v>1060</v>
      </c>
      <c r="D7" s="11" t="s">
        <v>26</v>
      </c>
      <c r="E7" s="11" t="s">
        <v>53</v>
      </c>
      <c r="F7" s="11" t="s">
        <v>26</v>
      </c>
      <c r="G7" s="11" t="s">
        <v>26</v>
      </c>
      <c r="H7" s="12" t="s">
        <v>4422</v>
      </c>
      <c r="I7" s="12" t="s">
        <v>27</v>
      </c>
      <c r="J7" s="12" t="s">
        <v>33</v>
      </c>
      <c r="K7" s="12" t="s">
        <v>34</v>
      </c>
      <c r="L7" s="13">
        <v>42.06</v>
      </c>
      <c r="M7" s="13">
        <v>29</v>
      </c>
      <c r="N7" s="13">
        <v>1.450344827586207</v>
      </c>
      <c r="O7" s="83">
        <v>85</v>
      </c>
      <c r="P7" s="83" t="s">
        <v>30</v>
      </c>
      <c r="Q7" s="83">
        <v>0</v>
      </c>
      <c r="R7" s="29">
        <v>3575.1000000000004</v>
      </c>
      <c r="S7" s="84">
        <v>38</v>
      </c>
      <c r="T7" s="84">
        <v>1598.2800000000002</v>
      </c>
      <c r="U7" s="84">
        <v>1976.8200000000002</v>
      </c>
      <c r="V7" s="84">
        <v>1976.8200000000002</v>
      </c>
      <c r="W7" s="84">
        <v>0</v>
      </c>
      <c r="X7" s="85">
        <v>1556.22</v>
      </c>
      <c r="Y7" s="85">
        <v>42.060000000000173</v>
      </c>
      <c r="Z7" s="67" t="s">
        <v>41</v>
      </c>
      <c r="AA7" s="12" t="s">
        <v>78</v>
      </c>
    </row>
    <row r="8" spans="1:27" x14ac:dyDescent="0.25">
      <c r="A8" s="10">
        <v>45658</v>
      </c>
      <c r="B8" s="11" t="s">
        <v>313</v>
      </c>
      <c r="C8" s="11" t="s">
        <v>1061</v>
      </c>
      <c r="D8" s="11" t="s">
        <v>26</v>
      </c>
      <c r="E8" s="11" t="s">
        <v>1062</v>
      </c>
      <c r="F8" s="11" t="s">
        <v>26</v>
      </c>
      <c r="G8" s="11">
        <v>111846</v>
      </c>
      <c r="H8" s="12" t="s">
        <v>4446</v>
      </c>
      <c r="I8" s="12" t="s">
        <v>27</v>
      </c>
      <c r="J8" s="12" t="s">
        <v>33</v>
      </c>
      <c r="K8" s="12" t="s">
        <v>34</v>
      </c>
      <c r="L8" s="13">
        <v>35.159999999999997</v>
      </c>
      <c r="M8" s="13">
        <v>24</v>
      </c>
      <c r="N8" s="13">
        <v>1.4650000000000001</v>
      </c>
      <c r="O8" s="83">
        <v>44</v>
      </c>
      <c r="P8" s="83" t="s">
        <v>30</v>
      </c>
      <c r="Q8" s="83">
        <v>0</v>
      </c>
      <c r="R8" s="29">
        <v>1547.04</v>
      </c>
      <c r="S8" s="84">
        <v>0</v>
      </c>
      <c r="T8" s="84">
        <v>0</v>
      </c>
      <c r="U8" s="84">
        <v>1547.04</v>
      </c>
      <c r="V8" s="84">
        <v>1547.04</v>
      </c>
      <c r="W8" s="84">
        <v>0</v>
      </c>
      <c r="X8" s="85">
        <v>0</v>
      </c>
      <c r="Y8" s="85">
        <v>0</v>
      </c>
      <c r="Z8" s="67" t="s">
        <v>26</v>
      </c>
      <c r="AA8" s="12" t="s">
        <v>31</v>
      </c>
    </row>
    <row r="9" spans="1:27" x14ac:dyDescent="0.25">
      <c r="A9" s="10">
        <v>45658</v>
      </c>
      <c r="B9" s="11" t="s">
        <v>286</v>
      </c>
      <c r="C9" s="11" t="s">
        <v>1063</v>
      </c>
      <c r="D9" s="11" t="s">
        <v>26</v>
      </c>
      <c r="E9" s="11" t="s">
        <v>570</v>
      </c>
      <c r="F9" s="11" t="s">
        <v>26</v>
      </c>
      <c r="G9" s="11">
        <v>10305</v>
      </c>
      <c r="H9" s="12" t="s">
        <v>140</v>
      </c>
      <c r="I9" s="12" t="s">
        <v>27</v>
      </c>
      <c r="J9" s="12" t="s">
        <v>47</v>
      </c>
      <c r="K9" s="12" t="s">
        <v>48</v>
      </c>
      <c r="L9" s="13">
        <v>42.18</v>
      </c>
      <c r="M9" s="13">
        <v>29</v>
      </c>
      <c r="N9" s="13">
        <v>1.4544827586206901</v>
      </c>
      <c r="O9" s="83">
        <v>40</v>
      </c>
      <c r="P9" s="83"/>
      <c r="Q9" s="83">
        <v>0</v>
      </c>
      <c r="R9" s="29">
        <v>1687.2</v>
      </c>
      <c r="S9" s="84">
        <v>0</v>
      </c>
      <c r="T9" s="84">
        <v>0</v>
      </c>
      <c r="U9" s="84">
        <v>1687.2</v>
      </c>
      <c r="V9" s="84">
        <v>0</v>
      </c>
      <c r="W9" s="84">
        <v>1687.2</v>
      </c>
      <c r="X9" s="84">
        <v>0</v>
      </c>
      <c r="Y9" s="85">
        <v>0</v>
      </c>
      <c r="Z9" s="67" t="s">
        <v>26</v>
      </c>
      <c r="AA9" s="12" t="s">
        <v>31</v>
      </c>
    </row>
    <row r="10" spans="1:27" x14ac:dyDescent="0.25">
      <c r="A10" s="10">
        <v>45658</v>
      </c>
      <c r="B10" s="11" t="s">
        <v>663</v>
      </c>
      <c r="C10" s="11" t="s">
        <v>1064</v>
      </c>
      <c r="D10" s="11" t="s">
        <v>26</v>
      </c>
      <c r="E10" s="11" t="s">
        <v>1065</v>
      </c>
      <c r="F10" s="11" t="s">
        <v>26</v>
      </c>
      <c r="G10" s="11">
        <v>111848</v>
      </c>
      <c r="H10" s="12" t="s">
        <v>4446</v>
      </c>
      <c r="I10" s="12" t="s">
        <v>27</v>
      </c>
      <c r="J10" s="12" t="s">
        <v>42</v>
      </c>
      <c r="K10" s="12" t="s">
        <v>43</v>
      </c>
      <c r="L10" s="13">
        <v>41.74</v>
      </c>
      <c r="M10" s="13">
        <v>25</v>
      </c>
      <c r="N10" s="13">
        <v>1.6696</v>
      </c>
      <c r="O10" s="83">
        <v>42</v>
      </c>
      <c r="P10" s="83" t="s">
        <v>30</v>
      </c>
      <c r="Q10" s="83">
        <v>0</v>
      </c>
      <c r="R10" s="29">
        <v>1753.0800000000002</v>
      </c>
      <c r="S10" s="84">
        <v>0</v>
      </c>
      <c r="T10" s="84">
        <v>0</v>
      </c>
      <c r="U10" s="84">
        <v>1753.0800000000002</v>
      </c>
      <c r="V10" s="84">
        <v>1753.0800000000002</v>
      </c>
      <c r="W10" s="84">
        <v>0</v>
      </c>
      <c r="X10" s="85">
        <v>0</v>
      </c>
      <c r="Y10" s="85">
        <v>0</v>
      </c>
      <c r="Z10" s="67" t="s">
        <v>26</v>
      </c>
      <c r="AA10" s="12" t="s">
        <v>31</v>
      </c>
    </row>
    <row r="11" spans="1:27" x14ac:dyDescent="0.25">
      <c r="A11" s="10">
        <v>45658</v>
      </c>
      <c r="B11" s="11" t="s">
        <v>1066</v>
      </c>
      <c r="C11" s="11" t="s">
        <v>1067</v>
      </c>
      <c r="D11" s="11" t="s">
        <v>26</v>
      </c>
      <c r="E11" s="11" t="s">
        <v>1068</v>
      </c>
      <c r="F11" s="11" t="s">
        <v>26</v>
      </c>
      <c r="G11" s="11">
        <v>111847</v>
      </c>
      <c r="H11" s="12" t="s">
        <v>4446</v>
      </c>
      <c r="I11" s="12" t="s">
        <v>27</v>
      </c>
      <c r="J11" s="12" t="s">
        <v>42</v>
      </c>
      <c r="K11" s="12" t="s">
        <v>43</v>
      </c>
      <c r="L11" s="13">
        <v>39.94</v>
      </c>
      <c r="M11" s="13">
        <v>24</v>
      </c>
      <c r="N11" s="13">
        <v>1.664166666666667</v>
      </c>
      <c r="O11" s="83">
        <v>42</v>
      </c>
      <c r="P11" s="83" t="s">
        <v>30</v>
      </c>
      <c r="Q11" s="83">
        <v>0</v>
      </c>
      <c r="R11" s="84">
        <v>1677.48</v>
      </c>
      <c r="S11" s="84">
        <v>0</v>
      </c>
      <c r="T11" s="84">
        <v>0</v>
      </c>
      <c r="U11" s="84">
        <v>1677.48</v>
      </c>
      <c r="V11" s="84">
        <v>1677.48</v>
      </c>
      <c r="W11" s="84">
        <v>0</v>
      </c>
      <c r="X11" s="84">
        <v>0</v>
      </c>
      <c r="Y11" s="85">
        <v>0</v>
      </c>
      <c r="Z11" s="67" t="s">
        <v>26</v>
      </c>
      <c r="AA11" s="12" t="s">
        <v>31</v>
      </c>
    </row>
    <row r="12" spans="1:27" x14ac:dyDescent="0.25">
      <c r="A12" s="10">
        <v>45658</v>
      </c>
      <c r="B12" s="11" t="s">
        <v>1069</v>
      </c>
      <c r="C12" s="11" t="s">
        <v>1070</v>
      </c>
      <c r="D12" s="11" t="s">
        <v>26</v>
      </c>
      <c r="E12" s="11" t="s">
        <v>57</v>
      </c>
      <c r="F12" s="11" t="s">
        <v>26</v>
      </c>
      <c r="G12" s="11" t="s">
        <v>26</v>
      </c>
      <c r="H12" s="12" t="s">
        <v>4422</v>
      </c>
      <c r="I12" s="12" t="s">
        <v>27</v>
      </c>
      <c r="J12" s="12" t="s">
        <v>42</v>
      </c>
      <c r="K12" s="12" t="s">
        <v>43</v>
      </c>
      <c r="L12" s="13">
        <v>42.64</v>
      </c>
      <c r="M12" s="13">
        <v>25</v>
      </c>
      <c r="N12" s="13">
        <v>1.7056</v>
      </c>
      <c r="O12" s="83">
        <v>83</v>
      </c>
      <c r="P12" s="83" t="s">
        <v>30</v>
      </c>
      <c r="Q12" s="83">
        <v>0</v>
      </c>
      <c r="R12" s="29">
        <v>3539.12</v>
      </c>
      <c r="S12" s="84">
        <v>38</v>
      </c>
      <c r="T12" s="84">
        <v>1620.32</v>
      </c>
      <c r="U12" s="84">
        <v>1918.8</v>
      </c>
      <c r="V12" s="84">
        <v>1918.8</v>
      </c>
      <c r="W12" s="84">
        <v>0</v>
      </c>
      <c r="X12" s="84">
        <v>1577.68</v>
      </c>
      <c r="Y12" s="85">
        <v>42.639999999999873</v>
      </c>
      <c r="Z12" s="67" t="s">
        <v>41</v>
      </c>
      <c r="AA12" s="12" t="s">
        <v>78</v>
      </c>
    </row>
    <row r="13" spans="1:27" x14ac:dyDescent="0.25">
      <c r="A13" s="10">
        <v>45658</v>
      </c>
      <c r="B13" s="11" t="s">
        <v>1071</v>
      </c>
      <c r="C13" s="11" t="s">
        <v>1072</v>
      </c>
      <c r="D13" s="11" t="s">
        <v>26</v>
      </c>
      <c r="E13" s="11" t="s">
        <v>489</v>
      </c>
      <c r="F13" s="11" t="s">
        <v>26</v>
      </c>
      <c r="G13" s="11">
        <v>76247</v>
      </c>
      <c r="H13" s="12" t="s">
        <v>4448</v>
      </c>
      <c r="I13" s="12" t="s">
        <v>55</v>
      </c>
      <c r="J13" s="12" t="s">
        <v>55</v>
      </c>
      <c r="K13" s="12" t="s">
        <v>56</v>
      </c>
      <c r="L13" s="13">
        <v>37.5</v>
      </c>
      <c r="M13" s="13">
        <v>25</v>
      </c>
      <c r="N13" s="13">
        <v>1.5</v>
      </c>
      <c r="O13" s="83">
        <v>15</v>
      </c>
      <c r="P13" s="83" t="s">
        <v>30</v>
      </c>
      <c r="Q13" s="83">
        <v>0</v>
      </c>
      <c r="R13" s="29">
        <v>562.5</v>
      </c>
      <c r="S13" s="84">
        <v>0</v>
      </c>
      <c r="T13" s="84">
        <v>0</v>
      </c>
      <c r="U13" s="84">
        <v>562.5</v>
      </c>
      <c r="V13" s="84">
        <v>421.875</v>
      </c>
      <c r="W13" s="84">
        <v>140.625</v>
      </c>
      <c r="X13" s="84">
        <v>0</v>
      </c>
      <c r="Y13" s="85">
        <v>0</v>
      </c>
      <c r="Z13" s="67" t="s">
        <v>26</v>
      </c>
      <c r="AA13" s="12" t="s">
        <v>31</v>
      </c>
    </row>
    <row r="14" spans="1:27" x14ac:dyDescent="0.25">
      <c r="A14" s="10">
        <v>45658</v>
      </c>
      <c r="B14" s="11" t="s">
        <v>1073</v>
      </c>
      <c r="C14" s="11" t="s">
        <v>1074</v>
      </c>
      <c r="D14" s="11" t="s">
        <v>26</v>
      </c>
      <c r="E14" s="11" t="s">
        <v>519</v>
      </c>
      <c r="F14" s="11" t="s">
        <v>26</v>
      </c>
      <c r="G14" s="11">
        <v>77380</v>
      </c>
      <c r="H14" s="12" t="s">
        <v>4448</v>
      </c>
      <c r="I14" s="12" t="s">
        <v>55</v>
      </c>
      <c r="J14" s="12" t="s">
        <v>55</v>
      </c>
      <c r="K14" s="12" t="s">
        <v>56</v>
      </c>
      <c r="L14" s="13">
        <v>37.4</v>
      </c>
      <c r="M14" s="13">
        <v>25</v>
      </c>
      <c r="N14" s="13">
        <v>1.496</v>
      </c>
      <c r="O14" s="83">
        <v>15</v>
      </c>
      <c r="P14" s="83" t="s">
        <v>30</v>
      </c>
      <c r="Q14" s="83">
        <v>0</v>
      </c>
      <c r="R14" s="84">
        <v>561</v>
      </c>
      <c r="S14" s="84">
        <v>0</v>
      </c>
      <c r="T14" s="84">
        <v>0</v>
      </c>
      <c r="U14" s="84">
        <v>561</v>
      </c>
      <c r="V14" s="84">
        <v>420.75</v>
      </c>
      <c r="W14" s="84">
        <v>140.25</v>
      </c>
      <c r="X14" s="84">
        <v>0</v>
      </c>
      <c r="Y14" s="85">
        <v>0</v>
      </c>
      <c r="Z14" s="67" t="s">
        <v>26</v>
      </c>
      <c r="AA14" s="12" t="s">
        <v>31</v>
      </c>
    </row>
    <row r="15" spans="1:27" x14ac:dyDescent="0.25">
      <c r="A15" s="10">
        <v>45658</v>
      </c>
      <c r="B15" s="11" t="s">
        <v>641</v>
      </c>
      <c r="C15" s="11" t="s">
        <v>1075</v>
      </c>
      <c r="D15" s="11" t="s">
        <v>26</v>
      </c>
      <c r="E15" s="11" t="s">
        <v>481</v>
      </c>
      <c r="F15" s="11" t="s">
        <v>26</v>
      </c>
      <c r="G15" s="11">
        <v>73957</v>
      </c>
      <c r="H15" s="12" t="s">
        <v>4448</v>
      </c>
      <c r="I15" s="12" t="s">
        <v>55</v>
      </c>
      <c r="J15" s="12" t="s">
        <v>55</v>
      </c>
      <c r="K15" s="12" t="s">
        <v>56</v>
      </c>
      <c r="L15" s="13">
        <v>38.26</v>
      </c>
      <c r="M15" s="13">
        <v>25</v>
      </c>
      <c r="N15" s="13">
        <v>1.5304</v>
      </c>
      <c r="O15" s="83">
        <v>15</v>
      </c>
      <c r="P15" s="83" t="s">
        <v>30</v>
      </c>
      <c r="Q15" s="83">
        <v>0</v>
      </c>
      <c r="R15" s="29">
        <v>573.9</v>
      </c>
      <c r="S15" s="84">
        <v>0</v>
      </c>
      <c r="T15" s="84">
        <v>0</v>
      </c>
      <c r="U15" s="84">
        <v>573.9</v>
      </c>
      <c r="V15" s="84">
        <v>430.42499999999995</v>
      </c>
      <c r="W15" s="84">
        <v>143.47500000000002</v>
      </c>
      <c r="X15" s="84">
        <v>0</v>
      </c>
      <c r="Y15" s="85">
        <v>0</v>
      </c>
      <c r="Z15" s="67" t="s">
        <v>26</v>
      </c>
      <c r="AA15" s="12" t="s">
        <v>31</v>
      </c>
    </row>
    <row r="16" spans="1:27" x14ac:dyDescent="0.25">
      <c r="A16" s="10">
        <v>45658</v>
      </c>
      <c r="B16" s="11" t="s">
        <v>1076</v>
      </c>
      <c r="C16" s="11" t="s">
        <v>1077</v>
      </c>
      <c r="D16" s="11" t="s">
        <v>26</v>
      </c>
      <c r="E16" s="11" t="s">
        <v>568</v>
      </c>
      <c r="F16" s="11" t="s">
        <v>26</v>
      </c>
      <c r="G16" s="11">
        <v>111852</v>
      </c>
      <c r="H16" s="12" t="s">
        <v>4446</v>
      </c>
      <c r="I16" s="12" t="s">
        <v>27</v>
      </c>
      <c r="J16" s="12" t="s">
        <v>42</v>
      </c>
      <c r="K16" s="12" t="s">
        <v>43</v>
      </c>
      <c r="L16" s="13">
        <v>39.44</v>
      </c>
      <c r="M16" s="13">
        <v>25</v>
      </c>
      <c r="N16" s="13">
        <v>1.5775999999999999</v>
      </c>
      <c r="O16" s="83">
        <v>42</v>
      </c>
      <c r="P16" s="83" t="s">
        <v>30</v>
      </c>
      <c r="Q16" s="83">
        <v>0</v>
      </c>
      <c r="R16" s="84">
        <v>1656.48</v>
      </c>
      <c r="S16" s="84">
        <v>0</v>
      </c>
      <c r="T16" s="84">
        <v>0</v>
      </c>
      <c r="U16" s="84">
        <v>1656.48</v>
      </c>
      <c r="V16" s="84">
        <v>1656.48</v>
      </c>
      <c r="W16" s="84">
        <v>0</v>
      </c>
      <c r="X16" s="84">
        <v>0</v>
      </c>
      <c r="Y16" s="85">
        <v>0</v>
      </c>
      <c r="Z16" s="67" t="s">
        <v>26</v>
      </c>
      <c r="AA16" s="12" t="s">
        <v>31</v>
      </c>
    </row>
    <row r="17" spans="1:27" x14ac:dyDescent="0.25">
      <c r="A17" s="10">
        <v>45658</v>
      </c>
      <c r="B17" s="11" t="s">
        <v>1078</v>
      </c>
      <c r="C17" s="11" t="s">
        <v>1079</v>
      </c>
      <c r="D17" s="11" t="s">
        <v>26</v>
      </c>
      <c r="E17" s="11" t="s">
        <v>68</v>
      </c>
      <c r="F17" s="11" t="s">
        <v>26</v>
      </c>
      <c r="G17" s="11">
        <v>1442</v>
      </c>
      <c r="H17" s="12" t="s">
        <v>45</v>
      </c>
      <c r="I17" s="12" t="s">
        <v>27</v>
      </c>
      <c r="J17" s="12" t="s">
        <v>42</v>
      </c>
      <c r="K17" s="12" t="s">
        <v>43</v>
      </c>
      <c r="L17" s="13">
        <v>41.82</v>
      </c>
      <c r="M17" s="13">
        <v>25</v>
      </c>
      <c r="N17" s="13">
        <v>1.6728000000000001</v>
      </c>
      <c r="O17" s="83" t="s">
        <v>30</v>
      </c>
      <c r="P17" s="83">
        <v>62</v>
      </c>
      <c r="Q17" s="83">
        <v>0</v>
      </c>
      <c r="R17" s="29">
        <v>1550</v>
      </c>
      <c r="S17" s="84">
        <v>0</v>
      </c>
      <c r="T17" s="84">
        <v>0</v>
      </c>
      <c r="U17" s="84">
        <v>1550</v>
      </c>
      <c r="V17" s="84">
        <v>0</v>
      </c>
      <c r="W17" s="84">
        <v>1550</v>
      </c>
      <c r="X17" s="84">
        <v>0</v>
      </c>
      <c r="Y17" s="85">
        <v>0</v>
      </c>
      <c r="Z17" s="67" t="s">
        <v>26</v>
      </c>
      <c r="AA17" s="12" t="s">
        <v>31</v>
      </c>
    </row>
    <row r="18" spans="1:27" x14ac:dyDescent="0.25">
      <c r="A18" s="10">
        <v>45658</v>
      </c>
      <c r="B18" s="11" t="s">
        <v>1080</v>
      </c>
      <c r="C18" s="11" t="s">
        <v>1081</v>
      </c>
      <c r="D18" s="11" t="s">
        <v>26</v>
      </c>
      <c r="E18" s="11" t="s">
        <v>654</v>
      </c>
      <c r="F18" s="11" t="s">
        <v>26</v>
      </c>
      <c r="G18" s="11">
        <v>2807</v>
      </c>
      <c r="H18" s="12" t="s">
        <v>41</v>
      </c>
      <c r="I18" s="12" t="s">
        <v>55</v>
      </c>
      <c r="J18" s="12" t="s">
        <v>55</v>
      </c>
      <c r="K18" s="12" t="s">
        <v>56</v>
      </c>
      <c r="L18" s="13">
        <v>30.98</v>
      </c>
      <c r="M18" s="13">
        <v>19</v>
      </c>
      <c r="N18" s="13">
        <v>1.630526315789474</v>
      </c>
      <c r="O18" s="83" t="s">
        <v>30</v>
      </c>
      <c r="P18" s="83">
        <v>24</v>
      </c>
      <c r="Q18" s="83">
        <v>0</v>
      </c>
      <c r="R18" s="29">
        <v>456</v>
      </c>
      <c r="S18" s="84">
        <v>0</v>
      </c>
      <c r="T18" s="84">
        <v>0</v>
      </c>
      <c r="U18" s="84">
        <v>456</v>
      </c>
      <c r="V18" s="84">
        <v>0</v>
      </c>
      <c r="W18" s="84">
        <v>456</v>
      </c>
      <c r="X18" s="84">
        <v>0</v>
      </c>
      <c r="Y18" s="85">
        <v>0</v>
      </c>
      <c r="Z18" s="67" t="s">
        <v>26</v>
      </c>
      <c r="AA18" s="12" t="s">
        <v>31</v>
      </c>
    </row>
    <row r="19" spans="1:27" x14ac:dyDescent="0.25">
      <c r="A19" s="10">
        <v>45658</v>
      </c>
      <c r="B19" s="11" t="s">
        <v>138</v>
      </c>
      <c r="C19" s="11" t="s">
        <v>1082</v>
      </c>
      <c r="D19" s="11" t="s">
        <v>26</v>
      </c>
      <c r="E19" s="11" t="s">
        <v>44</v>
      </c>
      <c r="F19" s="11" t="s">
        <v>26</v>
      </c>
      <c r="G19" s="11">
        <v>1478</v>
      </c>
      <c r="H19" s="12" t="s">
        <v>45</v>
      </c>
      <c r="I19" s="12" t="s">
        <v>27</v>
      </c>
      <c r="J19" s="12" t="s">
        <v>42</v>
      </c>
      <c r="K19" s="12" t="s">
        <v>43</v>
      </c>
      <c r="L19" s="13">
        <v>43.6</v>
      </c>
      <c r="M19" s="13">
        <v>25</v>
      </c>
      <c r="N19" s="13">
        <v>1.744</v>
      </c>
      <c r="O19" s="83" t="s">
        <v>30</v>
      </c>
      <c r="P19" s="83">
        <v>62</v>
      </c>
      <c r="Q19" s="83">
        <v>0</v>
      </c>
      <c r="R19" s="29">
        <v>1550</v>
      </c>
      <c r="S19" s="84">
        <v>0</v>
      </c>
      <c r="T19" s="84">
        <v>0</v>
      </c>
      <c r="U19" s="84">
        <v>1550</v>
      </c>
      <c r="V19" s="84">
        <v>0</v>
      </c>
      <c r="W19" s="84">
        <v>1550</v>
      </c>
      <c r="X19" s="84">
        <v>0</v>
      </c>
      <c r="Y19" s="85">
        <v>0</v>
      </c>
      <c r="Z19" s="67" t="s">
        <v>26</v>
      </c>
      <c r="AA19" s="12" t="s">
        <v>31</v>
      </c>
    </row>
    <row r="20" spans="1:27" x14ac:dyDescent="0.25">
      <c r="A20" s="10">
        <v>45658</v>
      </c>
      <c r="B20" s="11" t="s">
        <v>1083</v>
      </c>
      <c r="C20" s="11" t="s">
        <v>1084</v>
      </c>
      <c r="D20" s="11" t="s">
        <v>26</v>
      </c>
      <c r="E20" s="11" t="s">
        <v>39</v>
      </c>
      <c r="F20" s="11" t="s">
        <v>26</v>
      </c>
      <c r="G20" s="11">
        <v>462</v>
      </c>
      <c r="H20" s="12" t="s">
        <v>141</v>
      </c>
      <c r="I20" s="12" t="s">
        <v>55</v>
      </c>
      <c r="J20" s="12" t="s">
        <v>55</v>
      </c>
      <c r="K20" s="12" t="s">
        <v>56</v>
      </c>
      <c r="L20" s="13">
        <v>37.82</v>
      </c>
      <c r="M20" s="13">
        <v>25</v>
      </c>
      <c r="N20" s="13">
        <v>1.5127999999999999</v>
      </c>
      <c r="O20" s="83">
        <v>15</v>
      </c>
      <c r="P20" s="83" t="s">
        <v>30</v>
      </c>
      <c r="Q20" s="83">
        <v>0</v>
      </c>
      <c r="R20" s="84">
        <v>567.29999999999995</v>
      </c>
      <c r="S20" s="84">
        <v>0</v>
      </c>
      <c r="T20" s="84">
        <v>0</v>
      </c>
      <c r="U20" s="84">
        <v>567.29999999999995</v>
      </c>
      <c r="V20" s="84">
        <v>0</v>
      </c>
      <c r="W20" s="84">
        <v>567.29999999999995</v>
      </c>
      <c r="X20" s="84">
        <v>0</v>
      </c>
      <c r="Y20" s="85">
        <v>0</v>
      </c>
      <c r="Z20" s="67" t="s">
        <v>26</v>
      </c>
      <c r="AA20" s="12" t="s">
        <v>31</v>
      </c>
    </row>
    <row r="21" spans="1:27" x14ac:dyDescent="0.25">
      <c r="A21" s="10">
        <v>45658</v>
      </c>
      <c r="B21" s="11" t="s">
        <v>1085</v>
      </c>
      <c r="C21" s="11" t="s">
        <v>1086</v>
      </c>
      <c r="D21" s="11" t="s">
        <v>26</v>
      </c>
      <c r="E21" s="11" t="s">
        <v>605</v>
      </c>
      <c r="F21" s="11" t="s">
        <v>26</v>
      </c>
      <c r="G21" s="11" t="s">
        <v>26</v>
      </c>
      <c r="H21" s="12" t="s">
        <v>4422</v>
      </c>
      <c r="I21" s="12" t="s">
        <v>27</v>
      </c>
      <c r="J21" s="12" t="s">
        <v>42</v>
      </c>
      <c r="K21" s="12" t="s">
        <v>43</v>
      </c>
      <c r="L21" s="13">
        <v>42.68</v>
      </c>
      <c r="M21" s="13">
        <v>25</v>
      </c>
      <c r="N21" s="13">
        <v>1.7072000000000001</v>
      </c>
      <c r="O21" s="83">
        <v>83</v>
      </c>
      <c r="P21" s="83" t="s">
        <v>30</v>
      </c>
      <c r="Q21" s="83">
        <v>0</v>
      </c>
      <c r="R21" s="29">
        <v>3542.44</v>
      </c>
      <c r="S21" s="84">
        <v>38</v>
      </c>
      <c r="T21" s="84">
        <v>1621.84</v>
      </c>
      <c r="U21" s="84">
        <v>1920.6000000000001</v>
      </c>
      <c r="V21" s="84">
        <v>1920.6000000000001</v>
      </c>
      <c r="W21" s="84">
        <v>0</v>
      </c>
      <c r="X21" s="84">
        <v>1536.48</v>
      </c>
      <c r="Y21" s="85">
        <v>85.3599999999999</v>
      </c>
      <c r="Z21" s="67" t="s">
        <v>141</v>
      </c>
      <c r="AA21" s="12" t="s">
        <v>78</v>
      </c>
    </row>
    <row r="22" spans="1:27" x14ac:dyDescent="0.25">
      <c r="A22" s="10">
        <v>45658</v>
      </c>
      <c r="B22" s="11" t="s">
        <v>1087</v>
      </c>
      <c r="C22" s="11" t="s">
        <v>1088</v>
      </c>
      <c r="D22" s="11" t="s">
        <v>26</v>
      </c>
      <c r="E22" s="11" t="s">
        <v>559</v>
      </c>
      <c r="F22" s="11" t="s">
        <v>26</v>
      </c>
      <c r="G22" s="11">
        <v>2561</v>
      </c>
      <c r="H22" s="12" t="s">
        <v>41</v>
      </c>
      <c r="I22" s="12" t="s">
        <v>55</v>
      </c>
      <c r="J22" s="12" t="s">
        <v>55</v>
      </c>
      <c r="K22" s="12" t="s">
        <v>56</v>
      </c>
      <c r="L22" s="13">
        <v>31.74</v>
      </c>
      <c r="M22" s="13">
        <v>19</v>
      </c>
      <c r="N22" s="13">
        <v>1.6705263157894741</v>
      </c>
      <c r="O22" s="83" t="s">
        <v>30</v>
      </c>
      <c r="P22" s="83">
        <v>24</v>
      </c>
      <c r="Q22" s="83">
        <v>0</v>
      </c>
      <c r="R22" s="29">
        <v>456</v>
      </c>
      <c r="S22" s="84">
        <v>0</v>
      </c>
      <c r="T22" s="84">
        <v>0</v>
      </c>
      <c r="U22" s="84">
        <v>456</v>
      </c>
      <c r="V22" s="84">
        <v>0</v>
      </c>
      <c r="W22" s="84">
        <v>456</v>
      </c>
      <c r="X22" s="84">
        <v>0</v>
      </c>
      <c r="Y22" s="85">
        <v>0</v>
      </c>
      <c r="Z22" s="67" t="s">
        <v>26</v>
      </c>
      <c r="AA22" s="12" t="s">
        <v>31</v>
      </c>
    </row>
    <row r="23" spans="1:27" x14ac:dyDescent="0.25">
      <c r="A23" s="10">
        <v>45658</v>
      </c>
      <c r="B23" s="11" t="s">
        <v>352</v>
      </c>
      <c r="C23" s="11" t="s">
        <v>1089</v>
      </c>
      <c r="D23" s="11" t="s">
        <v>26</v>
      </c>
      <c r="E23" s="11" t="s">
        <v>52</v>
      </c>
      <c r="F23" s="11" t="s">
        <v>26</v>
      </c>
      <c r="G23" s="11">
        <v>463</v>
      </c>
      <c r="H23" s="12" t="s">
        <v>141</v>
      </c>
      <c r="I23" s="12" t="s">
        <v>55</v>
      </c>
      <c r="J23" s="12" t="s">
        <v>55</v>
      </c>
      <c r="K23" s="12" t="s">
        <v>56</v>
      </c>
      <c r="L23" s="13">
        <v>38.159999999999997</v>
      </c>
      <c r="M23" s="13">
        <v>25</v>
      </c>
      <c r="N23" s="13">
        <v>1.5264</v>
      </c>
      <c r="O23" s="83">
        <v>15</v>
      </c>
      <c r="P23" s="83" t="s">
        <v>30</v>
      </c>
      <c r="Q23" s="83">
        <v>0</v>
      </c>
      <c r="R23" s="29">
        <v>572.4</v>
      </c>
      <c r="S23" s="84">
        <v>0</v>
      </c>
      <c r="T23" s="84">
        <v>0</v>
      </c>
      <c r="U23" s="84">
        <v>572.4</v>
      </c>
      <c r="V23" s="84">
        <v>0</v>
      </c>
      <c r="W23" s="84">
        <v>572.4</v>
      </c>
      <c r="X23" s="84">
        <v>0</v>
      </c>
      <c r="Y23" s="85">
        <v>0</v>
      </c>
      <c r="Z23" s="67" t="s">
        <v>26</v>
      </c>
      <c r="AA23" s="12" t="s">
        <v>31</v>
      </c>
    </row>
    <row r="24" spans="1:27" x14ac:dyDescent="0.25">
      <c r="A24" s="10">
        <v>45658</v>
      </c>
      <c r="B24" s="11" t="s">
        <v>1090</v>
      </c>
      <c r="C24" s="11" t="s">
        <v>1091</v>
      </c>
      <c r="D24" s="11" t="s">
        <v>26</v>
      </c>
      <c r="E24" s="11" t="s">
        <v>246</v>
      </c>
      <c r="F24" s="11" t="s">
        <v>26</v>
      </c>
      <c r="G24" s="11" t="s">
        <v>26</v>
      </c>
      <c r="H24" s="12" t="s">
        <v>4422</v>
      </c>
      <c r="I24" s="12" t="s">
        <v>27</v>
      </c>
      <c r="J24" s="12" t="s">
        <v>42</v>
      </c>
      <c r="K24" s="12" t="s">
        <v>43</v>
      </c>
      <c r="L24" s="13">
        <v>44.7</v>
      </c>
      <c r="M24" s="13">
        <v>25</v>
      </c>
      <c r="N24" s="13">
        <v>1.788</v>
      </c>
      <c r="O24" s="83">
        <v>83</v>
      </c>
      <c r="P24" s="83" t="s">
        <v>30</v>
      </c>
      <c r="Q24" s="83">
        <v>0</v>
      </c>
      <c r="R24" s="29">
        <v>3710.1000000000004</v>
      </c>
      <c r="S24" s="84">
        <v>38</v>
      </c>
      <c r="T24" s="84">
        <v>1698.6000000000001</v>
      </c>
      <c r="U24" s="84">
        <v>2011.5000000000002</v>
      </c>
      <c r="V24" s="84">
        <v>2011.5000000000002</v>
      </c>
      <c r="W24" s="84">
        <v>0</v>
      </c>
      <c r="X24" s="84">
        <v>1653.9</v>
      </c>
      <c r="Y24" s="85">
        <v>44.700000000000045</v>
      </c>
      <c r="Z24" s="67" t="s">
        <v>41</v>
      </c>
      <c r="AA24" s="12" t="s">
        <v>78</v>
      </c>
    </row>
    <row r="25" spans="1:27" x14ac:dyDescent="0.25">
      <c r="A25" s="10">
        <v>45658</v>
      </c>
      <c r="B25" s="11" t="s">
        <v>670</v>
      </c>
      <c r="C25" s="11" t="s">
        <v>1092</v>
      </c>
      <c r="D25" s="11" t="s">
        <v>26</v>
      </c>
      <c r="E25" s="11" t="s">
        <v>177</v>
      </c>
      <c r="F25" s="11" t="s">
        <v>26</v>
      </c>
      <c r="G25" s="11">
        <v>464</v>
      </c>
      <c r="H25" s="12" t="s">
        <v>141</v>
      </c>
      <c r="I25" s="12" t="s">
        <v>55</v>
      </c>
      <c r="J25" s="12" t="s">
        <v>55</v>
      </c>
      <c r="K25" s="12" t="s">
        <v>56</v>
      </c>
      <c r="L25" s="13">
        <v>38.26</v>
      </c>
      <c r="M25" s="13">
        <v>25</v>
      </c>
      <c r="N25" s="13">
        <v>1.5304</v>
      </c>
      <c r="O25" s="83">
        <v>15</v>
      </c>
      <c r="P25" s="83" t="s">
        <v>30</v>
      </c>
      <c r="Q25" s="83">
        <v>0</v>
      </c>
      <c r="R25" s="29">
        <v>573.9</v>
      </c>
      <c r="S25" s="84">
        <v>0</v>
      </c>
      <c r="T25" s="84">
        <v>0</v>
      </c>
      <c r="U25" s="84">
        <v>573.9</v>
      </c>
      <c r="V25" s="84">
        <v>0</v>
      </c>
      <c r="W25" s="84">
        <v>573.9</v>
      </c>
      <c r="X25" s="84">
        <v>0</v>
      </c>
      <c r="Y25" s="85">
        <v>0</v>
      </c>
      <c r="Z25" s="67" t="s">
        <v>26</v>
      </c>
      <c r="AA25" s="12" t="s">
        <v>31</v>
      </c>
    </row>
    <row r="26" spans="1:27" x14ac:dyDescent="0.25">
      <c r="A26" s="10">
        <v>45658</v>
      </c>
      <c r="B26" s="11" t="s">
        <v>1093</v>
      </c>
      <c r="C26" s="11" t="s">
        <v>1094</v>
      </c>
      <c r="D26" s="11" t="s">
        <v>26</v>
      </c>
      <c r="E26" s="11" t="s">
        <v>539</v>
      </c>
      <c r="F26" s="11" t="s">
        <v>26</v>
      </c>
      <c r="G26" s="11" t="s">
        <v>26</v>
      </c>
      <c r="H26" s="12" t="s">
        <v>4422</v>
      </c>
      <c r="I26" s="12" t="s">
        <v>27</v>
      </c>
      <c r="J26" s="12" t="s">
        <v>42</v>
      </c>
      <c r="K26" s="12" t="s">
        <v>43</v>
      </c>
      <c r="L26" s="13">
        <v>44.18</v>
      </c>
      <c r="M26" s="13">
        <v>25</v>
      </c>
      <c r="N26" s="13">
        <v>1.7672000000000001</v>
      </c>
      <c r="O26" s="83">
        <v>83</v>
      </c>
      <c r="P26" s="83" t="s">
        <v>30</v>
      </c>
      <c r="Q26" s="83">
        <v>0</v>
      </c>
      <c r="R26" s="84">
        <v>3666.94</v>
      </c>
      <c r="S26" s="84">
        <v>38</v>
      </c>
      <c r="T26" s="84">
        <v>1678.84</v>
      </c>
      <c r="U26" s="84">
        <v>1988.1000000000001</v>
      </c>
      <c r="V26" s="84">
        <v>1988.1000000000001</v>
      </c>
      <c r="W26" s="84">
        <v>0</v>
      </c>
      <c r="X26" s="84">
        <v>1634.66</v>
      </c>
      <c r="Y26" s="85">
        <v>44.179999999999836</v>
      </c>
      <c r="Z26" s="67" t="s">
        <v>41</v>
      </c>
      <c r="AA26" s="12" t="s">
        <v>78</v>
      </c>
    </row>
    <row r="27" spans="1:27" x14ac:dyDescent="0.25">
      <c r="A27" s="10">
        <v>45658</v>
      </c>
      <c r="B27" s="11" t="s">
        <v>256</v>
      </c>
      <c r="C27" s="11" t="s">
        <v>1095</v>
      </c>
      <c r="D27" s="11" t="s">
        <v>26</v>
      </c>
      <c r="E27" s="11" t="s">
        <v>1096</v>
      </c>
      <c r="F27" s="11" t="s">
        <v>26</v>
      </c>
      <c r="G27" s="11">
        <v>111845</v>
      </c>
      <c r="H27" s="12" t="s">
        <v>4446</v>
      </c>
      <c r="I27" s="12" t="s">
        <v>27</v>
      </c>
      <c r="J27" s="12" t="s">
        <v>42</v>
      </c>
      <c r="K27" s="12" t="s">
        <v>43</v>
      </c>
      <c r="L27" s="13">
        <v>39.659999999999997</v>
      </c>
      <c r="M27" s="13">
        <v>24</v>
      </c>
      <c r="N27" s="13">
        <v>1.6525000000000001</v>
      </c>
      <c r="O27" s="83">
        <v>42</v>
      </c>
      <c r="P27" s="83" t="s">
        <v>30</v>
      </c>
      <c r="Q27" s="83">
        <v>0</v>
      </c>
      <c r="R27" s="84">
        <v>1665.7199999999998</v>
      </c>
      <c r="S27" s="84">
        <v>0</v>
      </c>
      <c r="T27" s="84">
        <v>0</v>
      </c>
      <c r="U27" s="84">
        <v>1665.7199999999998</v>
      </c>
      <c r="V27" s="84">
        <v>1665.7199999999998</v>
      </c>
      <c r="W27" s="84">
        <v>0</v>
      </c>
      <c r="X27" s="84">
        <v>0</v>
      </c>
      <c r="Y27" s="85">
        <v>0</v>
      </c>
      <c r="Z27" s="67" t="s">
        <v>26</v>
      </c>
      <c r="AA27" s="12" t="s">
        <v>31</v>
      </c>
    </row>
    <row r="28" spans="1:27" x14ac:dyDescent="0.25">
      <c r="A28" s="10">
        <v>45658</v>
      </c>
      <c r="B28" s="11" t="s">
        <v>1097</v>
      </c>
      <c r="C28" s="11" t="s">
        <v>1098</v>
      </c>
      <c r="D28" s="11" t="s">
        <v>26</v>
      </c>
      <c r="E28" s="11" t="s">
        <v>49</v>
      </c>
      <c r="F28" s="11" t="s">
        <v>26</v>
      </c>
      <c r="G28" s="11">
        <v>1474</v>
      </c>
      <c r="H28" s="12" t="s">
        <v>45</v>
      </c>
      <c r="I28" s="12" t="s">
        <v>27</v>
      </c>
      <c r="J28" s="12" t="s">
        <v>42</v>
      </c>
      <c r="K28" s="12" t="s">
        <v>43</v>
      </c>
      <c r="L28" s="13">
        <v>42.58</v>
      </c>
      <c r="M28" s="13">
        <v>25</v>
      </c>
      <c r="N28" s="13">
        <v>1.7032</v>
      </c>
      <c r="O28" s="83" t="s">
        <v>30</v>
      </c>
      <c r="P28" s="83">
        <v>62</v>
      </c>
      <c r="Q28" s="83">
        <v>0</v>
      </c>
      <c r="R28" s="29">
        <v>1550</v>
      </c>
      <c r="S28" s="84">
        <v>0</v>
      </c>
      <c r="T28" s="84">
        <v>0</v>
      </c>
      <c r="U28" s="84">
        <v>1550</v>
      </c>
      <c r="V28" s="84">
        <v>0</v>
      </c>
      <c r="W28" s="84">
        <v>1550</v>
      </c>
      <c r="X28" s="84">
        <v>0</v>
      </c>
      <c r="Y28" s="85">
        <v>0</v>
      </c>
      <c r="Z28" s="67" t="s">
        <v>26</v>
      </c>
      <c r="AA28" s="12" t="s">
        <v>31</v>
      </c>
    </row>
    <row r="29" spans="1:27" x14ac:dyDescent="0.25">
      <c r="A29" s="10">
        <v>45658</v>
      </c>
      <c r="B29" s="11" t="s">
        <v>1099</v>
      </c>
      <c r="C29" s="11" t="s">
        <v>1100</v>
      </c>
      <c r="D29" s="11" t="s">
        <v>26</v>
      </c>
      <c r="E29" s="11" t="s">
        <v>571</v>
      </c>
      <c r="F29" s="11" t="s">
        <v>26</v>
      </c>
      <c r="G29" s="11">
        <v>111903</v>
      </c>
      <c r="H29" s="12" t="s">
        <v>4446</v>
      </c>
      <c r="I29" s="12" t="s">
        <v>27</v>
      </c>
      <c r="J29" s="12" t="s">
        <v>42</v>
      </c>
      <c r="K29" s="12" t="s">
        <v>43</v>
      </c>
      <c r="L29" s="13">
        <v>38.32</v>
      </c>
      <c r="M29" s="13">
        <v>25</v>
      </c>
      <c r="N29" s="13">
        <v>1.5327999999999999</v>
      </c>
      <c r="O29" s="83">
        <v>42</v>
      </c>
      <c r="P29" s="83" t="s">
        <v>30</v>
      </c>
      <c r="Q29" s="83">
        <v>0</v>
      </c>
      <c r="R29" s="29">
        <v>1609.44</v>
      </c>
      <c r="S29" s="84">
        <v>0</v>
      </c>
      <c r="T29" s="84">
        <v>0</v>
      </c>
      <c r="U29" s="84">
        <v>1609.44</v>
      </c>
      <c r="V29" s="84">
        <v>1609.44</v>
      </c>
      <c r="W29" s="84">
        <v>0</v>
      </c>
      <c r="X29" s="84">
        <v>0</v>
      </c>
      <c r="Y29" s="85">
        <v>0</v>
      </c>
      <c r="Z29" s="67" t="s">
        <v>26</v>
      </c>
      <c r="AA29" s="12" t="s">
        <v>31</v>
      </c>
    </row>
    <row r="30" spans="1:27" x14ac:dyDescent="0.25">
      <c r="A30" s="10">
        <v>45658</v>
      </c>
      <c r="B30" s="11" t="s">
        <v>1101</v>
      </c>
      <c r="C30" s="11" t="s">
        <v>1102</v>
      </c>
      <c r="D30" s="11" t="s">
        <v>26</v>
      </c>
      <c r="E30" s="11" t="s">
        <v>569</v>
      </c>
      <c r="F30" s="11" t="s">
        <v>26</v>
      </c>
      <c r="G30" s="11">
        <v>111726</v>
      </c>
      <c r="H30" s="12" t="s">
        <v>4446</v>
      </c>
      <c r="I30" s="12" t="s">
        <v>27</v>
      </c>
      <c r="J30" s="12" t="s">
        <v>42</v>
      </c>
      <c r="K30" s="12" t="s">
        <v>43</v>
      </c>
      <c r="L30" s="13">
        <v>40.06</v>
      </c>
      <c r="M30" s="13">
        <v>25</v>
      </c>
      <c r="N30" s="13">
        <v>1.6024</v>
      </c>
      <c r="O30" s="83">
        <v>42</v>
      </c>
      <c r="P30" s="83" t="s">
        <v>30</v>
      </c>
      <c r="Q30" s="83">
        <v>0</v>
      </c>
      <c r="R30" s="29">
        <v>1682.52</v>
      </c>
      <c r="S30" s="84">
        <v>0</v>
      </c>
      <c r="T30" s="84">
        <v>0</v>
      </c>
      <c r="U30" s="84">
        <v>1682.52</v>
      </c>
      <c r="V30" s="84">
        <v>1682.52</v>
      </c>
      <c r="W30" s="84">
        <v>0</v>
      </c>
      <c r="X30" s="84">
        <v>0</v>
      </c>
      <c r="Y30" s="85">
        <v>0</v>
      </c>
      <c r="Z30" s="67" t="s">
        <v>26</v>
      </c>
      <c r="AA30" s="12" t="s">
        <v>31</v>
      </c>
    </row>
    <row r="31" spans="1:27" x14ac:dyDescent="0.25">
      <c r="A31" s="10">
        <v>45658</v>
      </c>
      <c r="B31" s="11" t="s">
        <v>335</v>
      </c>
      <c r="C31" s="11" t="s">
        <v>1103</v>
      </c>
      <c r="D31" s="11" t="s">
        <v>26</v>
      </c>
      <c r="E31" s="11" t="s">
        <v>573</v>
      </c>
      <c r="F31" s="11" t="s">
        <v>26</v>
      </c>
      <c r="G31" s="11">
        <v>112034</v>
      </c>
      <c r="H31" s="12" t="s">
        <v>4446</v>
      </c>
      <c r="I31" s="12" t="s">
        <v>27</v>
      </c>
      <c r="J31" s="12" t="s">
        <v>42</v>
      </c>
      <c r="K31" s="12" t="s">
        <v>43</v>
      </c>
      <c r="L31" s="13">
        <v>40.18</v>
      </c>
      <c r="M31" s="13">
        <v>25</v>
      </c>
      <c r="N31" s="13">
        <v>1.6072</v>
      </c>
      <c r="O31" s="83">
        <v>42</v>
      </c>
      <c r="P31" s="83" t="s">
        <v>30</v>
      </c>
      <c r="Q31" s="83">
        <v>0</v>
      </c>
      <c r="R31" s="29">
        <v>1687.56</v>
      </c>
      <c r="S31" s="84">
        <v>0</v>
      </c>
      <c r="T31" s="84">
        <v>0</v>
      </c>
      <c r="U31" s="84">
        <v>1687.56</v>
      </c>
      <c r="V31" s="84">
        <v>1687.56</v>
      </c>
      <c r="W31" s="84">
        <v>0</v>
      </c>
      <c r="X31" s="84">
        <v>0</v>
      </c>
      <c r="Y31" s="85">
        <v>0</v>
      </c>
      <c r="Z31" s="67" t="s">
        <v>26</v>
      </c>
      <c r="AA31" s="12" t="s">
        <v>31</v>
      </c>
    </row>
    <row r="32" spans="1:27" x14ac:dyDescent="0.25">
      <c r="A32" s="10">
        <v>45658</v>
      </c>
      <c r="B32" s="11" t="s">
        <v>335</v>
      </c>
      <c r="C32" s="11" t="s">
        <v>1104</v>
      </c>
      <c r="D32" s="11" t="s">
        <v>26</v>
      </c>
      <c r="E32" s="11" t="s">
        <v>240</v>
      </c>
      <c r="F32" s="11" t="s">
        <v>26</v>
      </c>
      <c r="G32" s="11">
        <v>2199</v>
      </c>
      <c r="H32" s="12" t="s">
        <v>41</v>
      </c>
      <c r="I32" s="12" t="s">
        <v>55</v>
      </c>
      <c r="J32" s="12" t="s">
        <v>55</v>
      </c>
      <c r="K32" s="12" t="s">
        <v>56</v>
      </c>
      <c r="L32" s="13">
        <v>39.479999999999997</v>
      </c>
      <c r="M32" s="13">
        <v>25</v>
      </c>
      <c r="N32" s="13">
        <v>1.5791999999999999</v>
      </c>
      <c r="O32" s="83" t="s">
        <v>30</v>
      </c>
      <c r="P32" s="83">
        <v>24</v>
      </c>
      <c r="Q32" s="83">
        <v>0</v>
      </c>
      <c r="R32" s="84">
        <v>600</v>
      </c>
      <c r="S32" s="84">
        <v>0</v>
      </c>
      <c r="T32" s="84">
        <v>0</v>
      </c>
      <c r="U32" s="84">
        <v>600</v>
      </c>
      <c r="V32" s="84">
        <v>0</v>
      </c>
      <c r="W32" s="84">
        <v>600</v>
      </c>
      <c r="X32" s="84">
        <v>0</v>
      </c>
      <c r="Y32" s="85">
        <v>0</v>
      </c>
      <c r="Z32" s="67" t="s">
        <v>26</v>
      </c>
      <c r="AA32" s="12" t="s">
        <v>31</v>
      </c>
    </row>
    <row r="33" spans="1:27" x14ac:dyDescent="0.25">
      <c r="A33" s="10">
        <v>45658</v>
      </c>
      <c r="B33" s="11" t="s">
        <v>1105</v>
      </c>
      <c r="C33" s="11" t="s">
        <v>1106</v>
      </c>
      <c r="D33" s="11" t="s">
        <v>26</v>
      </c>
      <c r="E33" s="11" t="s">
        <v>651</v>
      </c>
      <c r="F33" s="11" t="s">
        <v>26</v>
      </c>
      <c r="G33" s="11" t="s">
        <v>35</v>
      </c>
      <c r="H33" s="12" t="s">
        <v>36</v>
      </c>
      <c r="I33" s="12" t="s">
        <v>37</v>
      </c>
      <c r="J33" s="12" t="s">
        <v>228</v>
      </c>
      <c r="K33" s="12" t="s">
        <v>38</v>
      </c>
      <c r="L33" s="13">
        <v>39</v>
      </c>
      <c r="M33" s="13">
        <v>23</v>
      </c>
      <c r="N33" s="13">
        <v>1.695652173913043</v>
      </c>
      <c r="O33" s="83">
        <v>37</v>
      </c>
      <c r="P33" s="83" t="s">
        <v>30</v>
      </c>
      <c r="Q33" s="29">
        <v>0</v>
      </c>
      <c r="R33" s="84">
        <v>1443</v>
      </c>
      <c r="S33" s="84">
        <v>0</v>
      </c>
      <c r="T33" s="84">
        <v>0</v>
      </c>
      <c r="U33" s="84">
        <v>1443</v>
      </c>
      <c r="V33" s="84">
        <v>0</v>
      </c>
      <c r="W33" s="84">
        <v>1443</v>
      </c>
      <c r="X33" s="84">
        <v>0</v>
      </c>
      <c r="Y33" s="85">
        <v>0</v>
      </c>
      <c r="Z33" s="67" t="s">
        <v>26</v>
      </c>
      <c r="AA33" s="12" t="s">
        <v>31</v>
      </c>
    </row>
    <row r="34" spans="1:27" x14ac:dyDescent="0.25">
      <c r="A34" s="10">
        <v>45658</v>
      </c>
      <c r="B34" s="11" t="s">
        <v>1107</v>
      </c>
      <c r="C34" s="11" t="s">
        <v>1108</v>
      </c>
      <c r="D34" s="11" t="s">
        <v>26</v>
      </c>
      <c r="E34" s="11" t="s">
        <v>32</v>
      </c>
      <c r="F34" s="11" t="s">
        <v>26</v>
      </c>
      <c r="G34" s="11">
        <v>1439</v>
      </c>
      <c r="H34" s="12" t="s">
        <v>45</v>
      </c>
      <c r="I34" s="12" t="s">
        <v>27</v>
      </c>
      <c r="J34" s="12" t="s">
        <v>33</v>
      </c>
      <c r="K34" s="12" t="s">
        <v>34</v>
      </c>
      <c r="L34" s="13">
        <v>38.380000000000003</v>
      </c>
      <c r="M34" s="13">
        <v>25</v>
      </c>
      <c r="N34" s="13">
        <v>1.5351999999999999</v>
      </c>
      <c r="O34" s="83" t="s">
        <v>30</v>
      </c>
      <c r="P34" s="83">
        <v>58</v>
      </c>
      <c r="Q34" s="83">
        <v>0</v>
      </c>
      <c r="R34" s="29">
        <v>1450</v>
      </c>
      <c r="S34" s="84">
        <v>0</v>
      </c>
      <c r="T34" s="84">
        <v>0</v>
      </c>
      <c r="U34" s="84">
        <v>1450</v>
      </c>
      <c r="V34" s="84">
        <v>0</v>
      </c>
      <c r="W34" s="84">
        <v>1450</v>
      </c>
      <c r="X34" s="85">
        <v>0</v>
      </c>
      <c r="Y34" s="85">
        <v>0</v>
      </c>
      <c r="Z34" s="67" t="s">
        <v>26</v>
      </c>
      <c r="AA34" s="12" t="s">
        <v>31</v>
      </c>
    </row>
    <row r="35" spans="1:27" x14ac:dyDescent="0.25">
      <c r="A35" s="10">
        <v>45658</v>
      </c>
      <c r="B35" s="11" t="s">
        <v>1109</v>
      </c>
      <c r="C35" s="11" t="s">
        <v>1110</v>
      </c>
      <c r="D35" s="11" t="s">
        <v>26</v>
      </c>
      <c r="E35" s="11" t="s">
        <v>76</v>
      </c>
      <c r="F35" s="11" t="s">
        <v>26</v>
      </c>
      <c r="G35" s="11" t="s">
        <v>26</v>
      </c>
      <c r="H35" s="12" t="s">
        <v>4422</v>
      </c>
      <c r="I35" s="12" t="s">
        <v>27</v>
      </c>
      <c r="J35" s="12" t="s">
        <v>47</v>
      </c>
      <c r="K35" s="12" t="s">
        <v>48</v>
      </c>
      <c r="L35" s="13">
        <v>43.52</v>
      </c>
      <c r="M35" s="13">
        <v>30</v>
      </c>
      <c r="N35" s="13">
        <v>1.450666666666667</v>
      </c>
      <c r="O35" s="83">
        <v>87</v>
      </c>
      <c r="P35" s="83" t="s">
        <v>30</v>
      </c>
      <c r="Q35" s="29">
        <v>0</v>
      </c>
      <c r="R35" s="84">
        <v>3786.2400000000002</v>
      </c>
      <c r="S35" s="84">
        <v>38</v>
      </c>
      <c r="T35" s="84">
        <v>1653.7600000000002</v>
      </c>
      <c r="U35" s="84">
        <v>2132.48</v>
      </c>
      <c r="V35" s="84">
        <v>2132.48</v>
      </c>
      <c r="W35" s="84">
        <v>0</v>
      </c>
      <c r="X35" s="84">
        <v>1610.24</v>
      </c>
      <c r="Y35" s="85">
        <v>43.520000000000209</v>
      </c>
      <c r="Z35" s="67" t="s">
        <v>41</v>
      </c>
      <c r="AA35" s="12" t="s">
        <v>78</v>
      </c>
    </row>
    <row r="36" spans="1:27" x14ac:dyDescent="0.25">
      <c r="A36" s="10">
        <v>45658</v>
      </c>
      <c r="B36" s="11" t="s">
        <v>1111</v>
      </c>
      <c r="C36" s="11" t="s">
        <v>1112</v>
      </c>
      <c r="D36" s="11" t="s">
        <v>26</v>
      </c>
      <c r="E36" s="11" t="s">
        <v>567</v>
      </c>
      <c r="F36" s="11" t="s">
        <v>26</v>
      </c>
      <c r="G36" s="11">
        <v>111849</v>
      </c>
      <c r="H36" s="12" t="s">
        <v>4446</v>
      </c>
      <c r="I36" s="12" t="s">
        <v>27</v>
      </c>
      <c r="J36" s="12" t="s">
        <v>42</v>
      </c>
      <c r="K36" s="12" t="s">
        <v>43</v>
      </c>
      <c r="L36" s="13">
        <v>42.08</v>
      </c>
      <c r="M36" s="13">
        <v>25</v>
      </c>
      <c r="N36" s="13">
        <v>1.6832</v>
      </c>
      <c r="O36" s="83">
        <v>42</v>
      </c>
      <c r="P36" s="83" t="s">
        <v>30</v>
      </c>
      <c r="Q36" s="83">
        <v>0</v>
      </c>
      <c r="R36" s="29">
        <v>1767.36</v>
      </c>
      <c r="S36" s="84">
        <v>0</v>
      </c>
      <c r="T36" s="84">
        <v>0</v>
      </c>
      <c r="U36" s="84">
        <v>1767.36</v>
      </c>
      <c r="V36" s="84">
        <v>1767.36</v>
      </c>
      <c r="W36" s="84">
        <v>0</v>
      </c>
      <c r="X36" s="84">
        <v>0</v>
      </c>
      <c r="Y36" s="85">
        <v>0</v>
      </c>
      <c r="Z36" s="67" t="s">
        <v>26</v>
      </c>
      <c r="AA36" s="12" t="s">
        <v>31</v>
      </c>
    </row>
    <row r="37" spans="1:27" x14ac:dyDescent="0.25">
      <c r="A37" s="10">
        <v>45658</v>
      </c>
      <c r="B37" s="11" t="s">
        <v>647</v>
      </c>
      <c r="C37" s="11" t="s">
        <v>1113</v>
      </c>
      <c r="D37" s="11" t="s">
        <v>26</v>
      </c>
      <c r="E37" s="11" t="s">
        <v>481</v>
      </c>
      <c r="F37" s="11" t="s">
        <v>26</v>
      </c>
      <c r="G37" s="11">
        <v>73958</v>
      </c>
      <c r="H37" s="12" t="s">
        <v>4448</v>
      </c>
      <c r="I37" s="12" t="s">
        <v>55</v>
      </c>
      <c r="J37" s="12" t="s">
        <v>55</v>
      </c>
      <c r="K37" s="12" t="s">
        <v>56</v>
      </c>
      <c r="L37" s="13">
        <v>36.92</v>
      </c>
      <c r="M37" s="13">
        <v>25</v>
      </c>
      <c r="N37" s="13">
        <v>1.4767999999999999</v>
      </c>
      <c r="O37" s="83">
        <v>15</v>
      </c>
      <c r="P37" s="83" t="s">
        <v>30</v>
      </c>
      <c r="Q37" s="29">
        <v>0</v>
      </c>
      <c r="R37" s="84">
        <v>553.80000000000007</v>
      </c>
      <c r="S37" s="84">
        <v>0</v>
      </c>
      <c r="T37" s="84">
        <v>0</v>
      </c>
      <c r="U37" s="84">
        <v>553.80000000000007</v>
      </c>
      <c r="V37" s="84">
        <v>415.35</v>
      </c>
      <c r="W37" s="84">
        <v>138.45000000000005</v>
      </c>
      <c r="X37" s="84">
        <v>0</v>
      </c>
      <c r="Y37" s="85">
        <v>0</v>
      </c>
      <c r="Z37" s="67" t="s">
        <v>26</v>
      </c>
      <c r="AA37" s="12" t="s">
        <v>31</v>
      </c>
    </row>
    <row r="38" spans="1:27" x14ac:dyDescent="0.25">
      <c r="A38" s="10">
        <v>45658</v>
      </c>
      <c r="B38" s="11" t="s">
        <v>329</v>
      </c>
      <c r="C38" s="11" t="s">
        <v>1114</v>
      </c>
      <c r="D38" s="11" t="s">
        <v>26</v>
      </c>
      <c r="E38" s="11" t="s">
        <v>519</v>
      </c>
      <c r="F38" s="11" t="s">
        <v>26</v>
      </c>
      <c r="G38" s="11">
        <v>77381</v>
      </c>
      <c r="H38" s="12" t="s">
        <v>4448</v>
      </c>
      <c r="I38" s="12" t="s">
        <v>55</v>
      </c>
      <c r="J38" s="12" t="s">
        <v>55</v>
      </c>
      <c r="K38" s="12" t="s">
        <v>56</v>
      </c>
      <c r="L38" s="13">
        <v>36.880000000000003</v>
      </c>
      <c r="M38" s="13">
        <v>25</v>
      </c>
      <c r="N38" s="13">
        <v>1.4752000000000001</v>
      </c>
      <c r="O38" s="83">
        <v>15</v>
      </c>
      <c r="P38" s="83" t="s">
        <v>30</v>
      </c>
      <c r="Q38" s="83">
        <v>0</v>
      </c>
      <c r="R38" s="29">
        <v>553.20000000000005</v>
      </c>
      <c r="S38" s="84">
        <v>0</v>
      </c>
      <c r="T38" s="84">
        <v>0</v>
      </c>
      <c r="U38" s="84">
        <v>553.20000000000005</v>
      </c>
      <c r="V38" s="84">
        <v>414.90000000000003</v>
      </c>
      <c r="W38" s="84">
        <v>138.30000000000001</v>
      </c>
      <c r="X38" s="84">
        <v>0</v>
      </c>
      <c r="Y38" s="85">
        <v>0</v>
      </c>
      <c r="Z38" s="67" t="s">
        <v>26</v>
      </c>
      <c r="AA38" s="12" t="s">
        <v>31</v>
      </c>
    </row>
    <row r="39" spans="1:27" x14ac:dyDescent="0.25">
      <c r="A39" s="10">
        <v>45658</v>
      </c>
      <c r="B39" s="11" t="s">
        <v>356</v>
      </c>
      <c r="C39" s="11" t="s">
        <v>1115</v>
      </c>
      <c r="D39" s="11" t="s">
        <v>26</v>
      </c>
      <c r="E39" s="11" t="s">
        <v>489</v>
      </c>
      <c r="F39" s="11" t="s">
        <v>26</v>
      </c>
      <c r="G39" s="11">
        <v>76248</v>
      </c>
      <c r="H39" s="12" t="s">
        <v>4448</v>
      </c>
      <c r="I39" s="12" t="s">
        <v>55</v>
      </c>
      <c r="J39" s="12" t="s">
        <v>55</v>
      </c>
      <c r="K39" s="12" t="s">
        <v>56</v>
      </c>
      <c r="L39" s="13">
        <v>38.28</v>
      </c>
      <c r="M39" s="13">
        <v>25</v>
      </c>
      <c r="N39" s="13">
        <v>1.5311999999999999</v>
      </c>
      <c r="O39" s="83">
        <v>15</v>
      </c>
      <c r="P39" s="83" t="s">
        <v>30</v>
      </c>
      <c r="Q39" s="83">
        <v>0</v>
      </c>
      <c r="R39" s="29">
        <v>574.20000000000005</v>
      </c>
      <c r="S39" s="84">
        <v>0</v>
      </c>
      <c r="T39" s="84">
        <v>0</v>
      </c>
      <c r="U39" s="84">
        <v>574.20000000000005</v>
      </c>
      <c r="V39" s="84">
        <v>430.65000000000003</v>
      </c>
      <c r="W39" s="84">
        <v>143.55000000000001</v>
      </c>
      <c r="X39" s="84">
        <v>0</v>
      </c>
      <c r="Y39" s="85">
        <v>0</v>
      </c>
      <c r="Z39" s="67" t="s">
        <v>26</v>
      </c>
      <c r="AA39" s="12" t="s">
        <v>31</v>
      </c>
    </row>
    <row r="40" spans="1:27" x14ac:dyDescent="0.25">
      <c r="A40" s="10">
        <v>45658</v>
      </c>
      <c r="B40" s="11" t="s">
        <v>1116</v>
      </c>
      <c r="C40" s="11" t="s">
        <v>1117</v>
      </c>
      <c r="D40" s="11" t="s">
        <v>26</v>
      </c>
      <c r="E40" s="11" t="s">
        <v>64</v>
      </c>
      <c r="F40" s="11" t="s">
        <v>26</v>
      </c>
      <c r="G40" s="11">
        <v>465</v>
      </c>
      <c r="H40" s="12" t="s">
        <v>141</v>
      </c>
      <c r="I40" s="12" t="s">
        <v>55</v>
      </c>
      <c r="J40" s="12" t="s">
        <v>55</v>
      </c>
      <c r="K40" s="12" t="s">
        <v>56</v>
      </c>
      <c r="L40" s="13">
        <v>34.94</v>
      </c>
      <c r="M40" s="13">
        <v>25</v>
      </c>
      <c r="N40" s="13">
        <v>1.3976</v>
      </c>
      <c r="O40" s="83">
        <v>15</v>
      </c>
      <c r="P40" s="83" t="s">
        <v>30</v>
      </c>
      <c r="Q40" s="83">
        <v>0</v>
      </c>
      <c r="R40" s="29">
        <v>524.09999999999991</v>
      </c>
      <c r="S40" s="84">
        <v>0</v>
      </c>
      <c r="T40" s="84">
        <v>0</v>
      </c>
      <c r="U40" s="84">
        <v>524.09999999999991</v>
      </c>
      <c r="V40" s="84">
        <v>0</v>
      </c>
      <c r="W40" s="84">
        <v>524.09999999999991</v>
      </c>
      <c r="X40" s="84">
        <v>0</v>
      </c>
      <c r="Y40" s="85">
        <v>0</v>
      </c>
      <c r="Z40" s="67" t="s">
        <v>26</v>
      </c>
      <c r="AA40" s="12" t="s">
        <v>31</v>
      </c>
    </row>
    <row r="41" spans="1:27" x14ac:dyDescent="0.25">
      <c r="A41" s="10">
        <v>45658</v>
      </c>
      <c r="B41" s="11" t="s">
        <v>1118</v>
      </c>
      <c r="C41" s="11" t="s">
        <v>1119</v>
      </c>
      <c r="D41" s="11" t="s">
        <v>26</v>
      </c>
      <c r="E41" s="11" t="s">
        <v>46</v>
      </c>
      <c r="F41" s="11" t="s">
        <v>26</v>
      </c>
      <c r="G41" s="11">
        <v>111850</v>
      </c>
      <c r="H41" s="12" t="s">
        <v>4446</v>
      </c>
      <c r="I41" s="12" t="s">
        <v>27</v>
      </c>
      <c r="J41" s="12" t="s">
        <v>42</v>
      </c>
      <c r="K41" s="12" t="s">
        <v>43</v>
      </c>
      <c r="L41" s="13">
        <v>41.04</v>
      </c>
      <c r="M41" s="13">
        <v>25</v>
      </c>
      <c r="N41" s="13">
        <v>1.6415999999999999</v>
      </c>
      <c r="O41" s="83">
        <v>42</v>
      </c>
      <c r="P41" s="83" t="s">
        <v>30</v>
      </c>
      <c r="Q41" s="83">
        <v>0</v>
      </c>
      <c r="R41" s="29">
        <v>1723.68</v>
      </c>
      <c r="S41" s="84">
        <v>0</v>
      </c>
      <c r="T41" s="84">
        <v>0</v>
      </c>
      <c r="U41" s="84">
        <v>1723.68</v>
      </c>
      <c r="V41" s="84">
        <v>1723.68</v>
      </c>
      <c r="W41" s="84">
        <v>0</v>
      </c>
      <c r="X41" s="84">
        <v>0</v>
      </c>
      <c r="Y41" s="85">
        <v>0</v>
      </c>
      <c r="Z41" s="67" t="s">
        <v>26</v>
      </c>
      <c r="AA41" s="12" t="s">
        <v>31</v>
      </c>
    </row>
    <row r="42" spans="1:27" x14ac:dyDescent="0.25">
      <c r="A42" s="10">
        <v>45658</v>
      </c>
      <c r="B42" s="11" t="s">
        <v>1120</v>
      </c>
      <c r="C42" s="11" t="s">
        <v>1121</v>
      </c>
      <c r="D42" s="11" t="s">
        <v>26</v>
      </c>
      <c r="E42" s="11" t="s">
        <v>1062</v>
      </c>
      <c r="F42" s="11" t="s">
        <v>26</v>
      </c>
      <c r="G42" s="11">
        <v>111853</v>
      </c>
      <c r="H42" s="12" t="s">
        <v>4446</v>
      </c>
      <c r="I42" s="12" t="s">
        <v>27</v>
      </c>
      <c r="J42" s="12" t="s">
        <v>42</v>
      </c>
      <c r="K42" s="12" t="s">
        <v>43</v>
      </c>
      <c r="L42" s="13">
        <v>40.22</v>
      </c>
      <c r="M42" s="13">
        <v>25</v>
      </c>
      <c r="N42" s="13">
        <v>1.6088</v>
      </c>
      <c r="O42" s="83">
        <v>42</v>
      </c>
      <c r="P42" s="83" t="s">
        <v>30</v>
      </c>
      <c r="Q42" s="83">
        <v>0</v>
      </c>
      <c r="R42" s="29">
        <v>1689.24</v>
      </c>
      <c r="S42" s="84">
        <v>0</v>
      </c>
      <c r="T42" s="84">
        <v>0</v>
      </c>
      <c r="U42" s="84">
        <v>1689.24</v>
      </c>
      <c r="V42" s="84">
        <v>1689.24</v>
      </c>
      <c r="W42" s="84">
        <v>0</v>
      </c>
      <c r="X42" s="84">
        <v>0</v>
      </c>
      <c r="Y42" s="85">
        <v>0</v>
      </c>
      <c r="Z42" s="67" t="s">
        <v>26</v>
      </c>
      <c r="AA42" s="12" t="s">
        <v>31</v>
      </c>
    </row>
    <row r="43" spans="1:27" x14ac:dyDescent="0.25">
      <c r="A43" s="10">
        <v>45658</v>
      </c>
      <c r="B43" s="11" t="s">
        <v>1122</v>
      </c>
      <c r="C43" s="11" t="s">
        <v>1123</v>
      </c>
      <c r="D43" s="11" t="s">
        <v>26</v>
      </c>
      <c r="E43" s="11" t="s">
        <v>65</v>
      </c>
      <c r="F43" s="11" t="s">
        <v>26</v>
      </c>
      <c r="G43" s="11">
        <v>1545</v>
      </c>
      <c r="H43" s="12" t="s">
        <v>66</v>
      </c>
      <c r="I43" s="12" t="s">
        <v>27</v>
      </c>
      <c r="J43" s="12" t="s">
        <v>42</v>
      </c>
      <c r="K43" s="12" t="s">
        <v>43</v>
      </c>
      <c r="L43" s="13">
        <v>43.18</v>
      </c>
      <c r="M43" s="13">
        <v>25</v>
      </c>
      <c r="N43" s="13">
        <v>1.7272000000000001</v>
      </c>
      <c r="O43" s="83" t="s">
        <v>30</v>
      </c>
      <c r="P43" s="83">
        <v>70</v>
      </c>
      <c r="Q43" s="83">
        <v>0</v>
      </c>
      <c r="R43" s="29">
        <v>1750</v>
      </c>
      <c r="S43" s="84">
        <v>0</v>
      </c>
      <c r="T43" s="84">
        <v>0</v>
      </c>
      <c r="U43" s="84">
        <v>1750</v>
      </c>
      <c r="V43" s="84">
        <v>1750</v>
      </c>
      <c r="W43" s="84">
        <v>0</v>
      </c>
      <c r="X43" s="84">
        <v>0</v>
      </c>
      <c r="Y43" s="85">
        <v>0</v>
      </c>
      <c r="Z43" s="67" t="s">
        <v>26</v>
      </c>
      <c r="AA43" s="12" t="s">
        <v>31</v>
      </c>
    </row>
    <row r="44" spans="1:27" x14ac:dyDescent="0.25">
      <c r="A44" s="10">
        <v>45658</v>
      </c>
      <c r="B44" s="11" t="s">
        <v>1124</v>
      </c>
      <c r="C44" s="11" t="s">
        <v>1125</v>
      </c>
      <c r="D44" s="11" t="s">
        <v>26</v>
      </c>
      <c r="E44" s="11" t="s">
        <v>483</v>
      </c>
      <c r="F44" s="11" t="s">
        <v>26</v>
      </c>
      <c r="G44" s="11">
        <v>2129</v>
      </c>
      <c r="H44" s="12" t="s">
        <v>41</v>
      </c>
      <c r="I44" s="12" t="s">
        <v>27</v>
      </c>
      <c r="J44" s="12" t="s">
        <v>33</v>
      </c>
      <c r="K44" s="12" t="s">
        <v>34</v>
      </c>
      <c r="L44" s="13">
        <v>35.979999999999997</v>
      </c>
      <c r="M44" s="13">
        <v>25</v>
      </c>
      <c r="N44" s="13">
        <v>1.4392</v>
      </c>
      <c r="O44" s="83" t="s">
        <v>30</v>
      </c>
      <c r="P44" s="83">
        <v>60</v>
      </c>
      <c r="Q44" s="83">
        <v>0</v>
      </c>
      <c r="R44" s="84">
        <v>1500</v>
      </c>
      <c r="S44" s="84">
        <v>0</v>
      </c>
      <c r="T44" s="84">
        <v>0</v>
      </c>
      <c r="U44" s="84">
        <v>1500</v>
      </c>
      <c r="V44" s="84">
        <v>0</v>
      </c>
      <c r="W44" s="84">
        <v>1500</v>
      </c>
      <c r="X44" s="84">
        <v>0</v>
      </c>
      <c r="Y44" s="85">
        <v>0</v>
      </c>
      <c r="Z44" s="67" t="s">
        <v>26</v>
      </c>
      <c r="AA44" s="12" t="s">
        <v>31</v>
      </c>
    </row>
    <row r="45" spans="1:27" x14ac:dyDescent="0.25">
      <c r="A45" s="10">
        <v>45658</v>
      </c>
      <c r="B45" s="11" t="s">
        <v>692</v>
      </c>
      <c r="C45" s="11" t="s">
        <v>1126</v>
      </c>
      <c r="D45" s="11" t="s">
        <v>26</v>
      </c>
      <c r="E45" s="11" t="s">
        <v>1065</v>
      </c>
      <c r="F45" s="11" t="s">
        <v>26</v>
      </c>
      <c r="G45" s="11">
        <v>111855</v>
      </c>
      <c r="H45" s="12" t="s">
        <v>4446</v>
      </c>
      <c r="I45" s="12" t="s">
        <v>27</v>
      </c>
      <c r="J45" s="12" t="s">
        <v>42</v>
      </c>
      <c r="K45" s="12" t="s">
        <v>43</v>
      </c>
      <c r="L45" s="13">
        <v>36.92</v>
      </c>
      <c r="M45" s="13">
        <v>24</v>
      </c>
      <c r="N45" s="13">
        <v>1.5383333333333331</v>
      </c>
      <c r="O45" s="83">
        <v>42</v>
      </c>
      <c r="P45" s="83" t="s">
        <v>30</v>
      </c>
      <c r="Q45" s="83">
        <v>0</v>
      </c>
      <c r="R45" s="84">
        <v>1550.64</v>
      </c>
      <c r="S45" s="84">
        <v>0</v>
      </c>
      <c r="T45" s="84">
        <v>0</v>
      </c>
      <c r="U45" s="84">
        <v>1550.64</v>
      </c>
      <c r="V45" s="84">
        <v>1550.64</v>
      </c>
      <c r="W45" s="84">
        <v>0</v>
      </c>
      <c r="X45" s="84">
        <v>0</v>
      </c>
      <c r="Y45" s="85">
        <v>0</v>
      </c>
      <c r="Z45" s="67" t="s">
        <v>26</v>
      </c>
      <c r="AA45" s="12" t="s">
        <v>31</v>
      </c>
    </row>
    <row r="46" spans="1:27" x14ac:dyDescent="0.25">
      <c r="A46" s="10">
        <v>45658</v>
      </c>
      <c r="B46" s="11" t="s">
        <v>1127</v>
      </c>
      <c r="C46" s="11" t="s">
        <v>1128</v>
      </c>
      <c r="D46" s="11" t="s">
        <v>26</v>
      </c>
      <c r="E46" s="11" t="s">
        <v>57</v>
      </c>
      <c r="F46" s="11" t="s">
        <v>26</v>
      </c>
      <c r="G46" s="11">
        <v>2713</v>
      </c>
      <c r="H46" s="12" t="s">
        <v>41</v>
      </c>
      <c r="I46" s="12" t="s">
        <v>27</v>
      </c>
      <c r="J46" s="12" t="s">
        <v>42</v>
      </c>
      <c r="K46" s="12" t="s">
        <v>43</v>
      </c>
      <c r="L46" s="13">
        <v>41.02</v>
      </c>
      <c r="M46" s="13">
        <v>25</v>
      </c>
      <c r="N46" s="13">
        <v>1.6408</v>
      </c>
      <c r="O46" s="83" t="s">
        <v>30</v>
      </c>
      <c r="P46" s="83">
        <v>64</v>
      </c>
      <c r="Q46" s="83">
        <v>0</v>
      </c>
      <c r="R46" s="29">
        <v>1600</v>
      </c>
      <c r="S46" s="84">
        <v>0</v>
      </c>
      <c r="T46" s="84">
        <v>0</v>
      </c>
      <c r="U46" s="84">
        <v>1600</v>
      </c>
      <c r="V46" s="84">
        <v>0</v>
      </c>
      <c r="W46" s="84">
        <v>1600</v>
      </c>
      <c r="X46" s="84">
        <v>0</v>
      </c>
      <c r="Y46" s="85">
        <v>0</v>
      </c>
      <c r="Z46" s="67" t="s">
        <v>26</v>
      </c>
      <c r="AA46" s="12" t="s">
        <v>31</v>
      </c>
    </row>
    <row r="47" spans="1:27" x14ac:dyDescent="0.25">
      <c r="A47" s="10">
        <v>45658</v>
      </c>
      <c r="B47" s="11" t="s">
        <v>1129</v>
      </c>
      <c r="C47" s="11" t="s">
        <v>1130</v>
      </c>
      <c r="D47" s="11" t="s">
        <v>26</v>
      </c>
      <c r="E47" s="11" t="s">
        <v>1068</v>
      </c>
      <c r="F47" s="11" t="s">
        <v>26</v>
      </c>
      <c r="G47" s="11">
        <v>111854</v>
      </c>
      <c r="H47" s="12" t="s">
        <v>4446</v>
      </c>
      <c r="I47" s="12" t="s">
        <v>27</v>
      </c>
      <c r="J47" s="12" t="s">
        <v>42</v>
      </c>
      <c r="K47" s="12" t="s">
        <v>43</v>
      </c>
      <c r="L47" s="13">
        <v>38.28</v>
      </c>
      <c r="M47" s="13">
        <v>24</v>
      </c>
      <c r="N47" s="13">
        <v>1.595</v>
      </c>
      <c r="O47" s="83">
        <v>42</v>
      </c>
      <c r="P47" s="83" t="s">
        <v>30</v>
      </c>
      <c r="Q47" s="83">
        <v>0</v>
      </c>
      <c r="R47" s="29">
        <v>1607.76</v>
      </c>
      <c r="S47" s="84">
        <v>0</v>
      </c>
      <c r="T47" s="84">
        <v>0</v>
      </c>
      <c r="U47" s="84">
        <v>1607.76</v>
      </c>
      <c r="V47" s="84">
        <v>1607.76</v>
      </c>
      <c r="W47" s="84">
        <v>0</v>
      </c>
      <c r="X47" s="84">
        <v>0</v>
      </c>
      <c r="Y47" s="85">
        <v>0</v>
      </c>
      <c r="Z47" s="67" t="s">
        <v>26</v>
      </c>
      <c r="AA47" s="12" t="s">
        <v>31</v>
      </c>
    </row>
    <row r="48" spans="1:27" x14ac:dyDescent="0.25">
      <c r="A48" s="10">
        <v>45658</v>
      </c>
      <c r="B48" s="11" t="s">
        <v>1131</v>
      </c>
      <c r="C48" s="11" t="s">
        <v>1132</v>
      </c>
      <c r="D48" s="11" t="s">
        <v>26</v>
      </c>
      <c r="E48" s="11" t="s">
        <v>444</v>
      </c>
      <c r="F48" s="11" t="s">
        <v>92</v>
      </c>
      <c r="G48" s="11" t="s">
        <v>35</v>
      </c>
      <c r="H48" s="12" t="s">
        <v>36</v>
      </c>
      <c r="I48" s="12" t="s">
        <v>27</v>
      </c>
      <c r="J48" s="12" t="s">
        <v>557</v>
      </c>
      <c r="K48" s="12" t="s">
        <v>558</v>
      </c>
      <c r="L48" s="13">
        <v>32.18</v>
      </c>
      <c r="M48" s="13">
        <v>20</v>
      </c>
      <c r="N48" s="13">
        <v>1.609</v>
      </c>
      <c r="O48" s="83">
        <v>65</v>
      </c>
      <c r="P48" s="83" t="s">
        <v>30</v>
      </c>
      <c r="Q48" s="83">
        <v>30</v>
      </c>
      <c r="R48" s="29">
        <v>2061.6999999999998</v>
      </c>
      <c r="S48" s="84">
        <v>0</v>
      </c>
      <c r="T48" s="84">
        <v>0</v>
      </c>
      <c r="U48" s="84">
        <v>2061.6999999999998</v>
      </c>
      <c r="V48" s="84">
        <v>0</v>
      </c>
      <c r="W48" s="84">
        <v>2061.6999999999998</v>
      </c>
      <c r="X48" s="84">
        <v>0</v>
      </c>
      <c r="Y48" s="85">
        <v>0</v>
      </c>
      <c r="Z48" s="67" t="s">
        <v>26</v>
      </c>
      <c r="AA48" s="12" t="s">
        <v>31</v>
      </c>
    </row>
    <row r="49" spans="1:27" x14ac:dyDescent="0.25">
      <c r="A49" s="10">
        <v>45658</v>
      </c>
      <c r="B49" s="11" t="s">
        <v>1133</v>
      </c>
      <c r="C49" s="11" t="s">
        <v>1134</v>
      </c>
      <c r="D49" s="11" t="s">
        <v>26</v>
      </c>
      <c r="E49" s="11" t="s">
        <v>97</v>
      </c>
      <c r="F49" s="11" t="s">
        <v>26</v>
      </c>
      <c r="G49" s="11">
        <v>5442</v>
      </c>
      <c r="H49" s="12" t="s">
        <v>4447</v>
      </c>
      <c r="I49" s="12" t="s">
        <v>27</v>
      </c>
      <c r="J49" s="12" t="s">
        <v>28</v>
      </c>
      <c r="K49" s="12" t="s">
        <v>29</v>
      </c>
      <c r="L49" s="13">
        <v>17.760000000000002</v>
      </c>
      <c r="M49" s="13">
        <v>12</v>
      </c>
      <c r="N49" s="13">
        <v>1.48</v>
      </c>
      <c r="O49" s="83" t="s">
        <v>30</v>
      </c>
      <c r="P49" s="83">
        <v>40.5</v>
      </c>
      <c r="Q49" s="83">
        <v>0</v>
      </c>
      <c r="R49" s="84">
        <v>486</v>
      </c>
      <c r="S49" s="84">
        <v>0</v>
      </c>
      <c r="T49" s="84">
        <v>0</v>
      </c>
      <c r="U49" s="84">
        <v>486</v>
      </c>
      <c r="V49" s="84">
        <v>486</v>
      </c>
      <c r="W49" s="84">
        <v>0</v>
      </c>
      <c r="X49" s="84">
        <v>0</v>
      </c>
      <c r="Y49" s="85">
        <v>0</v>
      </c>
      <c r="Z49" s="67" t="s">
        <v>26</v>
      </c>
      <c r="AA49" s="12" t="s">
        <v>31</v>
      </c>
    </row>
    <row r="50" spans="1:27" x14ac:dyDescent="0.25">
      <c r="A50" s="10">
        <v>45658</v>
      </c>
      <c r="B50" s="11" t="s">
        <v>752</v>
      </c>
      <c r="C50" s="11" t="s">
        <v>1135</v>
      </c>
      <c r="D50" s="11" t="s">
        <v>26</v>
      </c>
      <c r="E50" s="11" t="s">
        <v>568</v>
      </c>
      <c r="F50" s="11" t="s">
        <v>26</v>
      </c>
      <c r="G50" s="11">
        <v>111856</v>
      </c>
      <c r="H50" s="12" t="s">
        <v>4446</v>
      </c>
      <c r="I50" s="12" t="s">
        <v>27</v>
      </c>
      <c r="J50" s="12" t="s">
        <v>42</v>
      </c>
      <c r="K50" s="12" t="s">
        <v>43</v>
      </c>
      <c r="L50" s="13">
        <v>40.520000000000003</v>
      </c>
      <c r="M50" s="13">
        <v>25</v>
      </c>
      <c r="N50" s="13">
        <v>1.6208</v>
      </c>
      <c r="O50" s="83">
        <v>42</v>
      </c>
      <c r="P50" s="83" t="s">
        <v>30</v>
      </c>
      <c r="Q50" s="83">
        <v>0</v>
      </c>
      <c r="R50" s="29">
        <v>1701.8400000000001</v>
      </c>
      <c r="S50" s="84">
        <v>0</v>
      </c>
      <c r="T50" s="84">
        <v>0</v>
      </c>
      <c r="U50" s="84">
        <v>1701.8400000000001</v>
      </c>
      <c r="V50" s="84">
        <v>1701.8400000000001</v>
      </c>
      <c r="W50" s="84">
        <v>0</v>
      </c>
      <c r="X50" s="84">
        <v>0</v>
      </c>
      <c r="Y50" s="85">
        <v>0</v>
      </c>
      <c r="Z50" s="67" t="s">
        <v>26</v>
      </c>
      <c r="AA50" s="12" t="s">
        <v>31</v>
      </c>
    </row>
    <row r="51" spans="1:27" x14ac:dyDescent="0.25">
      <c r="A51" s="10">
        <v>45658</v>
      </c>
      <c r="B51" s="11" t="s">
        <v>1136</v>
      </c>
      <c r="C51" s="11" t="s">
        <v>1137</v>
      </c>
      <c r="D51" s="11" t="s">
        <v>26</v>
      </c>
      <c r="E51" s="11" t="s">
        <v>52</v>
      </c>
      <c r="F51" s="11" t="s">
        <v>26</v>
      </c>
      <c r="G51" s="11">
        <v>466</v>
      </c>
      <c r="H51" s="12" t="s">
        <v>141</v>
      </c>
      <c r="I51" s="12" t="s">
        <v>55</v>
      </c>
      <c r="J51" s="12" t="s">
        <v>55</v>
      </c>
      <c r="K51" s="12" t="s">
        <v>56</v>
      </c>
      <c r="L51" s="13">
        <v>36.72</v>
      </c>
      <c r="M51" s="13">
        <v>25</v>
      </c>
      <c r="N51" s="13">
        <v>1.4688000000000001</v>
      </c>
      <c r="O51" s="83">
        <v>15</v>
      </c>
      <c r="P51" s="83" t="s">
        <v>30</v>
      </c>
      <c r="Q51" s="83">
        <v>0</v>
      </c>
      <c r="R51" s="29">
        <v>550.79999999999995</v>
      </c>
      <c r="S51" s="84">
        <v>0</v>
      </c>
      <c r="T51" s="84">
        <v>0</v>
      </c>
      <c r="U51" s="84">
        <v>550.79999999999995</v>
      </c>
      <c r="V51" s="84">
        <v>0</v>
      </c>
      <c r="W51" s="84">
        <v>550.79999999999995</v>
      </c>
      <c r="X51" s="84">
        <v>0</v>
      </c>
      <c r="Y51" s="85">
        <v>0</v>
      </c>
      <c r="Z51" s="67" t="s">
        <v>26</v>
      </c>
      <c r="AA51" s="12" t="s">
        <v>31</v>
      </c>
    </row>
    <row r="52" spans="1:27" x14ac:dyDescent="0.25">
      <c r="A52" s="10">
        <v>45658</v>
      </c>
      <c r="B52" s="11" t="s">
        <v>338</v>
      </c>
      <c r="C52" s="11" t="s">
        <v>1138</v>
      </c>
      <c r="D52" s="11" t="s">
        <v>26</v>
      </c>
      <c r="E52" s="11" t="s">
        <v>1096</v>
      </c>
      <c r="F52" s="11" t="s">
        <v>26</v>
      </c>
      <c r="G52" s="11">
        <v>111857</v>
      </c>
      <c r="H52" s="12" t="s">
        <v>4446</v>
      </c>
      <c r="I52" s="12" t="s">
        <v>27</v>
      </c>
      <c r="J52" s="12" t="s">
        <v>42</v>
      </c>
      <c r="K52" s="12" t="s">
        <v>43</v>
      </c>
      <c r="L52" s="13">
        <v>39.020000000000003</v>
      </c>
      <c r="M52" s="13">
        <v>24</v>
      </c>
      <c r="N52" s="13">
        <v>1.625833333333333</v>
      </c>
      <c r="O52" s="83">
        <v>42</v>
      </c>
      <c r="P52" s="83" t="s">
        <v>30</v>
      </c>
      <c r="Q52" s="83">
        <v>0</v>
      </c>
      <c r="R52" s="84">
        <v>1638.8400000000001</v>
      </c>
      <c r="S52" s="84">
        <v>0</v>
      </c>
      <c r="T52" s="84">
        <v>0</v>
      </c>
      <c r="U52" s="84">
        <v>1638.8400000000001</v>
      </c>
      <c r="V52" s="84">
        <v>1638.8400000000001</v>
      </c>
      <c r="W52" s="84">
        <v>0</v>
      </c>
      <c r="X52" s="84">
        <v>0</v>
      </c>
      <c r="Y52" s="85">
        <v>0</v>
      </c>
      <c r="Z52" s="67" t="s">
        <v>26</v>
      </c>
      <c r="AA52" s="12" t="s">
        <v>31</v>
      </c>
    </row>
    <row r="53" spans="1:27" x14ac:dyDescent="0.25">
      <c r="A53" s="10">
        <v>45658</v>
      </c>
      <c r="B53" s="11" t="s">
        <v>1139</v>
      </c>
      <c r="C53" s="11" t="s">
        <v>1140</v>
      </c>
      <c r="D53" s="11" t="s">
        <v>26</v>
      </c>
      <c r="E53" s="11" t="s">
        <v>39</v>
      </c>
      <c r="F53" s="11" t="s">
        <v>26</v>
      </c>
      <c r="G53" s="11">
        <v>467</v>
      </c>
      <c r="H53" s="12" t="s">
        <v>141</v>
      </c>
      <c r="I53" s="12" t="s">
        <v>55</v>
      </c>
      <c r="J53" s="12" t="s">
        <v>55</v>
      </c>
      <c r="K53" s="12" t="s">
        <v>56</v>
      </c>
      <c r="L53" s="13">
        <v>37.020000000000003</v>
      </c>
      <c r="M53" s="13">
        <v>25</v>
      </c>
      <c r="N53" s="13">
        <v>1.4807999999999999</v>
      </c>
      <c r="O53" s="83">
        <v>15</v>
      </c>
      <c r="P53" s="83" t="s">
        <v>30</v>
      </c>
      <c r="Q53" s="83">
        <v>0</v>
      </c>
      <c r="R53" s="84">
        <v>555.30000000000007</v>
      </c>
      <c r="S53" s="84">
        <v>0</v>
      </c>
      <c r="T53" s="84">
        <v>0</v>
      </c>
      <c r="U53" s="84">
        <v>555.30000000000007</v>
      </c>
      <c r="V53" s="84">
        <v>0</v>
      </c>
      <c r="W53" s="84">
        <v>555.30000000000007</v>
      </c>
      <c r="X53" s="84">
        <v>0</v>
      </c>
      <c r="Y53" s="85">
        <v>0</v>
      </c>
      <c r="Z53" s="67" t="s">
        <v>26</v>
      </c>
      <c r="AA53" s="12" t="s">
        <v>31</v>
      </c>
    </row>
    <row r="54" spans="1:27" x14ac:dyDescent="0.25">
      <c r="A54" s="10">
        <v>45658</v>
      </c>
      <c r="B54" s="11" t="s">
        <v>1141</v>
      </c>
      <c r="C54" s="11" t="s">
        <v>1142</v>
      </c>
      <c r="D54" s="11" t="s">
        <v>26</v>
      </c>
      <c r="E54" s="11" t="s">
        <v>509</v>
      </c>
      <c r="F54" s="11" t="s">
        <v>26</v>
      </c>
      <c r="G54" s="11" t="s">
        <v>26</v>
      </c>
      <c r="H54" s="12" t="s">
        <v>4422</v>
      </c>
      <c r="I54" s="12" t="s">
        <v>27</v>
      </c>
      <c r="J54" s="12" t="s">
        <v>33</v>
      </c>
      <c r="K54" s="12" t="s">
        <v>34</v>
      </c>
      <c r="L54" s="13">
        <v>40.6</v>
      </c>
      <c r="M54" s="13">
        <v>28</v>
      </c>
      <c r="N54" s="13">
        <v>1.45</v>
      </c>
      <c r="O54" s="83">
        <v>85</v>
      </c>
      <c r="P54" s="83" t="s">
        <v>30</v>
      </c>
      <c r="Q54" s="83">
        <v>0</v>
      </c>
      <c r="R54" s="84">
        <v>3451</v>
      </c>
      <c r="S54" s="84">
        <v>38</v>
      </c>
      <c r="T54" s="84">
        <v>1542.8</v>
      </c>
      <c r="U54" s="84">
        <v>1908.2</v>
      </c>
      <c r="V54" s="84">
        <v>1908.2</v>
      </c>
      <c r="W54" s="84">
        <v>0</v>
      </c>
      <c r="X54" s="84">
        <v>1461.6000000000001</v>
      </c>
      <c r="Y54" s="85">
        <v>81.199999999999818</v>
      </c>
      <c r="Z54" s="67" t="s">
        <v>141</v>
      </c>
      <c r="AA54" s="12" t="s">
        <v>78</v>
      </c>
    </row>
    <row r="55" spans="1:27" x14ac:dyDescent="0.25">
      <c r="A55" s="10">
        <v>45658</v>
      </c>
      <c r="B55" s="11" t="s">
        <v>1143</v>
      </c>
      <c r="C55" s="11" t="s">
        <v>1144</v>
      </c>
      <c r="D55" s="11" t="s">
        <v>26</v>
      </c>
      <c r="E55" s="11" t="s">
        <v>227</v>
      </c>
      <c r="F55" s="11" t="s">
        <v>26</v>
      </c>
      <c r="G55" s="11">
        <v>957</v>
      </c>
      <c r="H55" s="12" t="s">
        <v>163</v>
      </c>
      <c r="I55" s="12" t="s">
        <v>27</v>
      </c>
      <c r="J55" s="12" t="s">
        <v>42</v>
      </c>
      <c r="K55" s="12" t="s">
        <v>43</v>
      </c>
      <c r="L55" s="13">
        <v>42.54</v>
      </c>
      <c r="M55" s="13">
        <v>25</v>
      </c>
      <c r="N55" s="13">
        <v>1.7016</v>
      </c>
      <c r="O55" s="83" t="s">
        <v>30</v>
      </c>
      <c r="P55" s="83">
        <v>56</v>
      </c>
      <c r="Q55" s="83">
        <v>0</v>
      </c>
      <c r="R55" s="84">
        <v>1400</v>
      </c>
      <c r="S55" s="84">
        <v>0</v>
      </c>
      <c r="T55" s="84">
        <v>0</v>
      </c>
      <c r="U55" s="84">
        <v>1400</v>
      </c>
      <c r="V55" s="84">
        <v>0</v>
      </c>
      <c r="W55" s="84">
        <v>1400</v>
      </c>
      <c r="X55" s="84">
        <v>0</v>
      </c>
      <c r="Y55" s="85">
        <v>0</v>
      </c>
      <c r="Z55" s="67" t="s">
        <v>26</v>
      </c>
      <c r="AA55" s="12" t="s">
        <v>31</v>
      </c>
    </row>
    <row r="56" spans="1:27" x14ac:dyDescent="0.25">
      <c r="A56" s="10">
        <v>45658</v>
      </c>
      <c r="B56" s="11" t="s">
        <v>1145</v>
      </c>
      <c r="C56" s="11" t="s">
        <v>1146</v>
      </c>
      <c r="D56" s="11" t="s">
        <v>26</v>
      </c>
      <c r="E56" s="11" t="s">
        <v>604</v>
      </c>
      <c r="F56" s="11" t="s">
        <v>26</v>
      </c>
      <c r="G56" s="11" t="s">
        <v>26</v>
      </c>
      <c r="H56" s="12" t="s">
        <v>4422</v>
      </c>
      <c r="I56" s="12" t="s">
        <v>27</v>
      </c>
      <c r="J56" s="12" t="s">
        <v>33</v>
      </c>
      <c r="K56" s="12" t="s">
        <v>34</v>
      </c>
      <c r="L56" s="13">
        <v>40.24</v>
      </c>
      <c r="M56" s="13">
        <v>28</v>
      </c>
      <c r="N56" s="13">
        <v>1.4371428571428571</v>
      </c>
      <c r="O56" s="83">
        <v>85</v>
      </c>
      <c r="P56" s="83" t="s">
        <v>30</v>
      </c>
      <c r="Q56" s="83">
        <v>0</v>
      </c>
      <c r="R56" s="84">
        <v>3420.4</v>
      </c>
      <c r="S56" s="84">
        <v>38</v>
      </c>
      <c r="T56" s="84">
        <v>1529.1200000000001</v>
      </c>
      <c r="U56" s="84">
        <v>1891.28</v>
      </c>
      <c r="V56" s="84">
        <v>1891.28</v>
      </c>
      <c r="W56" s="84">
        <v>0</v>
      </c>
      <c r="X56" s="84">
        <v>1448.64</v>
      </c>
      <c r="Y56" s="85">
        <v>80.480000000000018</v>
      </c>
      <c r="Z56" s="67" t="s">
        <v>141</v>
      </c>
      <c r="AA56" s="12" t="s">
        <v>78</v>
      </c>
    </row>
    <row r="57" spans="1:27" x14ac:dyDescent="0.25">
      <c r="A57" s="10">
        <v>45658</v>
      </c>
      <c r="B57" s="11" t="s">
        <v>1147</v>
      </c>
      <c r="C57" s="11" t="s">
        <v>1148</v>
      </c>
      <c r="D57" s="11" t="s">
        <v>26</v>
      </c>
      <c r="E57" s="11" t="s">
        <v>539</v>
      </c>
      <c r="F57" s="11" t="s">
        <v>26</v>
      </c>
      <c r="G57" s="11">
        <v>2285</v>
      </c>
      <c r="H57" s="12" t="s">
        <v>41</v>
      </c>
      <c r="I57" s="12" t="s">
        <v>27</v>
      </c>
      <c r="J57" s="12" t="s">
        <v>42</v>
      </c>
      <c r="K57" s="12" t="s">
        <v>43</v>
      </c>
      <c r="L57" s="13">
        <v>41.72</v>
      </c>
      <c r="M57" s="13">
        <v>25</v>
      </c>
      <c r="N57" s="13">
        <v>1.6688000000000001</v>
      </c>
      <c r="O57" s="83" t="s">
        <v>30</v>
      </c>
      <c r="P57" s="83">
        <v>64</v>
      </c>
      <c r="Q57" s="83">
        <v>0</v>
      </c>
      <c r="R57" s="84">
        <v>1600</v>
      </c>
      <c r="S57" s="84">
        <v>0</v>
      </c>
      <c r="T57" s="84">
        <v>0</v>
      </c>
      <c r="U57" s="84">
        <v>1600</v>
      </c>
      <c r="V57" s="84">
        <v>0</v>
      </c>
      <c r="W57" s="84">
        <v>1600</v>
      </c>
      <c r="X57" s="84">
        <v>0</v>
      </c>
      <c r="Y57" s="85">
        <v>0</v>
      </c>
      <c r="Z57" s="67" t="s">
        <v>26</v>
      </c>
      <c r="AA57" s="12" t="s">
        <v>31</v>
      </c>
    </row>
    <row r="58" spans="1:27" x14ac:dyDescent="0.25">
      <c r="A58" s="10">
        <v>45658</v>
      </c>
      <c r="B58" s="11" t="s">
        <v>624</v>
      </c>
      <c r="C58" s="11" t="s">
        <v>1149</v>
      </c>
      <c r="D58" s="11" t="s">
        <v>26</v>
      </c>
      <c r="E58" s="11" t="s">
        <v>431</v>
      </c>
      <c r="F58" s="11" t="s">
        <v>26</v>
      </c>
      <c r="G58" s="11">
        <v>128</v>
      </c>
      <c r="H58" s="12" t="s">
        <v>6328</v>
      </c>
      <c r="I58" s="12" t="s">
        <v>27</v>
      </c>
      <c r="J58" s="12" t="s">
        <v>42</v>
      </c>
      <c r="K58" s="12" t="s">
        <v>43</v>
      </c>
      <c r="L58" s="13">
        <v>39.4</v>
      </c>
      <c r="M58" s="13">
        <v>25</v>
      </c>
      <c r="N58" s="13">
        <v>1.5760000000000001</v>
      </c>
      <c r="O58" s="83">
        <v>42.5</v>
      </c>
      <c r="P58" s="83"/>
      <c r="Q58" s="83">
        <v>0</v>
      </c>
      <c r="R58" s="84">
        <v>1674.5</v>
      </c>
      <c r="S58" s="84">
        <v>0</v>
      </c>
      <c r="T58" s="84">
        <v>0</v>
      </c>
      <c r="U58" s="84">
        <v>1674.5</v>
      </c>
      <c r="V58" s="84">
        <v>0</v>
      </c>
      <c r="W58" s="84">
        <v>1674.5</v>
      </c>
      <c r="X58" s="84">
        <v>0</v>
      </c>
      <c r="Y58" s="85">
        <v>0</v>
      </c>
      <c r="Z58" s="67" t="s">
        <v>26</v>
      </c>
      <c r="AA58" s="12" t="s">
        <v>31</v>
      </c>
    </row>
    <row r="59" spans="1:27" x14ac:dyDescent="0.25">
      <c r="A59" s="10">
        <v>45658</v>
      </c>
      <c r="B59" s="11" t="s">
        <v>1150</v>
      </c>
      <c r="C59" s="11" t="s">
        <v>1151</v>
      </c>
      <c r="D59" s="11" t="s">
        <v>26</v>
      </c>
      <c r="E59" s="11" t="s">
        <v>569</v>
      </c>
      <c r="F59" s="11" t="s">
        <v>26</v>
      </c>
      <c r="G59" s="11">
        <v>111727</v>
      </c>
      <c r="H59" s="12" t="s">
        <v>4446</v>
      </c>
      <c r="I59" s="12" t="s">
        <v>27</v>
      </c>
      <c r="J59" s="12" t="s">
        <v>42</v>
      </c>
      <c r="K59" s="12" t="s">
        <v>43</v>
      </c>
      <c r="L59" s="13">
        <v>41.32</v>
      </c>
      <c r="M59" s="13">
        <v>25</v>
      </c>
      <c r="N59" s="13">
        <v>1.6528</v>
      </c>
      <c r="O59" s="83">
        <v>42</v>
      </c>
      <c r="P59" s="83" t="s">
        <v>30</v>
      </c>
      <c r="Q59" s="83">
        <v>0</v>
      </c>
      <c r="R59" s="84">
        <v>1735.44</v>
      </c>
      <c r="S59" s="84">
        <v>0</v>
      </c>
      <c r="T59" s="84">
        <v>0</v>
      </c>
      <c r="U59" s="84">
        <v>1735.44</v>
      </c>
      <c r="V59" s="84">
        <v>1735.44</v>
      </c>
      <c r="W59" s="84">
        <v>0</v>
      </c>
      <c r="X59" s="84">
        <v>0</v>
      </c>
      <c r="Y59" s="85">
        <v>0</v>
      </c>
      <c r="Z59" s="67" t="s">
        <v>26</v>
      </c>
      <c r="AA59" s="12" t="s">
        <v>31</v>
      </c>
    </row>
    <row r="60" spans="1:27" x14ac:dyDescent="0.25">
      <c r="A60" s="10">
        <v>45658</v>
      </c>
      <c r="B60" s="11" t="s">
        <v>1152</v>
      </c>
      <c r="C60" s="11" t="s">
        <v>1153</v>
      </c>
      <c r="D60" s="11" t="s">
        <v>26</v>
      </c>
      <c r="E60" s="11" t="s">
        <v>571</v>
      </c>
      <c r="F60" s="11" t="s">
        <v>26</v>
      </c>
      <c r="G60" s="11">
        <v>111904</v>
      </c>
      <c r="H60" s="12" t="s">
        <v>4446</v>
      </c>
      <c r="I60" s="12" t="s">
        <v>27</v>
      </c>
      <c r="J60" s="12" t="s">
        <v>42</v>
      </c>
      <c r="K60" s="12" t="s">
        <v>43</v>
      </c>
      <c r="L60" s="13">
        <v>37.56</v>
      </c>
      <c r="M60" s="13">
        <v>25</v>
      </c>
      <c r="N60" s="13">
        <v>1.5024</v>
      </c>
      <c r="O60" s="83">
        <v>42</v>
      </c>
      <c r="P60" s="83" t="s">
        <v>30</v>
      </c>
      <c r="Q60" s="29">
        <v>0</v>
      </c>
      <c r="R60" s="84">
        <v>1577.52</v>
      </c>
      <c r="S60" s="84">
        <v>0</v>
      </c>
      <c r="T60" s="84">
        <v>0</v>
      </c>
      <c r="U60" s="84">
        <v>1577.52</v>
      </c>
      <c r="V60" s="84">
        <v>1577.52</v>
      </c>
      <c r="W60" s="84">
        <v>0</v>
      </c>
      <c r="X60" s="84">
        <v>0</v>
      </c>
      <c r="Y60" s="85">
        <v>0</v>
      </c>
      <c r="Z60" s="67" t="s">
        <v>26</v>
      </c>
      <c r="AA60" s="12" t="s">
        <v>31</v>
      </c>
    </row>
    <row r="61" spans="1:27" x14ac:dyDescent="0.25">
      <c r="A61" s="10">
        <v>45658</v>
      </c>
      <c r="B61" s="11" t="s">
        <v>429</v>
      </c>
      <c r="C61" s="11" t="s">
        <v>1154</v>
      </c>
      <c r="D61" s="11" t="s">
        <v>26</v>
      </c>
      <c r="E61" s="11" t="s">
        <v>481</v>
      </c>
      <c r="F61" s="11" t="s">
        <v>26</v>
      </c>
      <c r="G61" s="11">
        <v>73959</v>
      </c>
      <c r="H61" s="12" t="s">
        <v>4448</v>
      </c>
      <c r="I61" s="12" t="s">
        <v>27</v>
      </c>
      <c r="J61" s="12" t="s">
        <v>42</v>
      </c>
      <c r="K61" s="12" t="s">
        <v>43</v>
      </c>
      <c r="L61" s="13">
        <v>41.28</v>
      </c>
      <c r="M61" s="13">
        <v>25</v>
      </c>
      <c r="N61" s="13">
        <v>1.6512</v>
      </c>
      <c r="O61" s="83">
        <v>42.5</v>
      </c>
      <c r="P61" s="83"/>
      <c r="Q61" s="29">
        <v>0</v>
      </c>
      <c r="R61" s="84">
        <v>1754.4</v>
      </c>
      <c r="S61" s="84">
        <v>0</v>
      </c>
      <c r="T61" s="84">
        <v>0</v>
      </c>
      <c r="U61" s="84">
        <v>1754.4</v>
      </c>
      <c r="V61" s="84">
        <v>1315.8000000000002</v>
      </c>
      <c r="W61" s="84">
        <v>438.59999999999991</v>
      </c>
      <c r="X61" s="84">
        <v>0</v>
      </c>
      <c r="Y61" s="85">
        <v>0</v>
      </c>
      <c r="Z61" s="67" t="s">
        <v>26</v>
      </c>
      <c r="AA61" s="12" t="s">
        <v>31</v>
      </c>
    </row>
    <row r="62" spans="1:27" x14ac:dyDescent="0.25">
      <c r="A62" s="10">
        <v>45658</v>
      </c>
      <c r="B62" s="11" t="s">
        <v>1155</v>
      </c>
      <c r="C62" s="11" t="s">
        <v>1156</v>
      </c>
      <c r="D62" s="11" t="s">
        <v>26</v>
      </c>
      <c r="E62" s="11" t="s">
        <v>519</v>
      </c>
      <c r="F62" s="11" t="s">
        <v>26</v>
      </c>
      <c r="G62" s="11">
        <v>77382</v>
      </c>
      <c r="H62" s="12" t="s">
        <v>4448</v>
      </c>
      <c r="I62" s="12" t="s">
        <v>27</v>
      </c>
      <c r="J62" s="12" t="s">
        <v>42</v>
      </c>
      <c r="K62" s="12" t="s">
        <v>43</v>
      </c>
      <c r="L62" s="13">
        <v>42.92</v>
      </c>
      <c r="M62" s="13">
        <v>25</v>
      </c>
      <c r="N62" s="13">
        <v>1.7168000000000001</v>
      </c>
      <c r="O62" s="83">
        <v>42.5</v>
      </c>
      <c r="P62" s="83"/>
      <c r="Q62" s="83">
        <v>0</v>
      </c>
      <c r="R62" s="29">
        <v>1824.1000000000001</v>
      </c>
      <c r="S62" s="84">
        <v>0</v>
      </c>
      <c r="T62" s="84">
        <v>0</v>
      </c>
      <c r="U62" s="84">
        <v>1824.1000000000001</v>
      </c>
      <c r="V62" s="84">
        <v>1368.075</v>
      </c>
      <c r="W62" s="84">
        <v>456.02500000000009</v>
      </c>
      <c r="X62" s="84">
        <v>0</v>
      </c>
      <c r="Y62" s="85">
        <v>0</v>
      </c>
      <c r="Z62" s="67" t="s">
        <v>26</v>
      </c>
      <c r="AA62" s="12" t="s">
        <v>31</v>
      </c>
    </row>
    <row r="63" spans="1:27" x14ac:dyDescent="0.25">
      <c r="A63" s="10">
        <v>45658</v>
      </c>
      <c r="B63" s="11" t="s">
        <v>1157</v>
      </c>
      <c r="C63" s="11" t="s">
        <v>1158</v>
      </c>
      <c r="D63" s="11" t="s">
        <v>26</v>
      </c>
      <c r="E63" s="11" t="s">
        <v>244</v>
      </c>
      <c r="F63" s="11" t="s">
        <v>26</v>
      </c>
      <c r="G63" s="11">
        <v>468</v>
      </c>
      <c r="H63" s="12" t="s">
        <v>141</v>
      </c>
      <c r="I63" s="12" t="s">
        <v>37</v>
      </c>
      <c r="J63" s="12" t="s">
        <v>85</v>
      </c>
      <c r="K63" s="12" t="s">
        <v>86</v>
      </c>
      <c r="L63" s="13">
        <v>35.64</v>
      </c>
      <c r="M63" s="13">
        <v>25</v>
      </c>
      <c r="N63" s="13">
        <v>1.4256</v>
      </c>
      <c r="O63" s="83">
        <v>29</v>
      </c>
      <c r="P63" s="83" t="s">
        <v>30</v>
      </c>
      <c r="Q63" s="83">
        <v>0</v>
      </c>
      <c r="R63" s="29">
        <v>1033.56</v>
      </c>
      <c r="S63" s="84">
        <v>0</v>
      </c>
      <c r="T63" s="84">
        <v>0</v>
      </c>
      <c r="U63" s="84">
        <v>1033.56</v>
      </c>
      <c r="V63" s="84">
        <v>0</v>
      </c>
      <c r="W63" s="84">
        <v>1033.56</v>
      </c>
      <c r="X63" s="84">
        <v>0</v>
      </c>
      <c r="Y63" s="85">
        <v>0</v>
      </c>
      <c r="Z63" s="67" t="s">
        <v>26</v>
      </c>
      <c r="AA63" s="12" t="s">
        <v>31</v>
      </c>
    </row>
    <row r="64" spans="1:27" x14ac:dyDescent="0.25">
      <c r="A64" s="10">
        <v>45658</v>
      </c>
      <c r="B64" s="11" t="s">
        <v>1159</v>
      </c>
      <c r="C64" s="11" t="s">
        <v>1160</v>
      </c>
      <c r="D64" s="11" t="s">
        <v>26</v>
      </c>
      <c r="E64" s="11" t="s">
        <v>489</v>
      </c>
      <c r="F64" s="11" t="s">
        <v>26</v>
      </c>
      <c r="G64" s="11">
        <v>76249</v>
      </c>
      <c r="H64" s="12" t="s">
        <v>4448</v>
      </c>
      <c r="I64" s="12" t="s">
        <v>27</v>
      </c>
      <c r="J64" s="12" t="s">
        <v>42</v>
      </c>
      <c r="K64" s="12" t="s">
        <v>43</v>
      </c>
      <c r="L64" s="13">
        <v>41.92</v>
      </c>
      <c r="M64" s="13">
        <v>25</v>
      </c>
      <c r="N64" s="13">
        <v>1.6768000000000001</v>
      </c>
      <c r="O64" s="83">
        <v>42.5</v>
      </c>
      <c r="P64" s="83"/>
      <c r="Q64" s="29">
        <v>0</v>
      </c>
      <c r="R64" s="84">
        <v>1781.6000000000001</v>
      </c>
      <c r="S64" s="84">
        <v>0</v>
      </c>
      <c r="T64" s="84">
        <v>0</v>
      </c>
      <c r="U64" s="84">
        <v>1781.6000000000001</v>
      </c>
      <c r="V64" s="84">
        <v>1336.2</v>
      </c>
      <c r="W64" s="84">
        <v>445.40000000000009</v>
      </c>
      <c r="X64" s="84">
        <v>0</v>
      </c>
      <c r="Y64" s="85">
        <v>0</v>
      </c>
      <c r="Z64" s="67" t="s">
        <v>26</v>
      </c>
      <c r="AA64" s="12" t="s">
        <v>31</v>
      </c>
    </row>
    <row r="65" spans="1:27" x14ac:dyDescent="0.25">
      <c r="A65" s="10">
        <v>45658</v>
      </c>
      <c r="B65" s="11" t="s">
        <v>1161</v>
      </c>
      <c r="C65" s="11" t="s">
        <v>1162</v>
      </c>
      <c r="D65" s="11" t="s">
        <v>26</v>
      </c>
      <c r="E65" s="11" t="s">
        <v>501</v>
      </c>
      <c r="F65" s="11" t="s">
        <v>26</v>
      </c>
      <c r="G65" s="11">
        <v>469</v>
      </c>
      <c r="H65" s="12" t="s">
        <v>141</v>
      </c>
      <c r="I65" s="12" t="s">
        <v>27</v>
      </c>
      <c r="J65" s="12" t="s">
        <v>42</v>
      </c>
      <c r="K65" s="12" t="s">
        <v>43</v>
      </c>
      <c r="L65" s="13">
        <v>40.659999999999997</v>
      </c>
      <c r="M65" s="13">
        <v>25</v>
      </c>
      <c r="N65" s="13">
        <v>1.6264000000000001</v>
      </c>
      <c r="O65" s="83">
        <v>40</v>
      </c>
      <c r="P65" s="83" t="s">
        <v>30</v>
      </c>
      <c r="Q65" s="83">
        <v>0</v>
      </c>
      <c r="R65" s="84">
        <v>1626.3999999999999</v>
      </c>
      <c r="S65" s="84">
        <v>0</v>
      </c>
      <c r="T65" s="84">
        <v>0</v>
      </c>
      <c r="U65" s="84">
        <v>1626.3999999999999</v>
      </c>
      <c r="V65" s="84">
        <v>0</v>
      </c>
      <c r="W65" s="84">
        <v>1626.3999999999999</v>
      </c>
      <c r="X65" s="84">
        <v>0</v>
      </c>
      <c r="Y65" s="85">
        <v>0</v>
      </c>
      <c r="Z65" s="67" t="s">
        <v>26</v>
      </c>
      <c r="AA65" s="12" t="s">
        <v>31</v>
      </c>
    </row>
    <row r="66" spans="1:27" x14ac:dyDescent="0.25">
      <c r="A66" s="10">
        <v>45658</v>
      </c>
      <c r="B66" s="11" t="s">
        <v>421</v>
      </c>
      <c r="C66" s="11" t="s">
        <v>1163</v>
      </c>
      <c r="D66" s="11" t="s">
        <v>26</v>
      </c>
      <c r="E66" s="11" t="s">
        <v>573</v>
      </c>
      <c r="F66" s="11" t="s">
        <v>26</v>
      </c>
      <c r="G66" s="11">
        <v>112035</v>
      </c>
      <c r="H66" s="12" t="s">
        <v>4446</v>
      </c>
      <c r="I66" s="12" t="s">
        <v>27</v>
      </c>
      <c r="J66" s="12" t="s">
        <v>42</v>
      </c>
      <c r="K66" s="12" t="s">
        <v>43</v>
      </c>
      <c r="L66" s="13">
        <v>41.2</v>
      </c>
      <c r="M66" s="13">
        <v>25</v>
      </c>
      <c r="N66" s="13">
        <v>1.6479999999999999</v>
      </c>
      <c r="O66" s="83">
        <v>42</v>
      </c>
      <c r="P66" s="83" t="s">
        <v>30</v>
      </c>
      <c r="Q66" s="83">
        <v>0</v>
      </c>
      <c r="R66" s="29">
        <v>1730.4</v>
      </c>
      <c r="S66" s="84">
        <v>0</v>
      </c>
      <c r="T66" s="84">
        <v>0</v>
      </c>
      <c r="U66" s="84">
        <v>1730.4</v>
      </c>
      <c r="V66" s="84">
        <v>1730.4</v>
      </c>
      <c r="W66" s="84">
        <v>0</v>
      </c>
      <c r="X66" s="84">
        <v>0</v>
      </c>
      <c r="Y66" s="85">
        <v>0</v>
      </c>
      <c r="Z66" s="67" t="s">
        <v>26</v>
      </c>
      <c r="AA66" s="12" t="s">
        <v>31</v>
      </c>
    </row>
    <row r="67" spans="1:27" x14ac:dyDescent="0.25">
      <c r="A67" s="10">
        <v>45658</v>
      </c>
      <c r="B67" s="11" t="s">
        <v>1164</v>
      </c>
      <c r="C67" s="11" t="s">
        <v>1165</v>
      </c>
      <c r="D67" s="11" t="s">
        <v>26</v>
      </c>
      <c r="E67" s="11" t="s">
        <v>61</v>
      </c>
      <c r="F67" s="11" t="s">
        <v>62</v>
      </c>
      <c r="G67" s="11" t="s">
        <v>35</v>
      </c>
      <c r="H67" s="12" t="s">
        <v>36</v>
      </c>
      <c r="I67" s="12" t="s">
        <v>27</v>
      </c>
      <c r="J67" s="12" t="s">
        <v>42</v>
      </c>
      <c r="K67" s="12" t="s">
        <v>43</v>
      </c>
      <c r="L67" s="13">
        <v>10.3</v>
      </c>
      <c r="M67" s="13">
        <v>6</v>
      </c>
      <c r="N67" s="13">
        <v>1.716666666666667</v>
      </c>
      <c r="O67" s="83">
        <v>45</v>
      </c>
      <c r="P67" s="83" t="s">
        <v>30</v>
      </c>
      <c r="Q67" s="83">
        <v>15</v>
      </c>
      <c r="R67" s="29">
        <v>448.50000000000006</v>
      </c>
      <c r="S67" s="84">
        <v>0</v>
      </c>
      <c r="T67" s="84">
        <v>0</v>
      </c>
      <c r="U67" s="84">
        <v>448.50000000000006</v>
      </c>
      <c r="V67" s="84">
        <v>0</v>
      </c>
      <c r="W67" s="84">
        <v>448.50000000000006</v>
      </c>
      <c r="X67" s="84">
        <v>0</v>
      </c>
      <c r="Y67" s="85">
        <v>0</v>
      </c>
      <c r="Z67" s="67" t="s">
        <v>26</v>
      </c>
      <c r="AA67" s="12" t="s">
        <v>31</v>
      </c>
    </row>
    <row r="68" spans="1:27" x14ac:dyDescent="0.25">
      <c r="A68" s="10">
        <v>45658</v>
      </c>
      <c r="B68" s="11" t="s">
        <v>1166</v>
      </c>
      <c r="C68" s="11" t="s">
        <v>1167</v>
      </c>
      <c r="D68" s="11" t="s">
        <v>26</v>
      </c>
      <c r="E68" s="11" t="s">
        <v>64</v>
      </c>
      <c r="F68" s="11" t="s">
        <v>26</v>
      </c>
      <c r="G68" s="11">
        <v>470</v>
      </c>
      <c r="H68" s="12" t="s">
        <v>141</v>
      </c>
      <c r="I68" s="12" t="s">
        <v>55</v>
      </c>
      <c r="J68" s="12" t="s">
        <v>55</v>
      </c>
      <c r="K68" s="12" t="s">
        <v>56</v>
      </c>
      <c r="L68" s="13">
        <v>37.159999999999997</v>
      </c>
      <c r="M68" s="13">
        <v>25</v>
      </c>
      <c r="N68" s="13">
        <v>1.4863999999999999</v>
      </c>
      <c r="O68" s="83">
        <v>15</v>
      </c>
      <c r="P68" s="83" t="s">
        <v>30</v>
      </c>
      <c r="Q68" s="83">
        <v>0</v>
      </c>
      <c r="R68" s="29">
        <v>557.4</v>
      </c>
      <c r="S68" s="84">
        <v>0</v>
      </c>
      <c r="T68" s="84">
        <v>0</v>
      </c>
      <c r="U68" s="84">
        <v>557.4</v>
      </c>
      <c r="V68" s="84">
        <v>0</v>
      </c>
      <c r="W68" s="84">
        <v>557.4</v>
      </c>
      <c r="X68" s="84">
        <v>0</v>
      </c>
      <c r="Y68" s="85">
        <v>0</v>
      </c>
      <c r="Z68" s="67" t="s">
        <v>26</v>
      </c>
      <c r="AA68" s="12" t="s">
        <v>31</v>
      </c>
    </row>
    <row r="69" spans="1:27" x14ac:dyDescent="0.25">
      <c r="A69" s="10">
        <v>45658</v>
      </c>
      <c r="B69" s="11" t="s">
        <v>137</v>
      </c>
      <c r="C69" s="11" t="s">
        <v>1168</v>
      </c>
      <c r="D69" s="11" t="s">
        <v>26</v>
      </c>
      <c r="E69" s="11" t="s">
        <v>567</v>
      </c>
      <c r="F69" s="11" t="s">
        <v>26</v>
      </c>
      <c r="G69" s="11">
        <v>111858</v>
      </c>
      <c r="H69" s="12" t="s">
        <v>4446</v>
      </c>
      <c r="I69" s="12" t="s">
        <v>27</v>
      </c>
      <c r="J69" s="12" t="s">
        <v>42</v>
      </c>
      <c r="K69" s="12" t="s">
        <v>43</v>
      </c>
      <c r="L69" s="13">
        <v>42.76</v>
      </c>
      <c r="M69" s="13">
        <v>25</v>
      </c>
      <c r="N69" s="13">
        <v>1.7103999999999999</v>
      </c>
      <c r="O69" s="83">
        <v>42</v>
      </c>
      <c r="P69" s="83" t="s">
        <v>30</v>
      </c>
      <c r="Q69" s="83">
        <v>0</v>
      </c>
      <c r="R69" s="29">
        <v>1795.9199999999998</v>
      </c>
      <c r="S69" s="84">
        <v>0</v>
      </c>
      <c r="T69" s="84">
        <v>0</v>
      </c>
      <c r="U69" s="84">
        <v>1795.9199999999998</v>
      </c>
      <c r="V69" s="84">
        <v>1795.9199999999998</v>
      </c>
      <c r="W69" s="84">
        <v>0</v>
      </c>
      <c r="X69" s="84">
        <v>0</v>
      </c>
      <c r="Y69" s="85">
        <v>0</v>
      </c>
      <c r="Z69" s="67" t="s">
        <v>26</v>
      </c>
      <c r="AA69" s="12" t="s">
        <v>31</v>
      </c>
    </row>
    <row r="70" spans="1:27" x14ac:dyDescent="0.25">
      <c r="A70" s="10">
        <v>45658</v>
      </c>
      <c r="B70" s="11" t="s">
        <v>195</v>
      </c>
      <c r="C70" s="11" t="s">
        <v>1169</v>
      </c>
      <c r="D70" s="11" t="s">
        <v>26</v>
      </c>
      <c r="E70" s="11" t="s">
        <v>575</v>
      </c>
      <c r="F70" s="11" t="s">
        <v>26</v>
      </c>
      <c r="G70" s="11">
        <v>111629</v>
      </c>
      <c r="H70" s="12" t="s">
        <v>4446</v>
      </c>
      <c r="I70" s="12" t="s">
        <v>27</v>
      </c>
      <c r="J70" s="12" t="s">
        <v>42</v>
      </c>
      <c r="K70" s="12" t="s">
        <v>43</v>
      </c>
      <c r="L70" s="13">
        <v>42.08</v>
      </c>
      <c r="M70" s="13">
        <v>25</v>
      </c>
      <c r="N70" s="13">
        <v>1.6832</v>
      </c>
      <c r="O70" s="83">
        <v>42</v>
      </c>
      <c r="P70" s="83" t="s">
        <v>30</v>
      </c>
      <c r="Q70" s="83">
        <v>0</v>
      </c>
      <c r="R70" s="84">
        <v>1767.36</v>
      </c>
      <c r="S70" s="84">
        <v>0</v>
      </c>
      <c r="T70" s="84">
        <v>0</v>
      </c>
      <c r="U70" s="84">
        <v>1767.36</v>
      </c>
      <c r="V70" s="84">
        <v>1767.36</v>
      </c>
      <c r="W70" s="84">
        <v>0</v>
      </c>
      <c r="X70" s="84">
        <v>0</v>
      </c>
      <c r="Y70" s="85">
        <v>0</v>
      </c>
      <c r="Z70" s="67" t="s">
        <v>26</v>
      </c>
      <c r="AA70" s="12" t="s">
        <v>31</v>
      </c>
    </row>
    <row r="71" spans="1:27" x14ac:dyDescent="0.25">
      <c r="A71" s="10">
        <v>45658</v>
      </c>
      <c r="B71" s="11" t="s">
        <v>275</v>
      </c>
      <c r="C71" s="11" t="s">
        <v>1170</v>
      </c>
      <c r="D71" s="11" t="s">
        <v>26</v>
      </c>
      <c r="E71" s="11" t="s">
        <v>61</v>
      </c>
      <c r="F71" s="11" t="s">
        <v>26</v>
      </c>
      <c r="G71" s="11" t="s">
        <v>35</v>
      </c>
      <c r="H71" s="12" t="s">
        <v>36</v>
      </c>
      <c r="I71" s="12" t="s">
        <v>27</v>
      </c>
      <c r="J71" s="12" t="s">
        <v>42</v>
      </c>
      <c r="K71" s="12" t="s">
        <v>43</v>
      </c>
      <c r="L71" s="13">
        <v>9.7799999999999994</v>
      </c>
      <c r="M71" s="13">
        <v>6</v>
      </c>
      <c r="N71" s="13">
        <v>1.63</v>
      </c>
      <c r="O71" s="83">
        <v>45</v>
      </c>
      <c r="P71" s="83" t="s">
        <v>30</v>
      </c>
      <c r="Q71" s="83">
        <v>0</v>
      </c>
      <c r="R71" s="29">
        <v>440.09999999999997</v>
      </c>
      <c r="S71" s="84">
        <v>0</v>
      </c>
      <c r="T71" s="84">
        <v>0</v>
      </c>
      <c r="U71" s="84">
        <v>440.09999999999997</v>
      </c>
      <c r="V71" s="84">
        <v>0</v>
      </c>
      <c r="W71" s="84">
        <v>440.09999999999997</v>
      </c>
      <c r="X71" s="84">
        <v>0</v>
      </c>
      <c r="Y71" s="85">
        <v>0</v>
      </c>
      <c r="Z71" s="67" t="s">
        <v>26</v>
      </c>
      <c r="AA71" s="12" t="s">
        <v>31</v>
      </c>
    </row>
    <row r="72" spans="1:27" x14ac:dyDescent="0.25">
      <c r="A72" s="10">
        <v>45658</v>
      </c>
      <c r="B72" s="11" t="s">
        <v>1171</v>
      </c>
      <c r="C72" s="11" t="s">
        <v>1172</v>
      </c>
      <c r="D72" s="11" t="s">
        <v>26</v>
      </c>
      <c r="E72" s="11" t="s">
        <v>59</v>
      </c>
      <c r="F72" s="11" t="s">
        <v>26</v>
      </c>
      <c r="G72" s="11">
        <v>111851</v>
      </c>
      <c r="H72" s="12" t="s">
        <v>4446</v>
      </c>
      <c r="I72" s="12" t="s">
        <v>27</v>
      </c>
      <c r="J72" s="12" t="s">
        <v>42</v>
      </c>
      <c r="K72" s="12" t="s">
        <v>43</v>
      </c>
      <c r="L72" s="13">
        <v>39.619999999999997</v>
      </c>
      <c r="M72" s="13">
        <v>25</v>
      </c>
      <c r="N72" s="13">
        <v>1.5848</v>
      </c>
      <c r="O72" s="83">
        <v>42</v>
      </c>
      <c r="P72" s="83" t="s">
        <v>30</v>
      </c>
      <c r="Q72" s="83">
        <v>0</v>
      </c>
      <c r="R72" s="84">
        <v>1664.04</v>
      </c>
      <c r="S72" s="84">
        <v>0</v>
      </c>
      <c r="T72" s="84">
        <v>0</v>
      </c>
      <c r="U72" s="84">
        <v>1664.04</v>
      </c>
      <c r="V72" s="84">
        <v>1664.04</v>
      </c>
      <c r="W72" s="84">
        <v>0</v>
      </c>
      <c r="X72" s="84">
        <v>0</v>
      </c>
      <c r="Y72" s="85">
        <v>0</v>
      </c>
      <c r="Z72" s="67" t="s">
        <v>26</v>
      </c>
      <c r="AA72" s="12" t="s">
        <v>31</v>
      </c>
    </row>
    <row r="73" spans="1:27" x14ac:dyDescent="0.25">
      <c r="A73" s="10">
        <v>45658</v>
      </c>
      <c r="B73" s="11" t="s">
        <v>1173</v>
      </c>
      <c r="C73" s="11" t="s">
        <v>1174</v>
      </c>
      <c r="D73" s="11" t="s">
        <v>26</v>
      </c>
      <c r="E73" s="11" t="s">
        <v>509</v>
      </c>
      <c r="F73" s="11" t="s">
        <v>26</v>
      </c>
      <c r="G73" s="11">
        <v>471</v>
      </c>
      <c r="H73" s="12" t="s">
        <v>141</v>
      </c>
      <c r="I73" s="12" t="s">
        <v>27</v>
      </c>
      <c r="J73" s="12" t="s">
        <v>42</v>
      </c>
      <c r="K73" s="12" t="s">
        <v>43</v>
      </c>
      <c r="L73" s="13">
        <v>43.9</v>
      </c>
      <c r="M73" s="13">
        <v>25</v>
      </c>
      <c r="N73" s="13">
        <v>1.756</v>
      </c>
      <c r="O73" s="83">
        <v>40</v>
      </c>
      <c r="P73" s="83" t="s">
        <v>30</v>
      </c>
      <c r="Q73" s="83">
        <v>0</v>
      </c>
      <c r="R73" s="84">
        <v>1756</v>
      </c>
      <c r="S73" s="84">
        <v>0</v>
      </c>
      <c r="T73" s="84">
        <v>0</v>
      </c>
      <c r="U73" s="84">
        <v>1756</v>
      </c>
      <c r="V73" s="84">
        <v>0</v>
      </c>
      <c r="W73" s="84">
        <v>1756</v>
      </c>
      <c r="X73" s="84">
        <v>0</v>
      </c>
      <c r="Y73" s="85">
        <v>0</v>
      </c>
      <c r="Z73" s="67" t="s">
        <v>26</v>
      </c>
      <c r="AA73" s="12" t="s">
        <v>31</v>
      </c>
    </row>
    <row r="74" spans="1:27" x14ac:dyDescent="0.25">
      <c r="A74" s="10">
        <v>45658</v>
      </c>
      <c r="B74" s="11" t="s">
        <v>1175</v>
      </c>
      <c r="C74" s="11" t="s">
        <v>1176</v>
      </c>
      <c r="D74" s="11" t="s">
        <v>26</v>
      </c>
      <c r="E74" s="11" t="s">
        <v>227</v>
      </c>
      <c r="F74" s="11" t="s">
        <v>26</v>
      </c>
      <c r="G74" s="11">
        <v>958</v>
      </c>
      <c r="H74" s="12" t="s">
        <v>163</v>
      </c>
      <c r="I74" s="12" t="s">
        <v>27</v>
      </c>
      <c r="J74" s="12" t="s">
        <v>42</v>
      </c>
      <c r="K74" s="12" t="s">
        <v>43</v>
      </c>
      <c r="L74" s="13">
        <v>43.42</v>
      </c>
      <c r="M74" s="13">
        <v>25</v>
      </c>
      <c r="N74" s="13">
        <v>1.7367999999999999</v>
      </c>
      <c r="O74" s="83" t="s">
        <v>30</v>
      </c>
      <c r="P74" s="83">
        <v>56</v>
      </c>
      <c r="Q74" s="83">
        <v>0</v>
      </c>
      <c r="R74" s="84">
        <v>1400</v>
      </c>
      <c r="S74" s="84">
        <v>0</v>
      </c>
      <c r="T74" s="84">
        <v>0</v>
      </c>
      <c r="U74" s="84">
        <v>1400</v>
      </c>
      <c r="V74" s="84">
        <v>0</v>
      </c>
      <c r="W74" s="84">
        <v>1400</v>
      </c>
      <c r="X74" s="84">
        <v>0</v>
      </c>
      <c r="Y74" s="85">
        <v>0</v>
      </c>
      <c r="Z74" s="67" t="s">
        <v>26</v>
      </c>
      <c r="AA74" s="12" t="s">
        <v>31</v>
      </c>
    </row>
    <row r="75" spans="1:27" x14ac:dyDescent="0.25">
      <c r="A75" s="10">
        <v>45658</v>
      </c>
      <c r="B75" s="11" t="s">
        <v>1177</v>
      </c>
      <c r="C75" s="11" t="s">
        <v>1178</v>
      </c>
      <c r="D75" s="11" t="s">
        <v>26</v>
      </c>
      <c r="E75" s="11" t="s">
        <v>238</v>
      </c>
      <c r="F75" s="11" t="s">
        <v>26</v>
      </c>
      <c r="G75" s="11" t="s">
        <v>35</v>
      </c>
      <c r="H75" s="12" t="s">
        <v>36</v>
      </c>
      <c r="I75" s="12" t="s">
        <v>37</v>
      </c>
      <c r="J75" s="12" t="s">
        <v>228</v>
      </c>
      <c r="K75" s="12" t="s">
        <v>38</v>
      </c>
      <c r="L75" s="13">
        <v>34.04</v>
      </c>
      <c r="M75" s="13">
        <v>23</v>
      </c>
      <c r="N75" s="13">
        <v>1.48</v>
      </c>
      <c r="O75" s="83">
        <v>37</v>
      </c>
      <c r="P75" s="83" t="s">
        <v>30</v>
      </c>
      <c r="Q75" s="83">
        <v>0</v>
      </c>
      <c r="R75" s="84">
        <v>1259.48</v>
      </c>
      <c r="S75" s="84">
        <v>0</v>
      </c>
      <c r="T75" s="84">
        <v>0</v>
      </c>
      <c r="U75" s="84">
        <v>1259.48</v>
      </c>
      <c r="V75" s="84">
        <v>0</v>
      </c>
      <c r="W75" s="84">
        <v>1259.48</v>
      </c>
      <c r="X75" s="84">
        <v>0</v>
      </c>
      <c r="Y75" s="85">
        <v>0</v>
      </c>
      <c r="Z75" s="67" t="s">
        <v>26</v>
      </c>
      <c r="AA75" s="12" t="s">
        <v>31</v>
      </c>
    </row>
    <row r="76" spans="1:27" x14ac:dyDescent="0.25">
      <c r="A76" s="10">
        <v>45658</v>
      </c>
      <c r="B76" s="11" t="s">
        <v>1179</v>
      </c>
      <c r="C76" s="11" t="s">
        <v>1180</v>
      </c>
      <c r="D76" s="11" t="s">
        <v>26</v>
      </c>
      <c r="E76" s="11" t="s">
        <v>240</v>
      </c>
      <c r="F76" s="11" t="s">
        <v>26</v>
      </c>
      <c r="G76" s="11">
        <v>2200</v>
      </c>
      <c r="H76" s="12" t="s">
        <v>41</v>
      </c>
      <c r="I76" s="12" t="s">
        <v>55</v>
      </c>
      <c r="J76" s="12" t="s">
        <v>566</v>
      </c>
      <c r="K76" s="12" t="s">
        <v>550</v>
      </c>
      <c r="L76" s="13">
        <v>44.1</v>
      </c>
      <c r="M76" s="13">
        <v>25</v>
      </c>
      <c r="N76" s="13">
        <v>1.764</v>
      </c>
      <c r="O76" s="83">
        <v>25</v>
      </c>
      <c r="P76" s="83"/>
      <c r="Q76" s="83">
        <v>0</v>
      </c>
      <c r="R76" s="84">
        <v>1102.5</v>
      </c>
      <c r="S76" s="84">
        <v>0</v>
      </c>
      <c r="T76" s="84">
        <v>0</v>
      </c>
      <c r="U76" s="84">
        <v>1102.5</v>
      </c>
      <c r="V76" s="84">
        <v>0</v>
      </c>
      <c r="W76" s="84">
        <v>1102.5</v>
      </c>
      <c r="X76" s="84">
        <v>0</v>
      </c>
      <c r="Y76" s="85">
        <v>0</v>
      </c>
      <c r="Z76" s="67" t="s">
        <v>26</v>
      </c>
      <c r="AA76" s="12" t="s">
        <v>31</v>
      </c>
    </row>
    <row r="77" spans="1:27" x14ac:dyDescent="0.25">
      <c r="A77" s="10">
        <v>45658</v>
      </c>
      <c r="B77" s="11" t="s">
        <v>1181</v>
      </c>
      <c r="C77" s="11" t="s">
        <v>1182</v>
      </c>
      <c r="D77" s="11" t="s">
        <v>26</v>
      </c>
      <c r="E77" s="11" t="s">
        <v>570</v>
      </c>
      <c r="F77" s="11" t="s">
        <v>26</v>
      </c>
      <c r="G77" s="11">
        <v>10306</v>
      </c>
      <c r="H77" s="12" t="s">
        <v>140</v>
      </c>
      <c r="I77" s="12" t="s">
        <v>27</v>
      </c>
      <c r="J77" s="12" t="s">
        <v>42</v>
      </c>
      <c r="K77" s="12" t="s">
        <v>43</v>
      </c>
      <c r="L77" s="13">
        <v>40.96</v>
      </c>
      <c r="M77" s="13">
        <v>25</v>
      </c>
      <c r="N77" s="13">
        <v>1.6384000000000001</v>
      </c>
      <c r="O77" s="83">
        <v>35</v>
      </c>
      <c r="P77" s="83"/>
      <c r="Q77" s="83">
        <v>0</v>
      </c>
      <c r="R77" s="84">
        <v>1433.6000000000001</v>
      </c>
      <c r="S77" s="84">
        <v>0</v>
      </c>
      <c r="T77" s="84">
        <v>0</v>
      </c>
      <c r="U77" s="84">
        <v>1433.6000000000001</v>
      </c>
      <c r="V77" s="84">
        <v>0</v>
      </c>
      <c r="W77" s="84">
        <v>1433.6000000000001</v>
      </c>
      <c r="X77" s="84">
        <v>0</v>
      </c>
      <c r="Y77" s="85">
        <v>0</v>
      </c>
      <c r="Z77" s="67" t="s">
        <v>26</v>
      </c>
      <c r="AA77" s="12" t="s">
        <v>31</v>
      </c>
    </row>
    <row r="78" spans="1:27" x14ac:dyDescent="0.25">
      <c r="A78" s="10">
        <v>45658</v>
      </c>
      <c r="B78" s="11" t="s">
        <v>1183</v>
      </c>
      <c r="C78" s="11" t="s">
        <v>1184</v>
      </c>
      <c r="D78" s="11" t="s">
        <v>26</v>
      </c>
      <c r="E78" s="11" t="s">
        <v>246</v>
      </c>
      <c r="F78" s="11" t="s">
        <v>26</v>
      </c>
      <c r="G78" s="11">
        <v>2029</v>
      </c>
      <c r="H78" s="12" t="s">
        <v>41</v>
      </c>
      <c r="I78" s="12" t="s">
        <v>55</v>
      </c>
      <c r="J78" s="12" t="s">
        <v>566</v>
      </c>
      <c r="K78" s="12" t="s">
        <v>550</v>
      </c>
      <c r="L78" s="13">
        <v>44.62</v>
      </c>
      <c r="M78" s="13">
        <v>25</v>
      </c>
      <c r="N78" s="13">
        <v>1.7847999999999999</v>
      </c>
      <c r="O78" s="83">
        <v>25</v>
      </c>
      <c r="P78" s="83"/>
      <c r="Q78" s="83">
        <v>0</v>
      </c>
      <c r="R78" s="29">
        <v>1115.5</v>
      </c>
      <c r="S78" s="84">
        <v>0</v>
      </c>
      <c r="T78" s="84">
        <v>0</v>
      </c>
      <c r="U78" s="84">
        <v>1115.5</v>
      </c>
      <c r="V78" s="84">
        <v>0</v>
      </c>
      <c r="W78" s="84">
        <v>1115.5</v>
      </c>
      <c r="X78" s="84">
        <v>0</v>
      </c>
      <c r="Y78" s="85">
        <v>0</v>
      </c>
      <c r="Z78" s="67" t="s">
        <v>26</v>
      </c>
      <c r="AA78" s="12" t="s">
        <v>31</v>
      </c>
    </row>
    <row r="79" spans="1:27" x14ac:dyDescent="0.25">
      <c r="A79" s="10">
        <v>45658</v>
      </c>
      <c r="B79" s="11" t="s">
        <v>577</v>
      </c>
      <c r="C79" s="11" t="s">
        <v>1185</v>
      </c>
      <c r="D79" s="11" t="s">
        <v>26</v>
      </c>
      <c r="E79" s="11" t="s">
        <v>80</v>
      </c>
      <c r="F79" s="11" t="s">
        <v>26</v>
      </c>
      <c r="G79" s="11">
        <v>10268</v>
      </c>
      <c r="H79" s="12" t="s">
        <v>140</v>
      </c>
      <c r="I79" s="12" t="s">
        <v>27</v>
      </c>
      <c r="J79" s="12" t="s">
        <v>42</v>
      </c>
      <c r="K79" s="12" t="s">
        <v>43</v>
      </c>
      <c r="L79" s="13">
        <v>41.42</v>
      </c>
      <c r="M79" s="13">
        <v>25</v>
      </c>
      <c r="N79" s="13">
        <v>1.6568000000000001</v>
      </c>
      <c r="O79" s="83">
        <v>35</v>
      </c>
      <c r="P79" s="83"/>
      <c r="Q79" s="83">
        <v>0</v>
      </c>
      <c r="R79" s="29">
        <v>1449.7</v>
      </c>
      <c r="S79" s="84">
        <v>0</v>
      </c>
      <c r="T79" s="84">
        <v>0</v>
      </c>
      <c r="U79" s="84">
        <v>1449.7</v>
      </c>
      <c r="V79" s="84">
        <v>0</v>
      </c>
      <c r="W79" s="84">
        <v>1449.7</v>
      </c>
      <c r="X79" s="84">
        <v>0</v>
      </c>
      <c r="Y79" s="85">
        <v>0</v>
      </c>
      <c r="Z79" s="67" t="s">
        <v>26</v>
      </c>
      <c r="AA79" s="12" t="s">
        <v>31</v>
      </c>
    </row>
    <row r="80" spans="1:27" x14ac:dyDescent="0.25">
      <c r="A80" s="10">
        <v>45658</v>
      </c>
      <c r="B80" s="11" t="s">
        <v>1186</v>
      </c>
      <c r="C80" s="11" t="s">
        <v>1187</v>
      </c>
      <c r="D80" s="11" t="s">
        <v>26</v>
      </c>
      <c r="E80" s="11" t="s">
        <v>53</v>
      </c>
      <c r="F80" s="11" t="s">
        <v>26</v>
      </c>
      <c r="G80" s="11">
        <v>2388</v>
      </c>
      <c r="H80" s="12" t="s">
        <v>41</v>
      </c>
      <c r="I80" s="12" t="s">
        <v>55</v>
      </c>
      <c r="J80" s="12" t="s">
        <v>566</v>
      </c>
      <c r="K80" s="12" t="s">
        <v>550</v>
      </c>
      <c r="L80" s="13">
        <v>43.78</v>
      </c>
      <c r="M80" s="13">
        <v>25</v>
      </c>
      <c r="N80" s="13">
        <v>1.7512000000000001</v>
      </c>
      <c r="O80" s="83">
        <v>25</v>
      </c>
      <c r="P80" s="83"/>
      <c r="Q80" s="83">
        <v>0</v>
      </c>
      <c r="R80" s="29">
        <v>1094.5</v>
      </c>
      <c r="S80" s="84">
        <v>0</v>
      </c>
      <c r="T80" s="84">
        <v>0</v>
      </c>
      <c r="U80" s="84">
        <v>1094.5</v>
      </c>
      <c r="V80" s="84">
        <v>0</v>
      </c>
      <c r="W80" s="84">
        <v>1094.5</v>
      </c>
      <c r="X80" s="84">
        <v>0</v>
      </c>
      <c r="Y80" s="85">
        <v>0</v>
      </c>
      <c r="Z80" s="67" t="s">
        <v>26</v>
      </c>
      <c r="AA80" s="12" t="s">
        <v>31</v>
      </c>
    </row>
    <row r="81" spans="1:27" x14ac:dyDescent="0.25">
      <c r="A81" s="10">
        <v>45658</v>
      </c>
      <c r="B81" s="11" t="s">
        <v>628</v>
      </c>
      <c r="C81" s="11" t="s">
        <v>1188</v>
      </c>
      <c r="D81" s="11" t="s">
        <v>26</v>
      </c>
      <c r="E81" s="11" t="s">
        <v>530</v>
      </c>
      <c r="F81" s="11" t="s">
        <v>26</v>
      </c>
      <c r="G81" s="11">
        <v>959</v>
      </c>
      <c r="H81" s="12" t="s">
        <v>163</v>
      </c>
      <c r="I81" s="12" t="s">
        <v>27</v>
      </c>
      <c r="J81" s="12" t="s">
        <v>42</v>
      </c>
      <c r="K81" s="12" t="s">
        <v>43</v>
      </c>
      <c r="L81" s="13">
        <v>44.92</v>
      </c>
      <c r="M81" s="13">
        <v>25</v>
      </c>
      <c r="N81" s="13">
        <v>1.7968</v>
      </c>
      <c r="O81" s="83" t="s">
        <v>30</v>
      </c>
      <c r="P81" s="83">
        <v>56</v>
      </c>
      <c r="Q81" s="83">
        <v>0</v>
      </c>
      <c r="R81" s="84">
        <v>1400</v>
      </c>
      <c r="S81" s="84">
        <v>0</v>
      </c>
      <c r="T81" s="84">
        <v>0</v>
      </c>
      <c r="U81" s="84">
        <v>1400</v>
      </c>
      <c r="V81" s="84">
        <v>0</v>
      </c>
      <c r="W81" s="84">
        <v>1400</v>
      </c>
      <c r="X81" s="84">
        <v>0</v>
      </c>
      <c r="Y81" s="85">
        <v>0</v>
      </c>
      <c r="Z81" s="67" t="s">
        <v>26</v>
      </c>
      <c r="AA81" s="12" t="s">
        <v>31</v>
      </c>
    </row>
    <row r="82" spans="1:27" x14ac:dyDescent="0.25">
      <c r="A82" s="10">
        <v>45658</v>
      </c>
      <c r="B82" s="11" t="s">
        <v>357</v>
      </c>
      <c r="C82" s="11" t="s">
        <v>1189</v>
      </c>
      <c r="D82" s="11" t="s">
        <v>26</v>
      </c>
      <c r="E82" s="11" t="s">
        <v>444</v>
      </c>
      <c r="F82" s="11" t="s">
        <v>26</v>
      </c>
      <c r="G82" s="11" t="s">
        <v>35</v>
      </c>
      <c r="H82" s="12" t="s">
        <v>36</v>
      </c>
      <c r="I82" s="12" t="s">
        <v>55</v>
      </c>
      <c r="J82" s="12" t="s">
        <v>55</v>
      </c>
      <c r="K82" s="12" t="s">
        <v>56</v>
      </c>
      <c r="L82" s="13">
        <v>34.14</v>
      </c>
      <c r="M82" s="13">
        <v>21</v>
      </c>
      <c r="N82" s="13">
        <v>1.6257142857142859</v>
      </c>
      <c r="O82" s="83">
        <v>20</v>
      </c>
      <c r="P82" s="83" t="s">
        <v>30</v>
      </c>
      <c r="Q82" s="83">
        <v>0</v>
      </c>
      <c r="R82" s="84">
        <v>682.8</v>
      </c>
      <c r="S82" s="84">
        <v>0</v>
      </c>
      <c r="T82" s="84">
        <v>0</v>
      </c>
      <c r="U82" s="84">
        <v>682.8</v>
      </c>
      <c r="V82" s="84">
        <v>0</v>
      </c>
      <c r="W82" s="84">
        <v>682.8</v>
      </c>
      <c r="X82" s="84">
        <v>0</v>
      </c>
      <c r="Y82" s="85">
        <v>0</v>
      </c>
      <c r="Z82" s="67" t="s">
        <v>26</v>
      </c>
      <c r="AA82" s="12" t="s">
        <v>31</v>
      </c>
    </row>
    <row r="83" spans="1:27" x14ac:dyDescent="0.25">
      <c r="A83" s="10">
        <v>45658</v>
      </c>
      <c r="B83" s="11" t="s">
        <v>1190</v>
      </c>
      <c r="C83" s="11" t="s">
        <v>1191</v>
      </c>
      <c r="D83" s="11" t="s">
        <v>26</v>
      </c>
      <c r="E83" s="11" t="s">
        <v>506</v>
      </c>
      <c r="F83" s="11" t="s">
        <v>26</v>
      </c>
      <c r="G83" s="11">
        <v>1437</v>
      </c>
      <c r="H83" s="12" t="s">
        <v>45</v>
      </c>
      <c r="I83" s="12" t="s">
        <v>27</v>
      </c>
      <c r="J83" s="12" t="s">
        <v>33</v>
      </c>
      <c r="K83" s="12" t="s">
        <v>34</v>
      </c>
      <c r="L83" s="13">
        <v>39.64</v>
      </c>
      <c r="M83" s="13">
        <v>25</v>
      </c>
      <c r="N83" s="13">
        <v>1.5855999999999999</v>
      </c>
      <c r="O83" s="83" t="s">
        <v>30</v>
      </c>
      <c r="P83" s="83">
        <v>58</v>
      </c>
      <c r="Q83" s="83">
        <v>0</v>
      </c>
      <c r="R83" s="29">
        <v>1450</v>
      </c>
      <c r="S83" s="84">
        <v>0</v>
      </c>
      <c r="T83" s="84">
        <v>0</v>
      </c>
      <c r="U83" s="84">
        <v>1450</v>
      </c>
      <c r="V83" s="84">
        <v>0</v>
      </c>
      <c r="W83" s="84">
        <v>1450</v>
      </c>
      <c r="X83" s="85">
        <v>0</v>
      </c>
      <c r="Y83" s="85">
        <v>0</v>
      </c>
      <c r="Z83" s="67" t="s">
        <v>26</v>
      </c>
      <c r="AA83" s="12" t="s">
        <v>31</v>
      </c>
    </row>
    <row r="84" spans="1:27" x14ac:dyDescent="0.25">
      <c r="A84" s="10">
        <v>45658</v>
      </c>
      <c r="B84" s="11" t="s">
        <v>1192</v>
      </c>
      <c r="C84" s="11" t="s">
        <v>1193</v>
      </c>
      <c r="D84" s="11" t="s">
        <v>26</v>
      </c>
      <c r="E84" s="11" t="s">
        <v>567</v>
      </c>
      <c r="F84" s="11" t="s">
        <v>26</v>
      </c>
      <c r="G84" s="11">
        <v>111865</v>
      </c>
      <c r="H84" s="12" t="s">
        <v>4446</v>
      </c>
      <c r="I84" s="12" t="s">
        <v>27</v>
      </c>
      <c r="J84" s="12" t="s">
        <v>42</v>
      </c>
      <c r="K84" s="12" t="s">
        <v>43</v>
      </c>
      <c r="L84" s="13">
        <v>40</v>
      </c>
      <c r="M84" s="13">
        <v>25</v>
      </c>
      <c r="N84" s="13">
        <v>1.6</v>
      </c>
      <c r="O84" s="83">
        <v>42</v>
      </c>
      <c r="P84" s="83" t="s">
        <v>30</v>
      </c>
      <c r="Q84" s="83">
        <v>0</v>
      </c>
      <c r="R84" s="84">
        <v>1680</v>
      </c>
      <c r="S84" s="84">
        <v>0</v>
      </c>
      <c r="T84" s="84">
        <v>0</v>
      </c>
      <c r="U84" s="84">
        <v>1680</v>
      </c>
      <c r="V84" s="84">
        <v>1680</v>
      </c>
      <c r="W84" s="84">
        <v>0</v>
      </c>
      <c r="X84" s="84">
        <v>0</v>
      </c>
      <c r="Y84" s="85">
        <v>0</v>
      </c>
      <c r="Z84" s="67" t="s">
        <v>26</v>
      </c>
      <c r="AA84" s="12" t="s">
        <v>31</v>
      </c>
    </row>
    <row r="85" spans="1:27" x14ac:dyDescent="0.25">
      <c r="A85" s="10">
        <v>45659</v>
      </c>
      <c r="B85" s="11" t="s">
        <v>1194</v>
      </c>
      <c r="C85" s="11" t="s">
        <v>1195</v>
      </c>
      <c r="D85" s="11" t="s">
        <v>26</v>
      </c>
      <c r="E85" s="11" t="s">
        <v>32</v>
      </c>
      <c r="F85" s="11" t="s">
        <v>26</v>
      </c>
      <c r="G85" s="11">
        <v>75030</v>
      </c>
      <c r="H85" s="12" t="s">
        <v>4448</v>
      </c>
      <c r="I85" s="12" t="s">
        <v>27</v>
      </c>
      <c r="J85" s="12" t="s">
        <v>33</v>
      </c>
      <c r="K85" s="12" t="s">
        <v>34</v>
      </c>
      <c r="L85" s="13">
        <v>40.520000000000003</v>
      </c>
      <c r="M85" s="13">
        <v>28</v>
      </c>
      <c r="N85" s="13">
        <v>1.4471428571428571</v>
      </c>
      <c r="O85" s="83">
        <v>45.33</v>
      </c>
      <c r="P85" s="83" t="s">
        <v>30</v>
      </c>
      <c r="Q85" s="29">
        <v>0</v>
      </c>
      <c r="R85" s="84">
        <v>1836.7716</v>
      </c>
      <c r="S85" s="84">
        <v>0</v>
      </c>
      <c r="T85" s="84">
        <v>0</v>
      </c>
      <c r="U85" s="84">
        <v>1836.7716</v>
      </c>
      <c r="V85" s="84">
        <v>1377.5787</v>
      </c>
      <c r="W85" s="84">
        <v>459.19290000000001</v>
      </c>
      <c r="X85" s="84">
        <v>0</v>
      </c>
      <c r="Y85" s="85">
        <v>0</v>
      </c>
      <c r="Z85" s="67" t="s">
        <v>26</v>
      </c>
      <c r="AA85" s="12" t="s">
        <v>31</v>
      </c>
    </row>
    <row r="86" spans="1:27" x14ac:dyDescent="0.25">
      <c r="A86" s="10">
        <v>45659</v>
      </c>
      <c r="B86" s="11" t="s">
        <v>1196</v>
      </c>
      <c r="C86" s="11" t="s">
        <v>1197</v>
      </c>
      <c r="D86" s="11" t="s">
        <v>26</v>
      </c>
      <c r="E86" s="11" t="s">
        <v>506</v>
      </c>
      <c r="F86" s="11" t="s">
        <v>26</v>
      </c>
      <c r="G86" s="11" t="s">
        <v>35</v>
      </c>
      <c r="H86" s="12" t="s">
        <v>36</v>
      </c>
      <c r="I86" s="12" t="s">
        <v>55</v>
      </c>
      <c r="J86" s="12" t="s">
        <v>55</v>
      </c>
      <c r="K86" s="12" t="s">
        <v>56</v>
      </c>
      <c r="L86" s="13">
        <v>34.56</v>
      </c>
      <c r="M86" s="13">
        <v>25</v>
      </c>
      <c r="N86" s="13">
        <v>1.3824000000000001</v>
      </c>
      <c r="O86" s="83">
        <v>20</v>
      </c>
      <c r="P86" s="83" t="s">
        <v>30</v>
      </c>
      <c r="Q86" s="83">
        <v>0</v>
      </c>
      <c r="R86" s="84">
        <v>691.2</v>
      </c>
      <c r="S86" s="84">
        <v>0</v>
      </c>
      <c r="T86" s="84">
        <v>0</v>
      </c>
      <c r="U86" s="84">
        <v>691.2</v>
      </c>
      <c r="V86" s="84">
        <v>0</v>
      </c>
      <c r="W86" s="84">
        <v>691.2</v>
      </c>
      <c r="X86" s="84">
        <v>0</v>
      </c>
      <c r="Y86" s="85">
        <v>0</v>
      </c>
      <c r="Z86" s="67" t="s">
        <v>26</v>
      </c>
      <c r="AA86" s="12" t="s">
        <v>31</v>
      </c>
    </row>
    <row r="87" spans="1:27" x14ac:dyDescent="0.25">
      <c r="A87" s="10">
        <v>45659</v>
      </c>
      <c r="B87" s="11" t="s">
        <v>1198</v>
      </c>
      <c r="C87" s="11" t="s">
        <v>1199</v>
      </c>
      <c r="D87" s="11" t="s">
        <v>26</v>
      </c>
      <c r="E87" s="11" t="s">
        <v>501</v>
      </c>
      <c r="F87" s="11" t="s">
        <v>26</v>
      </c>
      <c r="G87" s="11" t="s">
        <v>26</v>
      </c>
      <c r="H87" s="12" t="s">
        <v>4422</v>
      </c>
      <c r="I87" s="12" t="s">
        <v>27</v>
      </c>
      <c r="J87" s="12" t="s">
        <v>47</v>
      </c>
      <c r="K87" s="12" t="s">
        <v>48</v>
      </c>
      <c r="L87" s="13">
        <v>42.26</v>
      </c>
      <c r="M87" s="13">
        <v>29</v>
      </c>
      <c r="N87" s="13">
        <v>1.4572413793103449</v>
      </c>
      <c r="O87" s="83">
        <v>87</v>
      </c>
      <c r="P87" s="83" t="s">
        <v>30</v>
      </c>
      <c r="Q87" s="83">
        <v>0</v>
      </c>
      <c r="R87" s="84">
        <v>3676.62</v>
      </c>
      <c r="S87" s="84">
        <v>38</v>
      </c>
      <c r="T87" s="84">
        <v>1605.8799999999999</v>
      </c>
      <c r="U87" s="84">
        <v>2070.7399999999998</v>
      </c>
      <c r="V87" s="84">
        <v>2070.7399999999998</v>
      </c>
      <c r="W87" s="84">
        <v>0</v>
      </c>
      <c r="X87" s="84">
        <v>1521.36</v>
      </c>
      <c r="Y87" s="85">
        <v>84.519999999999982</v>
      </c>
      <c r="Z87" s="67" t="s">
        <v>141</v>
      </c>
      <c r="AA87" s="12" t="s">
        <v>78</v>
      </c>
    </row>
    <row r="88" spans="1:27" x14ac:dyDescent="0.25">
      <c r="A88" s="10">
        <v>45659</v>
      </c>
      <c r="B88" s="11" t="s">
        <v>26</v>
      </c>
      <c r="C88" s="11">
        <v>14587</v>
      </c>
      <c r="D88" s="11" t="s">
        <v>26</v>
      </c>
      <c r="E88" s="11" t="s">
        <v>184</v>
      </c>
      <c r="F88" s="11" t="s">
        <v>26</v>
      </c>
      <c r="G88" s="11" t="s">
        <v>26</v>
      </c>
      <c r="H88" s="12" t="s">
        <v>4422</v>
      </c>
      <c r="I88" s="12" t="s">
        <v>27</v>
      </c>
      <c r="J88" s="12" t="s">
        <v>47</v>
      </c>
      <c r="K88" s="12" t="s">
        <v>48</v>
      </c>
      <c r="L88" s="13">
        <v>41.52</v>
      </c>
      <c r="M88" s="13">
        <v>28</v>
      </c>
      <c r="N88" s="13">
        <v>1.4828571428571431</v>
      </c>
      <c r="O88" s="83">
        <v>87</v>
      </c>
      <c r="P88" s="83" t="s">
        <v>30</v>
      </c>
      <c r="Q88" s="83">
        <v>0</v>
      </c>
      <c r="R88" s="29">
        <v>3612.2400000000002</v>
      </c>
      <c r="S88" s="84">
        <v>38</v>
      </c>
      <c r="T88" s="84">
        <v>1577.7600000000002</v>
      </c>
      <c r="U88" s="84">
        <v>2034.48</v>
      </c>
      <c r="V88" s="84">
        <v>2034.48</v>
      </c>
      <c r="W88" s="84">
        <v>0</v>
      </c>
      <c r="X88" s="85">
        <v>1494.72</v>
      </c>
      <c r="Y88" s="85">
        <v>83.040000000000191</v>
      </c>
      <c r="Z88" s="67" t="s">
        <v>141</v>
      </c>
      <c r="AA88" s="12" t="s">
        <v>78</v>
      </c>
    </row>
    <row r="89" spans="1:27" x14ac:dyDescent="0.25">
      <c r="A89" s="10">
        <v>45659</v>
      </c>
      <c r="B89" s="11" t="s">
        <v>26</v>
      </c>
      <c r="C89" s="11">
        <v>14588</v>
      </c>
      <c r="D89" s="11" t="s">
        <v>26</v>
      </c>
      <c r="E89" s="11" t="s">
        <v>605</v>
      </c>
      <c r="F89" s="11" t="s">
        <v>26</v>
      </c>
      <c r="G89" s="11" t="s">
        <v>26</v>
      </c>
      <c r="H89" s="12" t="s">
        <v>4422</v>
      </c>
      <c r="I89" s="12" t="s">
        <v>27</v>
      </c>
      <c r="J89" s="12" t="s">
        <v>47</v>
      </c>
      <c r="K89" s="12" t="s">
        <v>48</v>
      </c>
      <c r="L89" s="13">
        <v>40.5</v>
      </c>
      <c r="M89" s="13">
        <v>28</v>
      </c>
      <c r="N89" s="13">
        <v>1.446428571428571</v>
      </c>
      <c r="O89" s="83">
        <v>87</v>
      </c>
      <c r="P89" s="83" t="s">
        <v>30</v>
      </c>
      <c r="Q89" s="83">
        <v>0</v>
      </c>
      <c r="R89" s="84">
        <v>3523.5</v>
      </c>
      <c r="S89" s="84">
        <v>38</v>
      </c>
      <c r="T89" s="84">
        <v>1539</v>
      </c>
      <c r="U89" s="84">
        <v>1984.5</v>
      </c>
      <c r="V89" s="84">
        <v>1984.5</v>
      </c>
      <c r="W89" s="84">
        <v>0</v>
      </c>
      <c r="X89" s="84">
        <v>1458</v>
      </c>
      <c r="Y89" s="85">
        <v>81</v>
      </c>
      <c r="Z89" s="67" t="s">
        <v>141</v>
      </c>
      <c r="AA89" s="12" t="s">
        <v>78</v>
      </c>
    </row>
    <row r="90" spans="1:27" x14ac:dyDescent="0.25">
      <c r="A90" s="10">
        <v>45659</v>
      </c>
      <c r="B90" s="11" t="s">
        <v>26</v>
      </c>
      <c r="C90" s="11">
        <v>14589</v>
      </c>
      <c r="D90" s="11" t="s">
        <v>26</v>
      </c>
      <c r="E90" s="11" t="s">
        <v>570</v>
      </c>
      <c r="F90" s="11" t="s">
        <v>26</v>
      </c>
      <c r="G90" s="11">
        <v>10307</v>
      </c>
      <c r="H90" s="12" t="s">
        <v>140</v>
      </c>
      <c r="I90" s="12" t="s">
        <v>27</v>
      </c>
      <c r="J90" s="12" t="s">
        <v>33</v>
      </c>
      <c r="K90" s="12" t="s">
        <v>34</v>
      </c>
      <c r="L90" s="13">
        <v>43.5</v>
      </c>
      <c r="M90" s="13">
        <v>29</v>
      </c>
      <c r="N90" s="13">
        <v>1.5</v>
      </c>
      <c r="O90" s="83">
        <v>40</v>
      </c>
      <c r="P90" s="83"/>
      <c r="Q90" s="83">
        <v>0</v>
      </c>
      <c r="R90" s="29">
        <v>1740</v>
      </c>
      <c r="S90" s="84">
        <v>0</v>
      </c>
      <c r="T90" s="84">
        <v>0</v>
      </c>
      <c r="U90" s="84">
        <v>1740</v>
      </c>
      <c r="V90" s="84">
        <v>0</v>
      </c>
      <c r="W90" s="84">
        <v>1740</v>
      </c>
      <c r="X90" s="84">
        <v>0</v>
      </c>
      <c r="Y90" s="85">
        <v>0</v>
      </c>
      <c r="Z90" s="67" t="s">
        <v>26</v>
      </c>
      <c r="AA90" s="12" t="s">
        <v>31</v>
      </c>
    </row>
    <row r="91" spans="1:27" x14ac:dyDescent="0.25">
      <c r="A91" s="10">
        <v>45659</v>
      </c>
      <c r="B91" s="11" t="s">
        <v>26</v>
      </c>
      <c r="C91" s="11">
        <v>14590</v>
      </c>
      <c r="D91" s="11" t="s">
        <v>26</v>
      </c>
      <c r="E91" s="11" t="s">
        <v>53</v>
      </c>
      <c r="F91" s="11" t="s">
        <v>26</v>
      </c>
      <c r="G91" s="11" t="s">
        <v>26</v>
      </c>
      <c r="H91" s="12" t="s">
        <v>4422</v>
      </c>
      <c r="I91" s="12" t="s">
        <v>27</v>
      </c>
      <c r="J91" s="12" t="s">
        <v>33</v>
      </c>
      <c r="K91" s="12" t="s">
        <v>34</v>
      </c>
      <c r="L91" s="13">
        <v>43.12</v>
      </c>
      <c r="M91" s="13">
        <v>28</v>
      </c>
      <c r="N91" s="13">
        <v>1.54</v>
      </c>
      <c r="O91" s="83">
        <v>85</v>
      </c>
      <c r="P91" s="83" t="s">
        <v>30</v>
      </c>
      <c r="Q91" s="83">
        <v>0</v>
      </c>
      <c r="R91" s="29">
        <v>3665.2</v>
      </c>
      <c r="S91" s="84">
        <v>38</v>
      </c>
      <c r="T91" s="84">
        <v>1638.56</v>
      </c>
      <c r="U91" s="84">
        <v>2026.6399999999999</v>
      </c>
      <c r="V91" s="84">
        <v>2026.6399999999999</v>
      </c>
      <c r="W91" s="84">
        <v>0</v>
      </c>
      <c r="X91" s="84">
        <v>1595.4399999999998</v>
      </c>
      <c r="Y91" s="85">
        <v>43.120000000000118</v>
      </c>
      <c r="Z91" s="67" t="s">
        <v>41</v>
      </c>
      <c r="AA91" s="12" t="s">
        <v>78</v>
      </c>
    </row>
    <row r="92" spans="1:27" x14ac:dyDescent="0.25">
      <c r="A92" s="10">
        <v>45659</v>
      </c>
      <c r="B92" s="11" t="s">
        <v>26</v>
      </c>
      <c r="C92" s="11">
        <v>14591</v>
      </c>
      <c r="D92" s="11" t="s">
        <v>26</v>
      </c>
      <c r="E92" s="11" t="s">
        <v>80</v>
      </c>
      <c r="F92" s="11" t="s">
        <v>26</v>
      </c>
      <c r="G92" s="11">
        <v>10270</v>
      </c>
      <c r="H92" s="12" t="s">
        <v>140</v>
      </c>
      <c r="I92" s="12" t="s">
        <v>27</v>
      </c>
      <c r="J92" s="12" t="s">
        <v>33</v>
      </c>
      <c r="K92" s="12" t="s">
        <v>34</v>
      </c>
      <c r="L92" s="13">
        <v>43.5</v>
      </c>
      <c r="M92" s="13">
        <v>29</v>
      </c>
      <c r="N92" s="13">
        <v>1.5</v>
      </c>
      <c r="O92" s="83">
        <v>40</v>
      </c>
      <c r="P92" s="83"/>
      <c r="Q92" s="83">
        <v>0</v>
      </c>
      <c r="R92" s="29">
        <v>1740</v>
      </c>
      <c r="S92" s="84">
        <v>0</v>
      </c>
      <c r="T92" s="84">
        <v>0</v>
      </c>
      <c r="U92" s="84">
        <v>1740</v>
      </c>
      <c r="V92" s="84">
        <v>0</v>
      </c>
      <c r="W92" s="84">
        <v>1740</v>
      </c>
      <c r="X92" s="84">
        <v>0</v>
      </c>
      <c r="Y92" s="85">
        <v>0</v>
      </c>
      <c r="Z92" s="67" t="s">
        <v>26</v>
      </c>
      <c r="AA92" s="12" t="s">
        <v>31</v>
      </c>
    </row>
    <row r="93" spans="1:27" x14ac:dyDescent="0.25">
      <c r="A93" s="10">
        <v>45659</v>
      </c>
      <c r="B93" s="11" t="s">
        <v>26</v>
      </c>
      <c r="C93" s="11">
        <v>14592</v>
      </c>
      <c r="D93" s="11" t="s">
        <v>26</v>
      </c>
      <c r="E93" s="11" t="s">
        <v>246</v>
      </c>
      <c r="F93" s="11" t="s">
        <v>26</v>
      </c>
      <c r="G93" s="11" t="s">
        <v>26</v>
      </c>
      <c r="H93" s="12" t="s">
        <v>146</v>
      </c>
      <c r="I93" s="12" t="s">
        <v>27</v>
      </c>
      <c r="J93" s="12" t="s">
        <v>33</v>
      </c>
      <c r="K93" s="12" t="s">
        <v>34</v>
      </c>
      <c r="L93" s="13">
        <v>43.87</v>
      </c>
      <c r="M93" s="13">
        <v>29</v>
      </c>
      <c r="N93" s="13">
        <v>1.5127586206896551</v>
      </c>
      <c r="O93" s="83">
        <v>91</v>
      </c>
      <c r="P93" s="83" t="s">
        <v>30</v>
      </c>
      <c r="Q93" s="83">
        <v>0</v>
      </c>
      <c r="R93" s="29">
        <v>3992.1699999999996</v>
      </c>
      <c r="S93" s="84">
        <v>40</v>
      </c>
      <c r="T93" s="84">
        <v>1754.8</v>
      </c>
      <c r="U93" s="84">
        <v>2237.37</v>
      </c>
      <c r="V93" s="84">
        <v>2237.37</v>
      </c>
      <c r="W93" s="84">
        <v>0</v>
      </c>
      <c r="X93" s="84">
        <v>1623.1899999999998</v>
      </c>
      <c r="Y93" s="85">
        <v>131.61000000000013</v>
      </c>
      <c r="Z93" s="67" t="s">
        <v>41</v>
      </c>
      <c r="AA93" s="12" t="s">
        <v>79</v>
      </c>
    </row>
    <row r="94" spans="1:27" x14ac:dyDescent="0.25">
      <c r="A94" s="10">
        <v>45659</v>
      </c>
      <c r="B94" s="11" t="s">
        <v>26</v>
      </c>
      <c r="C94" s="11">
        <v>14593</v>
      </c>
      <c r="D94" s="11" t="s">
        <v>26</v>
      </c>
      <c r="E94" s="11" t="s">
        <v>57</v>
      </c>
      <c r="F94" s="11" t="s">
        <v>26</v>
      </c>
      <c r="G94" s="11" t="s">
        <v>26</v>
      </c>
      <c r="H94" s="12" t="s">
        <v>146</v>
      </c>
      <c r="I94" s="12" t="s">
        <v>27</v>
      </c>
      <c r="J94" s="12" t="s">
        <v>33</v>
      </c>
      <c r="K94" s="12" t="s">
        <v>34</v>
      </c>
      <c r="L94" s="13">
        <v>43.21</v>
      </c>
      <c r="M94" s="13">
        <v>29</v>
      </c>
      <c r="N94" s="13">
        <v>1.49</v>
      </c>
      <c r="O94" s="83">
        <v>91</v>
      </c>
      <c r="P94" s="83" t="s">
        <v>30</v>
      </c>
      <c r="Q94" s="83">
        <v>0</v>
      </c>
      <c r="R94" s="84">
        <v>3932.11</v>
      </c>
      <c r="S94" s="84">
        <v>40</v>
      </c>
      <c r="T94" s="84">
        <v>1728.4</v>
      </c>
      <c r="U94" s="84">
        <v>2203.71</v>
      </c>
      <c r="V94" s="84">
        <v>2203.71</v>
      </c>
      <c r="W94" s="84">
        <v>0</v>
      </c>
      <c r="X94" s="84">
        <v>1598.77</v>
      </c>
      <c r="Y94" s="85">
        <v>129.63000000000011</v>
      </c>
      <c r="Z94" s="67" t="s">
        <v>41</v>
      </c>
      <c r="AA94" s="12" t="s">
        <v>79</v>
      </c>
    </row>
    <row r="95" spans="1:27" x14ac:dyDescent="0.25">
      <c r="A95" s="10">
        <v>45659</v>
      </c>
      <c r="B95" s="11" t="s">
        <v>26</v>
      </c>
      <c r="C95" s="11">
        <v>14594</v>
      </c>
      <c r="D95" s="11" t="s">
        <v>26</v>
      </c>
      <c r="E95" s="11" t="s">
        <v>539</v>
      </c>
      <c r="F95" s="11" t="s">
        <v>26</v>
      </c>
      <c r="G95" s="11" t="s">
        <v>26</v>
      </c>
      <c r="H95" s="12" t="s">
        <v>146</v>
      </c>
      <c r="I95" s="12" t="s">
        <v>27</v>
      </c>
      <c r="J95" s="12" t="s">
        <v>33</v>
      </c>
      <c r="K95" s="12" t="s">
        <v>34</v>
      </c>
      <c r="L95" s="13">
        <v>43.27</v>
      </c>
      <c r="M95" s="13">
        <v>29</v>
      </c>
      <c r="N95" s="13">
        <v>1.492068965517241</v>
      </c>
      <c r="O95" s="83">
        <v>91</v>
      </c>
      <c r="P95" s="83" t="s">
        <v>30</v>
      </c>
      <c r="Q95" s="83">
        <v>0</v>
      </c>
      <c r="R95" s="84">
        <v>3937.57</v>
      </c>
      <c r="S95" s="84">
        <v>40</v>
      </c>
      <c r="T95" s="84">
        <v>1730.8000000000002</v>
      </c>
      <c r="U95" s="84">
        <v>2206.77</v>
      </c>
      <c r="V95" s="84">
        <v>2206.77</v>
      </c>
      <c r="W95" s="84">
        <v>0</v>
      </c>
      <c r="X95" s="84">
        <v>1600.99</v>
      </c>
      <c r="Y95" s="85">
        <v>129.81000000000017</v>
      </c>
      <c r="Z95" s="67" t="s">
        <v>41</v>
      </c>
      <c r="AA95" s="12" t="s">
        <v>79</v>
      </c>
    </row>
    <row r="96" spans="1:27" x14ac:dyDescent="0.25">
      <c r="A96" s="10">
        <v>45659</v>
      </c>
      <c r="B96" s="11" t="s">
        <v>26</v>
      </c>
      <c r="C96" s="11">
        <v>14595</v>
      </c>
      <c r="D96" s="11" t="s">
        <v>26</v>
      </c>
      <c r="E96" s="11" t="s">
        <v>244</v>
      </c>
      <c r="F96" s="11" t="s">
        <v>26</v>
      </c>
      <c r="G96" s="11" t="s">
        <v>26</v>
      </c>
      <c r="H96" s="12" t="s">
        <v>4422</v>
      </c>
      <c r="I96" s="12" t="s">
        <v>27</v>
      </c>
      <c r="J96" s="12" t="s">
        <v>42</v>
      </c>
      <c r="K96" s="12" t="s">
        <v>43</v>
      </c>
      <c r="L96" s="13">
        <v>44.7</v>
      </c>
      <c r="M96" s="13">
        <v>25</v>
      </c>
      <c r="N96" s="13">
        <v>1.788</v>
      </c>
      <c r="O96" s="83">
        <v>83</v>
      </c>
      <c r="P96" s="83" t="s">
        <v>30</v>
      </c>
      <c r="Q96" s="83">
        <v>0</v>
      </c>
      <c r="R96" s="29">
        <v>3710.1000000000004</v>
      </c>
      <c r="S96" s="84">
        <v>38</v>
      </c>
      <c r="T96" s="84">
        <v>1698.6000000000001</v>
      </c>
      <c r="U96" s="84">
        <v>2011.5000000000002</v>
      </c>
      <c r="V96" s="84">
        <v>2011.5000000000002</v>
      </c>
      <c r="W96" s="84">
        <v>0</v>
      </c>
      <c r="X96" s="84">
        <v>1609.2</v>
      </c>
      <c r="Y96" s="85">
        <v>89.400000000000091</v>
      </c>
      <c r="Z96" s="67" t="s">
        <v>141</v>
      </c>
      <c r="AA96" s="12" t="s">
        <v>78</v>
      </c>
    </row>
    <row r="97" spans="1:27" x14ac:dyDescent="0.25">
      <c r="A97" s="10">
        <v>45659</v>
      </c>
      <c r="B97" s="11" t="s">
        <v>26</v>
      </c>
      <c r="C97" s="11">
        <v>14596</v>
      </c>
      <c r="D97" s="11" t="s">
        <v>26</v>
      </c>
      <c r="E97" s="11" t="s">
        <v>76</v>
      </c>
      <c r="F97" s="11" t="s">
        <v>26</v>
      </c>
      <c r="G97" s="11">
        <v>2218</v>
      </c>
      <c r="H97" s="12" t="s">
        <v>41</v>
      </c>
      <c r="I97" s="12" t="s">
        <v>55</v>
      </c>
      <c r="J97" s="12" t="s">
        <v>566</v>
      </c>
      <c r="K97" s="12" t="s">
        <v>550</v>
      </c>
      <c r="L97" s="13">
        <v>40</v>
      </c>
      <c r="M97" s="13">
        <v>25</v>
      </c>
      <c r="N97" s="13">
        <v>1.6</v>
      </c>
      <c r="O97" s="83">
        <v>25</v>
      </c>
      <c r="P97" s="83"/>
      <c r="Q97" s="83">
        <v>0</v>
      </c>
      <c r="R97" s="29">
        <v>1000</v>
      </c>
      <c r="S97" s="84">
        <v>0</v>
      </c>
      <c r="T97" s="84">
        <v>0</v>
      </c>
      <c r="U97" s="84">
        <v>1000</v>
      </c>
      <c r="V97" s="84">
        <v>0</v>
      </c>
      <c r="W97" s="84">
        <v>1000</v>
      </c>
      <c r="X97" s="84">
        <v>0</v>
      </c>
      <c r="Y97" s="85">
        <v>0</v>
      </c>
      <c r="Z97" s="67" t="s">
        <v>26</v>
      </c>
      <c r="AA97" s="12" t="s">
        <v>31</v>
      </c>
    </row>
    <row r="98" spans="1:27" x14ac:dyDescent="0.25">
      <c r="A98" s="10">
        <v>45659</v>
      </c>
      <c r="B98" s="11" t="s">
        <v>26</v>
      </c>
      <c r="C98" s="11">
        <v>14597</v>
      </c>
      <c r="D98" s="11" t="s">
        <v>26</v>
      </c>
      <c r="E98" s="11" t="s">
        <v>1200</v>
      </c>
      <c r="F98" s="11" t="s">
        <v>26</v>
      </c>
      <c r="G98" s="11">
        <v>960</v>
      </c>
      <c r="H98" s="12" t="s">
        <v>163</v>
      </c>
      <c r="I98" s="12" t="s">
        <v>27</v>
      </c>
      <c r="J98" s="12" t="s">
        <v>33</v>
      </c>
      <c r="K98" s="12" t="s">
        <v>34</v>
      </c>
      <c r="L98" s="13">
        <v>37.5</v>
      </c>
      <c r="M98" s="13">
        <v>25</v>
      </c>
      <c r="N98" s="13">
        <v>1.5</v>
      </c>
      <c r="O98" s="83" t="s">
        <v>30</v>
      </c>
      <c r="P98" s="83">
        <v>58</v>
      </c>
      <c r="Q98" s="83">
        <v>0</v>
      </c>
      <c r="R98" s="84">
        <v>1450</v>
      </c>
      <c r="S98" s="84">
        <v>0</v>
      </c>
      <c r="T98" s="84">
        <v>0</v>
      </c>
      <c r="U98" s="84">
        <v>1450</v>
      </c>
      <c r="V98" s="84">
        <v>0</v>
      </c>
      <c r="W98" s="84">
        <v>1450</v>
      </c>
      <c r="X98" s="84">
        <v>0</v>
      </c>
      <c r="Y98" s="85">
        <v>0</v>
      </c>
      <c r="Z98" s="67" t="s">
        <v>26</v>
      </c>
      <c r="AA98" s="12" t="s">
        <v>31</v>
      </c>
    </row>
    <row r="99" spans="1:27" x14ac:dyDescent="0.25">
      <c r="A99" s="10">
        <v>45659</v>
      </c>
      <c r="B99" s="11" t="s">
        <v>26</v>
      </c>
      <c r="C99" s="11">
        <v>14598</v>
      </c>
      <c r="D99" s="11" t="s">
        <v>26</v>
      </c>
      <c r="E99" s="11" t="s">
        <v>563</v>
      </c>
      <c r="F99" s="11" t="s">
        <v>26</v>
      </c>
      <c r="G99" s="11" t="s">
        <v>26</v>
      </c>
      <c r="H99" s="12" t="s">
        <v>4445</v>
      </c>
      <c r="I99" s="12" t="s">
        <v>55</v>
      </c>
      <c r="J99" s="12" t="s">
        <v>55</v>
      </c>
      <c r="K99" s="12" t="s">
        <v>56</v>
      </c>
      <c r="L99" s="13">
        <v>35.200000000000003</v>
      </c>
      <c r="M99" s="13">
        <v>22</v>
      </c>
      <c r="N99" s="13">
        <v>1.6</v>
      </c>
      <c r="O99" s="83" t="s">
        <v>30</v>
      </c>
      <c r="P99" s="83">
        <v>62</v>
      </c>
      <c r="Q99" s="83">
        <v>0</v>
      </c>
      <c r="R99" s="84">
        <v>1364</v>
      </c>
      <c r="S99" s="84">
        <v>37</v>
      </c>
      <c r="T99" s="84">
        <v>814</v>
      </c>
      <c r="U99" s="84">
        <v>550</v>
      </c>
      <c r="V99" s="84">
        <v>550</v>
      </c>
      <c r="W99" s="84">
        <v>0</v>
      </c>
      <c r="X99" s="84">
        <v>858</v>
      </c>
      <c r="Y99" s="85">
        <v>-44</v>
      </c>
      <c r="Z99" s="67" t="s">
        <v>141</v>
      </c>
      <c r="AA99" s="12" t="s">
        <v>445</v>
      </c>
    </row>
    <row r="100" spans="1:27" x14ac:dyDescent="0.25">
      <c r="A100" s="10">
        <v>45659</v>
      </c>
      <c r="B100" s="11" t="s">
        <v>26</v>
      </c>
      <c r="C100" s="11">
        <v>14599</v>
      </c>
      <c r="D100" s="11" t="s">
        <v>26</v>
      </c>
      <c r="E100" s="11" t="s">
        <v>567</v>
      </c>
      <c r="F100" s="11" t="s">
        <v>26</v>
      </c>
      <c r="G100" s="11">
        <v>111867</v>
      </c>
      <c r="H100" s="12" t="s">
        <v>4446</v>
      </c>
      <c r="I100" s="12" t="s">
        <v>27</v>
      </c>
      <c r="J100" s="12" t="s">
        <v>42</v>
      </c>
      <c r="K100" s="12" t="s">
        <v>43</v>
      </c>
      <c r="L100" s="13">
        <v>40</v>
      </c>
      <c r="M100" s="13">
        <v>25</v>
      </c>
      <c r="N100" s="13">
        <v>1.6</v>
      </c>
      <c r="O100" s="83">
        <v>42</v>
      </c>
      <c r="P100" s="83" t="s">
        <v>30</v>
      </c>
      <c r="Q100" s="83">
        <v>0</v>
      </c>
      <c r="R100" s="29">
        <v>1680</v>
      </c>
      <c r="S100" s="84">
        <v>0</v>
      </c>
      <c r="T100" s="84">
        <v>0</v>
      </c>
      <c r="U100" s="84">
        <v>1680</v>
      </c>
      <c r="V100" s="84">
        <v>1680</v>
      </c>
      <c r="W100" s="84">
        <v>0</v>
      </c>
      <c r="X100" s="84">
        <v>0</v>
      </c>
      <c r="Y100" s="85">
        <v>0</v>
      </c>
      <c r="Z100" s="67" t="s">
        <v>26</v>
      </c>
      <c r="AA100" s="12" t="s">
        <v>31</v>
      </c>
    </row>
    <row r="101" spans="1:27" x14ac:dyDescent="0.25">
      <c r="A101" s="10">
        <v>45659</v>
      </c>
      <c r="B101" s="11" t="s">
        <v>26</v>
      </c>
      <c r="C101" s="11">
        <v>14600</v>
      </c>
      <c r="D101" s="11" t="s">
        <v>26</v>
      </c>
      <c r="E101" s="11" t="s">
        <v>1201</v>
      </c>
      <c r="F101" s="11" t="s">
        <v>26</v>
      </c>
      <c r="G101" s="11">
        <v>472</v>
      </c>
      <c r="H101" s="12" t="s">
        <v>141</v>
      </c>
      <c r="I101" s="12" t="s">
        <v>55</v>
      </c>
      <c r="J101" s="12" t="s">
        <v>55</v>
      </c>
      <c r="K101" s="12" t="s">
        <v>56</v>
      </c>
      <c r="L101" s="13">
        <v>40</v>
      </c>
      <c r="M101" s="13">
        <v>25</v>
      </c>
      <c r="N101" s="13">
        <v>1.6</v>
      </c>
      <c r="O101" s="83">
        <v>15</v>
      </c>
      <c r="P101" s="83" t="s">
        <v>30</v>
      </c>
      <c r="Q101" s="83">
        <v>0</v>
      </c>
      <c r="R101" s="29">
        <v>600</v>
      </c>
      <c r="S101" s="84">
        <v>0</v>
      </c>
      <c r="T101" s="84">
        <v>0</v>
      </c>
      <c r="U101" s="84">
        <v>600</v>
      </c>
      <c r="V101" s="84">
        <v>0</v>
      </c>
      <c r="W101" s="84">
        <v>600</v>
      </c>
      <c r="X101" s="84">
        <v>0</v>
      </c>
      <c r="Y101" s="85">
        <v>0</v>
      </c>
      <c r="Z101" s="67" t="s">
        <v>26</v>
      </c>
      <c r="AA101" s="12" t="s">
        <v>31</v>
      </c>
    </row>
    <row r="102" spans="1:27" x14ac:dyDescent="0.25">
      <c r="A102" s="10">
        <v>45659</v>
      </c>
      <c r="B102" s="11" t="s">
        <v>26</v>
      </c>
      <c r="C102" s="11">
        <v>14601</v>
      </c>
      <c r="D102" s="11" t="s">
        <v>26</v>
      </c>
      <c r="E102" s="11" t="s">
        <v>604</v>
      </c>
      <c r="F102" s="11" t="s">
        <v>26</v>
      </c>
      <c r="G102" s="11" t="s">
        <v>26</v>
      </c>
      <c r="H102" s="12" t="s">
        <v>4422</v>
      </c>
      <c r="I102" s="12" t="s">
        <v>27</v>
      </c>
      <c r="J102" s="12" t="s">
        <v>33</v>
      </c>
      <c r="K102" s="12" t="s">
        <v>34</v>
      </c>
      <c r="L102" s="13">
        <v>40.1</v>
      </c>
      <c r="M102" s="13">
        <v>28</v>
      </c>
      <c r="N102" s="13">
        <v>1.4321428571428569</v>
      </c>
      <c r="O102" s="83">
        <v>85</v>
      </c>
      <c r="P102" s="83" t="s">
        <v>30</v>
      </c>
      <c r="Q102" s="29">
        <v>0</v>
      </c>
      <c r="R102" s="84">
        <v>3408.5</v>
      </c>
      <c r="S102" s="84">
        <v>38</v>
      </c>
      <c r="T102" s="84">
        <v>1523.8</v>
      </c>
      <c r="U102" s="84">
        <v>1884.7</v>
      </c>
      <c r="V102" s="84">
        <v>1884.7</v>
      </c>
      <c r="W102" s="84">
        <v>0</v>
      </c>
      <c r="X102" s="84">
        <v>1443.6000000000001</v>
      </c>
      <c r="Y102" s="85">
        <v>80.199999999999818</v>
      </c>
      <c r="Z102" s="67" t="s">
        <v>141</v>
      </c>
      <c r="AA102" s="12" t="s">
        <v>78</v>
      </c>
    </row>
    <row r="103" spans="1:27" x14ac:dyDescent="0.25">
      <c r="A103" s="10">
        <v>45659</v>
      </c>
      <c r="B103" s="11" t="s">
        <v>26</v>
      </c>
      <c r="C103" s="11">
        <v>14602</v>
      </c>
      <c r="D103" s="11" t="s">
        <v>26</v>
      </c>
      <c r="E103" s="11" t="s">
        <v>571</v>
      </c>
      <c r="F103" s="11" t="s">
        <v>26</v>
      </c>
      <c r="G103" s="11">
        <v>111906</v>
      </c>
      <c r="H103" s="12" t="s">
        <v>4446</v>
      </c>
      <c r="I103" s="12" t="s">
        <v>27</v>
      </c>
      <c r="J103" s="12" t="s">
        <v>47</v>
      </c>
      <c r="K103" s="12" t="s">
        <v>48</v>
      </c>
      <c r="L103" s="13">
        <v>37.5</v>
      </c>
      <c r="M103" s="13">
        <v>25</v>
      </c>
      <c r="N103" s="13">
        <v>1.5</v>
      </c>
      <c r="O103" s="83">
        <v>44</v>
      </c>
      <c r="P103" s="83" t="s">
        <v>30</v>
      </c>
      <c r="Q103" s="83">
        <v>0</v>
      </c>
      <c r="R103" s="29">
        <v>1650</v>
      </c>
      <c r="S103" s="84">
        <v>0</v>
      </c>
      <c r="T103" s="84">
        <v>0</v>
      </c>
      <c r="U103" s="84">
        <v>1650</v>
      </c>
      <c r="V103" s="84">
        <v>1650</v>
      </c>
      <c r="W103" s="84">
        <v>0</v>
      </c>
      <c r="X103" s="84">
        <v>0</v>
      </c>
      <c r="Y103" s="85">
        <v>0</v>
      </c>
      <c r="Z103" s="67" t="s">
        <v>26</v>
      </c>
      <c r="AA103" s="12" t="s">
        <v>31</v>
      </c>
    </row>
    <row r="104" spans="1:27" x14ac:dyDescent="0.25">
      <c r="A104" s="10">
        <v>45659</v>
      </c>
      <c r="B104" s="11" t="s">
        <v>26</v>
      </c>
      <c r="C104" s="11">
        <v>14603</v>
      </c>
      <c r="D104" s="11" t="s">
        <v>26</v>
      </c>
      <c r="E104" s="11" t="s">
        <v>98</v>
      </c>
      <c r="F104" s="11" t="s">
        <v>26</v>
      </c>
      <c r="G104" s="11">
        <v>10120</v>
      </c>
      <c r="H104" s="12" t="s">
        <v>140</v>
      </c>
      <c r="I104" s="12" t="s">
        <v>27</v>
      </c>
      <c r="J104" s="12" t="s">
        <v>42</v>
      </c>
      <c r="K104" s="12" t="s">
        <v>43</v>
      </c>
      <c r="L104" s="13">
        <v>40</v>
      </c>
      <c r="M104" s="13">
        <v>25</v>
      </c>
      <c r="N104" s="13">
        <v>1.6</v>
      </c>
      <c r="O104" s="83">
        <v>35</v>
      </c>
      <c r="P104" s="83"/>
      <c r="Q104" s="29">
        <v>0</v>
      </c>
      <c r="R104" s="84">
        <v>1400</v>
      </c>
      <c r="S104" s="84">
        <v>0</v>
      </c>
      <c r="T104" s="84">
        <v>0</v>
      </c>
      <c r="U104" s="84">
        <v>1400</v>
      </c>
      <c r="V104" s="84">
        <v>0</v>
      </c>
      <c r="W104" s="84">
        <v>1400</v>
      </c>
      <c r="X104" s="84">
        <v>0</v>
      </c>
      <c r="Y104" s="85">
        <v>0</v>
      </c>
      <c r="Z104" s="67" t="s">
        <v>26</v>
      </c>
      <c r="AA104" s="12" t="s">
        <v>31</v>
      </c>
    </row>
    <row r="105" spans="1:27" x14ac:dyDescent="0.25">
      <c r="A105" s="10">
        <v>45659</v>
      </c>
      <c r="B105" s="11" t="s">
        <v>26</v>
      </c>
      <c r="C105" s="11">
        <v>14604</v>
      </c>
      <c r="D105" s="11" t="s">
        <v>26</v>
      </c>
      <c r="E105" s="11" t="s">
        <v>509</v>
      </c>
      <c r="F105" s="11" t="s">
        <v>26</v>
      </c>
      <c r="G105" s="11" t="s">
        <v>26</v>
      </c>
      <c r="H105" s="12" t="s">
        <v>4422</v>
      </c>
      <c r="I105" s="12" t="s">
        <v>27</v>
      </c>
      <c r="J105" s="12" t="s">
        <v>33</v>
      </c>
      <c r="K105" s="12" t="s">
        <v>34</v>
      </c>
      <c r="L105" s="13">
        <v>42.8</v>
      </c>
      <c r="M105" s="13">
        <v>29</v>
      </c>
      <c r="N105" s="13">
        <v>1.4758620689655171</v>
      </c>
      <c r="O105" s="83">
        <v>85</v>
      </c>
      <c r="P105" s="83" t="s">
        <v>30</v>
      </c>
      <c r="Q105" s="83">
        <v>0</v>
      </c>
      <c r="R105" s="29">
        <v>3637.9999999999995</v>
      </c>
      <c r="S105" s="84">
        <v>38</v>
      </c>
      <c r="T105" s="84">
        <v>1626.3999999999999</v>
      </c>
      <c r="U105" s="84">
        <v>2011.5999999999997</v>
      </c>
      <c r="V105" s="84">
        <v>2011.5999999999997</v>
      </c>
      <c r="W105" s="84">
        <v>0</v>
      </c>
      <c r="X105" s="84">
        <v>1540.8</v>
      </c>
      <c r="Y105" s="85">
        <v>85.599999999999909</v>
      </c>
      <c r="Z105" s="67" t="s">
        <v>141</v>
      </c>
      <c r="AA105" s="12" t="s">
        <v>78</v>
      </c>
    </row>
    <row r="106" spans="1:27" x14ac:dyDescent="0.25">
      <c r="A106" s="10">
        <v>45659</v>
      </c>
      <c r="B106" s="11" t="s">
        <v>26</v>
      </c>
      <c r="C106" s="11">
        <v>14605</v>
      </c>
      <c r="D106" s="11" t="s">
        <v>26</v>
      </c>
      <c r="E106" s="11" t="s">
        <v>32</v>
      </c>
      <c r="F106" s="11" t="s">
        <v>26</v>
      </c>
      <c r="G106" s="11">
        <v>1440</v>
      </c>
      <c r="H106" s="12" t="s">
        <v>45</v>
      </c>
      <c r="I106" s="12" t="s">
        <v>27</v>
      </c>
      <c r="J106" s="12" t="s">
        <v>42</v>
      </c>
      <c r="K106" s="12" t="s">
        <v>43</v>
      </c>
      <c r="L106" s="13">
        <v>40</v>
      </c>
      <c r="M106" s="13">
        <v>25</v>
      </c>
      <c r="N106" s="13">
        <v>1.6</v>
      </c>
      <c r="O106" s="83" t="s">
        <v>30</v>
      </c>
      <c r="P106" s="83">
        <v>62</v>
      </c>
      <c r="Q106" s="29">
        <v>0</v>
      </c>
      <c r="R106" s="84">
        <v>1550</v>
      </c>
      <c r="S106" s="84">
        <v>0</v>
      </c>
      <c r="T106" s="84">
        <v>0</v>
      </c>
      <c r="U106" s="84">
        <v>1550</v>
      </c>
      <c r="V106" s="84">
        <v>0</v>
      </c>
      <c r="W106" s="84">
        <v>1550</v>
      </c>
      <c r="X106" s="84">
        <v>0</v>
      </c>
      <c r="Y106" s="85">
        <v>0</v>
      </c>
      <c r="Z106" s="67" t="s">
        <v>26</v>
      </c>
      <c r="AA106" s="12" t="s">
        <v>31</v>
      </c>
    </row>
    <row r="107" spans="1:27" x14ac:dyDescent="0.25">
      <c r="A107" s="10">
        <v>45659</v>
      </c>
      <c r="B107" s="11" t="s">
        <v>26</v>
      </c>
      <c r="C107" s="11">
        <v>14606</v>
      </c>
      <c r="D107" s="11" t="s">
        <v>26</v>
      </c>
      <c r="E107" s="11" t="s">
        <v>75</v>
      </c>
      <c r="F107" s="11" t="s">
        <v>26</v>
      </c>
      <c r="G107" s="11">
        <v>42257</v>
      </c>
      <c r="H107" s="12" t="s">
        <v>565</v>
      </c>
      <c r="I107" s="12" t="s">
        <v>27</v>
      </c>
      <c r="J107" s="12" t="s">
        <v>42</v>
      </c>
      <c r="K107" s="12" t="s">
        <v>43</v>
      </c>
      <c r="L107" s="13">
        <v>40</v>
      </c>
      <c r="M107" s="13">
        <v>25</v>
      </c>
      <c r="N107" s="13">
        <v>1.6</v>
      </c>
      <c r="O107" s="13"/>
      <c r="P107" s="13">
        <v>64</v>
      </c>
      <c r="Q107" s="13">
        <v>0</v>
      </c>
      <c r="R107" s="14">
        <v>1600</v>
      </c>
      <c r="S107" s="15">
        <v>0</v>
      </c>
      <c r="T107" s="15">
        <v>0</v>
      </c>
      <c r="U107" s="15">
        <v>1600</v>
      </c>
      <c r="V107" s="15">
        <v>0</v>
      </c>
      <c r="W107" s="15">
        <v>1600</v>
      </c>
      <c r="X107" s="15">
        <v>0</v>
      </c>
      <c r="Y107" s="16">
        <v>0</v>
      </c>
      <c r="Z107" s="67" t="s">
        <v>26</v>
      </c>
      <c r="AA107" s="12" t="s">
        <v>31</v>
      </c>
    </row>
    <row r="108" spans="1:27" x14ac:dyDescent="0.25">
      <c r="A108" s="10">
        <v>45659</v>
      </c>
      <c r="B108" s="11" t="s">
        <v>26</v>
      </c>
      <c r="C108" s="11">
        <v>14608</v>
      </c>
      <c r="D108" s="11" t="s">
        <v>26</v>
      </c>
      <c r="E108" s="11" t="s">
        <v>569</v>
      </c>
      <c r="F108" s="11" t="s">
        <v>26</v>
      </c>
      <c r="G108" s="11">
        <v>111729</v>
      </c>
      <c r="H108" s="12" t="s">
        <v>4446</v>
      </c>
      <c r="I108" s="12" t="s">
        <v>27</v>
      </c>
      <c r="J108" s="12" t="s">
        <v>47</v>
      </c>
      <c r="K108" s="12" t="s">
        <v>48</v>
      </c>
      <c r="L108" s="13">
        <v>37.5</v>
      </c>
      <c r="M108" s="13">
        <v>25</v>
      </c>
      <c r="N108" s="13">
        <v>1.5</v>
      </c>
      <c r="O108" s="13">
        <v>44</v>
      </c>
      <c r="P108" s="13" t="s">
        <v>30</v>
      </c>
      <c r="Q108" s="13">
        <v>0</v>
      </c>
      <c r="R108" s="14">
        <v>1650</v>
      </c>
      <c r="S108" s="15">
        <v>0</v>
      </c>
      <c r="T108" s="15">
        <v>0</v>
      </c>
      <c r="U108" s="15">
        <v>1650</v>
      </c>
      <c r="V108" s="15">
        <v>1650</v>
      </c>
      <c r="W108" s="15">
        <v>0</v>
      </c>
      <c r="X108" s="15">
        <v>0</v>
      </c>
      <c r="Y108" s="16">
        <v>0</v>
      </c>
      <c r="Z108" s="67" t="s">
        <v>26</v>
      </c>
      <c r="AA108" s="12" t="s">
        <v>31</v>
      </c>
    </row>
    <row r="109" spans="1:27" x14ac:dyDescent="0.25">
      <c r="A109" s="10">
        <v>45659</v>
      </c>
      <c r="B109" s="11" t="s">
        <v>26</v>
      </c>
      <c r="C109" s="11">
        <v>14609</v>
      </c>
      <c r="D109" s="11" t="s">
        <v>26</v>
      </c>
      <c r="E109" s="11" t="s">
        <v>205</v>
      </c>
      <c r="F109" s="11" t="s">
        <v>26</v>
      </c>
      <c r="G109" s="11" t="s">
        <v>35</v>
      </c>
      <c r="H109" s="12" t="s">
        <v>36</v>
      </c>
      <c r="I109" s="12" t="s">
        <v>55</v>
      </c>
      <c r="J109" s="12" t="s">
        <v>55</v>
      </c>
      <c r="K109" s="12" t="s">
        <v>56</v>
      </c>
      <c r="L109" s="13">
        <v>9.6000000000000014</v>
      </c>
      <c r="M109" s="13">
        <v>6</v>
      </c>
      <c r="N109" s="13">
        <v>1.6</v>
      </c>
      <c r="O109" s="13">
        <v>20</v>
      </c>
      <c r="P109" s="13" t="s">
        <v>30</v>
      </c>
      <c r="Q109" s="13">
        <v>0</v>
      </c>
      <c r="R109" s="14">
        <v>192.00000000000003</v>
      </c>
      <c r="S109" s="15">
        <v>0</v>
      </c>
      <c r="T109" s="15">
        <v>0</v>
      </c>
      <c r="U109" s="15">
        <v>192.00000000000003</v>
      </c>
      <c r="V109" s="15">
        <v>0</v>
      </c>
      <c r="W109" s="15">
        <v>192.00000000000003</v>
      </c>
      <c r="X109" s="15">
        <v>0</v>
      </c>
      <c r="Y109" s="16">
        <v>0</v>
      </c>
      <c r="Z109" s="67" t="s">
        <v>26</v>
      </c>
      <c r="AA109" s="12" t="s">
        <v>31</v>
      </c>
    </row>
    <row r="110" spans="1:27" x14ac:dyDescent="0.25">
      <c r="A110" s="10">
        <v>45659</v>
      </c>
      <c r="B110" s="11" t="s">
        <v>26</v>
      </c>
      <c r="C110" s="11">
        <v>14610</v>
      </c>
      <c r="D110" s="11" t="s">
        <v>26</v>
      </c>
      <c r="E110" s="11" t="s">
        <v>572</v>
      </c>
      <c r="F110" s="11" t="s">
        <v>26</v>
      </c>
      <c r="G110" s="11">
        <v>111583</v>
      </c>
      <c r="H110" s="12" t="s">
        <v>4446</v>
      </c>
      <c r="I110" s="12" t="s">
        <v>27</v>
      </c>
      <c r="J110" s="12" t="s">
        <v>33</v>
      </c>
      <c r="K110" s="12" t="s">
        <v>34</v>
      </c>
      <c r="L110" s="13">
        <v>37.5</v>
      </c>
      <c r="M110" s="13">
        <v>25</v>
      </c>
      <c r="N110" s="13">
        <v>1.5</v>
      </c>
      <c r="O110" s="13">
        <v>44</v>
      </c>
      <c r="P110" s="13" t="s">
        <v>30</v>
      </c>
      <c r="Q110" s="13">
        <v>0</v>
      </c>
      <c r="R110" s="14">
        <v>1650</v>
      </c>
      <c r="S110" s="15">
        <v>0</v>
      </c>
      <c r="T110" s="15">
        <v>0</v>
      </c>
      <c r="U110" s="15">
        <v>1650</v>
      </c>
      <c r="V110" s="15">
        <v>1650</v>
      </c>
      <c r="W110" s="15">
        <v>0</v>
      </c>
      <c r="X110" s="16">
        <v>0</v>
      </c>
      <c r="Y110" s="16">
        <v>0</v>
      </c>
      <c r="Z110" s="67" t="s">
        <v>26</v>
      </c>
      <c r="AA110" s="12" t="s">
        <v>31</v>
      </c>
    </row>
    <row r="111" spans="1:27" x14ac:dyDescent="0.25">
      <c r="A111" s="10">
        <v>45659</v>
      </c>
      <c r="B111" s="11" t="s">
        <v>26</v>
      </c>
      <c r="C111" s="11">
        <v>14611</v>
      </c>
      <c r="D111" s="11" t="s">
        <v>26</v>
      </c>
      <c r="E111" s="11" t="s">
        <v>325</v>
      </c>
      <c r="F111" s="11" t="s">
        <v>26</v>
      </c>
      <c r="G111" s="11" t="s">
        <v>35</v>
      </c>
      <c r="H111" s="12" t="s">
        <v>36</v>
      </c>
      <c r="I111" s="12" t="s">
        <v>27</v>
      </c>
      <c r="J111" s="12" t="s">
        <v>42</v>
      </c>
      <c r="K111" s="12" t="s">
        <v>43</v>
      </c>
      <c r="L111" s="13">
        <v>4.8000000000000007</v>
      </c>
      <c r="M111" s="13">
        <v>3</v>
      </c>
      <c r="N111" s="13">
        <v>1.6</v>
      </c>
      <c r="O111" s="13">
        <v>45</v>
      </c>
      <c r="P111" s="13" t="s">
        <v>30</v>
      </c>
      <c r="Q111" s="13">
        <v>0</v>
      </c>
      <c r="R111" s="14">
        <v>216.00000000000003</v>
      </c>
      <c r="S111" s="15">
        <v>0</v>
      </c>
      <c r="T111" s="15">
        <v>0</v>
      </c>
      <c r="U111" s="15">
        <v>216.00000000000003</v>
      </c>
      <c r="V111" s="15">
        <v>0</v>
      </c>
      <c r="W111" s="15">
        <v>216.00000000000003</v>
      </c>
      <c r="X111" s="16">
        <v>0</v>
      </c>
      <c r="Y111" s="16">
        <v>0</v>
      </c>
      <c r="Z111" s="67" t="s">
        <v>26</v>
      </c>
      <c r="AA111" s="12" t="s">
        <v>31</v>
      </c>
    </row>
    <row r="112" spans="1:27" x14ac:dyDescent="0.25">
      <c r="A112" s="10">
        <v>45659</v>
      </c>
      <c r="B112" s="11" t="s">
        <v>26</v>
      </c>
      <c r="C112" s="11">
        <v>14612</v>
      </c>
      <c r="D112" s="11" t="s">
        <v>26</v>
      </c>
      <c r="E112" s="11" t="s">
        <v>39</v>
      </c>
      <c r="F112" s="11" t="s">
        <v>26</v>
      </c>
      <c r="G112" s="11">
        <v>473</v>
      </c>
      <c r="H112" s="12" t="s">
        <v>141</v>
      </c>
      <c r="I112" s="12" t="s">
        <v>55</v>
      </c>
      <c r="J112" s="12" t="s">
        <v>55</v>
      </c>
      <c r="K112" s="12" t="s">
        <v>56</v>
      </c>
      <c r="L112" s="13">
        <v>40</v>
      </c>
      <c r="M112" s="13">
        <v>25</v>
      </c>
      <c r="N112" s="13">
        <v>1.6</v>
      </c>
      <c r="O112" s="13">
        <v>15</v>
      </c>
      <c r="P112" s="13" t="s">
        <v>30</v>
      </c>
      <c r="Q112" s="13">
        <v>0</v>
      </c>
      <c r="R112" s="15">
        <v>600</v>
      </c>
      <c r="S112" s="15">
        <v>0</v>
      </c>
      <c r="T112" s="15">
        <v>0</v>
      </c>
      <c r="U112" s="15">
        <v>600</v>
      </c>
      <c r="V112" s="15">
        <v>0</v>
      </c>
      <c r="W112" s="15">
        <v>600</v>
      </c>
      <c r="X112" s="15">
        <v>0</v>
      </c>
      <c r="Y112" s="16">
        <v>0</v>
      </c>
      <c r="Z112" s="67" t="s">
        <v>26</v>
      </c>
      <c r="AA112" s="12" t="s">
        <v>31</v>
      </c>
    </row>
    <row r="113" spans="1:27" x14ac:dyDescent="0.25">
      <c r="A113" s="10">
        <v>45659</v>
      </c>
      <c r="B113" s="11" t="s">
        <v>26</v>
      </c>
      <c r="C113" s="11">
        <v>14613</v>
      </c>
      <c r="D113" s="11" t="s">
        <v>26</v>
      </c>
      <c r="E113" s="11" t="s">
        <v>177</v>
      </c>
      <c r="F113" s="11" t="s">
        <v>26</v>
      </c>
      <c r="G113" s="11">
        <v>474</v>
      </c>
      <c r="H113" s="12" t="s">
        <v>141</v>
      </c>
      <c r="I113" s="12" t="s">
        <v>55</v>
      </c>
      <c r="J113" s="12" t="s">
        <v>55</v>
      </c>
      <c r="K113" s="12" t="s">
        <v>56</v>
      </c>
      <c r="L113" s="13">
        <v>40</v>
      </c>
      <c r="M113" s="13">
        <v>25</v>
      </c>
      <c r="N113" s="13">
        <v>1.6</v>
      </c>
      <c r="O113" s="13">
        <v>15</v>
      </c>
      <c r="P113" s="13" t="s">
        <v>30</v>
      </c>
      <c r="Q113" s="13">
        <v>0</v>
      </c>
      <c r="R113" s="15">
        <v>600</v>
      </c>
      <c r="S113" s="15">
        <v>0</v>
      </c>
      <c r="T113" s="15">
        <v>0</v>
      </c>
      <c r="U113" s="15">
        <v>600</v>
      </c>
      <c r="V113" s="15">
        <v>0</v>
      </c>
      <c r="W113" s="15">
        <v>600</v>
      </c>
      <c r="X113" s="15">
        <v>0</v>
      </c>
      <c r="Y113" s="16">
        <v>0</v>
      </c>
      <c r="Z113" s="67" t="s">
        <v>26</v>
      </c>
      <c r="AA113" s="12" t="s">
        <v>31</v>
      </c>
    </row>
    <row r="114" spans="1:27" x14ac:dyDescent="0.25">
      <c r="A114" s="10">
        <v>45659</v>
      </c>
      <c r="B114" s="11" t="s">
        <v>26</v>
      </c>
      <c r="C114" s="11">
        <v>14614</v>
      </c>
      <c r="D114" s="11" t="s">
        <v>26</v>
      </c>
      <c r="E114" s="11" t="s">
        <v>52</v>
      </c>
      <c r="F114" s="11" t="s">
        <v>26</v>
      </c>
      <c r="G114" s="11">
        <v>475</v>
      </c>
      <c r="H114" s="12" t="s">
        <v>141</v>
      </c>
      <c r="I114" s="12" t="s">
        <v>55</v>
      </c>
      <c r="J114" s="12" t="s">
        <v>55</v>
      </c>
      <c r="K114" s="12" t="s">
        <v>56</v>
      </c>
      <c r="L114" s="13">
        <v>40</v>
      </c>
      <c r="M114" s="13">
        <v>25</v>
      </c>
      <c r="N114" s="13">
        <v>1.6</v>
      </c>
      <c r="O114" s="13">
        <v>15</v>
      </c>
      <c r="P114" s="13" t="s">
        <v>30</v>
      </c>
      <c r="Q114" s="13">
        <v>0</v>
      </c>
      <c r="R114" s="15">
        <v>600</v>
      </c>
      <c r="S114" s="15">
        <v>0</v>
      </c>
      <c r="T114" s="15">
        <v>0</v>
      </c>
      <c r="U114" s="15">
        <v>600</v>
      </c>
      <c r="V114" s="15">
        <v>0</v>
      </c>
      <c r="W114" s="15">
        <v>600</v>
      </c>
      <c r="X114" s="15">
        <v>0</v>
      </c>
      <c r="Y114" s="16">
        <v>0</v>
      </c>
      <c r="Z114" s="67" t="s">
        <v>26</v>
      </c>
      <c r="AA114" s="12" t="s">
        <v>31</v>
      </c>
    </row>
    <row r="115" spans="1:27" x14ac:dyDescent="0.25">
      <c r="A115" s="10">
        <v>45659</v>
      </c>
      <c r="B115" s="11" t="s">
        <v>26</v>
      </c>
      <c r="C115" s="11">
        <v>14615</v>
      </c>
      <c r="D115" s="11" t="s">
        <v>26</v>
      </c>
      <c r="E115" s="11" t="s">
        <v>563</v>
      </c>
      <c r="F115" s="11" t="s">
        <v>26</v>
      </c>
      <c r="G115" s="11" t="s">
        <v>26</v>
      </c>
      <c r="H115" s="12" t="s">
        <v>4445</v>
      </c>
      <c r="I115" s="12" t="s">
        <v>55</v>
      </c>
      <c r="J115" s="12" t="s">
        <v>55</v>
      </c>
      <c r="K115" s="12" t="s">
        <v>56</v>
      </c>
      <c r="L115" s="13">
        <v>35.200000000000003</v>
      </c>
      <c r="M115" s="13">
        <v>22</v>
      </c>
      <c r="N115" s="13">
        <v>1.6</v>
      </c>
      <c r="O115" s="13" t="s">
        <v>30</v>
      </c>
      <c r="P115" s="13">
        <v>62</v>
      </c>
      <c r="Q115" s="13">
        <v>0</v>
      </c>
      <c r="R115" s="14">
        <v>1364</v>
      </c>
      <c r="S115" s="15">
        <v>37</v>
      </c>
      <c r="T115" s="15">
        <v>814</v>
      </c>
      <c r="U115" s="15">
        <v>550</v>
      </c>
      <c r="V115" s="15">
        <v>550</v>
      </c>
      <c r="W115" s="15">
        <v>0</v>
      </c>
      <c r="X115" s="15">
        <v>858</v>
      </c>
      <c r="Y115" s="16">
        <v>-44</v>
      </c>
      <c r="Z115" s="67" t="s">
        <v>141</v>
      </c>
      <c r="AA115" s="12" t="s">
        <v>445</v>
      </c>
    </row>
    <row r="116" spans="1:27" x14ac:dyDescent="0.25">
      <c r="A116" s="10">
        <v>45659</v>
      </c>
      <c r="B116" s="11" t="s">
        <v>26</v>
      </c>
      <c r="C116" s="11">
        <v>14617</v>
      </c>
      <c r="D116" s="11" t="s">
        <v>26</v>
      </c>
      <c r="E116" s="11" t="s">
        <v>53</v>
      </c>
      <c r="F116" s="11" t="s">
        <v>26</v>
      </c>
      <c r="G116" s="11" t="s">
        <v>26</v>
      </c>
      <c r="H116" s="12" t="s">
        <v>4422</v>
      </c>
      <c r="I116" s="12" t="s">
        <v>27</v>
      </c>
      <c r="J116" s="12" t="s">
        <v>33</v>
      </c>
      <c r="K116" s="12" t="s">
        <v>34</v>
      </c>
      <c r="L116" s="13">
        <v>42.84</v>
      </c>
      <c r="M116" s="13">
        <v>29</v>
      </c>
      <c r="N116" s="13">
        <v>1.4772413793103449</v>
      </c>
      <c r="O116" s="13">
        <v>85</v>
      </c>
      <c r="P116" s="13" t="s">
        <v>30</v>
      </c>
      <c r="Q116" s="13">
        <v>0</v>
      </c>
      <c r="R116" s="14">
        <v>3641.4</v>
      </c>
      <c r="S116" s="15">
        <v>38</v>
      </c>
      <c r="T116" s="15">
        <v>1627.92</v>
      </c>
      <c r="U116" s="15">
        <v>2013.48</v>
      </c>
      <c r="V116" s="15">
        <v>2013.48</v>
      </c>
      <c r="W116" s="15">
        <v>0</v>
      </c>
      <c r="X116" s="15">
        <v>1585.0800000000002</v>
      </c>
      <c r="Y116" s="16">
        <v>42.839999999999918</v>
      </c>
      <c r="Z116" s="67" t="s">
        <v>41</v>
      </c>
      <c r="AA116" s="12" t="s">
        <v>78</v>
      </c>
    </row>
    <row r="117" spans="1:27" x14ac:dyDescent="0.25">
      <c r="A117" s="10">
        <v>45659</v>
      </c>
      <c r="B117" s="11" t="s">
        <v>26</v>
      </c>
      <c r="C117" s="11">
        <v>14618</v>
      </c>
      <c r="D117" s="11" t="s">
        <v>26</v>
      </c>
      <c r="E117" s="11" t="s">
        <v>575</v>
      </c>
      <c r="F117" s="11" t="s">
        <v>26</v>
      </c>
      <c r="G117" s="11">
        <v>111632</v>
      </c>
      <c r="H117" s="12" t="s">
        <v>4446</v>
      </c>
      <c r="I117" s="12" t="s">
        <v>27</v>
      </c>
      <c r="J117" s="12" t="s">
        <v>33</v>
      </c>
      <c r="K117" s="12" t="s">
        <v>34</v>
      </c>
      <c r="L117" s="13">
        <v>37.5</v>
      </c>
      <c r="M117" s="13">
        <v>25</v>
      </c>
      <c r="N117" s="13">
        <v>1.5</v>
      </c>
      <c r="O117" s="13">
        <v>44</v>
      </c>
      <c r="P117" s="13" t="s">
        <v>30</v>
      </c>
      <c r="Q117" s="13">
        <v>0</v>
      </c>
      <c r="R117" s="15">
        <v>1650</v>
      </c>
      <c r="S117" s="15">
        <v>0</v>
      </c>
      <c r="T117" s="15">
        <v>0</v>
      </c>
      <c r="U117" s="15">
        <v>1650</v>
      </c>
      <c r="V117" s="15">
        <v>1650</v>
      </c>
      <c r="W117" s="15">
        <v>0</v>
      </c>
      <c r="X117" s="15">
        <v>0</v>
      </c>
      <c r="Y117" s="16">
        <v>0</v>
      </c>
      <c r="Z117" s="67" t="s">
        <v>26</v>
      </c>
      <c r="AA117" s="12" t="s">
        <v>31</v>
      </c>
    </row>
    <row r="118" spans="1:27" x14ac:dyDescent="0.25">
      <c r="A118" s="10">
        <v>45659</v>
      </c>
      <c r="B118" s="11" t="s">
        <v>26</v>
      </c>
      <c r="C118" s="11">
        <v>14619</v>
      </c>
      <c r="D118" s="11" t="s">
        <v>26</v>
      </c>
      <c r="E118" s="11" t="s">
        <v>505</v>
      </c>
      <c r="F118" s="11" t="s">
        <v>26</v>
      </c>
      <c r="G118" s="11" t="s">
        <v>26</v>
      </c>
      <c r="H118" s="12" t="s">
        <v>4422</v>
      </c>
      <c r="I118" s="12" t="s">
        <v>27</v>
      </c>
      <c r="J118" s="12" t="s">
        <v>42</v>
      </c>
      <c r="K118" s="12" t="s">
        <v>43</v>
      </c>
      <c r="L118" s="13">
        <v>43.74</v>
      </c>
      <c r="M118" s="13">
        <v>25</v>
      </c>
      <c r="N118" s="13">
        <v>1.7496</v>
      </c>
      <c r="O118" s="13">
        <v>83</v>
      </c>
      <c r="P118" s="13" t="s">
        <v>30</v>
      </c>
      <c r="Q118" s="13">
        <v>0</v>
      </c>
      <c r="R118" s="15">
        <v>3630.42</v>
      </c>
      <c r="S118" s="15">
        <v>38</v>
      </c>
      <c r="T118" s="15">
        <v>1662.1200000000001</v>
      </c>
      <c r="U118" s="15">
        <v>1968.3</v>
      </c>
      <c r="V118" s="15">
        <v>1968.3</v>
      </c>
      <c r="W118" s="15">
        <v>0</v>
      </c>
      <c r="X118" s="15">
        <v>1574.64</v>
      </c>
      <c r="Y118" s="16">
        <v>87.480000000000018</v>
      </c>
      <c r="Z118" s="67" t="s">
        <v>141</v>
      </c>
      <c r="AA118" s="12" t="s">
        <v>78</v>
      </c>
    </row>
    <row r="119" spans="1:27" x14ac:dyDescent="0.25">
      <c r="A119" s="10">
        <v>45659</v>
      </c>
      <c r="B119" s="11" t="s">
        <v>26</v>
      </c>
      <c r="C119" s="11">
        <v>14620</v>
      </c>
      <c r="D119" s="11" t="s">
        <v>26</v>
      </c>
      <c r="E119" s="11" t="s">
        <v>60</v>
      </c>
      <c r="F119" s="11" t="s">
        <v>26</v>
      </c>
      <c r="G119" s="11" t="s">
        <v>35</v>
      </c>
      <c r="H119" s="12" t="s">
        <v>36</v>
      </c>
      <c r="I119" s="12" t="s">
        <v>27</v>
      </c>
      <c r="J119" s="12" t="s">
        <v>42</v>
      </c>
      <c r="K119" s="12" t="s">
        <v>43</v>
      </c>
      <c r="L119" s="13">
        <v>3.2</v>
      </c>
      <c r="M119" s="13">
        <v>2</v>
      </c>
      <c r="N119" s="13">
        <v>1.6</v>
      </c>
      <c r="O119" s="13">
        <v>45</v>
      </c>
      <c r="P119" s="13" t="s">
        <v>30</v>
      </c>
      <c r="Q119" s="13">
        <v>0</v>
      </c>
      <c r="R119" s="14">
        <v>144</v>
      </c>
      <c r="S119" s="15">
        <v>0</v>
      </c>
      <c r="T119" s="15">
        <v>0</v>
      </c>
      <c r="U119" s="15">
        <v>144</v>
      </c>
      <c r="V119" s="15">
        <v>0</v>
      </c>
      <c r="W119" s="15">
        <v>144</v>
      </c>
      <c r="X119" s="15">
        <v>0</v>
      </c>
      <c r="Y119" s="16">
        <v>0</v>
      </c>
      <c r="Z119" s="67" t="s">
        <v>26</v>
      </c>
      <c r="AA119" s="12" t="s">
        <v>31</v>
      </c>
    </row>
    <row r="120" spans="1:27" x14ac:dyDescent="0.25">
      <c r="A120" s="10">
        <v>45659</v>
      </c>
      <c r="B120" s="11" t="s">
        <v>26</v>
      </c>
      <c r="C120" s="11">
        <v>14621</v>
      </c>
      <c r="D120" s="11" t="s">
        <v>26</v>
      </c>
      <c r="E120" s="11" t="s">
        <v>240</v>
      </c>
      <c r="F120" s="11" t="s">
        <v>26</v>
      </c>
      <c r="G120" s="11" t="s">
        <v>26</v>
      </c>
      <c r="H120" s="12" t="s">
        <v>4422</v>
      </c>
      <c r="I120" s="12" t="s">
        <v>27</v>
      </c>
      <c r="J120" s="12" t="s">
        <v>42</v>
      </c>
      <c r="K120" s="12" t="s">
        <v>43</v>
      </c>
      <c r="L120" s="13">
        <v>43.22</v>
      </c>
      <c r="M120" s="13">
        <v>25</v>
      </c>
      <c r="N120" s="13">
        <v>1.7287999999999999</v>
      </c>
      <c r="O120" s="13">
        <v>83</v>
      </c>
      <c r="P120" s="13" t="s">
        <v>30</v>
      </c>
      <c r="Q120" s="13">
        <v>0</v>
      </c>
      <c r="R120" s="14">
        <v>3587.2599999999998</v>
      </c>
      <c r="S120" s="15">
        <v>38</v>
      </c>
      <c r="T120" s="15">
        <v>1642.36</v>
      </c>
      <c r="U120" s="15">
        <v>1944.8999999999999</v>
      </c>
      <c r="V120" s="15">
        <v>1944.8999999999999</v>
      </c>
      <c r="W120" s="15">
        <v>0</v>
      </c>
      <c r="X120" s="15">
        <v>1599.1399999999999</v>
      </c>
      <c r="Y120" s="16">
        <v>43.220000000000027</v>
      </c>
      <c r="Z120" s="67" t="s">
        <v>41</v>
      </c>
      <c r="AA120" s="12" t="s">
        <v>78</v>
      </c>
    </row>
    <row r="121" spans="1:27" x14ac:dyDescent="0.25">
      <c r="A121" s="10">
        <v>45659</v>
      </c>
      <c r="B121" s="11" t="s">
        <v>26</v>
      </c>
      <c r="C121" s="11">
        <v>14622</v>
      </c>
      <c r="D121" s="11" t="s">
        <v>26</v>
      </c>
      <c r="E121" s="11" t="s">
        <v>246</v>
      </c>
      <c r="F121" s="11" t="s">
        <v>26</v>
      </c>
      <c r="G121" s="11" t="s">
        <v>26</v>
      </c>
      <c r="H121" s="12" t="s">
        <v>4422</v>
      </c>
      <c r="I121" s="12" t="s">
        <v>27</v>
      </c>
      <c r="J121" s="12" t="s">
        <v>42</v>
      </c>
      <c r="K121" s="12" t="s">
        <v>43</v>
      </c>
      <c r="L121" s="13">
        <v>47.52</v>
      </c>
      <c r="M121" s="13">
        <v>30</v>
      </c>
      <c r="N121" s="13">
        <v>1.5840000000000001</v>
      </c>
      <c r="O121" s="13">
        <v>83</v>
      </c>
      <c r="P121" s="13" t="s">
        <v>30</v>
      </c>
      <c r="Q121" s="13">
        <v>0</v>
      </c>
      <c r="R121" s="14">
        <v>3944.1600000000003</v>
      </c>
      <c r="S121" s="15">
        <v>38</v>
      </c>
      <c r="T121" s="15">
        <v>1805.7600000000002</v>
      </c>
      <c r="U121" s="15">
        <v>2138.4</v>
      </c>
      <c r="V121" s="15">
        <v>2138.4</v>
      </c>
      <c r="W121" s="15">
        <v>0</v>
      </c>
      <c r="X121" s="15">
        <v>1758.24</v>
      </c>
      <c r="Y121" s="16">
        <v>47.520000000000209</v>
      </c>
      <c r="Z121" s="67" t="s">
        <v>41</v>
      </c>
      <c r="AA121" s="12" t="s">
        <v>78</v>
      </c>
    </row>
    <row r="122" spans="1:27" x14ac:dyDescent="0.25">
      <c r="A122" s="10">
        <v>45659</v>
      </c>
      <c r="B122" s="11" t="s">
        <v>26</v>
      </c>
      <c r="C122" s="11">
        <v>14623</v>
      </c>
      <c r="D122" s="11" t="s">
        <v>26</v>
      </c>
      <c r="E122" s="11" t="s">
        <v>552</v>
      </c>
      <c r="F122" s="11" t="s">
        <v>26</v>
      </c>
      <c r="G122" s="11">
        <v>57540</v>
      </c>
      <c r="H122" s="12" t="s">
        <v>4423</v>
      </c>
      <c r="I122" s="12" t="s">
        <v>27</v>
      </c>
      <c r="J122" s="12" t="s">
        <v>33</v>
      </c>
      <c r="K122" s="12" t="s">
        <v>34</v>
      </c>
      <c r="L122" s="13">
        <v>37.5</v>
      </c>
      <c r="M122" s="13">
        <v>25</v>
      </c>
      <c r="N122" s="13">
        <v>1.5</v>
      </c>
      <c r="O122" s="13">
        <v>45</v>
      </c>
      <c r="P122" s="13" t="s">
        <v>30</v>
      </c>
      <c r="Q122" s="13">
        <v>0</v>
      </c>
      <c r="R122" s="14">
        <v>1687.5</v>
      </c>
      <c r="S122" s="15">
        <v>0</v>
      </c>
      <c r="T122" s="15">
        <v>0</v>
      </c>
      <c r="U122" s="15">
        <v>1687.5</v>
      </c>
      <c r="V122" s="15">
        <v>1687.5</v>
      </c>
      <c r="W122" s="15">
        <v>0</v>
      </c>
      <c r="X122" s="15">
        <v>0</v>
      </c>
      <c r="Y122" s="16">
        <v>0</v>
      </c>
      <c r="Z122" s="67" t="s">
        <v>26</v>
      </c>
      <c r="AA122" s="12" t="s">
        <v>31</v>
      </c>
    </row>
    <row r="123" spans="1:27" x14ac:dyDescent="0.25">
      <c r="A123" s="10">
        <v>45659</v>
      </c>
      <c r="B123" s="11" t="s">
        <v>26</v>
      </c>
      <c r="C123" s="11">
        <v>14624</v>
      </c>
      <c r="D123" s="11" t="s">
        <v>26</v>
      </c>
      <c r="E123" s="11" t="s">
        <v>604</v>
      </c>
      <c r="F123" s="11" t="s">
        <v>26</v>
      </c>
      <c r="G123" s="11" t="s">
        <v>26</v>
      </c>
      <c r="H123" s="12" t="s">
        <v>4422</v>
      </c>
      <c r="I123" s="12" t="s">
        <v>27</v>
      </c>
      <c r="J123" s="12" t="s">
        <v>33</v>
      </c>
      <c r="K123" s="12" t="s">
        <v>34</v>
      </c>
      <c r="L123" s="13">
        <v>40</v>
      </c>
      <c r="M123" s="13">
        <v>28</v>
      </c>
      <c r="N123" s="13">
        <v>1.428571428571429</v>
      </c>
      <c r="O123" s="13">
        <v>85</v>
      </c>
      <c r="P123" s="13" t="s">
        <v>30</v>
      </c>
      <c r="Q123" s="13">
        <v>0</v>
      </c>
      <c r="R123" s="15">
        <v>3400</v>
      </c>
      <c r="S123" s="15">
        <v>38</v>
      </c>
      <c r="T123" s="15">
        <v>1520</v>
      </c>
      <c r="U123" s="15">
        <v>1880</v>
      </c>
      <c r="V123" s="15">
        <v>1880</v>
      </c>
      <c r="W123" s="15">
        <v>0</v>
      </c>
      <c r="X123" s="15">
        <v>1440</v>
      </c>
      <c r="Y123" s="16">
        <v>80</v>
      </c>
      <c r="Z123" s="67" t="s">
        <v>141</v>
      </c>
      <c r="AA123" s="12" t="s">
        <v>78</v>
      </c>
    </row>
    <row r="124" spans="1:27" x14ac:dyDescent="0.25">
      <c r="A124" s="10">
        <v>45659</v>
      </c>
      <c r="B124" s="11" t="s">
        <v>26</v>
      </c>
      <c r="C124" s="11">
        <v>14625</v>
      </c>
      <c r="D124" s="11" t="s">
        <v>26</v>
      </c>
      <c r="E124" s="11" t="s">
        <v>563</v>
      </c>
      <c r="F124" s="11" t="s">
        <v>26</v>
      </c>
      <c r="G124" s="11" t="s">
        <v>26</v>
      </c>
      <c r="H124" s="12" t="s">
        <v>4445</v>
      </c>
      <c r="I124" s="12" t="s">
        <v>55</v>
      </c>
      <c r="J124" s="12" t="s">
        <v>55</v>
      </c>
      <c r="K124" s="12" t="s">
        <v>56</v>
      </c>
      <c r="L124" s="13">
        <v>35.200000000000003</v>
      </c>
      <c r="M124" s="13">
        <v>22</v>
      </c>
      <c r="N124" s="13">
        <v>1.6</v>
      </c>
      <c r="O124" s="13" t="s">
        <v>30</v>
      </c>
      <c r="P124" s="13">
        <v>62</v>
      </c>
      <c r="Q124" s="13">
        <v>0</v>
      </c>
      <c r="R124" s="15">
        <v>1364</v>
      </c>
      <c r="S124" s="15">
        <v>37</v>
      </c>
      <c r="T124" s="15">
        <v>814</v>
      </c>
      <c r="U124" s="15">
        <v>550</v>
      </c>
      <c r="V124" s="15">
        <v>550</v>
      </c>
      <c r="W124" s="15">
        <v>0</v>
      </c>
      <c r="X124" s="15">
        <v>858</v>
      </c>
      <c r="Y124" s="16">
        <v>-44</v>
      </c>
      <c r="Z124" s="67" t="s">
        <v>141</v>
      </c>
      <c r="AA124" s="12" t="s">
        <v>445</v>
      </c>
    </row>
    <row r="125" spans="1:27" x14ac:dyDescent="0.25">
      <c r="A125" s="10">
        <v>45659</v>
      </c>
      <c r="B125" s="11" t="s">
        <v>26</v>
      </c>
      <c r="C125" s="11">
        <v>14626</v>
      </c>
      <c r="D125" s="11" t="s">
        <v>26</v>
      </c>
      <c r="E125" s="11" t="s">
        <v>57</v>
      </c>
      <c r="F125" s="11" t="s">
        <v>26</v>
      </c>
      <c r="G125" s="11">
        <v>2714</v>
      </c>
      <c r="H125" s="12" t="s">
        <v>41</v>
      </c>
      <c r="I125" s="12" t="s">
        <v>55</v>
      </c>
      <c r="J125" s="12" t="s">
        <v>566</v>
      </c>
      <c r="K125" s="12" t="s">
        <v>550</v>
      </c>
      <c r="L125" s="13">
        <v>40</v>
      </c>
      <c r="M125" s="13">
        <v>25</v>
      </c>
      <c r="N125" s="13">
        <v>1.6</v>
      </c>
      <c r="O125" s="13">
        <v>25</v>
      </c>
      <c r="P125" s="13"/>
      <c r="Q125" s="13">
        <v>0</v>
      </c>
      <c r="R125" s="14">
        <v>1000</v>
      </c>
      <c r="S125" s="15">
        <v>0</v>
      </c>
      <c r="T125" s="15">
        <v>0</v>
      </c>
      <c r="U125" s="15">
        <v>1000</v>
      </c>
      <c r="V125" s="15">
        <v>0</v>
      </c>
      <c r="W125" s="15">
        <v>1000</v>
      </c>
      <c r="X125" s="15">
        <v>0</v>
      </c>
      <c r="Y125" s="16">
        <v>0</v>
      </c>
      <c r="Z125" s="67" t="s">
        <v>26</v>
      </c>
      <c r="AA125" s="12" t="s">
        <v>31</v>
      </c>
    </row>
    <row r="126" spans="1:27" x14ac:dyDescent="0.25">
      <c r="A126" s="10">
        <v>45659</v>
      </c>
      <c r="B126" s="11" t="s">
        <v>26</v>
      </c>
      <c r="C126" s="11">
        <v>14627</v>
      </c>
      <c r="D126" s="11" t="s">
        <v>26</v>
      </c>
      <c r="E126" s="11" t="s">
        <v>224</v>
      </c>
      <c r="F126" s="11" t="s">
        <v>26</v>
      </c>
      <c r="G126" s="11">
        <v>57827</v>
      </c>
      <c r="H126" s="12" t="s">
        <v>4423</v>
      </c>
      <c r="I126" s="12" t="s">
        <v>27</v>
      </c>
      <c r="J126" s="12" t="s">
        <v>47</v>
      </c>
      <c r="K126" s="12" t="s">
        <v>48</v>
      </c>
      <c r="L126" s="13">
        <v>37.5</v>
      </c>
      <c r="M126" s="13">
        <v>25</v>
      </c>
      <c r="N126" s="13">
        <v>1.5</v>
      </c>
      <c r="O126" s="13">
        <v>46</v>
      </c>
      <c r="P126" s="13" t="s">
        <v>30</v>
      </c>
      <c r="Q126" s="13">
        <v>0</v>
      </c>
      <c r="R126" s="14">
        <v>1725</v>
      </c>
      <c r="S126" s="15">
        <v>0</v>
      </c>
      <c r="T126" s="15">
        <v>0</v>
      </c>
      <c r="U126" s="15">
        <v>1725</v>
      </c>
      <c r="V126" s="15">
        <v>1725</v>
      </c>
      <c r="W126" s="15">
        <v>0</v>
      </c>
      <c r="X126" s="15">
        <v>0</v>
      </c>
      <c r="Y126" s="16">
        <v>0</v>
      </c>
      <c r="Z126" s="67" t="s">
        <v>26</v>
      </c>
      <c r="AA126" s="12" t="s">
        <v>31</v>
      </c>
    </row>
    <row r="127" spans="1:27" x14ac:dyDescent="0.25">
      <c r="A127" s="10">
        <v>45659</v>
      </c>
      <c r="B127" s="11" t="s">
        <v>26</v>
      </c>
      <c r="C127" s="11">
        <v>14628</v>
      </c>
      <c r="D127" s="11" t="s">
        <v>26</v>
      </c>
      <c r="E127" s="11" t="s">
        <v>539</v>
      </c>
      <c r="F127" s="11" t="s">
        <v>26</v>
      </c>
      <c r="G127" s="11">
        <v>2286</v>
      </c>
      <c r="H127" s="12" t="s">
        <v>41</v>
      </c>
      <c r="I127" s="12" t="s">
        <v>55</v>
      </c>
      <c r="J127" s="12" t="s">
        <v>566</v>
      </c>
      <c r="K127" s="12" t="s">
        <v>550</v>
      </c>
      <c r="L127" s="13">
        <v>40</v>
      </c>
      <c r="M127" s="13">
        <v>25</v>
      </c>
      <c r="N127" s="13">
        <v>1.6</v>
      </c>
      <c r="O127" s="13">
        <v>25</v>
      </c>
      <c r="P127" s="13"/>
      <c r="Q127" s="13">
        <v>0</v>
      </c>
      <c r="R127" s="14">
        <v>1000</v>
      </c>
      <c r="S127" s="15">
        <v>0</v>
      </c>
      <c r="T127" s="15">
        <v>0</v>
      </c>
      <c r="U127" s="15">
        <v>1000</v>
      </c>
      <c r="V127" s="15">
        <v>0</v>
      </c>
      <c r="W127" s="15">
        <v>1000</v>
      </c>
      <c r="X127" s="15">
        <v>0</v>
      </c>
      <c r="Y127" s="16">
        <v>0</v>
      </c>
      <c r="Z127" s="67" t="s">
        <v>26</v>
      </c>
      <c r="AA127" s="12" t="s">
        <v>31</v>
      </c>
    </row>
    <row r="128" spans="1:27" x14ac:dyDescent="0.25">
      <c r="A128" s="10">
        <v>45659</v>
      </c>
      <c r="B128" s="11" t="s">
        <v>26</v>
      </c>
      <c r="C128" s="11">
        <v>14629</v>
      </c>
      <c r="D128" s="11" t="s">
        <v>26</v>
      </c>
      <c r="E128" s="11" t="s">
        <v>589</v>
      </c>
      <c r="F128" s="11" t="s">
        <v>26</v>
      </c>
      <c r="G128" s="11">
        <v>69540</v>
      </c>
      <c r="H128" s="12" t="s">
        <v>4423</v>
      </c>
      <c r="I128" s="12" t="s">
        <v>27</v>
      </c>
      <c r="J128" s="12" t="s">
        <v>33</v>
      </c>
      <c r="K128" s="12" t="s">
        <v>34</v>
      </c>
      <c r="L128" s="13">
        <v>37.5</v>
      </c>
      <c r="M128" s="13">
        <v>25</v>
      </c>
      <c r="N128" s="13">
        <v>1.5</v>
      </c>
      <c r="O128" s="13">
        <v>45</v>
      </c>
      <c r="P128" s="13" t="s">
        <v>30</v>
      </c>
      <c r="Q128" s="13">
        <v>0</v>
      </c>
      <c r="R128" s="15">
        <v>1687.5</v>
      </c>
      <c r="S128" s="15">
        <v>0</v>
      </c>
      <c r="T128" s="15">
        <v>0</v>
      </c>
      <c r="U128" s="15">
        <v>1687.5</v>
      </c>
      <c r="V128" s="15">
        <v>1687.5</v>
      </c>
      <c r="W128" s="15">
        <v>0</v>
      </c>
      <c r="X128" s="15">
        <v>0</v>
      </c>
      <c r="Y128" s="16">
        <v>0</v>
      </c>
      <c r="Z128" s="67" t="s">
        <v>26</v>
      </c>
      <c r="AA128" s="12" t="s">
        <v>31</v>
      </c>
    </row>
    <row r="129" spans="1:27" x14ac:dyDescent="0.25">
      <c r="A129" s="10">
        <v>45659</v>
      </c>
      <c r="B129" s="11" t="s">
        <v>26</v>
      </c>
      <c r="C129" s="11">
        <v>14630</v>
      </c>
      <c r="D129" s="11" t="s">
        <v>26</v>
      </c>
      <c r="E129" s="11" t="s">
        <v>509</v>
      </c>
      <c r="F129" s="11" t="s">
        <v>26</v>
      </c>
      <c r="G129" s="11" t="s">
        <v>26</v>
      </c>
      <c r="H129" s="12" t="s">
        <v>4422</v>
      </c>
      <c r="I129" s="12" t="s">
        <v>27</v>
      </c>
      <c r="J129" s="12" t="s">
        <v>42</v>
      </c>
      <c r="K129" s="12" t="s">
        <v>43</v>
      </c>
      <c r="L129" s="13">
        <v>46.66</v>
      </c>
      <c r="M129" s="13">
        <v>29</v>
      </c>
      <c r="N129" s="13">
        <v>1.608965517241379</v>
      </c>
      <c r="O129" s="13">
        <v>83</v>
      </c>
      <c r="P129" s="13" t="s">
        <v>30</v>
      </c>
      <c r="Q129" s="13">
        <v>0</v>
      </c>
      <c r="R129" s="15">
        <v>3872.7799999999997</v>
      </c>
      <c r="S129" s="15">
        <v>38</v>
      </c>
      <c r="T129" s="15">
        <v>1773.08</v>
      </c>
      <c r="U129" s="15">
        <v>2099.6999999999998</v>
      </c>
      <c r="V129" s="15">
        <v>2099.6999999999998</v>
      </c>
      <c r="W129" s="15">
        <v>0</v>
      </c>
      <c r="X129" s="15">
        <v>1679.7599999999998</v>
      </c>
      <c r="Y129" s="16">
        <v>93.320000000000164</v>
      </c>
      <c r="Z129" s="67" t="s">
        <v>141</v>
      </c>
      <c r="AA129" s="12" t="s">
        <v>78</v>
      </c>
    </row>
    <row r="130" spans="1:27" x14ac:dyDescent="0.25">
      <c r="A130" s="10">
        <v>45659</v>
      </c>
      <c r="B130" s="11" t="s">
        <v>26</v>
      </c>
      <c r="C130" s="11">
        <v>14631</v>
      </c>
      <c r="D130" s="11" t="s">
        <v>26</v>
      </c>
      <c r="E130" s="11" t="s">
        <v>544</v>
      </c>
      <c r="F130" s="11" t="s">
        <v>26</v>
      </c>
      <c r="G130" s="11">
        <v>70141</v>
      </c>
      <c r="H130" s="12" t="s">
        <v>4448</v>
      </c>
      <c r="I130" s="12" t="s">
        <v>27</v>
      </c>
      <c r="J130" s="12" t="s">
        <v>42</v>
      </c>
      <c r="K130" s="12" t="s">
        <v>43</v>
      </c>
      <c r="L130" s="13">
        <v>40</v>
      </c>
      <c r="M130" s="13">
        <v>25</v>
      </c>
      <c r="N130" s="13">
        <v>1.6</v>
      </c>
      <c r="O130" s="13">
        <v>42.5</v>
      </c>
      <c r="P130" s="13"/>
      <c r="Q130" s="13">
        <v>0</v>
      </c>
      <c r="R130" s="14">
        <v>1700</v>
      </c>
      <c r="S130" s="15">
        <v>0</v>
      </c>
      <c r="T130" s="15">
        <v>0</v>
      </c>
      <c r="U130" s="15">
        <v>1700</v>
      </c>
      <c r="V130" s="15">
        <v>1275</v>
      </c>
      <c r="W130" s="15">
        <v>425</v>
      </c>
      <c r="X130" s="15">
        <v>0</v>
      </c>
      <c r="Y130" s="16">
        <v>0</v>
      </c>
      <c r="Z130" s="67" t="s">
        <v>26</v>
      </c>
      <c r="AA130" s="12" t="s">
        <v>31</v>
      </c>
    </row>
    <row r="131" spans="1:27" x14ac:dyDescent="0.25">
      <c r="A131" s="10">
        <v>45659</v>
      </c>
      <c r="B131" s="11" t="s">
        <v>26</v>
      </c>
      <c r="C131" s="11">
        <v>14632</v>
      </c>
      <c r="D131" s="11" t="s">
        <v>26</v>
      </c>
      <c r="E131" s="11" t="s">
        <v>32</v>
      </c>
      <c r="F131" s="11" t="s">
        <v>26</v>
      </c>
      <c r="G131" s="11">
        <v>1446</v>
      </c>
      <c r="H131" s="12" t="s">
        <v>45</v>
      </c>
      <c r="I131" s="12" t="s">
        <v>27</v>
      </c>
      <c r="J131" s="12" t="s">
        <v>42</v>
      </c>
      <c r="K131" s="12" t="s">
        <v>43</v>
      </c>
      <c r="L131" s="13">
        <v>40</v>
      </c>
      <c r="M131" s="13">
        <v>25</v>
      </c>
      <c r="N131" s="13">
        <v>1.6</v>
      </c>
      <c r="O131" s="13" t="s">
        <v>30</v>
      </c>
      <c r="P131" s="13">
        <v>62</v>
      </c>
      <c r="Q131" s="13">
        <v>0</v>
      </c>
      <c r="R131" s="14">
        <v>1550</v>
      </c>
      <c r="S131" s="15">
        <v>0</v>
      </c>
      <c r="T131" s="15">
        <v>0</v>
      </c>
      <c r="U131" s="15">
        <v>1550</v>
      </c>
      <c r="V131" s="15">
        <v>0</v>
      </c>
      <c r="W131" s="15">
        <v>1550</v>
      </c>
      <c r="X131" s="15">
        <v>0</v>
      </c>
      <c r="Y131" s="16">
        <v>0</v>
      </c>
      <c r="Z131" s="67" t="s">
        <v>26</v>
      </c>
      <c r="AA131" s="12" t="s">
        <v>31</v>
      </c>
    </row>
    <row r="132" spans="1:27" x14ac:dyDescent="0.25">
      <c r="A132" s="10">
        <v>45659</v>
      </c>
      <c r="B132" s="11" t="s">
        <v>26</v>
      </c>
      <c r="C132" s="11">
        <v>14633</v>
      </c>
      <c r="D132" s="11" t="s">
        <v>26</v>
      </c>
      <c r="E132" s="11" t="s">
        <v>74</v>
      </c>
      <c r="F132" s="11" t="s">
        <v>26</v>
      </c>
      <c r="G132" s="11">
        <v>1307</v>
      </c>
      <c r="H132" s="12" t="s">
        <v>70</v>
      </c>
      <c r="I132" s="12" t="s">
        <v>27</v>
      </c>
      <c r="J132" s="12" t="s">
        <v>33</v>
      </c>
      <c r="K132" s="12" t="s">
        <v>34</v>
      </c>
      <c r="L132" s="13">
        <v>37.5</v>
      </c>
      <c r="M132" s="13">
        <v>25</v>
      </c>
      <c r="N132" s="13">
        <v>1.5</v>
      </c>
      <c r="O132" s="13" t="s">
        <v>30</v>
      </c>
      <c r="P132" s="13">
        <v>60</v>
      </c>
      <c r="Q132" s="13">
        <v>0</v>
      </c>
      <c r="R132" s="15">
        <v>1500</v>
      </c>
      <c r="S132" s="15">
        <v>0</v>
      </c>
      <c r="T132" s="15">
        <v>0</v>
      </c>
      <c r="U132" s="15">
        <v>1500</v>
      </c>
      <c r="V132" s="15">
        <v>0</v>
      </c>
      <c r="W132" s="15">
        <v>1500</v>
      </c>
      <c r="X132" s="15">
        <v>0</v>
      </c>
      <c r="Y132" s="16">
        <v>0</v>
      </c>
      <c r="Z132" s="67" t="s">
        <v>26</v>
      </c>
      <c r="AA132" s="12" t="s">
        <v>31</v>
      </c>
    </row>
    <row r="133" spans="1:27" x14ac:dyDescent="0.25">
      <c r="A133" s="10">
        <v>45659</v>
      </c>
      <c r="B133" s="11" t="s">
        <v>26</v>
      </c>
      <c r="C133" s="11">
        <v>14634</v>
      </c>
      <c r="D133" s="11" t="s">
        <v>26</v>
      </c>
      <c r="E133" s="11" t="s">
        <v>241</v>
      </c>
      <c r="F133" s="11" t="s">
        <v>26</v>
      </c>
      <c r="G133" s="11">
        <v>71090</v>
      </c>
      <c r="H133" s="12" t="s">
        <v>4448</v>
      </c>
      <c r="I133" s="12" t="s">
        <v>27</v>
      </c>
      <c r="J133" s="12" t="s">
        <v>42</v>
      </c>
      <c r="K133" s="12" t="s">
        <v>43</v>
      </c>
      <c r="L133" s="13">
        <v>40</v>
      </c>
      <c r="M133" s="13">
        <v>25</v>
      </c>
      <c r="N133" s="13">
        <v>1.6</v>
      </c>
      <c r="O133" s="13">
        <v>42.5</v>
      </c>
      <c r="P133" s="13"/>
      <c r="Q133" s="13">
        <v>0</v>
      </c>
      <c r="R133" s="15">
        <v>1700</v>
      </c>
      <c r="S133" s="15">
        <v>0</v>
      </c>
      <c r="T133" s="15">
        <v>0</v>
      </c>
      <c r="U133" s="15">
        <v>1700</v>
      </c>
      <c r="V133" s="15">
        <v>1275</v>
      </c>
      <c r="W133" s="15">
        <v>425</v>
      </c>
      <c r="X133" s="15">
        <v>0</v>
      </c>
      <c r="Y133" s="16">
        <v>0</v>
      </c>
      <c r="Z133" s="67" t="s">
        <v>26</v>
      </c>
      <c r="AA133" s="12" t="s">
        <v>31</v>
      </c>
    </row>
    <row r="134" spans="1:27" x14ac:dyDescent="0.25">
      <c r="A134" s="10">
        <v>45659</v>
      </c>
      <c r="B134" s="11" t="s">
        <v>26</v>
      </c>
      <c r="C134" s="11">
        <v>14635</v>
      </c>
      <c r="D134" s="11" t="s">
        <v>26</v>
      </c>
      <c r="E134" s="11" t="s">
        <v>525</v>
      </c>
      <c r="F134" s="11" t="s">
        <v>26</v>
      </c>
      <c r="G134" s="11">
        <v>76537</v>
      </c>
      <c r="H134" s="12" t="s">
        <v>4448</v>
      </c>
      <c r="I134" s="12" t="s">
        <v>27</v>
      </c>
      <c r="J134" s="12" t="s">
        <v>42</v>
      </c>
      <c r="K134" s="12" t="s">
        <v>43</v>
      </c>
      <c r="L134" s="13">
        <v>40</v>
      </c>
      <c r="M134" s="13">
        <v>25</v>
      </c>
      <c r="N134" s="13">
        <v>1.6</v>
      </c>
      <c r="O134" s="13">
        <v>42.5</v>
      </c>
      <c r="P134" s="13"/>
      <c r="Q134" s="13">
        <v>0</v>
      </c>
      <c r="R134" s="15">
        <v>1700</v>
      </c>
      <c r="S134" s="15">
        <v>0</v>
      </c>
      <c r="T134" s="15">
        <v>0</v>
      </c>
      <c r="U134" s="15">
        <v>1700</v>
      </c>
      <c r="V134" s="15">
        <v>1275</v>
      </c>
      <c r="W134" s="15">
        <v>425</v>
      </c>
      <c r="X134" s="15">
        <v>0</v>
      </c>
      <c r="Y134" s="16">
        <v>0</v>
      </c>
      <c r="Z134" s="67" t="s">
        <v>26</v>
      </c>
      <c r="AA134" s="12" t="s">
        <v>31</v>
      </c>
    </row>
    <row r="135" spans="1:27" x14ac:dyDescent="0.25">
      <c r="A135" s="10">
        <v>45659</v>
      </c>
      <c r="B135" s="11" t="s">
        <v>26</v>
      </c>
      <c r="C135" s="11">
        <v>14636</v>
      </c>
      <c r="D135" s="11" t="s">
        <v>26</v>
      </c>
      <c r="E135" s="11" t="s">
        <v>567</v>
      </c>
      <c r="F135" s="11" t="s">
        <v>26</v>
      </c>
      <c r="G135" s="11">
        <v>111869</v>
      </c>
      <c r="H135" s="12" t="s">
        <v>4446</v>
      </c>
      <c r="I135" s="12" t="s">
        <v>27</v>
      </c>
      <c r="J135" s="12" t="s">
        <v>47</v>
      </c>
      <c r="K135" s="12" t="s">
        <v>48</v>
      </c>
      <c r="L135" s="13">
        <v>37.5</v>
      </c>
      <c r="M135" s="13">
        <v>25</v>
      </c>
      <c r="N135" s="13">
        <v>1.5</v>
      </c>
      <c r="O135" s="13">
        <v>44</v>
      </c>
      <c r="P135" s="13" t="s">
        <v>30</v>
      </c>
      <c r="Q135" s="13">
        <v>0</v>
      </c>
      <c r="R135" s="14">
        <v>1650</v>
      </c>
      <c r="S135" s="15">
        <v>0</v>
      </c>
      <c r="T135" s="15">
        <v>0</v>
      </c>
      <c r="U135" s="15">
        <v>1650</v>
      </c>
      <c r="V135" s="15">
        <v>1650</v>
      </c>
      <c r="W135" s="15">
        <v>0</v>
      </c>
      <c r="X135" s="15">
        <v>0</v>
      </c>
      <c r="Y135" s="16">
        <v>0</v>
      </c>
      <c r="Z135" s="67" t="s">
        <v>26</v>
      </c>
      <c r="AA135" s="12" t="s">
        <v>31</v>
      </c>
    </row>
    <row r="136" spans="1:27" x14ac:dyDescent="0.25">
      <c r="A136" s="10">
        <v>45659</v>
      </c>
      <c r="B136" s="11" t="s">
        <v>26</v>
      </c>
      <c r="C136" s="11">
        <v>14637</v>
      </c>
      <c r="D136" s="11" t="s">
        <v>26</v>
      </c>
      <c r="E136" s="11" t="s">
        <v>1200</v>
      </c>
      <c r="F136" s="11" t="s">
        <v>26</v>
      </c>
      <c r="G136" s="11">
        <v>961</v>
      </c>
      <c r="H136" s="12" t="s">
        <v>163</v>
      </c>
      <c r="I136" s="12" t="s">
        <v>27</v>
      </c>
      <c r="J136" s="12" t="s">
        <v>33</v>
      </c>
      <c r="K136" s="12" t="s">
        <v>34</v>
      </c>
      <c r="L136" s="13">
        <v>37.5</v>
      </c>
      <c r="M136" s="13">
        <v>25</v>
      </c>
      <c r="N136" s="13">
        <v>1.5</v>
      </c>
      <c r="O136" s="13" t="s">
        <v>30</v>
      </c>
      <c r="P136" s="13">
        <v>58</v>
      </c>
      <c r="Q136" s="13">
        <v>0</v>
      </c>
      <c r="R136" s="15">
        <v>1450</v>
      </c>
      <c r="S136" s="15">
        <v>0</v>
      </c>
      <c r="T136" s="15">
        <v>0</v>
      </c>
      <c r="U136" s="15">
        <v>1450</v>
      </c>
      <c r="V136" s="15">
        <v>0</v>
      </c>
      <c r="W136" s="15">
        <v>1450</v>
      </c>
      <c r="X136" s="15">
        <v>0</v>
      </c>
      <c r="Y136" s="16">
        <v>0</v>
      </c>
      <c r="Z136" s="67" t="s">
        <v>26</v>
      </c>
      <c r="AA136" s="12" t="s">
        <v>31</v>
      </c>
    </row>
    <row r="137" spans="1:27" x14ac:dyDescent="0.25">
      <c r="A137" s="10">
        <v>45659</v>
      </c>
      <c r="B137" s="11" t="s">
        <v>26</v>
      </c>
      <c r="C137" s="11">
        <v>14638</v>
      </c>
      <c r="D137" s="11" t="s">
        <v>26</v>
      </c>
      <c r="E137" s="11" t="s">
        <v>97</v>
      </c>
      <c r="F137" s="11" t="s">
        <v>26</v>
      </c>
      <c r="G137" s="11">
        <v>5443</v>
      </c>
      <c r="H137" s="12" t="s">
        <v>4447</v>
      </c>
      <c r="I137" s="12" t="s">
        <v>27</v>
      </c>
      <c r="J137" s="12" t="s">
        <v>42</v>
      </c>
      <c r="K137" s="12" t="s">
        <v>43</v>
      </c>
      <c r="L137" s="13">
        <v>20.8</v>
      </c>
      <c r="M137" s="13">
        <v>13</v>
      </c>
      <c r="N137" s="13">
        <v>1.6</v>
      </c>
      <c r="O137" s="13" t="s">
        <v>30</v>
      </c>
      <c r="P137" s="13">
        <v>65.599999999999994</v>
      </c>
      <c r="Q137" s="13">
        <v>0</v>
      </c>
      <c r="R137" s="14">
        <v>852.8</v>
      </c>
      <c r="S137" s="15">
        <v>0</v>
      </c>
      <c r="T137" s="15">
        <v>0</v>
      </c>
      <c r="U137" s="15">
        <v>852.8</v>
      </c>
      <c r="V137" s="15">
        <v>852.8</v>
      </c>
      <c r="W137" s="15">
        <v>0</v>
      </c>
      <c r="X137" s="15">
        <v>0</v>
      </c>
      <c r="Y137" s="16">
        <v>0</v>
      </c>
      <c r="Z137" s="67" t="s">
        <v>26</v>
      </c>
      <c r="AA137" s="12" t="s">
        <v>31</v>
      </c>
    </row>
    <row r="138" spans="1:27" x14ac:dyDescent="0.25">
      <c r="A138" s="10">
        <v>45659</v>
      </c>
      <c r="B138" s="11" t="s">
        <v>26</v>
      </c>
      <c r="C138" s="11">
        <v>14639</v>
      </c>
      <c r="D138" s="11" t="s">
        <v>26</v>
      </c>
      <c r="E138" s="11" t="s">
        <v>569</v>
      </c>
      <c r="F138" s="11" t="s">
        <v>26</v>
      </c>
      <c r="G138" s="11">
        <v>111730</v>
      </c>
      <c r="H138" s="12" t="s">
        <v>4446</v>
      </c>
      <c r="I138" s="12" t="s">
        <v>27</v>
      </c>
      <c r="J138" s="12" t="s">
        <v>28</v>
      </c>
      <c r="K138" s="12" t="s">
        <v>29</v>
      </c>
      <c r="L138" s="13">
        <v>37.5</v>
      </c>
      <c r="M138" s="13">
        <v>25</v>
      </c>
      <c r="N138" s="13">
        <v>1.5</v>
      </c>
      <c r="O138" s="13">
        <v>27</v>
      </c>
      <c r="P138" s="13" t="s">
        <v>30</v>
      </c>
      <c r="Q138" s="13">
        <v>0</v>
      </c>
      <c r="R138" s="14">
        <v>1012.5</v>
      </c>
      <c r="S138" s="15">
        <v>0</v>
      </c>
      <c r="T138" s="15">
        <v>0</v>
      </c>
      <c r="U138" s="15">
        <v>1012.5</v>
      </c>
      <c r="V138" s="15">
        <v>1012.5</v>
      </c>
      <c r="W138" s="15">
        <v>0</v>
      </c>
      <c r="X138" s="15">
        <v>0</v>
      </c>
      <c r="Y138" s="16">
        <v>0</v>
      </c>
      <c r="Z138" s="67" t="s">
        <v>26</v>
      </c>
      <c r="AA138" s="12" t="s">
        <v>31</v>
      </c>
    </row>
    <row r="139" spans="1:27" x14ac:dyDescent="0.25">
      <c r="A139" s="10">
        <v>45659</v>
      </c>
      <c r="B139" s="11" t="s">
        <v>26</v>
      </c>
      <c r="C139" s="11">
        <v>14640</v>
      </c>
      <c r="D139" s="11" t="s">
        <v>26</v>
      </c>
      <c r="E139" s="11" t="s">
        <v>571</v>
      </c>
      <c r="F139" s="11" t="s">
        <v>26</v>
      </c>
      <c r="G139" s="11">
        <v>111907</v>
      </c>
      <c r="H139" s="12" t="s">
        <v>4446</v>
      </c>
      <c r="I139" s="12" t="s">
        <v>27</v>
      </c>
      <c r="J139" s="12" t="s">
        <v>42</v>
      </c>
      <c r="K139" s="12" t="s">
        <v>43</v>
      </c>
      <c r="L139" s="13">
        <v>40</v>
      </c>
      <c r="M139" s="13">
        <v>25</v>
      </c>
      <c r="N139" s="13">
        <v>1.6</v>
      </c>
      <c r="O139" s="13">
        <v>42</v>
      </c>
      <c r="P139" s="13" t="s">
        <v>30</v>
      </c>
      <c r="Q139" s="13">
        <v>0</v>
      </c>
      <c r="R139" s="14">
        <v>0</v>
      </c>
      <c r="S139" s="15">
        <v>0</v>
      </c>
      <c r="T139" s="15">
        <v>0</v>
      </c>
      <c r="U139" s="15">
        <v>0</v>
      </c>
      <c r="V139" s="15">
        <v>0</v>
      </c>
      <c r="W139" s="15">
        <v>0</v>
      </c>
      <c r="X139" s="15">
        <v>0</v>
      </c>
      <c r="Y139" s="16">
        <v>0</v>
      </c>
      <c r="Z139" s="67" t="s">
        <v>26</v>
      </c>
      <c r="AA139" s="12" t="s">
        <v>31</v>
      </c>
    </row>
    <row r="140" spans="1:27" x14ac:dyDescent="0.25">
      <c r="A140" s="10">
        <v>45659</v>
      </c>
      <c r="B140" s="11" t="s">
        <v>26</v>
      </c>
      <c r="C140" s="11">
        <v>14641</v>
      </c>
      <c r="D140" s="11" t="s">
        <v>26</v>
      </c>
      <c r="E140" s="11" t="s">
        <v>490</v>
      </c>
      <c r="F140" s="11" t="s">
        <v>26</v>
      </c>
      <c r="G140" s="11">
        <v>77524</v>
      </c>
      <c r="H140" s="12" t="s">
        <v>4448</v>
      </c>
      <c r="I140" s="12" t="s">
        <v>27</v>
      </c>
      <c r="J140" s="12" t="s">
        <v>42</v>
      </c>
      <c r="K140" s="12" t="s">
        <v>43</v>
      </c>
      <c r="L140" s="13">
        <v>40</v>
      </c>
      <c r="M140" s="13">
        <v>25</v>
      </c>
      <c r="N140" s="13">
        <v>1.6</v>
      </c>
      <c r="O140" s="13">
        <v>42.5</v>
      </c>
      <c r="P140" s="13"/>
      <c r="Q140" s="13">
        <v>0</v>
      </c>
      <c r="R140" s="14">
        <v>1700</v>
      </c>
      <c r="S140" s="15">
        <v>0</v>
      </c>
      <c r="T140" s="15">
        <v>0</v>
      </c>
      <c r="U140" s="15">
        <v>1700</v>
      </c>
      <c r="V140" s="15">
        <v>1275</v>
      </c>
      <c r="W140" s="15">
        <v>425</v>
      </c>
      <c r="X140" s="15">
        <v>0</v>
      </c>
      <c r="Y140" s="16">
        <v>0</v>
      </c>
      <c r="Z140" s="67" t="s">
        <v>26</v>
      </c>
      <c r="AA140" s="12" t="s">
        <v>31</v>
      </c>
    </row>
    <row r="141" spans="1:27" x14ac:dyDescent="0.25">
      <c r="A141" s="10">
        <v>45659</v>
      </c>
      <c r="B141" s="11" t="s">
        <v>26</v>
      </c>
      <c r="C141" s="11">
        <v>14642</v>
      </c>
      <c r="D141" s="11" t="s">
        <v>26</v>
      </c>
      <c r="E141" s="11" t="s">
        <v>44</v>
      </c>
      <c r="F141" s="11" t="s">
        <v>26</v>
      </c>
      <c r="G141" s="11">
        <v>1486</v>
      </c>
      <c r="H141" s="12" t="s">
        <v>45</v>
      </c>
      <c r="I141" s="12" t="s">
        <v>27</v>
      </c>
      <c r="J141" s="12" t="s">
        <v>33</v>
      </c>
      <c r="K141" s="12" t="s">
        <v>34</v>
      </c>
      <c r="L141" s="13">
        <v>37.5</v>
      </c>
      <c r="M141" s="13">
        <v>25</v>
      </c>
      <c r="N141" s="13">
        <v>1.5</v>
      </c>
      <c r="O141" s="13" t="s">
        <v>30</v>
      </c>
      <c r="P141" s="13">
        <v>58</v>
      </c>
      <c r="Q141" s="13">
        <v>0</v>
      </c>
      <c r="R141" s="14">
        <v>1450</v>
      </c>
      <c r="S141" s="15">
        <v>0</v>
      </c>
      <c r="T141" s="15">
        <v>0</v>
      </c>
      <c r="U141" s="15">
        <v>1450</v>
      </c>
      <c r="V141" s="15">
        <v>0</v>
      </c>
      <c r="W141" s="15">
        <v>1450</v>
      </c>
      <c r="X141" s="15">
        <v>0</v>
      </c>
      <c r="Y141" s="16">
        <v>0</v>
      </c>
      <c r="Z141" s="67" t="s">
        <v>26</v>
      </c>
      <c r="AA141" s="12" t="s">
        <v>31</v>
      </c>
    </row>
    <row r="142" spans="1:27" x14ac:dyDescent="0.25">
      <c r="A142" s="10">
        <v>45659</v>
      </c>
      <c r="B142" s="11" t="s">
        <v>26</v>
      </c>
      <c r="C142" s="11">
        <v>14643</v>
      </c>
      <c r="D142" s="11" t="s">
        <v>26</v>
      </c>
      <c r="E142" s="11" t="s">
        <v>69</v>
      </c>
      <c r="F142" s="11" t="s">
        <v>26</v>
      </c>
      <c r="G142" s="11">
        <v>4674</v>
      </c>
      <c r="H142" s="12" t="s">
        <v>70</v>
      </c>
      <c r="I142" s="12" t="s">
        <v>27</v>
      </c>
      <c r="J142" s="12" t="s">
        <v>42</v>
      </c>
      <c r="K142" s="12" t="s">
        <v>43</v>
      </c>
      <c r="L142" s="13">
        <v>40</v>
      </c>
      <c r="M142" s="13">
        <v>25</v>
      </c>
      <c r="N142" s="13">
        <v>1.6</v>
      </c>
      <c r="O142" s="13" t="s">
        <v>30</v>
      </c>
      <c r="P142" s="13">
        <v>64</v>
      </c>
      <c r="Q142" s="13">
        <v>0</v>
      </c>
      <c r="R142" s="14">
        <v>1600</v>
      </c>
      <c r="S142" s="15">
        <v>0</v>
      </c>
      <c r="T142" s="15">
        <v>0</v>
      </c>
      <c r="U142" s="15">
        <v>1600</v>
      </c>
      <c r="V142" s="15">
        <v>0</v>
      </c>
      <c r="W142" s="15">
        <v>1600</v>
      </c>
      <c r="X142" s="15">
        <v>0</v>
      </c>
      <c r="Y142" s="16">
        <v>0</v>
      </c>
      <c r="Z142" s="67" t="s">
        <v>26</v>
      </c>
      <c r="AA142" s="12" t="s">
        <v>31</v>
      </c>
    </row>
    <row r="143" spans="1:27" x14ac:dyDescent="0.25">
      <c r="A143" s="10">
        <v>45659</v>
      </c>
      <c r="B143" s="11" t="s">
        <v>26</v>
      </c>
      <c r="C143" s="11">
        <v>14644</v>
      </c>
      <c r="D143" s="11" t="s">
        <v>26</v>
      </c>
      <c r="E143" s="11" t="s">
        <v>570</v>
      </c>
      <c r="F143" s="11" t="s">
        <v>26</v>
      </c>
      <c r="G143" s="11">
        <v>10308</v>
      </c>
      <c r="H143" s="12" t="s">
        <v>140</v>
      </c>
      <c r="I143" s="12" t="s">
        <v>27</v>
      </c>
      <c r="J143" s="12" t="s">
        <v>47</v>
      </c>
      <c r="K143" s="12" t="s">
        <v>48</v>
      </c>
      <c r="L143" s="13">
        <v>43.5</v>
      </c>
      <c r="M143" s="13">
        <v>29</v>
      </c>
      <c r="N143" s="13">
        <v>1.5</v>
      </c>
      <c r="O143" s="13">
        <v>40</v>
      </c>
      <c r="P143" s="13"/>
      <c r="Q143" s="13">
        <v>0</v>
      </c>
      <c r="R143" s="14">
        <v>1740</v>
      </c>
      <c r="S143" s="15">
        <v>0</v>
      </c>
      <c r="T143" s="15">
        <v>0</v>
      </c>
      <c r="U143" s="15">
        <v>1740</v>
      </c>
      <c r="V143" s="15">
        <v>0</v>
      </c>
      <c r="W143" s="15">
        <v>1740</v>
      </c>
      <c r="X143" s="15">
        <v>0</v>
      </c>
      <c r="Y143" s="16">
        <v>0</v>
      </c>
      <c r="Z143" s="67" t="s">
        <v>26</v>
      </c>
      <c r="AA143" s="12" t="s">
        <v>31</v>
      </c>
    </row>
    <row r="144" spans="1:27" x14ac:dyDescent="0.25">
      <c r="A144" s="10">
        <v>45659</v>
      </c>
      <c r="B144" s="11" t="s">
        <v>26</v>
      </c>
      <c r="C144" s="11">
        <v>14645</v>
      </c>
      <c r="D144" s="11" t="s">
        <v>26</v>
      </c>
      <c r="E144" s="11" t="s">
        <v>240</v>
      </c>
      <c r="F144" s="11" t="s">
        <v>26</v>
      </c>
      <c r="G144" s="11">
        <v>2902</v>
      </c>
      <c r="H144" s="12" t="s">
        <v>41</v>
      </c>
      <c r="I144" s="12" t="s">
        <v>55</v>
      </c>
      <c r="J144" s="12" t="s">
        <v>55</v>
      </c>
      <c r="K144" s="12" t="s">
        <v>56</v>
      </c>
      <c r="L144" s="13">
        <v>40</v>
      </c>
      <c r="M144" s="13">
        <v>25</v>
      </c>
      <c r="N144" s="13">
        <v>1.6</v>
      </c>
      <c r="O144" s="13" t="s">
        <v>30</v>
      </c>
      <c r="P144" s="13">
        <v>24</v>
      </c>
      <c r="Q144" s="13">
        <v>0</v>
      </c>
      <c r="R144" s="14">
        <v>600</v>
      </c>
      <c r="S144" s="15">
        <v>0</v>
      </c>
      <c r="T144" s="15">
        <v>0</v>
      </c>
      <c r="U144" s="15">
        <v>600</v>
      </c>
      <c r="V144" s="15">
        <v>0</v>
      </c>
      <c r="W144" s="15">
        <v>600</v>
      </c>
      <c r="X144" s="15">
        <v>0</v>
      </c>
      <c r="Y144" s="16">
        <v>0</v>
      </c>
      <c r="Z144" s="67" t="s">
        <v>26</v>
      </c>
      <c r="AA144" s="12" t="s">
        <v>31</v>
      </c>
    </row>
    <row r="145" spans="1:27" x14ac:dyDescent="0.25">
      <c r="A145" s="10">
        <v>45659</v>
      </c>
      <c r="B145" s="11" t="s">
        <v>26</v>
      </c>
      <c r="C145" s="11">
        <v>14646</v>
      </c>
      <c r="D145" s="11" t="s">
        <v>26</v>
      </c>
      <c r="E145" s="11" t="s">
        <v>505</v>
      </c>
      <c r="F145" s="11" t="s">
        <v>26</v>
      </c>
      <c r="G145" s="11">
        <v>476</v>
      </c>
      <c r="H145" s="12" t="s">
        <v>141</v>
      </c>
      <c r="I145" s="12" t="s">
        <v>37</v>
      </c>
      <c r="J145" s="12" t="s">
        <v>85</v>
      </c>
      <c r="K145" s="12" t="s">
        <v>86</v>
      </c>
      <c r="L145" s="13">
        <v>37.5</v>
      </c>
      <c r="M145" s="13">
        <v>25</v>
      </c>
      <c r="N145" s="13">
        <v>1.5</v>
      </c>
      <c r="O145" s="13">
        <v>29</v>
      </c>
      <c r="P145" s="13" t="s">
        <v>30</v>
      </c>
      <c r="Q145" s="13">
        <v>0</v>
      </c>
      <c r="R145" s="15">
        <v>1087.5</v>
      </c>
      <c r="S145" s="15">
        <v>0</v>
      </c>
      <c r="T145" s="15">
        <v>0</v>
      </c>
      <c r="U145" s="15">
        <v>1087.5</v>
      </c>
      <c r="V145" s="15">
        <v>0</v>
      </c>
      <c r="W145" s="15">
        <v>1087.5</v>
      </c>
      <c r="X145" s="15">
        <v>0</v>
      </c>
      <c r="Y145" s="16">
        <v>0</v>
      </c>
      <c r="Z145" s="67" t="s">
        <v>26</v>
      </c>
      <c r="AA145" s="12" t="s">
        <v>31</v>
      </c>
    </row>
    <row r="146" spans="1:27" x14ac:dyDescent="0.25">
      <c r="A146" s="10">
        <v>45659</v>
      </c>
      <c r="B146" s="11" t="s">
        <v>26</v>
      </c>
      <c r="C146" s="11">
        <v>14647</v>
      </c>
      <c r="D146" s="11" t="s">
        <v>26</v>
      </c>
      <c r="E146" s="11" t="s">
        <v>49</v>
      </c>
      <c r="F146" s="11" t="s">
        <v>26</v>
      </c>
      <c r="G146" s="11">
        <v>1483</v>
      </c>
      <c r="H146" s="12" t="s">
        <v>45</v>
      </c>
      <c r="I146" s="12" t="s">
        <v>27</v>
      </c>
      <c r="J146" s="12" t="s">
        <v>33</v>
      </c>
      <c r="K146" s="12" t="s">
        <v>34</v>
      </c>
      <c r="L146" s="13">
        <v>37.5</v>
      </c>
      <c r="M146" s="13">
        <v>25</v>
      </c>
      <c r="N146" s="13">
        <v>1.5</v>
      </c>
      <c r="O146" s="13" t="s">
        <v>30</v>
      </c>
      <c r="P146" s="13">
        <v>58</v>
      </c>
      <c r="Q146" s="13">
        <v>0</v>
      </c>
      <c r="R146" s="14">
        <v>1450</v>
      </c>
      <c r="S146" s="15">
        <v>0</v>
      </c>
      <c r="T146" s="15">
        <v>0</v>
      </c>
      <c r="U146" s="15">
        <v>1450</v>
      </c>
      <c r="V146" s="15">
        <v>0</v>
      </c>
      <c r="W146" s="15">
        <v>1450</v>
      </c>
      <c r="X146" s="15">
        <v>0</v>
      </c>
      <c r="Y146" s="16">
        <v>0</v>
      </c>
      <c r="Z146" s="67" t="s">
        <v>26</v>
      </c>
      <c r="AA146" s="12" t="s">
        <v>31</v>
      </c>
    </row>
    <row r="147" spans="1:27" x14ac:dyDescent="0.25">
      <c r="A147" s="10">
        <v>45659</v>
      </c>
      <c r="B147" s="11" t="s">
        <v>26</v>
      </c>
      <c r="C147" s="11">
        <v>14648</v>
      </c>
      <c r="D147" s="11" t="s">
        <v>26</v>
      </c>
      <c r="E147" s="11" t="s">
        <v>604</v>
      </c>
      <c r="F147" s="11" t="s">
        <v>26</v>
      </c>
      <c r="G147" s="11">
        <v>477</v>
      </c>
      <c r="H147" s="12" t="s">
        <v>141</v>
      </c>
      <c r="I147" s="12" t="s">
        <v>37</v>
      </c>
      <c r="J147" s="12" t="s">
        <v>85</v>
      </c>
      <c r="K147" s="12" t="s">
        <v>86</v>
      </c>
      <c r="L147" s="13">
        <v>37.5</v>
      </c>
      <c r="M147" s="13">
        <v>25</v>
      </c>
      <c r="N147" s="13">
        <v>1.5</v>
      </c>
      <c r="O147" s="13">
        <v>29</v>
      </c>
      <c r="P147" s="13" t="s">
        <v>30</v>
      </c>
      <c r="Q147" s="13">
        <v>0</v>
      </c>
      <c r="R147" s="14">
        <v>1087.5</v>
      </c>
      <c r="S147" s="15">
        <v>0</v>
      </c>
      <c r="T147" s="15">
        <v>0</v>
      </c>
      <c r="U147" s="15">
        <v>1087.5</v>
      </c>
      <c r="V147" s="15">
        <v>0</v>
      </c>
      <c r="W147" s="15">
        <v>1087.5</v>
      </c>
      <c r="X147" s="16">
        <v>0</v>
      </c>
      <c r="Y147" s="16">
        <v>0</v>
      </c>
      <c r="Z147" s="67" t="s">
        <v>26</v>
      </c>
      <c r="AA147" s="12" t="s">
        <v>31</v>
      </c>
    </row>
    <row r="148" spans="1:27" x14ac:dyDescent="0.25">
      <c r="A148" s="10">
        <v>45659</v>
      </c>
      <c r="B148" s="11" t="s">
        <v>26</v>
      </c>
      <c r="C148" s="11">
        <v>14649</v>
      </c>
      <c r="D148" s="11" t="s">
        <v>26</v>
      </c>
      <c r="E148" s="11" t="s">
        <v>74</v>
      </c>
      <c r="F148" s="11" t="s">
        <v>26</v>
      </c>
      <c r="G148" s="11">
        <v>1308</v>
      </c>
      <c r="H148" s="12" t="s">
        <v>70</v>
      </c>
      <c r="I148" s="12" t="s">
        <v>27</v>
      </c>
      <c r="J148" s="12" t="s">
        <v>42</v>
      </c>
      <c r="K148" s="12" t="s">
        <v>43</v>
      </c>
      <c r="L148" s="13">
        <v>40</v>
      </c>
      <c r="M148" s="13">
        <v>25</v>
      </c>
      <c r="N148" s="13">
        <v>1.6</v>
      </c>
      <c r="O148" s="13" t="s">
        <v>30</v>
      </c>
      <c r="P148" s="13">
        <v>64</v>
      </c>
      <c r="Q148" s="13">
        <v>0</v>
      </c>
      <c r="R148" s="15">
        <v>1600</v>
      </c>
      <c r="S148" s="15">
        <v>0</v>
      </c>
      <c r="T148" s="15">
        <v>0</v>
      </c>
      <c r="U148" s="15">
        <v>1600</v>
      </c>
      <c r="V148" s="15">
        <v>0</v>
      </c>
      <c r="W148" s="15">
        <v>1600</v>
      </c>
      <c r="X148" s="15">
        <v>0</v>
      </c>
      <c r="Y148" s="16">
        <v>0</v>
      </c>
      <c r="Z148" s="67" t="s">
        <v>26</v>
      </c>
      <c r="AA148" s="12" t="s">
        <v>31</v>
      </c>
    </row>
    <row r="149" spans="1:27" x14ac:dyDescent="0.25">
      <c r="A149" s="10">
        <v>45659</v>
      </c>
      <c r="B149" s="11" t="s">
        <v>26</v>
      </c>
      <c r="C149" s="11">
        <v>14650</v>
      </c>
      <c r="D149" s="11" t="s">
        <v>26</v>
      </c>
      <c r="E149" s="11" t="s">
        <v>60</v>
      </c>
      <c r="F149" s="11" t="s">
        <v>26</v>
      </c>
      <c r="G149" s="11" t="s">
        <v>35</v>
      </c>
      <c r="H149" s="12" t="s">
        <v>36</v>
      </c>
      <c r="I149" s="12" t="s">
        <v>27</v>
      </c>
      <c r="J149" s="12" t="s">
        <v>28</v>
      </c>
      <c r="K149" s="12" t="s">
        <v>29</v>
      </c>
      <c r="L149" s="13">
        <v>3</v>
      </c>
      <c r="M149" s="13">
        <v>2</v>
      </c>
      <c r="N149" s="13">
        <v>1.5</v>
      </c>
      <c r="O149" s="13">
        <v>32</v>
      </c>
      <c r="P149" s="13" t="s">
        <v>30</v>
      </c>
      <c r="Q149" s="13">
        <v>0</v>
      </c>
      <c r="R149" s="15">
        <v>96</v>
      </c>
      <c r="S149" s="15">
        <v>0</v>
      </c>
      <c r="T149" s="15">
        <v>0</v>
      </c>
      <c r="U149" s="15">
        <v>96</v>
      </c>
      <c r="V149" s="15">
        <v>0</v>
      </c>
      <c r="W149" s="15">
        <v>96</v>
      </c>
      <c r="X149" s="15">
        <v>0</v>
      </c>
      <c r="Y149" s="16">
        <v>0</v>
      </c>
      <c r="Z149" s="67" t="s">
        <v>26</v>
      </c>
      <c r="AA149" s="12" t="s">
        <v>31</v>
      </c>
    </row>
    <row r="150" spans="1:27" x14ac:dyDescent="0.25">
      <c r="A150" s="10">
        <v>45659</v>
      </c>
      <c r="B150" s="11" t="s">
        <v>26</v>
      </c>
      <c r="C150" s="11">
        <v>14651</v>
      </c>
      <c r="D150" s="11" t="s">
        <v>26</v>
      </c>
      <c r="E150" s="11" t="s">
        <v>246</v>
      </c>
      <c r="F150" s="11" t="s">
        <v>26</v>
      </c>
      <c r="G150" s="11">
        <v>2030</v>
      </c>
      <c r="H150" s="12" t="s">
        <v>41</v>
      </c>
      <c r="I150" s="12" t="s">
        <v>55</v>
      </c>
      <c r="J150" s="12" t="s">
        <v>55</v>
      </c>
      <c r="K150" s="12" t="s">
        <v>56</v>
      </c>
      <c r="L150" s="13">
        <v>40</v>
      </c>
      <c r="M150" s="13">
        <v>25</v>
      </c>
      <c r="N150" s="13">
        <v>1.6</v>
      </c>
      <c r="O150" s="13" t="s">
        <v>30</v>
      </c>
      <c r="P150" s="13">
        <v>24</v>
      </c>
      <c r="Q150" s="13">
        <v>0</v>
      </c>
      <c r="R150" s="15">
        <v>600</v>
      </c>
      <c r="S150" s="15">
        <v>0</v>
      </c>
      <c r="T150" s="15">
        <v>0</v>
      </c>
      <c r="U150" s="15">
        <v>600</v>
      </c>
      <c r="V150" s="15">
        <v>0</v>
      </c>
      <c r="W150" s="15">
        <v>600</v>
      </c>
      <c r="X150" s="15">
        <v>0</v>
      </c>
      <c r="Y150" s="16">
        <v>0</v>
      </c>
      <c r="Z150" s="67" t="s">
        <v>26</v>
      </c>
      <c r="AA150" s="12" t="s">
        <v>31</v>
      </c>
    </row>
    <row r="151" spans="1:27" x14ac:dyDescent="0.25">
      <c r="A151" s="10">
        <v>45659</v>
      </c>
      <c r="B151" s="11" t="s">
        <v>26</v>
      </c>
      <c r="C151" s="11">
        <v>14652</v>
      </c>
      <c r="D151" s="11" t="s">
        <v>26</v>
      </c>
      <c r="E151" s="11" t="s">
        <v>593</v>
      </c>
      <c r="F151" s="11" t="s">
        <v>26</v>
      </c>
      <c r="G151" s="11">
        <v>59469</v>
      </c>
      <c r="H151" s="12" t="s">
        <v>4423</v>
      </c>
      <c r="I151" s="12" t="s">
        <v>27</v>
      </c>
      <c r="J151" s="12" t="s">
        <v>33</v>
      </c>
      <c r="K151" s="12" t="s">
        <v>34</v>
      </c>
      <c r="L151" s="13">
        <v>37.5</v>
      </c>
      <c r="M151" s="13">
        <v>25</v>
      </c>
      <c r="N151" s="13">
        <v>1.5</v>
      </c>
      <c r="O151" s="13">
        <v>45</v>
      </c>
      <c r="P151" s="13" t="s">
        <v>30</v>
      </c>
      <c r="Q151" s="13">
        <v>0</v>
      </c>
      <c r="R151" s="15">
        <v>1687.5</v>
      </c>
      <c r="S151" s="15">
        <v>0</v>
      </c>
      <c r="T151" s="15">
        <v>0</v>
      </c>
      <c r="U151" s="15">
        <v>1687.5</v>
      </c>
      <c r="V151" s="15">
        <v>1687.5</v>
      </c>
      <c r="W151" s="15">
        <v>0</v>
      </c>
      <c r="X151" s="15">
        <v>0</v>
      </c>
      <c r="Y151" s="16">
        <v>0</v>
      </c>
      <c r="Z151" s="67" t="s">
        <v>26</v>
      </c>
      <c r="AA151" s="12" t="s">
        <v>31</v>
      </c>
    </row>
    <row r="152" spans="1:27" x14ac:dyDescent="0.25">
      <c r="A152" s="10">
        <v>45659</v>
      </c>
      <c r="B152" s="11" t="s">
        <v>26</v>
      </c>
      <c r="C152" s="11">
        <v>14653</v>
      </c>
      <c r="D152" s="11" t="s">
        <v>26</v>
      </c>
      <c r="E152" s="11" t="s">
        <v>184</v>
      </c>
      <c r="F152" s="11" t="s">
        <v>26</v>
      </c>
      <c r="G152" s="11">
        <v>478</v>
      </c>
      <c r="H152" s="12" t="s">
        <v>141</v>
      </c>
      <c r="I152" s="12" t="s">
        <v>37</v>
      </c>
      <c r="J152" s="12" t="s">
        <v>85</v>
      </c>
      <c r="K152" s="12" t="s">
        <v>86</v>
      </c>
      <c r="L152" s="13">
        <v>37.5</v>
      </c>
      <c r="M152" s="13">
        <v>25</v>
      </c>
      <c r="N152" s="13">
        <v>1.5</v>
      </c>
      <c r="O152" s="13">
        <v>29</v>
      </c>
      <c r="P152" s="13" t="s">
        <v>30</v>
      </c>
      <c r="Q152" s="13">
        <v>0</v>
      </c>
      <c r="R152" s="15">
        <v>1087.5</v>
      </c>
      <c r="S152" s="15">
        <v>0</v>
      </c>
      <c r="T152" s="15">
        <v>0</v>
      </c>
      <c r="U152" s="15">
        <v>1087.5</v>
      </c>
      <c r="V152" s="15">
        <v>0</v>
      </c>
      <c r="W152" s="15">
        <v>1087.5</v>
      </c>
      <c r="X152" s="15">
        <v>0</v>
      </c>
      <c r="Y152" s="16">
        <v>0</v>
      </c>
      <c r="Z152" s="67" t="s">
        <v>26</v>
      </c>
      <c r="AA152" s="12" t="s">
        <v>31</v>
      </c>
    </row>
    <row r="153" spans="1:27" x14ac:dyDescent="0.25">
      <c r="A153" s="10">
        <v>45659</v>
      </c>
      <c r="B153" s="11" t="s">
        <v>26</v>
      </c>
      <c r="C153" s="11">
        <v>14654</v>
      </c>
      <c r="D153" s="11" t="s">
        <v>26</v>
      </c>
      <c r="E153" s="11" t="s">
        <v>244</v>
      </c>
      <c r="F153" s="11" t="s">
        <v>26</v>
      </c>
      <c r="G153" s="11">
        <v>479</v>
      </c>
      <c r="H153" s="12" t="s">
        <v>141</v>
      </c>
      <c r="I153" s="12" t="s">
        <v>37</v>
      </c>
      <c r="J153" s="12" t="s">
        <v>85</v>
      </c>
      <c r="K153" s="12" t="s">
        <v>86</v>
      </c>
      <c r="L153" s="13">
        <v>37.5</v>
      </c>
      <c r="M153" s="13">
        <v>25</v>
      </c>
      <c r="N153" s="13">
        <v>1.5</v>
      </c>
      <c r="O153" s="13">
        <v>29</v>
      </c>
      <c r="P153" s="13" t="s">
        <v>30</v>
      </c>
      <c r="Q153" s="13">
        <v>0</v>
      </c>
      <c r="R153" s="14">
        <v>1087.5</v>
      </c>
      <c r="S153" s="15">
        <v>0</v>
      </c>
      <c r="T153" s="15">
        <v>0</v>
      </c>
      <c r="U153" s="15">
        <v>1087.5</v>
      </c>
      <c r="V153" s="15">
        <v>0</v>
      </c>
      <c r="W153" s="15">
        <v>1087.5</v>
      </c>
      <c r="X153" s="15">
        <v>0</v>
      </c>
      <c r="Y153" s="16">
        <v>0</v>
      </c>
      <c r="Z153" s="67" t="s">
        <v>26</v>
      </c>
      <c r="AA153" s="12" t="s">
        <v>31</v>
      </c>
    </row>
    <row r="154" spans="1:27" x14ac:dyDescent="0.25">
      <c r="A154" s="10">
        <v>45659</v>
      </c>
      <c r="B154" s="11" t="s">
        <v>26</v>
      </c>
      <c r="C154" s="11">
        <v>14655</v>
      </c>
      <c r="D154" s="11" t="s">
        <v>26</v>
      </c>
      <c r="E154" s="11" t="s">
        <v>501</v>
      </c>
      <c r="F154" s="11" t="s">
        <v>26</v>
      </c>
      <c r="G154" s="11">
        <v>480</v>
      </c>
      <c r="H154" s="12" t="s">
        <v>141</v>
      </c>
      <c r="I154" s="12" t="s">
        <v>37</v>
      </c>
      <c r="J154" s="12" t="s">
        <v>85</v>
      </c>
      <c r="K154" s="12" t="s">
        <v>86</v>
      </c>
      <c r="L154" s="13">
        <v>37.5</v>
      </c>
      <c r="M154" s="13">
        <v>25</v>
      </c>
      <c r="N154" s="13">
        <v>1.5</v>
      </c>
      <c r="O154" s="13">
        <v>29</v>
      </c>
      <c r="P154" s="13" t="s">
        <v>30</v>
      </c>
      <c r="Q154" s="13">
        <v>0</v>
      </c>
      <c r="R154" s="14">
        <v>1087.5</v>
      </c>
      <c r="S154" s="15">
        <v>0</v>
      </c>
      <c r="T154" s="15">
        <v>0</v>
      </c>
      <c r="U154" s="15">
        <v>1087.5</v>
      </c>
      <c r="V154" s="15">
        <v>0</v>
      </c>
      <c r="W154" s="15">
        <v>1087.5</v>
      </c>
      <c r="X154" s="15">
        <v>0</v>
      </c>
      <c r="Y154" s="16">
        <v>0</v>
      </c>
      <c r="Z154" s="67" t="s">
        <v>26</v>
      </c>
      <c r="AA154" s="12" t="s">
        <v>31</v>
      </c>
    </row>
    <row r="155" spans="1:27" x14ac:dyDescent="0.25">
      <c r="A155" s="10">
        <v>45659</v>
      </c>
      <c r="B155" s="11" t="s">
        <v>26</v>
      </c>
      <c r="C155" s="11">
        <v>14656</v>
      </c>
      <c r="D155" s="11" t="s">
        <v>26</v>
      </c>
      <c r="E155" s="11" t="s">
        <v>483</v>
      </c>
      <c r="F155" s="11" t="s">
        <v>26</v>
      </c>
      <c r="G155" s="11">
        <v>2130</v>
      </c>
      <c r="H155" s="12" t="s">
        <v>41</v>
      </c>
      <c r="I155" s="12" t="s">
        <v>55</v>
      </c>
      <c r="J155" s="12" t="s">
        <v>566</v>
      </c>
      <c r="K155" s="12" t="s">
        <v>550</v>
      </c>
      <c r="L155" s="13">
        <v>40</v>
      </c>
      <c r="M155" s="13">
        <v>25</v>
      </c>
      <c r="N155" s="13">
        <v>1.6</v>
      </c>
      <c r="O155" s="13">
        <v>25</v>
      </c>
      <c r="P155" s="13"/>
      <c r="Q155" s="13">
        <v>0</v>
      </c>
      <c r="R155" s="15">
        <v>1000</v>
      </c>
      <c r="S155" s="15">
        <v>0</v>
      </c>
      <c r="T155" s="15">
        <v>0</v>
      </c>
      <c r="U155" s="15">
        <v>1000</v>
      </c>
      <c r="V155" s="15">
        <v>0</v>
      </c>
      <c r="W155" s="15">
        <v>1000</v>
      </c>
      <c r="X155" s="15">
        <v>0</v>
      </c>
      <c r="Y155" s="16">
        <v>0</v>
      </c>
      <c r="Z155" s="67" t="s">
        <v>26</v>
      </c>
      <c r="AA155" s="12" t="s">
        <v>31</v>
      </c>
    </row>
    <row r="156" spans="1:27" x14ac:dyDescent="0.25">
      <c r="A156" s="10">
        <v>45659</v>
      </c>
      <c r="B156" s="11" t="s">
        <v>26</v>
      </c>
      <c r="C156" s="11">
        <v>14657</v>
      </c>
      <c r="D156" s="11" t="s">
        <v>26</v>
      </c>
      <c r="E156" s="11" t="s">
        <v>80</v>
      </c>
      <c r="F156" s="11" t="s">
        <v>26</v>
      </c>
      <c r="G156" s="11">
        <v>10269</v>
      </c>
      <c r="H156" s="12" t="s">
        <v>140</v>
      </c>
      <c r="I156" s="12" t="s">
        <v>27</v>
      </c>
      <c r="J156" s="12" t="s">
        <v>33</v>
      </c>
      <c r="K156" s="12" t="s">
        <v>34</v>
      </c>
      <c r="L156" s="13">
        <v>43.5</v>
      </c>
      <c r="M156" s="13">
        <v>29</v>
      </c>
      <c r="N156" s="13">
        <v>1.5</v>
      </c>
      <c r="O156" s="13">
        <v>40</v>
      </c>
      <c r="P156" s="13"/>
      <c r="Q156" s="13">
        <v>0</v>
      </c>
      <c r="R156" s="14">
        <v>1740</v>
      </c>
      <c r="S156" s="15">
        <v>0</v>
      </c>
      <c r="T156" s="15">
        <v>0</v>
      </c>
      <c r="U156" s="15">
        <v>1740</v>
      </c>
      <c r="V156" s="15">
        <v>0</v>
      </c>
      <c r="W156" s="15">
        <v>1740</v>
      </c>
      <c r="X156" s="15">
        <v>0</v>
      </c>
      <c r="Y156" s="16">
        <v>0</v>
      </c>
      <c r="Z156" s="67" t="s">
        <v>26</v>
      </c>
      <c r="AA156" s="12" t="s">
        <v>31</v>
      </c>
    </row>
    <row r="157" spans="1:27" x14ac:dyDescent="0.25">
      <c r="A157" s="10">
        <v>45659</v>
      </c>
      <c r="B157" s="11" t="s">
        <v>26</v>
      </c>
      <c r="C157" s="11">
        <v>14658</v>
      </c>
      <c r="D157" s="11" t="s">
        <v>26</v>
      </c>
      <c r="E157" s="11" t="s">
        <v>509</v>
      </c>
      <c r="F157" s="11" t="s">
        <v>26</v>
      </c>
      <c r="G157" s="11">
        <v>481</v>
      </c>
      <c r="H157" s="12" t="s">
        <v>141</v>
      </c>
      <c r="I157" s="12" t="s">
        <v>37</v>
      </c>
      <c r="J157" s="12" t="s">
        <v>85</v>
      </c>
      <c r="K157" s="12" t="s">
        <v>86</v>
      </c>
      <c r="L157" s="13">
        <v>37.5</v>
      </c>
      <c r="M157" s="13">
        <v>25</v>
      </c>
      <c r="N157" s="13">
        <v>1.5</v>
      </c>
      <c r="O157" s="13">
        <v>29</v>
      </c>
      <c r="P157" s="13" t="s">
        <v>30</v>
      </c>
      <c r="Q157" s="13">
        <v>0</v>
      </c>
      <c r="R157" s="15">
        <v>1087.5</v>
      </c>
      <c r="S157" s="15">
        <v>0</v>
      </c>
      <c r="T157" s="15">
        <v>0</v>
      </c>
      <c r="U157" s="15">
        <v>1087.5</v>
      </c>
      <c r="V157" s="15">
        <v>0</v>
      </c>
      <c r="W157" s="15">
        <v>1087.5</v>
      </c>
      <c r="X157" s="15">
        <v>0</v>
      </c>
      <c r="Y157" s="16">
        <v>0</v>
      </c>
      <c r="Z157" s="67" t="s">
        <v>26</v>
      </c>
      <c r="AA157" s="12" t="s">
        <v>31</v>
      </c>
    </row>
    <row r="158" spans="1:27" x14ac:dyDescent="0.25">
      <c r="A158" s="10">
        <v>45659</v>
      </c>
      <c r="B158" s="11" t="s">
        <v>26</v>
      </c>
      <c r="C158" s="11">
        <v>14659</v>
      </c>
      <c r="D158" s="11" t="s">
        <v>26</v>
      </c>
      <c r="E158" s="11" t="s">
        <v>76</v>
      </c>
      <c r="F158" s="11" t="s">
        <v>26</v>
      </c>
      <c r="G158" s="11">
        <v>2220</v>
      </c>
      <c r="H158" s="12" t="s">
        <v>41</v>
      </c>
      <c r="I158" s="12" t="s">
        <v>55</v>
      </c>
      <c r="J158" s="12" t="s">
        <v>566</v>
      </c>
      <c r="K158" s="12" t="s">
        <v>550</v>
      </c>
      <c r="L158" s="13">
        <v>40</v>
      </c>
      <c r="M158" s="13">
        <v>25</v>
      </c>
      <c r="N158" s="13">
        <v>1.6</v>
      </c>
      <c r="O158" s="13">
        <v>25</v>
      </c>
      <c r="P158" s="13"/>
      <c r="Q158" s="13">
        <v>0</v>
      </c>
      <c r="R158" s="14">
        <v>1000</v>
      </c>
      <c r="S158" s="15">
        <v>0</v>
      </c>
      <c r="T158" s="15">
        <v>0</v>
      </c>
      <c r="U158" s="15">
        <v>1000</v>
      </c>
      <c r="V158" s="15">
        <v>0</v>
      </c>
      <c r="W158" s="15">
        <v>1000</v>
      </c>
      <c r="X158" s="15">
        <v>0</v>
      </c>
      <c r="Y158" s="16">
        <v>0</v>
      </c>
      <c r="Z158" s="67" t="s">
        <v>26</v>
      </c>
      <c r="AA158" s="12" t="s">
        <v>31</v>
      </c>
    </row>
    <row r="159" spans="1:27" x14ac:dyDescent="0.25">
      <c r="A159" s="10">
        <v>45659</v>
      </c>
      <c r="B159" s="11" t="s">
        <v>26</v>
      </c>
      <c r="C159" s="11">
        <v>14660</v>
      </c>
      <c r="D159" s="11" t="s">
        <v>26</v>
      </c>
      <c r="E159" s="11" t="s">
        <v>53</v>
      </c>
      <c r="F159" s="11" t="s">
        <v>26</v>
      </c>
      <c r="G159" s="11">
        <v>2389</v>
      </c>
      <c r="H159" s="12" t="s">
        <v>41</v>
      </c>
      <c r="I159" s="12" t="s">
        <v>27</v>
      </c>
      <c r="J159" s="12" t="s">
        <v>33</v>
      </c>
      <c r="K159" s="12" t="s">
        <v>34</v>
      </c>
      <c r="L159" s="13">
        <v>37.5</v>
      </c>
      <c r="M159" s="13">
        <v>25</v>
      </c>
      <c r="N159" s="13">
        <v>1.5</v>
      </c>
      <c r="O159" s="13" t="s">
        <v>30</v>
      </c>
      <c r="P159" s="13">
        <v>60</v>
      </c>
      <c r="Q159" s="14">
        <v>0</v>
      </c>
      <c r="R159" s="15">
        <v>1500</v>
      </c>
      <c r="S159" s="15">
        <v>0</v>
      </c>
      <c r="T159" s="15">
        <v>0</v>
      </c>
      <c r="U159" s="15">
        <v>1500</v>
      </c>
      <c r="V159" s="15">
        <v>0</v>
      </c>
      <c r="W159" s="15">
        <v>1500</v>
      </c>
      <c r="X159" s="15">
        <v>0</v>
      </c>
      <c r="Y159" s="16">
        <v>0</v>
      </c>
      <c r="Z159" s="67" t="s">
        <v>26</v>
      </c>
      <c r="AA159" s="12" t="s">
        <v>31</v>
      </c>
    </row>
    <row r="160" spans="1:27" x14ac:dyDescent="0.25">
      <c r="A160" s="10">
        <v>45659</v>
      </c>
      <c r="B160" s="11" t="s">
        <v>26</v>
      </c>
      <c r="C160" s="11">
        <v>14661</v>
      </c>
      <c r="D160" s="11" t="s">
        <v>26</v>
      </c>
      <c r="E160" s="11" t="s">
        <v>1200</v>
      </c>
      <c r="F160" s="11" t="s">
        <v>26</v>
      </c>
      <c r="G160" s="11">
        <v>962</v>
      </c>
      <c r="H160" s="12" t="s">
        <v>163</v>
      </c>
      <c r="I160" s="12" t="s">
        <v>27</v>
      </c>
      <c r="J160" s="12" t="s">
        <v>33</v>
      </c>
      <c r="K160" s="12" t="s">
        <v>34</v>
      </c>
      <c r="L160" s="13">
        <v>37.5</v>
      </c>
      <c r="M160" s="13">
        <v>25</v>
      </c>
      <c r="N160" s="13">
        <v>1.5</v>
      </c>
      <c r="O160" s="13" t="s">
        <v>30</v>
      </c>
      <c r="P160" s="13">
        <v>58</v>
      </c>
      <c r="Q160" s="13">
        <v>0</v>
      </c>
      <c r="R160" s="14">
        <v>1450</v>
      </c>
      <c r="S160" s="15">
        <v>0</v>
      </c>
      <c r="T160" s="15">
        <v>0</v>
      </c>
      <c r="U160" s="15">
        <v>1450</v>
      </c>
      <c r="V160" s="15">
        <v>0</v>
      </c>
      <c r="W160" s="15">
        <v>1450</v>
      </c>
      <c r="X160" s="15">
        <v>0</v>
      </c>
      <c r="Y160" s="16">
        <v>0</v>
      </c>
      <c r="Z160" s="67" t="s">
        <v>26</v>
      </c>
      <c r="AA160" s="12" t="s">
        <v>31</v>
      </c>
    </row>
    <row r="161" spans="1:27" x14ac:dyDescent="0.25">
      <c r="A161" s="10">
        <v>45660</v>
      </c>
      <c r="B161" s="11" t="s">
        <v>26</v>
      </c>
      <c r="C161" s="11">
        <v>14662</v>
      </c>
      <c r="D161" s="11" t="s">
        <v>26</v>
      </c>
      <c r="E161" s="11" t="s">
        <v>431</v>
      </c>
      <c r="F161" s="11" t="s">
        <v>26</v>
      </c>
      <c r="G161" s="11">
        <v>129</v>
      </c>
      <c r="H161" s="12" t="s">
        <v>6328</v>
      </c>
      <c r="I161" s="12" t="s">
        <v>27</v>
      </c>
      <c r="J161" s="12" t="s">
        <v>42</v>
      </c>
      <c r="K161" s="12" t="s">
        <v>43</v>
      </c>
      <c r="L161" s="13">
        <v>40</v>
      </c>
      <c r="M161" s="13">
        <v>25</v>
      </c>
      <c r="N161" s="13">
        <v>1.6</v>
      </c>
      <c r="O161" s="13">
        <v>42.5</v>
      </c>
      <c r="P161" s="13"/>
      <c r="Q161" s="13">
        <v>0</v>
      </c>
      <c r="R161" s="14">
        <v>1700</v>
      </c>
      <c r="S161" s="15">
        <v>0</v>
      </c>
      <c r="T161" s="15">
        <v>0</v>
      </c>
      <c r="U161" s="15">
        <v>1700</v>
      </c>
      <c r="V161" s="15">
        <v>0</v>
      </c>
      <c r="W161" s="15">
        <v>1700</v>
      </c>
      <c r="X161" s="15">
        <v>0</v>
      </c>
      <c r="Y161" s="16">
        <v>0</v>
      </c>
      <c r="Z161" s="67" t="s">
        <v>26</v>
      </c>
      <c r="AA161" s="12" t="s">
        <v>31</v>
      </c>
    </row>
    <row r="162" spans="1:27" x14ac:dyDescent="0.25">
      <c r="A162" s="10">
        <v>45660</v>
      </c>
      <c r="B162" s="11" t="s">
        <v>26</v>
      </c>
      <c r="C162" s="11">
        <v>14663</v>
      </c>
      <c r="D162" s="11" t="s">
        <v>26</v>
      </c>
      <c r="E162" s="11" t="s">
        <v>574</v>
      </c>
      <c r="F162" s="11" t="s">
        <v>26</v>
      </c>
      <c r="G162" s="11" t="s">
        <v>26</v>
      </c>
      <c r="H162" s="12" t="s">
        <v>4422</v>
      </c>
      <c r="I162" s="12" t="s">
        <v>27</v>
      </c>
      <c r="J162" s="12" t="s">
        <v>47</v>
      </c>
      <c r="K162" s="12" t="s">
        <v>48</v>
      </c>
      <c r="L162" s="13">
        <v>41.68</v>
      </c>
      <c r="M162" s="13">
        <v>28</v>
      </c>
      <c r="N162" s="13">
        <v>1.4885714285714291</v>
      </c>
      <c r="O162" s="13">
        <v>87</v>
      </c>
      <c r="P162" s="13" t="s">
        <v>30</v>
      </c>
      <c r="Q162" s="13">
        <v>0</v>
      </c>
      <c r="R162" s="15">
        <v>3626.16</v>
      </c>
      <c r="S162" s="15">
        <v>38</v>
      </c>
      <c r="T162" s="15">
        <v>1583.84</v>
      </c>
      <c r="U162" s="15">
        <v>2042.32</v>
      </c>
      <c r="V162" s="15">
        <v>2042.32</v>
      </c>
      <c r="W162" s="15">
        <v>0</v>
      </c>
      <c r="X162" s="15">
        <v>1500.48</v>
      </c>
      <c r="Y162" s="16">
        <v>83.3599999999999</v>
      </c>
      <c r="Z162" s="67" t="s">
        <v>141</v>
      </c>
      <c r="AA162" s="12" t="s">
        <v>78</v>
      </c>
    </row>
    <row r="163" spans="1:27" x14ac:dyDescent="0.25">
      <c r="A163" s="10">
        <v>45660</v>
      </c>
      <c r="B163" s="11" t="s">
        <v>26</v>
      </c>
      <c r="C163" s="11">
        <v>14664</v>
      </c>
      <c r="D163" s="11" t="s">
        <v>26</v>
      </c>
      <c r="E163" s="11" t="s">
        <v>184</v>
      </c>
      <c r="F163" s="11" t="s">
        <v>26</v>
      </c>
      <c r="G163" s="11" t="s">
        <v>26</v>
      </c>
      <c r="H163" s="12" t="s">
        <v>4422</v>
      </c>
      <c r="I163" s="12" t="s">
        <v>27</v>
      </c>
      <c r="J163" s="12" t="s">
        <v>47</v>
      </c>
      <c r="K163" s="12" t="s">
        <v>48</v>
      </c>
      <c r="L163" s="13">
        <v>40.119999999999997</v>
      </c>
      <c r="M163" s="13">
        <v>28</v>
      </c>
      <c r="N163" s="13">
        <v>1.4328571428571431</v>
      </c>
      <c r="O163" s="13">
        <v>87</v>
      </c>
      <c r="P163" s="13" t="s">
        <v>30</v>
      </c>
      <c r="Q163" s="13">
        <v>0</v>
      </c>
      <c r="R163" s="15">
        <v>3490.4399999999996</v>
      </c>
      <c r="S163" s="15">
        <v>38</v>
      </c>
      <c r="T163" s="15">
        <v>1524.56</v>
      </c>
      <c r="U163" s="15">
        <v>1965.8799999999997</v>
      </c>
      <c r="V163" s="15">
        <v>1965.8799999999997</v>
      </c>
      <c r="W163" s="15">
        <v>0</v>
      </c>
      <c r="X163" s="15">
        <v>1444.32</v>
      </c>
      <c r="Y163" s="16">
        <v>80.240000000000009</v>
      </c>
      <c r="Z163" s="67" t="s">
        <v>141</v>
      </c>
      <c r="AA163" s="12" t="s">
        <v>78</v>
      </c>
    </row>
    <row r="164" spans="1:27" x14ac:dyDescent="0.25">
      <c r="A164" s="10">
        <v>45660</v>
      </c>
      <c r="B164" s="11" t="s">
        <v>26</v>
      </c>
      <c r="C164" s="11">
        <v>14665</v>
      </c>
      <c r="D164" s="11" t="s">
        <v>26</v>
      </c>
      <c r="E164" s="11" t="s">
        <v>246</v>
      </c>
      <c r="F164" s="11" t="s">
        <v>26</v>
      </c>
      <c r="G164" s="11">
        <v>2031</v>
      </c>
      <c r="H164" s="12" t="s">
        <v>41</v>
      </c>
      <c r="I164" s="12" t="s">
        <v>37</v>
      </c>
      <c r="J164" s="12" t="s">
        <v>228</v>
      </c>
      <c r="K164" s="12" t="s">
        <v>38</v>
      </c>
      <c r="L164" s="13">
        <v>37.5</v>
      </c>
      <c r="M164" s="13">
        <v>25</v>
      </c>
      <c r="N164" s="13">
        <v>1.5</v>
      </c>
      <c r="O164" s="13" t="s">
        <v>30</v>
      </c>
      <c r="P164" s="13">
        <v>43.5</v>
      </c>
      <c r="Q164" s="13">
        <v>0</v>
      </c>
      <c r="R164" s="14">
        <v>1087.5</v>
      </c>
      <c r="S164" s="15">
        <v>0</v>
      </c>
      <c r="T164" s="15">
        <v>0</v>
      </c>
      <c r="U164" s="15">
        <v>1087.5</v>
      </c>
      <c r="V164" s="15">
        <v>0</v>
      </c>
      <c r="W164" s="15">
        <v>1087.5</v>
      </c>
      <c r="X164" s="15">
        <v>0</v>
      </c>
      <c r="Y164" s="16">
        <v>0</v>
      </c>
      <c r="Z164" s="67" t="s">
        <v>26</v>
      </c>
      <c r="AA164" s="12" t="s">
        <v>31</v>
      </c>
    </row>
    <row r="165" spans="1:27" x14ac:dyDescent="0.25">
      <c r="A165" s="10">
        <v>45660</v>
      </c>
      <c r="B165" s="11" t="s">
        <v>26</v>
      </c>
      <c r="C165" s="11">
        <v>14666</v>
      </c>
      <c r="D165" s="11" t="s">
        <v>26</v>
      </c>
      <c r="E165" s="11">
        <v>29630</v>
      </c>
      <c r="F165" s="11" t="s">
        <v>26</v>
      </c>
      <c r="G165" s="11">
        <v>75031</v>
      </c>
      <c r="H165" s="12" t="s">
        <v>4448</v>
      </c>
      <c r="I165" s="12" t="s">
        <v>27</v>
      </c>
      <c r="J165" s="12" t="s">
        <v>47</v>
      </c>
      <c r="K165" s="12" t="s">
        <v>48</v>
      </c>
      <c r="L165" s="13">
        <v>37.5</v>
      </c>
      <c r="M165" s="13">
        <v>25</v>
      </c>
      <c r="N165" s="13">
        <v>1.5</v>
      </c>
      <c r="O165" s="13">
        <v>46.66</v>
      </c>
      <c r="P165" s="13" t="s">
        <v>30</v>
      </c>
      <c r="Q165" s="13">
        <v>0</v>
      </c>
      <c r="R165" s="14">
        <v>1749.7499999999998</v>
      </c>
      <c r="S165" s="15">
        <v>0</v>
      </c>
      <c r="T165" s="15">
        <v>0</v>
      </c>
      <c r="U165" s="15">
        <v>1749.7499999999998</v>
      </c>
      <c r="V165" s="15">
        <v>1312.3124999999998</v>
      </c>
      <c r="W165" s="15">
        <v>437.4375</v>
      </c>
      <c r="X165" s="16">
        <v>0</v>
      </c>
      <c r="Y165" s="16">
        <v>0</v>
      </c>
      <c r="Z165" s="67" t="s">
        <v>26</v>
      </c>
      <c r="AA165" s="12" t="s">
        <v>31</v>
      </c>
    </row>
    <row r="166" spans="1:27" x14ac:dyDescent="0.25">
      <c r="A166" s="10">
        <v>45660</v>
      </c>
      <c r="B166" s="11" t="s">
        <v>26</v>
      </c>
      <c r="C166" s="11">
        <v>14667</v>
      </c>
      <c r="D166" s="11" t="s">
        <v>26</v>
      </c>
      <c r="E166" s="11" t="s">
        <v>501</v>
      </c>
      <c r="F166" s="11" t="s">
        <v>26</v>
      </c>
      <c r="G166" s="11" t="s">
        <v>26</v>
      </c>
      <c r="H166" s="12" t="s">
        <v>4422</v>
      </c>
      <c r="I166" s="12" t="s">
        <v>27</v>
      </c>
      <c r="J166" s="12" t="s">
        <v>33</v>
      </c>
      <c r="K166" s="12" t="s">
        <v>34</v>
      </c>
      <c r="L166" s="13">
        <v>38.5</v>
      </c>
      <c r="M166" s="13">
        <v>25</v>
      </c>
      <c r="N166" s="13">
        <v>1.54</v>
      </c>
      <c r="O166" s="13">
        <v>85</v>
      </c>
      <c r="P166" s="13" t="s">
        <v>30</v>
      </c>
      <c r="Q166" s="13">
        <v>0</v>
      </c>
      <c r="R166" s="14">
        <v>3272.5</v>
      </c>
      <c r="S166" s="15">
        <v>38</v>
      </c>
      <c r="T166" s="15">
        <v>1463</v>
      </c>
      <c r="U166" s="15">
        <v>1809.5</v>
      </c>
      <c r="V166" s="15">
        <v>1809.5</v>
      </c>
      <c r="W166" s="15">
        <v>0</v>
      </c>
      <c r="X166" s="15">
        <v>1386</v>
      </c>
      <c r="Y166" s="16">
        <v>77</v>
      </c>
      <c r="Z166" s="67" t="s">
        <v>141</v>
      </c>
      <c r="AA166" s="12" t="s">
        <v>78</v>
      </c>
    </row>
    <row r="167" spans="1:27" x14ac:dyDescent="0.25">
      <c r="A167" s="10">
        <v>45660</v>
      </c>
      <c r="B167" s="11" t="s">
        <v>26</v>
      </c>
      <c r="C167" s="11">
        <v>14668</v>
      </c>
      <c r="D167" s="11" t="s">
        <v>26</v>
      </c>
      <c r="E167" s="11" t="s">
        <v>605</v>
      </c>
      <c r="F167" s="11" t="s">
        <v>26</v>
      </c>
      <c r="G167" s="11" t="s">
        <v>26</v>
      </c>
      <c r="H167" s="12" t="s">
        <v>4422</v>
      </c>
      <c r="I167" s="12" t="s">
        <v>27</v>
      </c>
      <c r="J167" s="12" t="s">
        <v>33</v>
      </c>
      <c r="K167" s="12" t="s">
        <v>34</v>
      </c>
      <c r="L167" s="13">
        <v>41.62</v>
      </c>
      <c r="M167" s="13">
        <v>28</v>
      </c>
      <c r="N167" s="13">
        <v>1.486428571428571</v>
      </c>
      <c r="O167" s="13">
        <v>85</v>
      </c>
      <c r="P167" s="13" t="s">
        <v>30</v>
      </c>
      <c r="Q167" s="13">
        <v>0</v>
      </c>
      <c r="R167" s="14">
        <v>3537.7</v>
      </c>
      <c r="S167" s="15">
        <v>38</v>
      </c>
      <c r="T167" s="15">
        <v>1581.56</v>
      </c>
      <c r="U167" s="15">
        <v>1956.1399999999999</v>
      </c>
      <c r="V167" s="15">
        <v>1956.1399999999999</v>
      </c>
      <c r="W167" s="15">
        <v>0</v>
      </c>
      <c r="X167" s="16">
        <v>1498.32</v>
      </c>
      <c r="Y167" s="16">
        <v>83.240000000000009</v>
      </c>
      <c r="Z167" s="67" t="s">
        <v>141</v>
      </c>
      <c r="AA167" s="12" t="s">
        <v>78</v>
      </c>
    </row>
    <row r="168" spans="1:27" x14ac:dyDescent="0.25">
      <c r="A168" s="10">
        <v>45660</v>
      </c>
      <c r="B168" s="11" t="s">
        <v>26</v>
      </c>
      <c r="C168" s="11">
        <v>14669</v>
      </c>
      <c r="D168" s="11" t="s">
        <v>26</v>
      </c>
      <c r="E168" s="11" t="s">
        <v>57</v>
      </c>
      <c r="F168" s="11" t="s">
        <v>26</v>
      </c>
      <c r="G168" s="11" t="s">
        <v>26</v>
      </c>
      <c r="H168" s="12" t="s">
        <v>4422</v>
      </c>
      <c r="I168" s="12" t="s">
        <v>27</v>
      </c>
      <c r="J168" s="12" t="s">
        <v>42</v>
      </c>
      <c r="K168" s="12" t="s">
        <v>43</v>
      </c>
      <c r="L168" s="13">
        <v>43.38</v>
      </c>
      <c r="M168" s="13">
        <v>25</v>
      </c>
      <c r="N168" s="13">
        <v>1.7352000000000001</v>
      </c>
      <c r="O168" s="13">
        <v>83</v>
      </c>
      <c r="P168" s="13" t="s">
        <v>30</v>
      </c>
      <c r="Q168" s="13">
        <v>0</v>
      </c>
      <c r="R168" s="14">
        <v>3600.5400000000004</v>
      </c>
      <c r="S168" s="15">
        <v>38</v>
      </c>
      <c r="T168" s="15">
        <v>1648.44</v>
      </c>
      <c r="U168" s="15">
        <v>1952.1000000000004</v>
      </c>
      <c r="V168" s="15">
        <v>1952.1000000000004</v>
      </c>
      <c r="W168" s="15">
        <v>0</v>
      </c>
      <c r="X168" s="15">
        <v>1605.0600000000002</v>
      </c>
      <c r="Y168" s="16">
        <v>43.379999999999882</v>
      </c>
      <c r="Z168" s="67" t="s">
        <v>41</v>
      </c>
      <c r="AA168" s="12" t="s">
        <v>78</v>
      </c>
    </row>
    <row r="169" spans="1:27" x14ac:dyDescent="0.25">
      <c r="A169" s="10">
        <v>45660</v>
      </c>
      <c r="B169" s="11" t="s">
        <v>26</v>
      </c>
      <c r="C169" s="11">
        <v>14670</v>
      </c>
      <c r="D169" s="11" t="s">
        <v>26</v>
      </c>
      <c r="E169" s="11" t="s">
        <v>53</v>
      </c>
      <c r="F169" s="11" t="s">
        <v>26</v>
      </c>
      <c r="G169" s="11" t="s">
        <v>26</v>
      </c>
      <c r="H169" s="12" t="s">
        <v>4422</v>
      </c>
      <c r="I169" s="12" t="s">
        <v>27</v>
      </c>
      <c r="J169" s="12" t="s">
        <v>33</v>
      </c>
      <c r="K169" s="12" t="s">
        <v>34</v>
      </c>
      <c r="L169" s="13">
        <v>42.8</v>
      </c>
      <c r="M169" s="13">
        <v>29</v>
      </c>
      <c r="N169" s="13">
        <v>1.4758620689655171</v>
      </c>
      <c r="O169" s="13">
        <v>85</v>
      </c>
      <c r="P169" s="13" t="s">
        <v>30</v>
      </c>
      <c r="Q169" s="13">
        <v>0</v>
      </c>
      <c r="R169" s="14">
        <v>3637.9999999999995</v>
      </c>
      <c r="S169" s="15">
        <v>38</v>
      </c>
      <c r="T169" s="15">
        <v>1626.3999999999999</v>
      </c>
      <c r="U169" s="15">
        <v>2011.5999999999997</v>
      </c>
      <c r="V169" s="15">
        <v>2011.5999999999997</v>
      </c>
      <c r="W169" s="15">
        <v>0</v>
      </c>
      <c r="X169" s="15">
        <v>1583.6</v>
      </c>
      <c r="Y169" s="16">
        <v>42.799999999999955</v>
      </c>
      <c r="Z169" s="67" t="s">
        <v>41</v>
      </c>
      <c r="AA169" s="12" t="s">
        <v>78</v>
      </c>
    </row>
    <row r="170" spans="1:27" x14ac:dyDescent="0.25">
      <c r="A170" s="10">
        <v>45660</v>
      </c>
      <c r="B170" s="11" t="s">
        <v>26</v>
      </c>
      <c r="C170" s="11">
        <v>14671</v>
      </c>
      <c r="D170" s="11" t="s">
        <v>26</v>
      </c>
      <c r="E170" s="11" t="s">
        <v>570</v>
      </c>
      <c r="F170" s="11" t="s">
        <v>26</v>
      </c>
      <c r="G170" s="11">
        <v>10309</v>
      </c>
      <c r="H170" s="12" t="s">
        <v>140</v>
      </c>
      <c r="I170" s="12" t="s">
        <v>27</v>
      </c>
      <c r="J170" s="12" t="s">
        <v>47</v>
      </c>
      <c r="K170" s="12" t="s">
        <v>48</v>
      </c>
      <c r="L170" s="13">
        <v>43.5</v>
      </c>
      <c r="M170" s="13">
        <v>29</v>
      </c>
      <c r="N170" s="13">
        <v>1.5</v>
      </c>
      <c r="O170" s="13">
        <v>40</v>
      </c>
      <c r="P170" s="13"/>
      <c r="Q170" s="13">
        <v>0</v>
      </c>
      <c r="R170" s="14">
        <v>1740</v>
      </c>
      <c r="S170" s="15">
        <v>0</v>
      </c>
      <c r="T170" s="15">
        <v>0</v>
      </c>
      <c r="U170" s="15">
        <v>1740</v>
      </c>
      <c r="V170" s="15">
        <v>0</v>
      </c>
      <c r="W170" s="15">
        <v>1740</v>
      </c>
      <c r="X170" s="16">
        <v>0</v>
      </c>
      <c r="Y170" s="16">
        <v>0</v>
      </c>
      <c r="Z170" s="67" t="s">
        <v>26</v>
      </c>
      <c r="AA170" s="12" t="s">
        <v>31</v>
      </c>
    </row>
    <row r="171" spans="1:27" x14ac:dyDescent="0.25">
      <c r="A171" s="10">
        <v>45660</v>
      </c>
      <c r="B171" s="11" t="s">
        <v>26</v>
      </c>
      <c r="C171" s="11">
        <v>14672</v>
      </c>
      <c r="D171" s="11" t="s">
        <v>26</v>
      </c>
      <c r="E171" s="11" t="s">
        <v>520</v>
      </c>
      <c r="F171" s="11" t="s">
        <v>26</v>
      </c>
      <c r="G171" s="11">
        <v>4360</v>
      </c>
      <c r="H171" s="12" t="s">
        <v>140</v>
      </c>
      <c r="I171" s="12" t="s">
        <v>55</v>
      </c>
      <c r="J171" s="12" t="s">
        <v>55</v>
      </c>
      <c r="K171" s="12" t="s">
        <v>56</v>
      </c>
      <c r="L171" s="13">
        <v>40</v>
      </c>
      <c r="M171" s="13">
        <v>25</v>
      </c>
      <c r="N171" s="13">
        <v>1.6</v>
      </c>
      <c r="O171" s="13">
        <v>15</v>
      </c>
      <c r="P171" s="13"/>
      <c r="Q171" s="13">
        <v>0</v>
      </c>
      <c r="R171" s="15">
        <v>600</v>
      </c>
      <c r="S171" s="15">
        <v>0</v>
      </c>
      <c r="T171" s="15">
        <v>0</v>
      </c>
      <c r="U171" s="15">
        <v>600</v>
      </c>
      <c r="V171" s="15">
        <v>0</v>
      </c>
      <c r="W171" s="15">
        <v>600</v>
      </c>
      <c r="X171" s="15">
        <v>0</v>
      </c>
      <c r="Y171" s="16">
        <v>0</v>
      </c>
      <c r="Z171" s="67" t="s">
        <v>26</v>
      </c>
      <c r="AA171" s="12" t="s">
        <v>31</v>
      </c>
    </row>
    <row r="172" spans="1:27" x14ac:dyDescent="0.25">
      <c r="A172" s="10">
        <v>45660</v>
      </c>
      <c r="B172" s="11" t="s">
        <v>26</v>
      </c>
      <c r="C172" s="11">
        <v>14673</v>
      </c>
      <c r="D172" s="11" t="s">
        <v>26</v>
      </c>
      <c r="E172" s="11" t="s">
        <v>539</v>
      </c>
      <c r="F172" s="11" t="s">
        <v>26</v>
      </c>
      <c r="G172" s="11">
        <v>2288</v>
      </c>
      <c r="H172" s="12" t="s">
        <v>41</v>
      </c>
      <c r="I172" s="12" t="s">
        <v>55</v>
      </c>
      <c r="J172" s="12" t="s">
        <v>566</v>
      </c>
      <c r="K172" s="12" t="s">
        <v>550</v>
      </c>
      <c r="L172" s="13">
        <v>40</v>
      </c>
      <c r="M172" s="13">
        <v>25</v>
      </c>
      <c r="N172" s="13">
        <v>1.6</v>
      </c>
      <c r="O172" s="13">
        <v>25</v>
      </c>
      <c r="P172" s="13"/>
      <c r="Q172" s="13">
        <v>0</v>
      </c>
      <c r="R172" s="14">
        <v>1000</v>
      </c>
      <c r="S172" s="15">
        <v>0</v>
      </c>
      <c r="T172" s="15">
        <v>0</v>
      </c>
      <c r="U172" s="15">
        <v>1000</v>
      </c>
      <c r="V172" s="15">
        <v>0</v>
      </c>
      <c r="W172" s="15">
        <v>1000</v>
      </c>
      <c r="X172" s="15">
        <v>0</v>
      </c>
      <c r="Y172" s="16">
        <v>0</v>
      </c>
      <c r="Z172" s="67" t="s">
        <v>26</v>
      </c>
      <c r="AA172" s="12" t="s">
        <v>31</v>
      </c>
    </row>
    <row r="173" spans="1:27" x14ac:dyDescent="0.25">
      <c r="A173" s="10">
        <v>45660</v>
      </c>
      <c r="B173" s="11" t="s">
        <v>26</v>
      </c>
      <c r="C173" s="11">
        <v>14674</v>
      </c>
      <c r="D173" s="11" t="s">
        <v>26</v>
      </c>
      <c r="E173" s="11" t="s">
        <v>44</v>
      </c>
      <c r="F173" s="11" t="s">
        <v>26</v>
      </c>
      <c r="G173" s="11">
        <v>1487</v>
      </c>
      <c r="H173" s="12" t="s">
        <v>45</v>
      </c>
      <c r="I173" s="12" t="s">
        <v>27</v>
      </c>
      <c r="J173" s="12" t="s">
        <v>33</v>
      </c>
      <c r="K173" s="12" t="s">
        <v>34</v>
      </c>
      <c r="L173" s="13">
        <v>37.5</v>
      </c>
      <c r="M173" s="13">
        <v>25</v>
      </c>
      <c r="N173" s="13">
        <v>1.5</v>
      </c>
      <c r="O173" s="13" t="s">
        <v>30</v>
      </c>
      <c r="P173" s="13">
        <v>58</v>
      </c>
      <c r="Q173" s="13">
        <v>0</v>
      </c>
      <c r="R173" s="15">
        <v>1450</v>
      </c>
      <c r="S173" s="15">
        <v>0</v>
      </c>
      <c r="T173" s="15">
        <v>0</v>
      </c>
      <c r="U173" s="15">
        <v>1450</v>
      </c>
      <c r="V173" s="15">
        <v>0</v>
      </c>
      <c r="W173" s="15">
        <v>1450</v>
      </c>
      <c r="X173" s="15">
        <v>0</v>
      </c>
      <c r="Y173" s="16">
        <v>0</v>
      </c>
      <c r="Z173" s="67" t="s">
        <v>26</v>
      </c>
      <c r="AA173" s="12" t="s">
        <v>31</v>
      </c>
    </row>
    <row r="174" spans="1:27" x14ac:dyDescent="0.25">
      <c r="A174" s="10">
        <v>45660</v>
      </c>
      <c r="B174" s="11" t="s">
        <v>26</v>
      </c>
      <c r="C174" s="11">
        <v>14675</v>
      </c>
      <c r="D174" s="11" t="s">
        <v>26</v>
      </c>
      <c r="E174" s="11" t="s">
        <v>435</v>
      </c>
      <c r="F174" s="11" t="s">
        <v>26</v>
      </c>
      <c r="G174" s="11">
        <v>892</v>
      </c>
      <c r="H174" s="12" t="s">
        <v>41</v>
      </c>
      <c r="I174" s="12" t="s">
        <v>37</v>
      </c>
      <c r="J174" s="12" t="s">
        <v>228</v>
      </c>
      <c r="K174" s="12" t="s">
        <v>38</v>
      </c>
      <c r="L174" s="13">
        <v>37.5</v>
      </c>
      <c r="M174" s="13">
        <v>25</v>
      </c>
      <c r="N174" s="13">
        <v>1.5</v>
      </c>
      <c r="O174" s="13" t="s">
        <v>30</v>
      </c>
      <c r="P174" s="13">
        <v>43.5</v>
      </c>
      <c r="Q174" s="13">
        <v>0</v>
      </c>
      <c r="R174" s="14">
        <v>1087.5</v>
      </c>
      <c r="S174" s="15">
        <v>0</v>
      </c>
      <c r="T174" s="15">
        <v>0</v>
      </c>
      <c r="U174" s="15">
        <v>1087.5</v>
      </c>
      <c r="V174" s="15">
        <v>0</v>
      </c>
      <c r="W174" s="15">
        <v>1087.5</v>
      </c>
      <c r="X174" s="15">
        <v>0</v>
      </c>
      <c r="Y174" s="16">
        <v>0</v>
      </c>
      <c r="Z174" s="67" t="s">
        <v>26</v>
      </c>
      <c r="AA174" s="12" t="s">
        <v>31</v>
      </c>
    </row>
    <row r="175" spans="1:27" x14ac:dyDescent="0.25">
      <c r="A175" s="10">
        <v>45660</v>
      </c>
      <c r="B175" s="11" t="s">
        <v>26</v>
      </c>
      <c r="C175" s="11">
        <v>14676</v>
      </c>
      <c r="D175" s="11" t="s">
        <v>26</v>
      </c>
      <c r="E175" s="11" t="s">
        <v>552</v>
      </c>
      <c r="F175" s="11" t="s">
        <v>26</v>
      </c>
      <c r="G175" s="11">
        <v>57542</v>
      </c>
      <c r="H175" s="12" t="s">
        <v>4423</v>
      </c>
      <c r="I175" s="12" t="s">
        <v>27</v>
      </c>
      <c r="J175" s="12" t="s">
        <v>33</v>
      </c>
      <c r="K175" s="12" t="s">
        <v>34</v>
      </c>
      <c r="L175" s="13">
        <v>37.5</v>
      </c>
      <c r="M175" s="13">
        <v>25</v>
      </c>
      <c r="N175" s="13">
        <v>1.5</v>
      </c>
      <c r="O175" s="13">
        <v>45</v>
      </c>
      <c r="P175" s="13" t="s">
        <v>30</v>
      </c>
      <c r="Q175" s="13">
        <v>0</v>
      </c>
      <c r="R175" s="14">
        <v>1687.5</v>
      </c>
      <c r="S175" s="15">
        <v>0</v>
      </c>
      <c r="T175" s="15">
        <v>0</v>
      </c>
      <c r="U175" s="15">
        <v>1687.5</v>
      </c>
      <c r="V175" s="15">
        <v>1687.5</v>
      </c>
      <c r="W175" s="15">
        <v>0</v>
      </c>
      <c r="X175" s="15">
        <v>0</v>
      </c>
      <c r="Y175" s="16">
        <v>0</v>
      </c>
      <c r="Z175" s="67" t="s">
        <v>26</v>
      </c>
      <c r="AA175" s="12" t="s">
        <v>31</v>
      </c>
    </row>
    <row r="176" spans="1:27" x14ac:dyDescent="0.25">
      <c r="A176" s="10">
        <v>45660</v>
      </c>
      <c r="B176" s="11" t="s">
        <v>26</v>
      </c>
      <c r="C176" s="11">
        <v>14677</v>
      </c>
      <c r="D176" s="11" t="s">
        <v>26</v>
      </c>
      <c r="E176" s="11" t="s">
        <v>49</v>
      </c>
      <c r="F176" s="11" t="s">
        <v>26</v>
      </c>
      <c r="G176" s="11">
        <v>1482</v>
      </c>
      <c r="H176" s="12" t="s">
        <v>45</v>
      </c>
      <c r="I176" s="12" t="s">
        <v>27</v>
      </c>
      <c r="J176" s="12" t="s">
        <v>33</v>
      </c>
      <c r="K176" s="12" t="s">
        <v>34</v>
      </c>
      <c r="L176" s="13">
        <v>37.5</v>
      </c>
      <c r="M176" s="13">
        <v>25</v>
      </c>
      <c r="N176" s="13">
        <v>1.5</v>
      </c>
      <c r="O176" s="13" t="s">
        <v>30</v>
      </c>
      <c r="P176" s="13">
        <v>58</v>
      </c>
      <c r="Q176" s="13">
        <v>0</v>
      </c>
      <c r="R176" s="14">
        <v>1450</v>
      </c>
      <c r="S176" s="15">
        <v>0</v>
      </c>
      <c r="T176" s="15">
        <v>0</v>
      </c>
      <c r="U176" s="15">
        <v>1450</v>
      </c>
      <c r="V176" s="15">
        <v>0</v>
      </c>
      <c r="W176" s="15">
        <v>1450</v>
      </c>
      <c r="X176" s="15">
        <v>0</v>
      </c>
      <c r="Y176" s="16">
        <v>0</v>
      </c>
      <c r="Z176" s="67" t="s">
        <v>26</v>
      </c>
      <c r="AA176" s="12" t="s">
        <v>31</v>
      </c>
    </row>
    <row r="177" spans="1:27" x14ac:dyDescent="0.25">
      <c r="A177" s="10">
        <v>45660</v>
      </c>
      <c r="B177" s="11" t="s">
        <v>26</v>
      </c>
      <c r="C177" s="11">
        <v>14678</v>
      </c>
      <c r="D177" s="11" t="s">
        <v>26</v>
      </c>
      <c r="E177" s="11" t="s">
        <v>517</v>
      </c>
      <c r="F177" s="11" t="s">
        <v>26</v>
      </c>
      <c r="G177" s="11">
        <v>1447</v>
      </c>
      <c r="H177" s="12" t="s">
        <v>45</v>
      </c>
      <c r="I177" s="12" t="s">
        <v>27</v>
      </c>
      <c r="J177" s="12" t="s">
        <v>42</v>
      </c>
      <c r="K177" s="12" t="s">
        <v>43</v>
      </c>
      <c r="L177" s="13">
        <v>28.8</v>
      </c>
      <c r="M177" s="13">
        <v>18</v>
      </c>
      <c r="N177" s="13">
        <v>1.6</v>
      </c>
      <c r="O177" s="13" t="s">
        <v>30</v>
      </c>
      <c r="P177" s="13">
        <v>62</v>
      </c>
      <c r="Q177" s="13">
        <v>0</v>
      </c>
      <c r="R177" s="14">
        <v>1116</v>
      </c>
      <c r="S177" s="15">
        <v>0</v>
      </c>
      <c r="T177" s="15">
        <v>0</v>
      </c>
      <c r="U177" s="15">
        <v>1116</v>
      </c>
      <c r="V177" s="15">
        <v>0</v>
      </c>
      <c r="W177" s="15">
        <v>1116</v>
      </c>
      <c r="X177" s="15">
        <v>0</v>
      </c>
      <c r="Y177" s="16">
        <v>0</v>
      </c>
      <c r="Z177" s="67" t="s">
        <v>26</v>
      </c>
      <c r="AA177" s="12" t="s">
        <v>31</v>
      </c>
    </row>
    <row r="178" spans="1:27" x14ac:dyDescent="0.25">
      <c r="A178" s="10">
        <v>45660</v>
      </c>
      <c r="B178" s="11" t="s">
        <v>26</v>
      </c>
      <c r="C178" s="11">
        <v>14679</v>
      </c>
      <c r="D178" s="11" t="s">
        <v>26</v>
      </c>
      <c r="E178" s="11" t="s">
        <v>113</v>
      </c>
      <c r="F178" s="11" t="s">
        <v>26</v>
      </c>
      <c r="G178" s="11">
        <v>688</v>
      </c>
      <c r="H178" s="12" t="s">
        <v>6328</v>
      </c>
      <c r="I178" s="12" t="s">
        <v>55</v>
      </c>
      <c r="J178" s="12" t="s">
        <v>55</v>
      </c>
      <c r="K178" s="12" t="s">
        <v>56</v>
      </c>
      <c r="L178" s="13">
        <v>32</v>
      </c>
      <c r="M178" s="13">
        <v>20</v>
      </c>
      <c r="N178" s="13">
        <v>1.6</v>
      </c>
      <c r="O178" s="13">
        <v>15</v>
      </c>
      <c r="P178" s="13"/>
      <c r="Q178" s="13">
        <v>0</v>
      </c>
      <c r="R178" s="15">
        <v>480</v>
      </c>
      <c r="S178" s="15">
        <v>0</v>
      </c>
      <c r="T178" s="15">
        <v>0</v>
      </c>
      <c r="U178" s="15">
        <v>480</v>
      </c>
      <c r="V178" s="15">
        <v>0</v>
      </c>
      <c r="W178" s="15">
        <v>480</v>
      </c>
      <c r="X178" s="15">
        <v>0</v>
      </c>
      <c r="Y178" s="16">
        <v>0</v>
      </c>
      <c r="Z178" s="67" t="s">
        <v>26</v>
      </c>
      <c r="AA178" s="12" t="s">
        <v>31</v>
      </c>
    </row>
    <row r="179" spans="1:27" x14ac:dyDescent="0.25">
      <c r="A179" s="10">
        <v>45660</v>
      </c>
      <c r="B179" s="11" t="s">
        <v>26</v>
      </c>
      <c r="C179" s="11">
        <v>14680</v>
      </c>
      <c r="D179" s="11" t="s">
        <v>26</v>
      </c>
      <c r="E179" s="11" t="s">
        <v>1202</v>
      </c>
      <c r="F179" s="11" t="s">
        <v>26</v>
      </c>
      <c r="G179" s="11" t="s">
        <v>26</v>
      </c>
      <c r="H179" s="12" t="s">
        <v>4422</v>
      </c>
      <c r="I179" s="12" t="s">
        <v>27</v>
      </c>
      <c r="J179" s="12" t="s">
        <v>42</v>
      </c>
      <c r="K179" s="12" t="s">
        <v>43</v>
      </c>
      <c r="L179" s="13">
        <v>44.18</v>
      </c>
      <c r="M179" s="13">
        <v>25</v>
      </c>
      <c r="N179" s="13">
        <v>1.7672000000000001</v>
      </c>
      <c r="O179" s="13">
        <v>83</v>
      </c>
      <c r="P179" s="13" t="s">
        <v>30</v>
      </c>
      <c r="Q179" s="13">
        <v>0</v>
      </c>
      <c r="R179" s="15">
        <v>3666.94</v>
      </c>
      <c r="S179" s="15">
        <v>38</v>
      </c>
      <c r="T179" s="15">
        <v>1678.84</v>
      </c>
      <c r="U179" s="15">
        <v>1988.1000000000001</v>
      </c>
      <c r="V179" s="15">
        <v>1988.1000000000001</v>
      </c>
      <c r="W179" s="15">
        <v>0</v>
      </c>
      <c r="X179" s="15">
        <v>1590.48</v>
      </c>
      <c r="Y179" s="16">
        <v>88.3599999999999</v>
      </c>
      <c r="Z179" s="67" t="s">
        <v>141</v>
      </c>
      <c r="AA179" s="12" t="s">
        <v>78</v>
      </c>
    </row>
    <row r="180" spans="1:27" x14ac:dyDescent="0.25">
      <c r="A180" s="10">
        <v>45660</v>
      </c>
      <c r="B180" s="11" t="s">
        <v>26</v>
      </c>
      <c r="C180" s="11">
        <v>14681</v>
      </c>
      <c r="D180" s="11" t="s">
        <v>26</v>
      </c>
      <c r="E180" s="11" t="s">
        <v>509</v>
      </c>
      <c r="F180" s="11" t="s">
        <v>26</v>
      </c>
      <c r="G180" s="11" t="s">
        <v>26</v>
      </c>
      <c r="H180" s="12" t="s">
        <v>4422</v>
      </c>
      <c r="I180" s="12" t="s">
        <v>27</v>
      </c>
      <c r="J180" s="12" t="s">
        <v>33</v>
      </c>
      <c r="K180" s="12" t="s">
        <v>34</v>
      </c>
      <c r="L180" s="13">
        <v>42.24</v>
      </c>
      <c r="M180" s="13">
        <v>29</v>
      </c>
      <c r="N180" s="13">
        <v>1.4565517241379311</v>
      </c>
      <c r="O180" s="13">
        <v>85</v>
      </c>
      <c r="P180" s="13" t="s">
        <v>30</v>
      </c>
      <c r="Q180" s="13">
        <v>0</v>
      </c>
      <c r="R180" s="14">
        <v>3590.4</v>
      </c>
      <c r="S180" s="15">
        <v>38</v>
      </c>
      <c r="T180" s="15">
        <v>1605.1200000000001</v>
      </c>
      <c r="U180" s="15">
        <v>1985.28</v>
      </c>
      <c r="V180" s="15">
        <v>1985.28</v>
      </c>
      <c r="W180" s="15">
        <v>0</v>
      </c>
      <c r="X180" s="15">
        <v>1520.64</v>
      </c>
      <c r="Y180" s="16">
        <v>84.480000000000018</v>
      </c>
      <c r="Z180" s="67" t="s">
        <v>141</v>
      </c>
      <c r="AA180" s="12" t="s">
        <v>78</v>
      </c>
    </row>
    <row r="181" spans="1:27" x14ac:dyDescent="0.25">
      <c r="A181" s="10">
        <v>45660</v>
      </c>
      <c r="B181" s="11" t="s">
        <v>26</v>
      </c>
      <c r="C181" s="11">
        <v>14682</v>
      </c>
      <c r="D181" s="11" t="s">
        <v>26</v>
      </c>
      <c r="E181" s="11" t="s">
        <v>240</v>
      </c>
      <c r="F181" s="11" t="s">
        <v>26</v>
      </c>
      <c r="G181" s="11" t="s">
        <v>26</v>
      </c>
      <c r="H181" s="12" t="s">
        <v>146</v>
      </c>
      <c r="I181" s="12" t="s">
        <v>27</v>
      </c>
      <c r="J181" s="12" t="s">
        <v>42</v>
      </c>
      <c r="K181" s="12" t="s">
        <v>43</v>
      </c>
      <c r="L181" s="13">
        <v>44.35</v>
      </c>
      <c r="M181" s="13">
        <v>25</v>
      </c>
      <c r="N181" s="13">
        <v>1.774</v>
      </c>
      <c r="O181" s="13">
        <v>91</v>
      </c>
      <c r="P181" s="13" t="s">
        <v>30</v>
      </c>
      <c r="Q181" s="13">
        <v>0</v>
      </c>
      <c r="R181" s="15">
        <v>4035.85</v>
      </c>
      <c r="S181" s="15">
        <v>40</v>
      </c>
      <c r="T181" s="15">
        <v>1774</v>
      </c>
      <c r="U181" s="15">
        <v>2261.85</v>
      </c>
      <c r="V181" s="15">
        <v>2261.85</v>
      </c>
      <c r="W181" s="15">
        <v>0</v>
      </c>
      <c r="X181" s="15">
        <v>1640.95</v>
      </c>
      <c r="Y181" s="16">
        <v>133.04999999999995</v>
      </c>
      <c r="Z181" s="67" t="s">
        <v>41</v>
      </c>
      <c r="AA181" s="12" t="s">
        <v>79</v>
      </c>
    </row>
    <row r="182" spans="1:27" x14ac:dyDescent="0.25">
      <c r="A182" s="10">
        <v>45660</v>
      </c>
      <c r="B182" s="11" t="s">
        <v>26</v>
      </c>
      <c r="C182" s="11">
        <v>14683</v>
      </c>
      <c r="D182" s="11" t="s">
        <v>26</v>
      </c>
      <c r="E182" s="11" t="s">
        <v>224</v>
      </c>
      <c r="F182" s="11" t="s">
        <v>26</v>
      </c>
      <c r="G182" s="11">
        <v>57828</v>
      </c>
      <c r="H182" s="12" t="s">
        <v>4423</v>
      </c>
      <c r="I182" s="12" t="s">
        <v>27</v>
      </c>
      <c r="J182" s="12" t="s">
        <v>33</v>
      </c>
      <c r="K182" s="12" t="s">
        <v>34</v>
      </c>
      <c r="L182" s="13">
        <v>37.5</v>
      </c>
      <c r="M182" s="13">
        <v>25</v>
      </c>
      <c r="N182" s="13">
        <v>1.5</v>
      </c>
      <c r="O182" s="13">
        <v>45</v>
      </c>
      <c r="P182" s="13" t="s">
        <v>30</v>
      </c>
      <c r="Q182" s="13">
        <v>0</v>
      </c>
      <c r="R182" s="14">
        <v>1687.5</v>
      </c>
      <c r="S182" s="15">
        <v>0</v>
      </c>
      <c r="T182" s="15">
        <v>0</v>
      </c>
      <c r="U182" s="15">
        <v>1687.5</v>
      </c>
      <c r="V182" s="15">
        <v>1687.5</v>
      </c>
      <c r="W182" s="15">
        <v>0</v>
      </c>
      <c r="X182" s="15">
        <v>0</v>
      </c>
      <c r="Y182" s="16">
        <v>0</v>
      </c>
      <c r="Z182" s="67" t="s">
        <v>26</v>
      </c>
      <c r="AA182" s="12" t="s">
        <v>31</v>
      </c>
    </row>
    <row r="183" spans="1:27" x14ac:dyDescent="0.25">
      <c r="A183" s="10">
        <v>45660</v>
      </c>
      <c r="B183" s="11" t="s">
        <v>26</v>
      </c>
      <c r="C183" s="11">
        <v>14684</v>
      </c>
      <c r="D183" s="11" t="s">
        <v>26</v>
      </c>
      <c r="E183" s="11" t="s">
        <v>604</v>
      </c>
      <c r="F183" s="11" t="s">
        <v>26</v>
      </c>
      <c r="G183" s="11" t="s">
        <v>26</v>
      </c>
      <c r="H183" s="12" t="s">
        <v>4422</v>
      </c>
      <c r="I183" s="12" t="s">
        <v>27</v>
      </c>
      <c r="J183" s="12" t="s">
        <v>42</v>
      </c>
      <c r="K183" s="12" t="s">
        <v>43</v>
      </c>
      <c r="L183" s="13">
        <v>44.59</v>
      </c>
      <c r="M183" s="13">
        <v>25</v>
      </c>
      <c r="N183" s="13">
        <v>1.7807999999999999</v>
      </c>
      <c r="O183" s="13">
        <v>83</v>
      </c>
      <c r="P183" s="13" t="s">
        <v>30</v>
      </c>
      <c r="Q183" s="13">
        <v>0</v>
      </c>
      <c r="R183" s="14">
        <v>3700.9700000000003</v>
      </c>
      <c r="S183" s="15">
        <v>38</v>
      </c>
      <c r="T183" s="15">
        <v>1694.42</v>
      </c>
      <c r="U183" s="15">
        <v>2006.5500000000002</v>
      </c>
      <c r="V183" s="15">
        <v>2006.5500000000002</v>
      </c>
      <c r="W183" s="15">
        <v>0</v>
      </c>
      <c r="X183" s="15">
        <v>1605.2400000000002</v>
      </c>
      <c r="Y183" s="16">
        <v>89.179999999999836</v>
      </c>
      <c r="Z183" s="67" t="s">
        <v>141</v>
      </c>
      <c r="AA183" s="12" t="s">
        <v>78</v>
      </c>
    </row>
    <row r="184" spans="1:27" x14ac:dyDescent="0.25">
      <c r="A184" s="10">
        <v>45660</v>
      </c>
      <c r="B184" s="11" t="s">
        <v>26</v>
      </c>
      <c r="C184" s="11">
        <v>14685</v>
      </c>
      <c r="D184" s="11" t="s">
        <v>26</v>
      </c>
      <c r="E184" s="11" t="s">
        <v>589</v>
      </c>
      <c r="F184" s="11" t="s">
        <v>26</v>
      </c>
      <c r="G184" s="11">
        <v>69541</v>
      </c>
      <c r="H184" s="12" t="s">
        <v>4423</v>
      </c>
      <c r="I184" s="12" t="s">
        <v>27</v>
      </c>
      <c r="J184" s="12" t="s">
        <v>33</v>
      </c>
      <c r="K184" s="12" t="s">
        <v>34</v>
      </c>
      <c r="L184" s="13">
        <v>37.5</v>
      </c>
      <c r="M184" s="13">
        <v>25</v>
      </c>
      <c r="N184" s="13">
        <v>1.5</v>
      </c>
      <c r="O184" s="13">
        <v>45</v>
      </c>
      <c r="P184" s="13" t="s">
        <v>30</v>
      </c>
      <c r="Q184" s="13">
        <v>0</v>
      </c>
      <c r="R184" s="15">
        <v>1687.5</v>
      </c>
      <c r="S184" s="15">
        <v>0</v>
      </c>
      <c r="T184" s="15">
        <v>0</v>
      </c>
      <c r="U184" s="15">
        <v>1687.5</v>
      </c>
      <c r="V184" s="15">
        <v>1687.5</v>
      </c>
      <c r="W184" s="15">
        <v>0</v>
      </c>
      <c r="X184" s="15">
        <v>0</v>
      </c>
      <c r="Y184" s="16">
        <v>0</v>
      </c>
      <c r="Z184" s="67" t="s">
        <v>26</v>
      </c>
      <c r="AA184" s="12" t="s">
        <v>31</v>
      </c>
    </row>
    <row r="185" spans="1:27" x14ac:dyDescent="0.25">
      <c r="A185" s="10">
        <v>45660</v>
      </c>
      <c r="B185" s="11" t="s">
        <v>26</v>
      </c>
      <c r="C185" s="11">
        <v>14686</v>
      </c>
      <c r="D185" s="11" t="s">
        <v>26</v>
      </c>
      <c r="E185" s="11" t="s">
        <v>567</v>
      </c>
      <c r="F185" s="11" t="s">
        <v>26</v>
      </c>
      <c r="G185" s="11">
        <v>111871</v>
      </c>
      <c r="H185" s="12" t="s">
        <v>4446</v>
      </c>
      <c r="I185" s="12" t="s">
        <v>27</v>
      </c>
      <c r="J185" s="12" t="s">
        <v>33</v>
      </c>
      <c r="K185" s="12" t="s">
        <v>34</v>
      </c>
      <c r="L185" s="13">
        <v>37.5</v>
      </c>
      <c r="M185" s="13">
        <v>25</v>
      </c>
      <c r="N185" s="13">
        <v>1.5</v>
      </c>
      <c r="O185" s="13">
        <v>44</v>
      </c>
      <c r="P185" s="13" t="s">
        <v>30</v>
      </c>
      <c r="Q185" s="13">
        <v>0</v>
      </c>
      <c r="R185" s="15">
        <v>1650</v>
      </c>
      <c r="S185" s="15">
        <v>0</v>
      </c>
      <c r="T185" s="15">
        <v>0</v>
      </c>
      <c r="U185" s="15">
        <v>1650</v>
      </c>
      <c r="V185" s="15">
        <v>1650</v>
      </c>
      <c r="W185" s="15">
        <v>0</v>
      </c>
      <c r="X185" s="15">
        <v>0</v>
      </c>
      <c r="Y185" s="16">
        <v>0</v>
      </c>
      <c r="Z185" s="67" t="s">
        <v>26</v>
      </c>
      <c r="AA185" s="12" t="s">
        <v>31</v>
      </c>
    </row>
    <row r="186" spans="1:27" x14ac:dyDescent="0.25">
      <c r="A186" s="10">
        <v>45660</v>
      </c>
      <c r="B186" s="11" t="s">
        <v>26</v>
      </c>
      <c r="C186" s="11">
        <v>14687</v>
      </c>
      <c r="D186" s="11" t="s">
        <v>26</v>
      </c>
      <c r="E186" s="11" t="s">
        <v>658</v>
      </c>
      <c r="F186" s="11" t="s">
        <v>26</v>
      </c>
      <c r="G186" s="11" t="s">
        <v>26</v>
      </c>
      <c r="H186" s="12" t="s">
        <v>4422</v>
      </c>
      <c r="I186" s="12" t="s">
        <v>27</v>
      </c>
      <c r="J186" s="12" t="s">
        <v>47</v>
      </c>
      <c r="K186" s="12" t="s">
        <v>48</v>
      </c>
      <c r="L186" s="13">
        <v>40.1</v>
      </c>
      <c r="M186" s="13">
        <v>28</v>
      </c>
      <c r="N186" s="13">
        <v>1.4321428571428569</v>
      </c>
      <c r="O186" s="13">
        <v>87</v>
      </c>
      <c r="P186" s="13" t="s">
        <v>30</v>
      </c>
      <c r="Q186" s="13">
        <v>0</v>
      </c>
      <c r="R186" s="15">
        <v>3488.7000000000003</v>
      </c>
      <c r="S186" s="15">
        <v>38</v>
      </c>
      <c r="T186" s="15">
        <v>1523.8</v>
      </c>
      <c r="U186" s="15">
        <v>1964.9000000000003</v>
      </c>
      <c r="V186" s="15">
        <v>1964.9000000000003</v>
      </c>
      <c r="W186" s="15">
        <v>0</v>
      </c>
      <c r="X186" s="15">
        <v>1443.6000000000001</v>
      </c>
      <c r="Y186" s="16">
        <v>80.199999999999818</v>
      </c>
      <c r="Z186" s="67" t="s">
        <v>141</v>
      </c>
      <c r="AA186" s="12" t="s">
        <v>78</v>
      </c>
    </row>
    <row r="187" spans="1:27" x14ac:dyDescent="0.25">
      <c r="A187" s="10">
        <v>45660</v>
      </c>
      <c r="B187" s="11" t="s">
        <v>26</v>
      </c>
      <c r="C187" s="11">
        <v>14688</v>
      </c>
      <c r="D187" s="11" t="s">
        <v>26</v>
      </c>
      <c r="E187" s="11" t="s">
        <v>75</v>
      </c>
      <c r="F187" s="11" t="s">
        <v>26</v>
      </c>
      <c r="G187" s="11">
        <v>42258</v>
      </c>
      <c r="H187" s="12" t="s">
        <v>565</v>
      </c>
      <c r="I187" s="12" t="s">
        <v>27</v>
      </c>
      <c r="J187" s="12" t="s">
        <v>42</v>
      </c>
      <c r="K187" s="12" t="s">
        <v>43</v>
      </c>
      <c r="L187" s="13">
        <v>40</v>
      </c>
      <c r="M187" s="13">
        <v>25</v>
      </c>
      <c r="N187" s="13">
        <v>1.6</v>
      </c>
      <c r="O187" s="13"/>
      <c r="P187" s="13">
        <v>64</v>
      </c>
      <c r="Q187" s="13">
        <v>0</v>
      </c>
      <c r="R187" s="15">
        <v>1600</v>
      </c>
      <c r="S187" s="15">
        <v>0</v>
      </c>
      <c r="T187" s="15">
        <v>0</v>
      </c>
      <c r="U187" s="15">
        <v>1600</v>
      </c>
      <c r="V187" s="15">
        <v>0</v>
      </c>
      <c r="W187" s="15">
        <v>1600</v>
      </c>
      <c r="X187" s="15">
        <v>0</v>
      </c>
      <c r="Y187" s="16">
        <v>0</v>
      </c>
      <c r="Z187" s="67" t="s">
        <v>26</v>
      </c>
      <c r="AA187" s="12" t="s">
        <v>31</v>
      </c>
    </row>
    <row r="188" spans="1:27" x14ac:dyDescent="0.25">
      <c r="A188" s="10">
        <v>45660</v>
      </c>
      <c r="B188" s="11" t="s">
        <v>26</v>
      </c>
      <c r="C188" s="11">
        <v>14689</v>
      </c>
      <c r="D188" s="11" t="s">
        <v>26</v>
      </c>
      <c r="E188" s="11" t="s">
        <v>80</v>
      </c>
      <c r="F188" s="11" t="s">
        <v>26</v>
      </c>
      <c r="G188" s="11">
        <v>10271</v>
      </c>
      <c r="H188" s="12" t="s">
        <v>140</v>
      </c>
      <c r="I188" s="12" t="s">
        <v>27</v>
      </c>
      <c r="J188" s="12" t="s">
        <v>33</v>
      </c>
      <c r="K188" s="12" t="s">
        <v>34</v>
      </c>
      <c r="L188" s="13">
        <v>37.5</v>
      </c>
      <c r="M188" s="13">
        <v>25</v>
      </c>
      <c r="N188" s="13">
        <v>1.5</v>
      </c>
      <c r="O188" s="13">
        <v>40</v>
      </c>
      <c r="P188" s="13"/>
      <c r="Q188" s="13">
        <v>0</v>
      </c>
      <c r="R188" s="14">
        <v>1500</v>
      </c>
      <c r="S188" s="15">
        <v>0</v>
      </c>
      <c r="T188" s="15">
        <v>0</v>
      </c>
      <c r="U188" s="15">
        <v>1500</v>
      </c>
      <c r="V188" s="15">
        <v>0</v>
      </c>
      <c r="W188" s="15">
        <v>1500</v>
      </c>
      <c r="X188" s="15">
        <v>0</v>
      </c>
      <c r="Y188" s="16">
        <v>0</v>
      </c>
      <c r="Z188" s="67" t="s">
        <v>26</v>
      </c>
      <c r="AA188" s="12" t="s">
        <v>31</v>
      </c>
    </row>
    <row r="189" spans="1:27" x14ac:dyDescent="0.25">
      <c r="A189" s="10">
        <v>45660</v>
      </c>
      <c r="B189" s="11" t="s">
        <v>26</v>
      </c>
      <c r="C189" s="11">
        <v>14690</v>
      </c>
      <c r="D189" s="11" t="s">
        <v>26</v>
      </c>
      <c r="E189" s="11" t="s">
        <v>57</v>
      </c>
      <c r="F189" s="11" t="s">
        <v>26</v>
      </c>
      <c r="G189" s="11" t="s">
        <v>26</v>
      </c>
      <c r="H189" s="12" t="s">
        <v>4422</v>
      </c>
      <c r="I189" s="12" t="s">
        <v>27</v>
      </c>
      <c r="J189" s="12" t="s">
        <v>33</v>
      </c>
      <c r="K189" s="12" t="s">
        <v>34</v>
      </c>
      <c r="L189" s="13">
        <v>42.36</v>
      </c>
      <c r="M189" s="13">
        <v>29</v>
      </c>
      <c r="N189" s="13">
        <v>1.460689655172414</v>
      </c>
      <c r="O189" s="13">
        <v>85</v>
      </c>
      <c r="P189" s="13" t="s">
        <v>30</v>
      </c>
      <c r="Q189" s="13">
        <v>0</v>
      </c>
      <c r="R189" s="14">
        <v>3600.6</v>
      </c>
      <c r="S189" s="15">
        <v>38</v>
      </c>
      <c r="T189" s="15">
        <v>1609.68</v>
      </c>
      <c r="U189" s="15">
        <v>1990.9199999999998</v>
      </c>
      <c r="V189" s="15">
        <v>1990.9199999999998</v>
      </c>
      <c r="W189" s="15">
        <v>0</v>
      </c>
      <c r="X189" s="15">
        <v>1567.32</v>
      </c>
      <c r="Y189" s="16">
        <v>42.360000000000127</v>
      </c>
      <c r="Z189" s="67" t="s">
        <v>41</v>
      </c>
      <c r="AA189" s="12" t="s">
        <v>78</v>
      </c>
    </row>
    <row r="190" spans="1:27" x14ac:dyDescent="0.25">
      <c r="A190" s="10">
        <v>45660</v>
      </c>
      <c r="B190" s="11" t="s">
        <v>26</v>
      </c>
      <c r="C190" s="11">
        <v>14691</v>
      </c>
      <c r="D190" s="11" t="s">
        <v>26</v>
      </c>
      <c r="E190" s="11" t="s">
        <v>53</v>
      </c>
      <c r="F190" s="11" t="s">
        <v>26</v>
      </c>
      <c r="G190" s="11" t="s">
        <v>26</v>
      </c>
      <c r="H190" s="12" t="s">
        <v>4422</v>
      </c>
      <c r="I190" s="12" t="s">
        <v>27</v>
      </c>
      <c r="J190" s="12" t="s">
        <v>42</v>
      </c>
      <c r="K190" s="12" t="s">
        <v>43</v>
      </c>
      <c r="L190" s="13">
        <v>42.64</v>
      </c>
      <c r="M190" s="13">
        <v>29</v>
      </c>
      <c r="N190" s="13">
        <v>1.470344827586207</v>
      </c>
      <c r="O190" s="13">
        <v>83</v>
      </c>
      <c r="P190" s="13" t="s">
        <v>30</v>
      </c>
      <c r="Q190" s="13">
        <v>0</v>
      </c>
      <c r="R190" s="14">
        <v>3539.12</v>
      </c>
      <c r="S190" s="15">
        <v>38</v>
      </c>
      <c r="T190" s="15">
        <v>1620.32</v>
      </c>
      <c r="U190" s="15">
        <v>1918.8</v>
      </c>
      <c r="V190" s="15">
        <v>1918.8</v>
      </c>
      <c r="W190" s="15">
        <v>0</v>
      </c>
      <c r="X190" s="15">
        <v>1577.68</v>
      </c>
      <c r="Y190" s="16">
        <v>42.639999999999873</v>
      </c>
      <c r="Z190" s="67" t="s">
        <v>41</v>
      </c>
      <c r="AA190" s="12" t="s">
        <v>78</v>
      </c>
    </row>
    <row r="191" spans="1:27" x14ac:dyDescent="0.25">
      <c r="A191" s="10">
        <v>45660</v>
      </c>
      <c r="B191" s="11" t="s">
        <v>26</v>
      </c>
      <c r="C191" s="11">
        <v>14692</v>
      </c>
      <c r="D191" s="11" t="s">
        <v>26</v>
      </c>
      <c r="E191" s="11" t="s">
        <v>501</v>
      </c>
      <c r="F191" s="11" t="s">
        <v>26</v>
      </c>
      <c r="G191" s="11" t="s">
        <v>26</v>
      </c>
      <c r="H191" s="12" t="s">
        <v>4422</v>
      </c>
      <c r="I191" s="12" t="s">
        <v>27</v>
      </c>
      <c r="J191" s="12" t="s">
        <v>42</v>
      </c>
      <c r="K191" s="12" t="s">
        <v>43</v>
      </c>
      <c r="L191" s="13">
        <v>41.24</v>
      </c>
      <c r="M191" s="13">
        <v>25</v>
      </c>
      <c r="N191" s="13">
        <v>1.6496</v>
      </c>
      <c r="O191" s="13">
        <v>83</v>
      </c>
      <c r="P191" s="13" t="s">
        <v>30</v>
      </c>
      <c r="Q191" s="13">
        <v>0</v>
      </c>
      <c r="R191" s="14">
        <v>3422.92</v>
      </c>
      <c r="S191" s="15">
        <v>38</v>
      </c>
      <c r="T191" s="15">
        <v>1567.1200000000001</v>
      </c>
      <c r="U191" s="15">
        <v>1855.8</v>
      </c>
      <c r="V191" s="15">
        <v>1855.8</v>
      </c>
      <c r="W191" s="15">
        <v>0</v>
      </c>
      <c r="X191" s="15">
        <v>1484.64</v>
      </c>
      <c r="Y191" s="16">
        <v>82.480000000000018</v>
      </c>
      <c r="Z191" s="67" t="s">
        <v>141</v>
      </c>
      <c r="AA191" s="12" t="s">
        <v>78</v>
      </c>
    </row>
    <row r="192" spans="1:27" x14ac:dyDescent="0.25">
      <c r="A192" s="10">
        <v>45660</v>
      </c>
      <c r="B192" s="11" t="s">
        <v>26</v>
      </c>
      <c r="C192" s="11">
        <v>14693</v>
      </c>
      <c r="D192" s="11" t="s">
        <v>26</v>
      </c>
      <c r="E192" s="11" t="s">
        <v>98</v>
      </c>
      <c r="F192" s="11" t="s">
        <v>26</v>
      </c>
      <c r="G192" s="11">
        <v>10122</v>
      </c>
      <c r="H192" s="12" t="s">
        <v>140</v>
      </c>
      <c r="I192" s="12" t="s">
        <v>27</v>
      </c>
      <c r="J192" s="12" t="s">
        <v>47</v>
      </c>
      <c r="K192" s="12" t="s">
        <v>48</v>
      </c>
      <c r="L192" s="13">
        <v>37.5</v>
      </c>
      <c r="M192" s="13">
        <v>25</v>
      </c>
      <c r="N192" s="13">
        <v>1.5</v>
      </c>
      <c r="O192" s="13">
        <v>40</v>
      </c>
      <c r="P192" s="13"/>
      <c r="Q192" s="13">
        <v>0</v>
      </c>
      <c r="R192" s="14">
        <v>1500</v>
      </c>
      <c r="S192" s="15">
        <v>0</v>
      </c>
      <c r="T192" s="15">
        <v>0</v>
      </c>
      <c r="U192" s="15">
        <v>1500</v>
      </c>
      <c r="V192" s="15">
        <v>0</v>
      </c>
      <c r="W192" s="15">
        <v>1500</v>
      </c>
      <c r="X192" s="15">
        <v>0</v>
      </c>
      <c r="Y192" s="16">
        <v>0</v>
      </c>
      <c r="Z192" s="67" t="s">
        <v>26</v>
      </c>
      <c r="AA192" s="12" t="s">
        <v>31</v>
      </c>
    </row>
    <row r="193" spans="1:27" x14ac:dyDescent="0.25">
      <c r="A193" s="10">
        <v>45660</v>
      </c>
      <c r="B193" s="11" t="s">
        <v>26</v>
      </c>
      <c r="C193" s="11">
        <v>14694</v>
      </c>
      <c r="D193" s="11" t="s">
        <v>26</v>
      </c>
      <c r="E193" s="11" t="s">
        <v>506</v>
      </c>
      <c r="F193" s="11" t="s">
        <v>26</v>
      </c>
      <c r="G193" s="11">
        <v>1435</v>
      </c>
      <c r="H193" s="12" t="s">
        <v>45</v>
      </c>
      <c r="I193" s="12" t="s">
        <v>27</v>
      </c>
      <c r="J193" s="12" t="s">
        <v>33</v>
      </c>
      <c r="K193" s="12" t="s">
        <v>34</v>
      </c>
      <c r="L193" s="13">
        <v>37.5</v>
      </c>
      <c r="M193" s="13">
        <v>25</v>
      </c>
      <c r="N193" s="13">
        <v>1.5</v>
      </c>
      <c r="O193" s="13" t="s">
        <v>30</v>
      </c>
      <c r="P193" s="13">
        <v>58</v>
      </c>
      <c r="Q193" s="13">
        <v>0</v>
      </c>
      <c r="R193" s="14">
        <v>1450</v>
      </c>
      <c r="S193" s="15">
        <v>0</v>
      </c>
      <c r="T193" s="15">
        <v>0</v>
      </c>
      <c r="U193" s="15">
        <v>1450</v>
      </c>
      <c r="V193" s="15">
        <v>0</v>
      </c>
      <c r="W193" s="15">
        <v>1450</v>
      </c>
      <c r="X193" s="15">
        <v>0</v>
      </c>
      <c r="Y193" s="16">
        <v>0</v>
      </c>
      <c r="Z193" s="67" t="s">
        <v>26</v>
      </c>
      <c r="AA193" s="12" t="s">
        <v>31</v>
      </c>
    </row>
    <row r="194" spans="1:27" x14ac:dyDescent="0.25">
      <c r="A194" s="10">
        <v>45660</v>
      </c>
      <c r="B194" s="11" t="s">
        <v>26</v>
      </c>
      <c r="C194" s="11">
        <v>14695</v>
      </c>
      <c r="D194" s="11" t="s">
        <v>26</v>
      </c>
      <c r="E194" s="11" t="s">
        <v>32</v>
      </c>
      <c r="F194" s="11" t="s">
        <v>26</v>
      </c>
      <c r="G194" s="11">
        <v>1444</v>
      </c>
      <c r="H194" s="12" t="s">
        <v>45</v>
      </c>
      <c r="I194" s="12" t="s">
        <v>27</v>
      </c>
      <c r="J194" s="12" t="s">
        <v>42</v>
      </c>
      <c r="K194" s="12" t="s">
        <v>43</v>
      </c>
      <c r="L194" s="13">
        <v>40</v>
      </c>
      <c r="M194" s="13">
        <v>25</v>
      </c>
      <c r="N194" s="13">
        <v>1.6</v>
      </c>
      <c r="O194" s="13" t="s">
        <v>30</v>
      </c>
      <c r="P194" s="13">
        <v>62</v>
      </c>
      <c r="Q194" s="13">
        <v>0</v>
      </c>
      <c r="R194" s="14">
        <v>1550</v>
      </c>
      <c r="S194" s="15">
        <v>0</v>
      </c>
      <c r="T194" s="15">
        <v>0</v>
      </c>
      <c r="U194" s="15">
        <v>1550</v>
      </c>
      <c r="V194" s="15">
        <v>0</v>
      </c>
      <c r="W194" s="15">
        <v>1550</v>
      </c>
      <c r="X194" s="15">
        <v>0</v>
      </c>
      <c r="Y194" s="16">
        <v>0</v>
      </c>
      <c r="Z194" s="67" t="s">
        <v>26</v>
      </c>
      <c r="AA194" s="12" t="s">
        <v>31</v>
      </c>
    </row>
    <row r="195" spans="1:27" x14ac:dyDescent="0.25">
      <c r="A195" s="10">
        <v>45660</v>
      </c>
      <c r="B195" s="11" t="s">
        <v>26</v>
      </c>
      <c r="C195" s="11">
        <v>14696</v>
      </c>
      <c r="D195" s="11" t="s">
        <v>26</v>
      </c>
      <c r="E195" s="11" t="s">
        <v>244</v>
      </c>
      <c r="F195" s="11" t="s">
        <v>26</v>
      </c>
      <c r="G195" s="11">
        <v>482</v>
      </c>
      <c r="H195" s="12" t="s">
        <v>141</v>
      </c>
      <c r="I195" s="12" t="s">
        <v>37</v>
      </c>
      <c r="J195" s="12" t="s">
        <v>85</v>
      </c>
      <c r="K195" s="12" t="s">
        <v>86</v>
      </c>
      <c r="L195" s="13">
        <v>37.5</v>
      </c>
      <c r="M195" s="13">
        <v>25</v>
      </c>
      <c r="N195" s="13">
        <v>1.5</v>
      </c>
      <c r="O195" s="13">
        <v>29</v>
      </c>
      <c r="P195" s="13" t="s">
        <v>30</v>
      </c>
      <c r="Q195" s="13">
        <v>0</v>
      </c>
      <c r="R195" s="14">
        <v>1087.5</v>
      </c>
      <c r="S195" s="15">
        <v>0</v>
      </c>
      <c r="T195" s="15">
        <v>0</v>
      </c>
      <c r="U195" s="15">
        <v>1087.5</v>
      </c>
      <c r="V195" s="15">
        <v>0</v>
      </c>
      <c r="W195" s="15">
        <v>1087.5</v>
      </c>
      <c r="X195" s="15">
        <v>0</v>
      </c>
      <c r="Y195" s="16">
        <v>0</v>
      </c>
      <c r="Z195" s="67" t="s">
        <v>26</v>
      </c>
      <c r="AA195" s="12" t="s">
        <v>31</v>
      </c>
    </row>
    <row r="196" spans="1:27" x14ac:dyDescent="0.25">
      <c r="A196" s="10">
        <v>45660</v>
      </c>
      <c r="B196" s="11" t="s">
        <v>26</v>
      </c>
      <c r="C196" s="11">
        <v>14697</v>
      </c>
      <c r="D196" s="11" t="s">
        <v>26</v>
      </c>
      <c r="E196" s="11" t="s">
        <v>552</v>
      </c>
      <c r="F196" s="11" t="s">
        <v>26</v>
      </c>
      <c r="G196" s="11">
        <v>57543</v>
      </c>
      <c r="H196" s="12" t="s">
        <v>4423</v>
      </c>
      <c r="I196" s="12" t="s">
        <v>27</v>
      </c>
      <c r="J196" s="12" t="s">
        <v>47</v>
      </c>
      <c r="K196" s="12" t="s">
        <v>48</v>
      </c>
      <c r="L196" s="13">
        <v>37.5</v>
      </c>
      <c r="M196" s="13">
        <v>25</v>
      </c>
      <c r="N196" s="13">
        <v>1.5</v>
      </c>
      <c r="O196" s="13">
        <v>46</v>
      </c>
      <c r="P196" s="13" t="s">
        <v>30</v>
      </c>
      <c r="Q196" s="13">
        <v>0</v>
      </c>
      <c r="R196" s="15">
        <v>1725</v>
      </c>
      <c r="S196" s="15">
        <v>0</v>
      </c>
      <c r="T196" s="15">
        <v>0</v>
      </c>
      <c r="U196" s="15">
        <v>1725</v>
      </c>
      <c r="V196" s="15">
        <v>1725</v>
      </c>
      <c r="W196" s="15">
        <v>0</v>
      </c>
      <c r="X196" s="15">
        <v>0</v>
      </c>
      <c r="Y196" s="16">
        <v>0</v>
      </c>
      <c r="Z196" s="67" t="s">
        <v>26</v>
      </c>
      <c r="AA196" s="12" t="s">
        <v>31</v>
      </c>
    </row>
    <row r="197" spans="1:27" x14ac:dyDescent="0.25">
      <c r="A197" s="10">
        <v>45660</v>
      </c>
      <c r="B197" s="11" t="s">
        <v>26</v>
      </c>
      <c r="C197" s="11">
        <v>14698</v>
      </c>
      <c r="D197" s="11" t="s">
        <v>26</v>
      </c>
      <c r="E197" s="11" t="s">
        <v>520</v>
      </c>
      <c r="F197" s="11" t="s">
        <v>26</v>
      </c>
      <c r="G197" s="11">
        <v>4361</v>
      </c>
      <c r="H197" s="12" t="s">
        <v>140</v>
      </c>
      <c r="I197" s="12" t="s">
        <v>55</v>
      </c>
      <c r="J197" s="12" t="s">
        <v>55</v>
      </c>
      <c r="K197" s="12" t="s">
        <v>56</v>
      </c>
      <c r="L197" s="13">
        <v>40</v>
      </c>
      <c r="M197" s="13">
        <v>25</v>
      </c>
      <c r="N197" s="13">
        <v>1.6</v>
      </c>
      <c r="O197" s="13">
        <v>15</v>
      </c>
      <c r="P197" s="13"/>
      <c r="Q197" s="13">
        <v>0</v>
      </c>
      <c r="R197" s="14">
        <v>600</v>
      </c>
      <c r="S197" s="15">
        <v>0</v>
      </c>
      <c r="T197" s="15">
        <v>0</v>
      </c>
      <c r="U197" s="15">
        <v>600</v>
      </c>
      <c r="V197" s="15">
        <v>0</v>
      </c>
      <c r="W197" s="15">
        <v>600</v>
      </c>
      <c r="X197" s="15">
        <v>0</v>
      </c>
      <c r="Y197" s="16">
        <v>0</v>
      </c>
      <c r="Z197" s="67" t="s">
        <v>26</v>
      </c>
      <c r="AA197" s="12" t="s">
        <v>31</v>
      </c>
    </row>
    <row r="198" spans="1:27" x14ac:dyDescent="0.25">
      <c r="A198" s="10">
        <v>45660</v>
      </c>
      <c r="B198" s="11" t="s">
        <v>26</v>
      </c>
      <c r="C198" s="11">
        <v>14699</v>
      </c>
      <c r="D198" s="11" t="s">
        <v>26</v>
      </c>
      <c r="E198" s="11" t="s">
        <v>246</v>
      </c>
      <c r="F198" s="11" t="s">
        <v>26</v>
      </c>
      <c r="G198" s="11" t="s">
        <v>26</v>
      </c>
      <c r="H198" s="12" t="s">
        <v>4422</v>
      </c>
      <c r="I198" s="12" t="s">
        <v>27</v>
      </c>
      <c r="J198" s="12" t="s">
        <v>42</v>
      </c>
      <c r="K198" s="12" t="s">
        <v>43</v>
      </c>
      <c r="L198" s="13">
        <v>45.34</v>
      </c>
      <c r="M198" s="13">
        <v>28</v>
      </c>
      <c r="N198" s="13">
        <v>1.619285714285714</v>
      </c>
      <c r="O198" s="13">
        <v>83</v>
      </c>
      <c r="P198" s="13" t="s">
        <v>30</v>
      </c>
      <c r="Q198" s="13">
        <v>0</v>
      </c>
      <c r="R198" s="14">
        <v>3763.2200000000003</v>
      </c>
      <c r="S198" s="15">
        <v>38</v>
      </c>
      <c r="T198" s="15">
        <v>1722.92</v>
      </c>
      <c r="U198" s="15">
        <v>2040.3000000000002</v>
      </c>
      <c r="V198" s="15">
        <v>2040.3000000000002</v>
      </c>
      <c r="W198" s="15">
        <v>0</v>
      </c>
      <c r="X198" s="15">
        <v>1677.5800000000002</v>
      </c>
      <c r="Y198" s="16">
        <v>45.339999999999918</v>
      </c>
      <c r="Z198" s="67" t="s">
        <v>41</v>
      </c>
      <c r="AA198" s="12" t="s">
        <v>78</v>
      </c>
    </row>
    <row r="199" spans="1:27" x14ac:dyDescent="0.25">
      <c r="A199" s="10">
        <v>45660</v>
      </c>
      <c r="B199" s="11" t="s">
        <v>26</v>
      </c>
      <c r="C199" s="11">
        <v>14700</v>
      </c>
      <c r="D199" s="11" t="s">
        <v>26</v>
      </c>
      <c r="E199" s="11" t="s">
        <v>509</v>
      </c>
      <c r="F199" s="11" t="s">
        <v>26</v>
      </c>
      <c r="G199" s="11" t="s">
        <v>26</v>
      </c>
      <c r="H199" s="12" t="s">
        <v>4422</v>
      </c>
      <c r="I199" s="12" t="s">
        <v>27</v>
      </c>
      <c r="J199" s="12" t="s">
        <v>42</v>
      </c>
      <c r="K199" s="12" t="s">
        <v>43</v>
      </c>
      <c r="L199" s="13">
        <v>43.68</v>
      </c>
      <c r="M199" s="13">
        <v>25</v>
      </c>
      <c r="N199" s="13">
        <v>1.7472000000000001</v>
      </c>
      <c r="O199" s="13">
        <v>83</v>
      </c>
      <c r="P199" s="13" t="s">
        <v>30</v>
      </c>
      <c r="Q199" s="13">
        <v>0</v>
      </c>
      <c r="R199" s="15">
        <v>3625.44</v>
      </c>
      <c r="S199" s="15">
        <v>38</v>
      </c>
      <c r="T199" s="15">
        <v>1659.84</v>
      </c>
      <c r="U199" s="15">
        <v>1965.6000000000001</v>
      </c>
      <c r="V199" s="15">
        <v>1965.6000000000001</v>
      </c>
      <c r="W199" s="15">
        <v>0</v>
      </c>
      <c r="X199" s="15">
        <v>1572.48</v>
      </c>
      <c r="Y199" s="16">
        <v>87.3599999999999</v>
      </c>
      <c r="Z199" s="67" t="s">
        <v>141</v>
      </c>
      <c r="AA199" s="12" t="s">
        <v>78</v>
      </c>
    </row>
    <row r="200" spans="1:27" x14ac:dyDescent="0.25">
      <c r="A200" s="10">
        <v>45660</v>
      </c>
      <c r="B200" s="11" t="s">
        <v>26</v>
      </c>
      <c r="C200" s="11">
        <v>14701</v>
      </c>
      <c r="D200" s="11" t="s">
        <v>26</v>
      </c>
      <c r="E200" s="11" t="s">
        <v>240</v>
      </c>
      <c r="F200" s="11" t="s">
        <v>26</v>
      </c>
      <c r="G200" s="11">
        <v>2904</v>
      </c>
      <c r="H200" s="12" t="s">
        <v>41</v>
      </c>
      <c r="I200" s="12" t="s">
        <v>27</v>
      </c>
      <c r="J200" s="12" t="s">
        <v>33</v>
      </c>
      <c r="K200" s="12" t="s">
        <v>34</v>
      </c>
      <c r="L200" s="13">
        <v>37.5</v>
      </c>
      <c r="M200" s="13">
        <v>25</v>
      </c>
      <c r="N200" s="13">
        <v>1.5</v>
      </c>
      <c r="O200" s="13" t="s">
        <v>30</v>
      </c>
      <c r="P200" s="13">
        <v>60</v>
      </c>
      <c r="Q200" s="13">
        <v>0</v>
      </c>
      <c r="R200" s="14">
        <v>1500</v>
      </c>
      <c r="S200" s="15">
        <v>0</v>
      </c>
      <c r="T200" s="15">
        <v>0</v>
      </c>
      <c r="U200" s="15">
        <v>1500</v>
      </c>
      <c r="V200" s="15">
        <v>0</v>
      </c>
      <c r="W200" s="15">
        <v>1500</v>
      </c>
      <c r="X200" s="15">
        <v>0</v>
      </c>
      <c r="Y200" s="16">
        <v>0</v>
      </c>
      <c r="Z200" s="67" t="s">
        <v>26</v>
      </c>
      <c r="AA200" s="12" t="s">
        <v>31</v>
      </c>
    </row>
    <row r="201" spans="1:27" x14ac:dyDescent="0.25">
      <c r="A201" s="10">
        <v>45660</v>
      </c>
      <c r="B201" s="11" t="s">
        <v>26</v>
      </c>
      <c r="C201" s="11">
        <v>14702</v>
      </c>
      <c r="D201" s="11" t="s">
        <v>26</v>
      </c>
      <c r="E201" s="11" t="s">
        <v>431</v>
      </c>
      <c r="F201" s="11" t="s">
        <v>26</v>
      </c>
      <c r="G201" s="11">
        <v>130</v>
      </c>
      <c r="H201" s="12" t="s">
        <v>6328</v>
      </c>
      <c r="I201" s="12" t="s">
        <v>27</v>
      </c>
      <c r="J201" s="12" t="s">
        <v>42</v>
      </c>
      <c r="K201" s="12" t="s">
        <v>43</v>
      </c>
      <c r="L201" s="13">
        <v>40</v>
      </c>
      <c r="M201" s="13">
        <v>25</v>
      </c>
      <c r="N201" s="13">
        <v>1.6</v>
      </c>
      <c r="O201" s="13">
        <v>42.5</v>
      </c>
      <c r="P201" s="13"/>
      <c r="Q201" s="13">
        <v>0</v>
      </c>
      <c r="R201" s="15">
        <v>1700</v>
      </c>
      <c r="S201" s="15">
        <v>0</v>
      </c>
      <c r="T201" s="15">
        <v>0</v>
      </c>
      <c r="U201" s="15">
        <v>1700</v>
      </c>
      <c r="V201" s="15">
        <v>0</v>
      </c>
      <c r="W201" s="15">
        <v>1700</v>
      </c>
      <c r="X201" s="15">
        <v>0</v>
      </c>
      <c r="Y201" s="16">
        <v>0</v>
      </c>
      <c r="Z201" s="67" t="s">
        <v>26</v>
      </c>
      <c r="AA201" s="12" t="s">
        <v>31</v>
      </c>
    </row>
    <row r="202" spans="1:27" x14ac:dyDescent="0.25">
      <c r="A202" s="10">
        <v>45660</v>
      </c>
      <c r="B202" s="11" t="s">
        <v>26</v>
      </c>
      <c r="C202" s="11">
        <v>14703</v>
      </c>
      <c r="D202" s="11" t="s">
        <v>26</v>
      </c>
      <c r="E202" s="11" t="s">
        <v>604</v>
      </c>
      <c r="F202" s="11" t="s">
        <v>26</v>
      </c>
      <c r="G202" s="11">
        <v>483</v>
      </c>
      <c r="H202" s="12" t="s">
        <v>141</v>
      </c>
      <c r="I202" s="12" t="s">
        <v>37</v>
      </c>
      <c r="J202" s="12" t="s">
        <v>85</v>
      </c>
      <c r="K202" s="12" t="s">
        <v>86</v>
      </c>
      <c r="L202" s="13">
        <v>37.5</v>
      </c>
      <c r="M202" s="13">
        <v>25</v>
      </c>
      <c r="N202" s="13">
        <v>1.5</v>
      </c>
      <c r="O202" s="13">
        <v>29</v>
      </c>
      <c r="P202" s="13" t="s">
        <v>30</v>
      </c>
      <c r="Q202" s="13">
        <v>0</v>
      </c>
      <c r="R202" s="14">
        <v>1087.5</v>
      </c>
      <c r="S202" s="15">
        <v>0</v>
      </c>
      <c r="T202" s="15">
        <v>0</v>
      </c>
      <c r="U202" s="15">
        <v>1087.5</v>
      </c>
      <c r="V202" s="15">
        <v>0</v>
      </c>
      <c r="W202" s="15">
        <v>1087.5</v>
      </c>
      <c r="X202" s="15">
        <v>0</v>
      </c>
      <c r="Y202" s="16">
        <v>0</v>
      </c>
      <c r="Z202" s="67" t="s">
        <v>26</v>
      </c>
      <c r="AA202" s="12" t="s">
        <v>31</v>
      </c>
    </row>
    <row r="203" spans="1:27" x14ac:dyDescent="0.25">
      <c r="A203" s="10">
        <v>45660</v>
      </c>
      <c r="B203" s="11" t="s">
        <v>26</v>
      </c>
      <c r="C203" s="11">
        <v>14704</v>
      </c>
      <c r="D203" s="11" t="s">
        <v>26</v>
      </c>
      <c r="E203" s="11" t="s">
        <v>539</v>
      </c>
      <c r="F203" s="11" t="s">
        <v>26</v>
      </c>
      <c r="G203" s="11" t="s">
        <v>26</v>
      </c>
      <c r="H203" s="12" t="s">
        <v>146</v>
      </c>
      <c r="I203" s="12" t="s">
        <v>27</v>
      </c>
      <c r="J203" s="12" t="s">
        <v>47</v>
      </c>
      <c r="K203" s="12" t="s">
        <v>48</v>
      </c>
      <c r="L203" s="13">
        <v>40.880000000000003</v>
      </c>
      <c r="M203" s="13">
        <v>28</v>
      </c>
      <c r="N203" s="13">
        <v>1.46</v>
      </c>
      <c r="O203" s="13">
        <v>91</v>
      </c>
      <c r="P203" s="13" t="s">
        <v>30</v>
      </c>
      <c r="Q203" s="13">
        <v>0</v>
      </c>
      <c r="R203" s="14">
        <v>3720.0800000000004</v>
      </c>
      <c r="S203" s="15">
        <v>40</v>
      </c>
      <c r="T203" s="15">
        <v>1635.2</v>
      </c>
      <c r="U203" s="15">
        <v>2084.88</v>
      </c>
      <c r="V203" s="15">
        <v>2084.88</v>
      </c>
      <c r="W203" s="15">
        <v>0</v>
      </c>
      <c r="X203" s="15">
        <v>1512.5600000000002</v>
      </c>
      <c r="Y203" s="16">
        <v>122.63999999999987</v>
      </c>
      <c r="Z203" s="67" t="s">
        <v>41</v>
      </c>
      <c r="AA203" s="12" t="s">
        <v>79</v>
      </c>
    </row>
    <row r="204" spans="1:27" x14ac:dyDescent="0.25">
      <c r="A204" s="10">
        <v>45660</v>
      </c>
      <c r="B204" s="11" t="s">
        <v>26</v>
      </c>
      <c r="C204" s="11">
        <v>14705</v>
      </c>
      <c r="D204" s="11" t="s">
        <v>26</v>
      </c>
      <c r="E204" s="11" t="s">
        <v>44</v>
      </c>
      <c r="F204" s="11" t="s">
        <v>26</v>
      </c>
      <c r="G204" s="11">
        <v>1485</v>
      </c>
      <c r="H204" s="12" t="s">
        <v>45</v>
      </c>
      <c r="I204" s="12" t="s">
        <v>27</v>
      </c>
      <c r="J204" s="12" t="s">
        <v>33</v>
      </c>
      <c r="K204" s="12" t="s">
        <v>34</v>
      </c>
      <c r="L204" s="13">
        <v>37.5</v>
      </c>
      <c r="M204" s="13">
        <v>25</v>
      </c>
      <c r="N204" s="13">
        <v>1.5</v>
      </c>
      <c r="O204" s="13" t="s">
        <v>30</v>
      </c>
      <c r="P204" s="13">
        <v>58</v>
      </c>
      <c r="Q204" s="13">
        <v>0</v>
      </c>
      <c r="R204" s="14">
        <v>1450</v>
      </c>
      <c r="S204" s="15">
        <v>0</v>
      </c>
      <c r="T204" s="15">
        <v>0</v>
      </c>
      <c r="U204" s="15">
        <v>1450</v>
      </c>
      <c r="V204" s="15">
        <v>0</v>
      </c>
      <c r="W204" s="15">
        <v>1450</v>
      </c>
      <c r="X204" s="15">
        <v>0</v>
      </c>
      <c r="Y204" s="16">
        <v>0</v>
      </c>
      <c r="Z204" s="67" t="s">
        <v>26</v>
      </c>
      <c r="AA204" s="12" t="s">
        <v>31</v>
      </c>
    </row>
    <row r="205" spans="1:27" x14ac:dyDescent="0.25">
      <c r="A205" s="10">
        <v>45660</v>
      </c>
      <c r="B205" s="11" t="s">
        <v>26</v>
      </c>
      <c r="C205" s="11">
        <v>14706</v>
      </c>
      <c r="D205" s="11" t="s">
        <v>26</v>
      </c>
      <c r="E205" s="11" t="s">
        <v>49</v>
      </c>
      <c r="F205" s="11" t="s">
        <v>26</v>
      </c>
      <c r="G205" s="11">
        <v>1481</v>
      </c>
      <c r="H205" s="12" t="s">
        <v>45</v>
      </c>
      <c r="I205" s="12" t="s">
        <v>27</v>
      </c>
      <c r="J205" s="12" t="s">
        <v>33</v>
      </c>
      <c r="K205" s="12" t="s">
        <v>34</v>
      </c>
      <c r="L205" s="13">
        <v>37.5</v>
      </c>
      <c r="M205" s="13">
        <v>25</v>
      </c>
      <c r="N205" s="13">
        <v>1.5</v>
      </c>
      <c r="O205" s="13" t="s">
        <v>30</v>
      </c>
      <c r="P205" s="13">
        <v>58</v>
      </c>
      <c r="Q205" s="13">
        <v>0</v>
      </c>
      <c r="R205" s="15">
        <v>1450</v>
      </c>
      <c r="S205" s="15">
        <v>0</v>
      </c>
      <c r="T205" s="15">
        <v>0</v>
      </c>
      <c r="U205" s="15">
        <v>1450</v>
      </c>
      <c r="V205" s="15">
        <v>0</v>
      </c>
      <c r="W205" s="15">
        <v>1450</v>
      </c>
      <c r="X205" s="15">
        <v>0</v>
      </c>
      <c r="Y205" s="16">
        <v>0</v>
      </c>
      <c r="Z205" s="67" t="s">
        <v>26</v>
      </c>
      <c r="AA205" s="12" t="s">
        <v>31</v>
      </c>
    </row>
    <row r="206" spans="1:27" x14ac:dyDescent="0.25">
      <c r="A206" s="10">
        <v>45660</v>
      </c>
      <c r="B206" s="11" t="s">
        <v>1203</v>
      </c>
      <c r="C206" s="11" t="s">
        <v>1204</v>
      </c>
      <c r="D206" s="11" t="s">
        <v>26</v>
      </c>
      <c r="E206" s="11" t="s">
        <v>483</v>
      </c>
      <c r="F206" s="11" t="s">
        <v>26</v>
      </c>
      <c r="G206" s="11">
        <v>2131</v>
      </c>
      <c r="H206" s="12" t="s">
        <v>41</v>
      </c>
      <c r="I206" s="12" t="s">
        <v>27</v>
      </c>
      <c r="J206" s="12" t="s">
        <v>42</v>
      </c>
      <c r="K206" s="12" t="s">
        <v>43</v>
      </c>
      <c r="L206" s="13">
        <v>42.94</v>
      </c>
      <c r="M206" s="13">
        <v>25</v>
      </c>
      <c r="N206" s="13">
        <v>1.7176</v>
      </c>
      <c r="O206" s="13" t="s">
        <v>30</v>
      </c>
      <c r="P206" s="13">
        <v>64</v>
      </c>
      <c r="Q206" s="13">
        <v>0</v>
      </c>
      <c r="R206" s="15">
        <v>1600</v>
      </c>
      <c r="S206" s="15">
        <v>0</v>
      </c>
      <c r="T206" s="15">
        <v>0</v>
      </c>
      <c r="U206" s="15">
        <v>1600</v>
      </c>
      <c r="V206" s="15">
        <v>0</v>
      </c>
      <c r="W206" s="15">
        <v>1600</v>
      </c>
      <c r="X206" s="15">
        <v>0</v>
      </c>
      <c r="Y206" s="16">
        <v>0</v>
      </c>
      <c r="Z206" s="67" t="s">
        <v>26</v>
      </c>
      <c r="AA206" s="12" t="s">
        <v>31</v>
      </c>
    </row>
    <row r="207" spans="1:27" x14ac:dyDescent="0.25">
      <c r="A207" s="10">
        <v>45660</v>
      </c>
      <c r="B207" s="11" t="s">
        <v>281</v>
      </c>
      <c r="C207" s="11" t="s">
        <v>1205</v>
      </c>
      <c r="D207" s="11" t="s">
        <v>26</v>
      </c>
      <c r="E207" s="11" t="s">
        <v>567</v>
      </c>
      <c r="F207" s="11" t="s">
        <v>26</v>
      </c>
      <c r="G207" s="11">
        <v>111874</v>
      </c>
      <c r="H207" s="12" t="s">
        <v>4446</v>
      </c>
      <c r="I207" s="12" t="s">
        <v>27</v>
      </c>
      <c r="J207" s="12" t="s">
        <v>42</v>
      </c>
      <c r="K207" s="12" t="s">
        <v>43</v>
      </c>
      <c r="L207" s="13">
        <v>36.22</v>
      </c>
      <c r="M207" s="13">
        <v>25</v>
      </c>
      <c r="N207" s="13">
        <v>1.4488000000000001</v>
      </c>
      <c r="O207" s="13">
        <v>42</v>
      </c>
      <c r="P207" s="13" t="s">
        <v>30</v>
      </c>
      <c r="Q207" s="13">
        <v>0</v>
      </c>
      <c r="R207" s="15">
        <v>1521.24</v>
      </c>
      <c r="S207" s="15">
        <v>0</v>
      </c>
      <c r="T207" s="15">
        <v>0</v>
      </c>
      <c r="U207" s="15">
        <v>1521.24</v>
      </c>
      <c r="V207" s="15">
        <v>1521.24</v>
      </c>
      <c r="W207" s="15">
        <v>0</v>
      </c>
      <c r="X207" s="15">
        <v>0</v>
      </c>
      <c r="Y207" s="16">
        <v>0</v>
      </c>
      <c r="Z207" s="67" t="s">
        <v>26</v>
      </c>
      <c r="AA207" s="12" t="s">
        <v>31</v>
      </c>
    </row>
    <row r="208" spans="1:27" x14ac:dyDescent="0.25">
      <c r="A208" s="10">
        <v>45660</v>
      </c>
      <c r="B208" s="11" t="s">
        <v>416</v>
      </c>
      <c r="C208" s="11" t="s">
        <v>1206</v>
      </c>
      <c r="D208" s="11" t="s">
        <v>26</v>
      </c>
      <c r="E208" s="11" t="s">
        <v>571</v>
      </c>
      <c r="F208" s="11" t="s">
        <v>26</v>
      </c>
      <c r="G208" s="11">
        <v>111909</v>
      </c>
      <c r="H208" s="12" t="s">
        <v>4446</v>
      </c>
      <c r="I208" s="12" t="s">
        <v>27</v>
      </c>
      <c r="J208" s="12" t="s">
        <v>42</v>
      </c>
      <c r="K208" s="12" t="s">
        <v>43</v>
      </c>
      <c r="L208" s="13">
        <v>36.82</v>
      </c>
      <c r="M208" s="13">
        <v>25</v>
      </c>
      <c r="N208" s="13">
        <v>1.4728000000000001</v>
      </c>
      <c r="O208" s="13">
        <v>42</v>
      </c>
      <c r="P208" s="13" t="s">
        <v>30</v>
      </c>
      <c r="Q208" s="13">
        <v>0</v>
      </c>
      <c r="R208" s="15">
        <v>1546.44</v>
      </c>
      <c r="S208" s="15">
        <v>0</v>
      </c>
      <c r="T208" s="15">
        <v>0</v>
      </c>
      <c r="U208" s="15">
        <v>1546.44</v>
      </c>
      <c r="V208" s="15">
        <v>1546.44</v>
      </c>
      <c r="W208" s="15">
        <v>0</v>
      </c>
      <c r="X208" s="15">
        <v>0</v>
      </c>
      <c r="Y208" s="16">
        <v>0</v>
      </c>
      <c r="Z208" s="67" t="s">
        <v>26</v>
      </c>
      <c r="AA208" s="12" t="s">
        <v>31</v>
      </c>
    </row>
    <row r="209" spans="1:27" x14ac:dyDescent="0.25">
      <c r="A209" s="10">
        <v>45660</v>
      </c>
      <c r="B209" s="11" t="s">
        <v>719</v>
      </c>
      <c r="C209" s="11" t="s">
        <v>1207</v>
      </c>
      <c r="D209" s="11" t="s">
        <v>26</v>
      </c>
      <c r="E209" s="11" t="s">
        <v>573</v>
      </c>
      <c r="F209" s="11" t="s">
        <v>26</v>
      </c>
      <c r="G209" s="11">
        <v>112040</v>
      </c>
      <c r="H209" s="12" t="s">
        <v>4446</v>
      </c>
      <c r="I209" s="12" t="s">
        <v>27</v>
      </c>
      <c r="J209" s="12" t="s">
        <v>42</v>
      </c>
      <c r="K209" s="12" t="s">
        <v>43</v>
      </c>
      <c r="L209" s="13">
        <v>38.880000000000003</v>
      </c>
      <c r="M209" s="13">
        <v>24</v>
      </c>
      <c r="N209" s="13">
        <v>1.62</v>
      </c>
      <c r="O209" s="13">
        <v>42</v>
      </c>
      <c r="P209" s="13" t="s">
        <v>30</v>
      </c>
      <c r="Q209" s="13">
        <v>0</v>
      </c>
      <c r="R209" s="14">
        <v>1632.96</v>
      </c>
      <c r="S209" s="15">
        <v>0</v>
      </c>
      <c r="T209" s="15">
        <v>0</v>
      </c>
      <c r="U209" s="15">
        <v>1632.96</v>
      </c>
      <c r="V209" s="15">
        <v>1632.96</v>
      </c>
      <c r="W209" s="15">
        <v>0</v>
      </c>
      <c r="X209" s="15">
        <v>0</v>
      </c>
      <c r="Y209" s="16">
        <v>0</v>
      </c>
      <c r="Z209" s="67" t="s">
        <v>26</v>
      </c>
      <c r="AA209" s="12" t="s">
        <v>31</v>
      </c>
    </row>
    <row r="210" spans="1:27" x14ac:dyDescent="0.25">
      <c r="A210" s="10">
        <v>45660</v>
      </c>
      <c r="B210" s="11" t="s">
        <v>1208</v>
      </c>
      <c r="C210" s="11" t="s">
        <v>1209</v>
      </c>
      <c r="D210" s="11" t="s">
        <v>26</v>
      </c>
      <c r="E210" s="11" t="s">
        <v>84</v>
      </c>
      <c r="F210" s="11" t="s">
        <v>26</v>
      </c>
      <c r="G210" s="11">
        <v>44076</v>
      </c>
      <c r="H210" s="12" t="s">
        <v>4423</v>
      </c>
      <c r="I210" s="12" t="s">
        <v>27</v>
      </c>
      <c r="J210" s="12" t="s">
        <v>33</v>
      </c>
      <c r="K210" s="12" t="s">
        <v>34</v>
      </c>
      <c r="L210" s="13">
        <v>35</v>
      </c>
      <c r="M210" s="13">
        <v>25</v>
      </c>
      <c r="N210" s="13">
        <v>1.4</v>
      </c>
      <c r="O210" s="13">
        <v>45</v>
      </c>
      <c r="P210" s="13" t="s">
        <v>30</v>
      </c>
      <c r="Q210" s="13">
        <v>0</v>
      </c>
      <c r="R210" s="14">
        <v>1575</v>
      </c>
      <c r="S210" s="15">
        <v>0</v>
      </c>
      <c r="T210" s="15">
        <v>0</v>
      </c>
      <c r="U210" s="15">
        <v>1575</v>
      </c>
      <c r="V210" s="15">
        <v>1575</v>
      </c>
      <c r="W210" s="15">
        <v>0</v>
      </c>
      <c r="X210" s="16">
        <v>0</v>
      </c>
      <c r="Y210" s="16">
        <v>0</v>
      </c>
      <c r="Z210" s="67" t="s">
        <v>26</v>
      </c>
      <c r="AA210" s="12" t="s">
        <v>31</v>
      </c>
    </row>
    <row r="211" spans="1:27" x14ac:dyDescent="0.25">
      <c r="A211" s="10">
        <v>45660</v>
      </c>
      <c r="B211" s="11" t="s">
        <v>516</v>
      </c>
      <c r="C211" s="11" t="s">
        <v>1210</v>
      </c>
      <c r="D211" s="11" t="s">
        <v>26</v>
      </c>
      <c r="E211" s="11" t="s">
        <v>57</v>
      </c>
      <c r="F211" s="11" t="s">
        <v>26</v>
      </c>
      <c r="G211" s="11">
        <v>2716</v>
      </c>
      <c r="H211" s="12" t="s">
        <v>41</v>
      </c>
      <c r="I211" s="12" t="s">
        <v>27</v>
      </c>
      <c r="J211" s="12" t="s">
        <v>557</v>
      </c>
      <c r="K211" s="12" t="s">
        <v>558</v>
      </c>
      <c r="L211" s="13">
        <v>39.64</v>
      </c>
      <c r="M211" s="13">
        <v>25</v>
      </c>
      <c r="N211" s="13">
        <v>1.5855999999999999</v>
      </c>
      <c r="O211" s="13">
        <v>45</v>
      </c>
      <c r="P211" s="13"/>
      <c r="Q211" s="13">
        <v>0</v>
      </c>
      <c r="R211" s="14">
        <v>1783.8</v>
      </c>
      <c r="S211" s="15">
        <v>0</v>
      </c>
      <c r="T211" s="15">
        <v>0</v>
      </c>
      <c r="U211" s="15">
        <v>1783.8</v>
      </c>
      <c r="V211" s="15">
        <v>0</v>
      </c>
      <c r="W211" s="15">
        <v>1783.8</v>
      </c>
      <c r="X211" s="15">
        <v>0</v>
      </c>
      <c r="Y211" s="16">
        <v>0</v>
      </c>
      <c r="Z211" s="67" t="s">
        <v>26</v>
      </c>
      <c r="AA211" s="12" t="s">
        <v>31</v>
      </c>
    </row>
    <row r="212" spans="1:27" x14ac:dyDescent="0.25">
      <c r="A212" s="10">
        <v>45660</v>
      </c>
      <c r="B212" s="11" t="s">
        <v>1211</v>
      </c>
      <c r="C212" s="11" t="s">
        <v>1212</v>
      </c>
      <c r="D212" s="11" t="s">
        <v>26</v>
      </c>
      <c r="E212" s="11" t="s">
        <v>99</v>
      </c>
      <c r="F212" s="11" t="s">
        <v>26</v>
      </c>
      <c r="G212" s="11">
        <v>57960</v>
      </c>
      <c r="H212" s="12" t="s">
        <v>4423</v>
      </c>
      <c r="I212" s="12" t="s">
        <v>27</v>
      </c>
      <c r="J212" s="12" t="s">
        <v>47</v>
      </c>
      <c r="K212" s="12" t="s">
        <v>48</v>
      </c>
      <c r="L212" s="13">
        <v>34.4</v>
      </c>
      <c r="M212" s="13">
        <v>25</v>
      </c>
      <c r="N212" s="13">
        <v>1.3759999999999999</v>
      </c>
      <c r="O212" s="13">
        <v>46</v>
      </c>
      <c r="P212" s="13" t="s">
        <v>30</v>
      </c>
      <c r="Q212" s="13">
        <v>0</v>
      </c>
      <c r="R212" s="15">
        <v>1582.3999999999999</v>
      </c>
      <c r="S212" s="15">
        <v>0</v>
      </c>
      <c r="T212" s="15">
        <v>0</v>
      </c>
      <c r="U212" s="15">
        <v>1582.3999999999999</v>
      </c>
      <c r="V212" s="15">
        <v>1582.3999999999999</v>
      </c>
      <c r="W212" s="15">
        <v>0</v>
      </c>
      <c r="X212" s="15">
        <v>0</v>
      </c>
      <c r="Y212" s="16">
        <v>0</v>
      </c>
      <c r="Z212" s="67" t="s">
        <v>26</v>
      </c>
      <c r="AA212" s="12" t="s">
        <v>31</v>
      </c>
    </row>
    <row r="213" spans="1:27" x14ac:dyDescent="0.25">
      <c r="A213" s="10">
        <v>45660</v>
      </c>
      <c r="B213" s="11" t="s">
        <v>251</v>
      </c>
      <c r="C213" s="11" t="s">
        <v>1213</v>
      </c>
      <c r="D213" s="11" t="s">
        <v>26</v>
      </c>
      <c r="E213" s="11" t="s">
        <v>65</v>
      </c>
      <c r="F213" s="11" t="s">
        <v>26</v>
      </c>
      <c r="G213" s="11">
        <v>1546</v>
      </c>
      <c r="H213" s="12" t="s">
        <v>66</v>
      </c>
      <c r="I213" s="12" t="s">
        <v>27</v>
      </c>
      <c r="J213" s="12" t="s">
        <v>42</v>
      </c>
      <c r="K213" s="12" t="s">
        <v>43</v>
      </c>
      <c r="L213" s="13">
        <v>42.24</v>
      </c>
      <c r="M213" s="13">
        <v>25</v>
      </c>
      <c r="N213" s="13">
        <v>1.6896</v>
      </c>
      <c r="O213" s="13" t="s">
        <v>30</v>
      </c>
      <c r="P213" s="13">
        <v>70</v>
      </c>
      <c r="Q213" s="13">
        <v>0</v>
      </c>
      <c r="R213" s="14">
        <v>1750</v>
      </c>
      <c r="S213" s="15">
        <v>0</v>
      </c>
      <c r="T213" s="15">
        <v>0</v>
      </c>
      <c r="U213" s="15">
        <v>1750</v>
      </c>
      <c r="V213" s="15">
        <v>1750</v>
      </c>
      <c r="W213" s="15">
        <v>0</v>
      </c>
      <c r="X213" s="16">
        <v>0</v>
      </c>
      <c r="Y213" s="16">
        <v>0</v>
      </c>
      <c r="Z213" s="67" t="s">
        <v>26</v>
      </c>
      <c r="AA213" s="12" t="s">
        <v>31</v>
      </c>
    </row>
    <row r="214" spans="1:27" x14ac:dyDescent="0.25">
      <c r="A214" s="10">
        <v>45660</v>
      </c>
      <c r="B214" s="11" t="s">
        <v>592</v>
      </c>
      <c r="C214" s="11" t="s">
        <v>1214</v>
      </c>
      <c r="D214" s="11" t="s">
        <v>26</v>
      </c>
      <c r="E214" s="11" t="s">
        <v>570</v>
      </c>
      <c r="F214" s="11" t="s">
        <v>26</v>
      </c>
      <c r="G214" s="11">
        <v>10310</v>
      </c>
      <c r="H214" s="12" t="s">
        <v>140</v>
      </c>
      <c r="I214" s="12" t="s">
        <v>27</v>
      </c>
      <c r="J214" s="12" t="s">
        <v>33</v>
      </c>
      <c r="K214" s="12" t="s">
        <v>34</v>
      </c>
      <c r="L214" s="13">
        <v>41.46</v>
      </c>
      <c r="M214" s="13">
        <v>28</v>
      </c>
      <c r="N214" s="13">
        <v>1.4807142857142861</v>
      </c>
      <c r="O214" s="13">
        <v>40</v>
      </c>
      <c r="P214" s="13"/>
      <c r="Q214" s="13">
        <v>0</v>
      </c>
      <c r="R214" s="14">
        <v>1658.4</v>
      </c>
      <c r="S214" s="15">
        <v>0</v>
      </c>
      <c r="T214" s="15">
        <v>0</v>
      </c>
      <c r="U214" s="15">
        <v>1658.4</v>
      </c>
      <c r="V214" s="15">
        <v>0</v>
      </c>
      <c r="W214" s="15">
        <v>1658.4</v>
      </c>
      <c r="X214" s="15">
        <v>0</v>
      </c>
      <c r="Y214" s="16">
        <v>0</v>
      </c>
      <c r="Z214" s="67" t="s">
        <v>26</v>
      </c>
      <c r="AA214" s="12" t="s">
        <v>31</v>
      </c>
    </row>
    <row r="215" spans="1:27" x14ac:dyDescent="0.25">
      <c r="A215" s="10">
        <v>45660</v>
      </c>
      <c r="B215" s="11" t="s">
        <v>1215</v>
      </c>
      <c r="C215" s="11" t="s">
        <v>1216</v>
      </c>
      <c r="D215" s="11" t="s">
        <v>26</v>
      </c>
      <c r="E215" s="11" t="s">
        <v>69</v>
      </c>
      <c r="F215" s="11" t="s">
        <v>26</v>
      </c>
      <c r="G215" s="11">
        <v>4675</v>
      </c>
      <c r="H215" s="12" t="s">
        <v>70</v>
      </c>
      <c r="I215" s="12" t="s">
        <v>27</v>
      </c>
      <c r="J215" s="12" t="s">
        <v>42</v>
      </c>
      <c r="K215" s="12" t="s">
        <v>43</v>
      </c>
      <c r="L215" s="13">
        <v>42.86</v>
      </c>
      <c r="M215" s="13">
        <v>25</v>
      </c>
      <c r="N215" s="13">
        <v>1.7143999999999999</v>
      </c>
      <c r="O215" s="13" t="s">
        <v>30</v>
      </c>
      <c r="P215" s="13">
        <v>64</v>
      </c>
      <c r="Q215" s="13">
        <v>0</v>
      </c>
      <c r="R215" s="14">
        <v>1600</v>
      </c>
      <c r="S215" s="15">
        <v>0</v>
      </c>
      <c r="T215" s="15">
        <v>0</v>
      </c>
      <c r="U215" s="15">
        <v>1600</v>
      </c>
      <c r="V215" s="15">
        <v>0</v>
      </c>
      <c r="W215" s="15">
        <v>1600</v>
      </c>
      <c r="X215" s="15">
        <v>0</v>
      </c>
      <c r="Y215" s="16">
        <v>0</v>
      </c>
      <c r="Z215" s="67" t="s">
        <v>26</v>
      </c>
      <c r="AA215" s="12" t="s">
        <v>31</v>
      </c>
    </row>
    <row r="216" spans="1:27" x14ac:dyDescent="0.25">
      <c r="A216" s="10">
        <v>45660</v>
      </c>
      <c r="B216" s="11" t="s">
        <v>1217</v>
      </c>
      <c r="C216" s="11" t="s">
        <v>1218</v>
      </c>
      <c r="D216" s="11" t="s">
        <v>26</v>
      </c>
      <c r="E216" s="11" t="s">
        <v>53</v>
      </c>
      <c r="F216" s="11" t="s">
        <v>26</v>
      </c>
      <c r="G216" s="11">
        <v>2390</v>
      </c>
      <c r="H216" s="12" t="s">
        <v>41</v>
      </c>
      <c r="I216" s="12" t="s">
        <v>37</v>
      </c>
      <c r="J216" s="12" t="s">
        <v>85</v>
      </c>
      <c r="K216" s="12" t="s">
        <v>86</v>
      </c>
      <c r="L216" s="13">
        <v>40.82</v>
      </c>
      <c r="M216" s="13">
        <v>25</v>
      </c>
      <c r="N216" s="13">
        <v>1.6328</v>
      </c>
      <c r="O216" s="13" t="s">
        <v>30</v>
      </c>
      <c r="P216" s="13">
        <v>43.5</v>
      </c>
      <c r="Q216" s="14">
        <v>0</v>
      </c>
      <c r="R216" s="15">
        <v>1087.5</v>
      </c>
      <c r="S216" s="15">
        <v>0</v>
      </c>
      <c r="T216" s="15">
        <v>0</v>
      </c>
      <c r="U216" s="15">
        <v>1087.5</v>
      </c>
      <c r="V216" s="15">
        <v>0</v>
      </c>
      <c r="W216" s="15">
        <v>1087.5</v>
      </c>
      <c r="X216" s="15">
        <v>0</v>
      </c>
      <c r="Y216" s="16">
        <v>0</v>
      </c>
      <c r="Z216" s="67" t="s">
        <v>26</v>
      </c>
      <c r="AA216" s="12" t="s">
        <v>31</v>
      </c>
    </row>
    <row r="217" spans="1:27" x14ac:dyDescent="0.25">
      <c r="A217" s="10">
        <v>45660</v>
      </c>
      <c r="B217" s="11" t="s">
        <v>1219</v>
      </c>
      <c r="C217" s="11" t="s">
        <v>1220</v>
      </c>
      <c r="D217" s="11" t="s">
        <v>26</v>
      </c>
      <c r="E217" s="11" t="s">
        <v>46</v>
      </c>
      <c r="F217" s="11" t="s">
        <v>26</v>
      </c>
      <c r="G217" s="11">
        <v>111876</v>
      </c>
      <c r="H217" s="12" t="s">
        <v>4446</v>
      </c>
      <c r="I217" s="12" t="s">
        <v>27</v>
      </c>
      <c r="J217" s="12" t="s">
        <v>42</v>
      </c>
      <c r="K217" s="12" t="s">
        <v>43</v>
      </c>
      <c r="L217" s="13">
        <v>40.799999999999997</v>
      </c>
      <c r="M217" s="13">
        <v>25</v>
      </c>
      <c r="N217" s="13">
        <v>1.6319999999999999</v>
      </c>
      <c r="O217" s="13">
        <v>42</v>
      </c>
      <c r="P217" s="13" t="s">
        <v>30</v>
      </c>
      <c r="Q217" s="13">
        <v>0</v>
      </c>
      <c r="R217" s="14">
        <v>1713.6</v>
      </c>
      <c r="S217" s="15">
        <v>0</v>
      </c>
      <c r="T217" s="15">
        <v>0</v>
      </c>
      <c r="U217" s="15">
        <v>1713.6</v>
      </c>
      <c r="V217" s="15">
        <v>1713.6</v>
      </c>
      <c r="W217" s="15">
        <v>0</v>
      </c>
      <c r="X217" s="15">
        <v>0</v>
      </c>
      <c r="Y217" s="16">
        <v>0</v>
      </c>
      <c r="Z217" s="67" t="s">
        <v>26</v>
      </c>
      <c r="AA217" s="12" t="s">
        <v>31</v>
      </c>
    </row>
    <row r="218" spans="1:27" x14ac:dyDescent="0.25">
      <c r="A218" s="10">
        <v>45660</v>
      </c>
      <c r="B218" s="11" t="s">
        <v>1221</v>
      </c>
      <c r="C218" s="11" t="s">
        <v>1222</v>
      </c>
      <c r="D218" s="11" t="s">
        <v>26</v>
      </c>
      <c r="E218" s="11" t="s">
        <v>487</v>
      </c>
      <c r="F218" s="11" t="s">
        <v>26</v>
      </c>
      <c r="G218" s="11">
        <v>20136</v>
      </c>
      <c r="H218" s="12" t="s">
        <v>4448</v>
      </c>
      <c r="I218" s="12" t="s">
        <v>27</v>
      </c>
      <c r="J218" s="12" t="s">
        <v>42</v>
      </c>
      <c r="K218" s="12" t="s">
        <v>43</v>
      </c>
      <c r="L218" s="13">
        <v>41.82</v>
      </c>
      <c r="M218" s="13">
        <v>25</v>
      </c>
      <c r="N218" s="13">
        <v>1.6728000000000001</v>
      </c>
      <c r="O218" s="13">
        <v>42.5</v>
      </c>
      <c r="P218" s="13"/>
      <c r="Q218" s="13">
        <v>0</v>
      </c>
      <c r="R218" s="14">
        <v>1777.35</v>
      </c>
      <c r="S218" s="15">
        <v>0</v>
      </c>
      <c r="T218" s="15">
        <v>0</v>
      </c>
      <c r="U218" s="15">
        <v>1777.35</v>
      </c>
      <c r="V218" s="15">
        <v>1333.0124999999998</v>
      </c>
      <c r="W218" s="15">
        <v>444.33750000000009</v>
      </c>
      <c r="X218" s="15">
        <v>0</v>
      </c>
      <c r="Y218" s="16">
        <v>0</v>
      </c>
      <c r="Z218" s="67" t="s">
        <v>26</v>
      </c>
      <c r="AA218" s="12" t="s">
        <v>31</v>
      </c>
    </row>
    <row r="219" spans="1:27" x14ac:dyDescent="0.25">
      <c r="A219" s="10">
        <v>45660</v>
      </c>
      <c r="B219" s="11" t="s">
        <v>1223</v>
      </c>
      <c r="C219" s="11" t="s">
        <v>1224</v>
      </c>
      <c r="D219" s="11" t="s">
        <v>26</v>
      </c>
      <c r="E219" s="11" t="s">
        <v>98</v>
      </c>
      <c r="F219" s="11" t="s">
        <v>26</v>
      </c>
      <c r="G219" s="11">
        <v>10123</v>
      </c>
      <c r="H219" s="12" t="s">
        <v>140</v>
      </c>
      <c r="I219" s="12" t="s">
        <v>55</v>
      </c>
      <c r="J219" s="12" t="s">
        <v>55</v>
      </c>
      <c r="K219" s="12" t="s">
        <v>56</v>
      </c>
      <c r="L219" s="13">
        <v>35.92</v>
      </c>
      <c r="M219" s="13">
        <v>25</v>
      </c>
      <c r="N219" s="13">
        <v>1.4368000000000001</v>
      </c>
      <c r="O219" s="13">
        <v>15</v>
      </c>
      <c r="P219" s="13"/>
      <c r="Q219" s="13">
        <v>0</v>
      </c>
      <c r="R219" s="15">
        <v>538.80000000000007</v>
      </c>
      <c r="S219" s="15">
        <v>0</v>
      </c>
      <c r="T219" s="15">
        <v>0</v>
      </c>
      <c r="U219" s="15">
        <v>538.80000000000007</v>
      </c>
      <c r="V219" s="15">
        <v>0</v>
      </c>
      <c r="W219" s="15">
        <v>538.80000000000007</v>
      </c>
      <c r="X219" s="15">
        <v>0</v>
      </c>
      <c r="Y219" s="16">
        <v>0</v>
      </c>
      <c r="Z219" s="67" t="s">
        <v>26</v>
      </c>
      <c r="AA219" s="12" t="s">
        <v>31</v>
      </c>
    </row>
    <row r="220" spans="1:27" x14ac:dyDescent="0.25">
      <c r="A220" s="10">
        <v>45660</v>
      </c>
      <c r="B220" s="11" t="s">
        <v>1225</v>
      </c>
      <c r="C220" s="11" t="s">
        <v>1226</v>
      </c>
      <c r="D220" s="11" t="s">
        <v>26</v>
      </c>
      <c r="E220" s="11" t="s">
        <v>589</v>
      </c>
      <c r="F220" s="11" t="s">
        <v>26</v>
      </c>
      <c r="G220" s="11">
        <v>69542</v>
      </c>
      <c r="H220" s="12" t="s">
        <v>4423</v>
      </c>
      <c r="I220" s="12" t="s">
        <v>27</v>
      </c>
      <c r="J220" s="12" t="s">
        <v>33</v>
      </c>
      <c r="K220" s="12" t="s">
        <v>34</v>
      </c>
      <c r="L220" s="13">
        <v>30.3</v>
      </c>
      <c r="M220" s="13">
        <v>25</v>
      </c>
      <c r="N220" s="13">
        <v>1.212</v>
      </c>
      <c r="O220" s="13">
        <v>45</v>
      </c>
      <c r="P220" s="13" t="s">
        <v>30</v>
      </c>
      <c r="Q220" s="13">
        <v>0</v>
      </c>
      <c r="R220" s="14">
        <v>1363.5</v>
      </c>
      <c r="S220" s="15">
        <v>0</v>
      </c>
      <c r="T220" s="15">
        <v>0</v>
      </c>
      <c r="U220" s="15">
        <v>1363.5</v>
      </c>
      <c r="V220" s="15">
        <v>1363.5</v>
      </c>
      <c r="W220" s="15">
        <v>0</v>
      </c>
      <c r="X220" s="15">
        <v>0</v>
      </c>
      <c r="Y220" s="16">
        <v>0</v>
      </c>
      <c r="Z220" s="67" t="s">
        <v>26</v>
      </c>
      <c r="AA220" s="12" t="s">
        <v>31</v>
      </c>
    </row>
    <row r="221" spans="1:27" x14ac:dyDescent="0.25">
      <c r="A221" s="10">
        <v>45660</v>
      </c>
      <c r="B221" s="11" t="s">
        <v>1227</v>
      </c>
      <c r="C221" s="11" t="s">
        <v>1228</v>
      </c>
      <c r="D221" s="11" t="s">
        <v>26</v>
      </c>
      <c r="E221" s="11" t="s">
        <v>556</v>
      </c>
      <c r="F221" s="11" t="s">
        <v>26</v>
      </c>
      <c r="G221" s="11">
        <v>10272</v>
      </c>
      <c r="H221" s="12" t="s">
        <v>140</v>
      </c>
      <c r="I221" s="12" t="s">
        <v>27</v>
      </c>
      <c r="J221" s="12" t="s">
        <v>42</v>
      </c>
      <c r="K221" s="12" t="s">
        <v>43</v>
      </c>
      <c r="L221" s="13">
        <v>43.26</v>
      </c>
      <c r="M221" s="13">
        <v>25</v>
      </c>
      <c r="N221" s="13">
        <v>1.7303999999999999</v>
      </c>
      <c r="O221" s="13">
        <v>35</v>
      </c>
      <c r="P221" s="13"/>
      <c r="Q221" s="13">
        <v>0</v>
      </c>
      <c r="R221" s="14">
        <v>1514.1</v>
      </c>
      <c r="S221" s="15">
        <v>0</v>
      </c>
      <c r="T221" s="15">
        <v>0</v>
      </c>
      <c r="U221" s="15">
        <v>1514.1</v>
      </c>
      <c r="V221" s="15">
        <v>0</v>
      </c>
      <c r="W221" s="15">
        <v>1514.1</v>
      </c>
      <c r="X221" s="15">
        <v>0</v>
      </c>
      <c r="Y221" s="16">
        <v>0</v>
      </c>
      <c r="Z221" s="67" t="s">
        <v>26</v>
      </c>
      <c r="AA221" s="12" t="s">
        <v>31</v>
      </c>
    </row>
    <row r="222" spans="1:27" x14ac:dyDescent="0.25">
      <c r="A222" s="10">
        <v>45660</v>
      </c>
      <c r="B222" s="11" t="s">
        <v>1229</v>
      </c>
      <c r="C222" s="11" t="s">
        <v>1230</v>
      </c>
      <c r="D222" s="11" t="s">
        <v>26</v>
      </c>
      <c r="E222" s="11" t="s">
        <v>658</v>
      </c>
      <c r="F222" s="11" t="s">
        <v>26</v>
      </c>
      <c r="G222" s="11">
        <v>484</v>
      </c>
      <c r="H222" s="12" t="s">
        <v>141</v>
      </c>
      <c r="I222" s="12" t="s">
        <v>27</v>
      </c>
      <c r="J222" s="12" t="s">
        <v>33</v>
      </c>
      <c r="K222" s="12" t="s">
        <v>34</v>
      </c>
      <c r="L222" s="13">
        <v>39.86</v>
      </c>
      <c r="M222" s="13">
        <v>27</v>
      </c>
      <c r="N222" s="13">
        <v>1.476296296296296</v>
      </c>
      <c r="O222" s="13">
        <v>40</v>
      </c>
      <c r="P222" s="13" t="s">
        <v>30</v>
      </c>
      <c r="Q222" s="13">
        <v>0</v>
      </c>
      <c r="R222" s="14">
        <v>1594.4</v>
      </c>
      <c r="S222" s="15">
        <v>0</v>
      </c>
      <c r="T222" s="15">
        <v>0</v>
      </c>
      <c r="U222" s="15">
        <v>1594.4</v>
      </c>
      <c r="V222" s="15">
        <v>0</v>
      </c>
      <c r="W222" s="15">
        <v>1594.4</v>
      </c>
      <c r="X222" s="15">
        <v>0</v>
      </c>
      <c r="Y222" s="16">
        <v>0</v>
      </c>
      <c r="Z222" s="67" t="s">
        <v>26</v>
      </c>
      <c r="AA222" s="12" t="s">
        <v>31</v>
      </c>
    </row>
    <row r="223" spans="1:27" x14ac:dyDescent="0.25">
      <c r="A223" s="10">
        <v>45660</v>
      </c>
      <c r="B223" s="11" t="s">
        <v>1231</v>
      </c>
      <c r="C223" s="11" t="s">
        <v>1232</v>
      </c>
      <c r="D223" s="11" t="s">
        <v>26</v>
      </c>
      <c r="E223" s="11" t="s">
        <v>224</v>
      </c>
      <c r="F223" s="11" t="s">
        <v>26</v>
      </c>
      <c r="G223" s="11">
        <v>57829</v>
      </c>
      <c r="H223" s="12" t="s">
        <v>4423</v>
      </c>
      <c r="I223" s="12" t="s">
        <v>27</v>
      </c>
      <c r="J223" s="12" t="s">
        <v>33</v>
      </c>
      <c r="K223" s="12" t="s">
        <v>34</v>
      </c>
      <c r="L223" s="13">
        <v>34.94</v>
      </c>
      <c r="M223" s="13">
        <v>25</v>
      </c>
      <c r="N223" s="13">
        <v>1.3976</v>
      </c>
      <c r="O223" s="13">
        <v>45</v>
      </c>
      <c r="P223" s="13" t="s">
        <v>30</v>
      </c>
      <c r="Q223" s="13">
        <v>0</v>
      </c>
      <c r="R223" s="15">
        <v>1572.3</v>
      </c>
      <c r="S223" s="15">
        <v>0</v>
      </c>
      <c r="T223" s="15">
        <v>0</v>
      </c>
      <c r="U223" s="15">
        <v>1572.3</v>
      </c>
      <c r="V223" s="15">
        <v>1572.3</v>
      </c>
      <c r="W223" s="15">
        <v>0</v>
      </c>
      <c r="X223" s="15">
        <v>0</v>
      </c>
      <c r="Y223" s="16">
        <v>0</v>
      </c>
      <c r="Z223" s="67" t="s">
        <v>26</v>
      </c>
      <c r="AA223" s="12" t="s">
        <v>31</v>
      </c>
    </row>
    <row r="224" spans="1:27" x14ac:dyDescent="0.25">
      <c r="A224" s="10">
        <v>45660</v>
      </c>
      <c r="B224" s="11" t="s">
        <v>1233</v>
      </c>
      <c r="C224" s="11" t="s">
        <v>1234</v>
      </c>
      <c r="D224" s="11" t="s">
        <v>26</v>
      </c>
      <c r="E224" s="11" t="s">
        <v>486</v>
      </c>
      <c r="F224" s="11" t="s">
        <v>26</v>
      </c>
      <c r="G224" s="11">
        <v>72859</v>
      </c>
      <c r="H224" s="12" t="s">
        <v>4448</v>
      </c>
      <c r="I224" s="12" t="s">
        <v>27</v>
      </c>
      <c r="J224" s="12" t="s">
        <v>42</v>
      </c>
      <c r="K224" s="12" t="s">
        <v>43</v>
      </c>
      <c r="L224" s="13">
        <v>43.2</v>
      </c>
      <c r="M224" s="13">
        <v>25</v>
      </c>
      <c r="N224" s="13">
        <v>1.728</v>
      </c>
      <c r="O224" s="13">
        <v>42.5</v>
      </c>
      <c r="P224" s="13"/>
      <c r="Q224" s="13">
        <v>0</v>
      </c>
      <c r="R224" s="15">
        <v>1836.0000000000002</v>
      </c>
      <c r="S224" s="15">
        <v>0</v>
      </c>
      <c r="T224" s="15">
        <v>0</v>
      </c>
      <c r="U224" s="15">
        <v>1836.0000000000002</v>
      </c>
      <c r="V224" s="15">
        <v>1377.0000000000002</v>
      </c>
      <c r="W224" s="15">
        <v>459</v>
      </c>
      <c r="X224" s="15">
        <v>0</v>
      </c>
      <c r="Y224" s="16">
        <v>0</v>
      </c>
      <c r="Z224" s="67" t="s">
        <v>26</v>
      </c>
      <c r="AA224" s="12" t="s">
        <v>31</v>
      </c>
    </row>
    <row r="225" spans="1:27" x14ac:dyDescent="0.25">
      <c r="A225" s="10">
        <v>45660</v>
      </c>
      <c r="B225" s="11" t="s">
        <v>1235</v>
      </c>
      <c r="C225" s="11" t="s">
        <v>1236</v>
      </c>
      <c r="D225" s="11" t="s">
        <v>26</v>
      </c>
      <c r="E225" s="11" t="s">
        <v>95</v>
      </c>
      <c r="F225" s="11" t="s">
        <v>26</v>
      </c>
      <c r="G225" s="11" t="s">
        <v>35</v>
      </c>
      <c r="H225" s="12" t="s">
        <v>36</v>
      </c>
      <c r="I225" s="12" t="s">
        <v>27</v>
      </c>
      <c r="J225" s="12" t="s">
        <v>33</v>
      </c>
      <c r="K225" s="12" t="s">
        <v>34</v>
      </c>
      <c r="L225" s="13">
        <v>10.9</v>
      </c>
      <c r="M225" s="13">
        <v>7</v>
      </c>
      <c r="N225" s="13">
        <v>1.5571428571428569</v>
      </c>
      <c r="O225" s="13">
        <v>50</v>
      </c>
      <c r="P225" s="13" t="s">
        <v>30</v>
      </c>
      <c r="Q225" s="13">
        <v>0</v>
      </c>
      <c r="R225" s="15">
        <v>545</v>
      </c>
      <c r="S225" s="15">
        <v>0</v>
      </c>
      <c r="T225" s="15">
        <v>0</v>
      </c>
      <c r="U225" s="15">
        <v>545</v>
      </c>
      <c r="V225" s="15">
        <v>0</v>
      </c>
      <c r="W225" s="15">
        <v>545</v>
      </c>
      <c r="X225" s="15">
        <v>0</v>
      </c>
      <c r="Y225" s="16">
        <v>0</v>
      </c>
      <c r="Z225" s="67" t="s">
        <v>26</v>
      </c>
      <c r="AA225" s="12" t="s">
        <v>31</v>
      </c>
    </row>
    <row r="226" spans="1:27" x14ac:dyDescent="0.25">
      <c r="A226" s="10">
        <v>45660</v>
      </c>
      <c r="B226" s="11" t="s">
        <v>1237</v>
      </c>
      <c r="C226" s="11" t="s">
        <v>1238</v>
      </c>
      <c r="D226" s="11" t="s">
        <v>26</v>
      </c>
      <c r="E226" s="11" t="s">
        <v>593</v>
      </c>
      <c r="F226" s="11" t="s">
        <v>26</v>
      </c>
      <c r="G226" s="11">
        <v>59471</v>
      </c>
      <c r="H226" s="12" t="s">
        <v>4423</v>
      </c>
      <c r="I226" s="12" t="s">
        <v>27</v>
      </c>
      <c r="J226" s="12" t="s">
        <v>47</v>
      </c>
      <c r="K226" s="12" t="s">
        <v>48</v>
      </c>
      <c r="L226" s="13">
        <v>32.159999999999997</v>
      </c>
      <c r="M226" s="13">
        <v>25</v>
      </c>
      <c r="N226" s="13">
        <v>1.2864</v>
      </c>
      <c r="O226" s="13">
        <v>46</v>
      </c>
      <c r="P226" s="13" t="s">
        <v>30</v>
      </c>
      <c r="Q226" s="13">
        <v>0</v>
      </c>
      <c r="R226" s="15">
        <v>1479.36</v>
      </c>
      <c r="S226" s="15">
        <v>0</v>
      </c>
      <c r="T226" s="15">
        <v>0</v>
      </c>
      <c r="U226" s="15">
        <v>1479.36</v>
      </c>
      <c r="V226" s="15">
        <v>1479.36</v>
      </c>
      <c r="W226" s="15">
        <v>0</v>
      </c>
      <c r="X226" s="15">
        <v>0</v>
      </c>
      <c r="Y226" s="16">
        <v>0</v>
      </c>
      <c r="Z226" s="67" t="s">
        <v>26</v>
      </c>
      <c r="AA226" s="12" t="s">
        <v>31</v>
      </c>
    </row>
    <row r="227" spans="1:27" x14ac:dyDescent="0.25">
      <c r="A227" s="10">
        <v>45660</v>
      </c>
      <c r="B227" s="11" t="s">
        <v>1239</v>
      </c>
      <c r="C227" s="11" t="s">
        <v>1240</v>
      </c>
      <c r="D227" s="11" t="s">
        <v>26</v>
      </c>
      <c r="E227" s="11" t="s">
        <v>501</v>
      </c>
      <c r="F227" s="11" t="s">
        <v>26</v>
      </c>
      <c r="G227" s="11">
        <v>485</v>
      </c>
      <c r="H227" s="12" t="s">
        <v>141</v>
      </c>
      <c r="I227" s="12" t="s">
        <v>27</v>
      </c>
      <c r="J227" s="12" t="s">
        <v>33</v>
      </c>
      <c r="K227" s="12" t="s">
        <v>34</v>
      </c>
      <c r="L227" s="13">
        <v>41.14</v>
      </c>
      <c r="M227" s="13">
        <v>28</v>
      </c>
      <c r="N227" s="13">
        <v>1.4692857142857141</v>
      </c>
      <c r="O227" s="13">
        <v>40</v>
      </c>
      <c r="P227" s="13" t="s">
        <v>30</v>
      </c>
      <c r="Q227" s="13">
        <v>0</v>
      </c>
      <c r="R227" s="14">
        <v>1645.6</v>
      </c>
      <c r="S227" s="15">
        <v>0</v>
      </c>
      <c r="T227" s="15">
        <v>0</v>
      </c>
      <c r="U227" s="15">
        <v>1645.6</v>
      </c>
      <c r="V227" s="15">
        <v>0</v>
      </c>
      <c r="W227" s="15">
        <v>1645.6</v>
      </c>
      <c r="X227" s="15">
        <v>0</v>
      </c>
      <c r="Y227" s="16">
        <v>0</v>
      </c>
      <c r="Z227" s="67" t="s">
        <v>26</v>
      </c>
      <c r="AA227" s="12" t="s">
        <v>31</v>
      </c>
    </row>
    <row r="228" spans="1:27" x14ac:dyDescent="0.25">
      <c r="A228" s="10">
        <v>45660</v>
      </c>
      <c r="B228" s="11" t="s">
        <v>697</v>
      </c>
      <c r="C228" s="11" t="s">
        <v>1241</v>
      </c>
      <c r="D228" s="11" t="s">
        <v>26</v>
      </c>
      <c r="E228" s="11" t="s">
        <v>552</v>
      </c>
      <c r="F228" s="11" t="s">
        <v>26</v>
      </c>
      <c r="G228" s="11">
        <v>57544</v>
      </c>
      <c r="H228" s="12" t="s">
        <v>4423</v>
      </c>
      <c r="I228" s="12" t="s">
        <v>27</v>
      </c>
      <c r="J228" s="12" t="s">
        <v>33</v>
      </c>
      <c r="K228" s="12" t="s">
        <v>34</v>
      </c>
      <c r="L228" s="13">
        <v>32.58</v>
      </c>
      <c r="M228" s="13">
        <v>25</v>
      </c>
      <c r="N228" s="13">
        <v>1.3031999999999999</v>
      </c>
      <c r="O228" s="13">
        <v>45</v>
      </c>
      <c r="P228" s="13" t="s">
        <v>30</v>
      </c>
      <c r="Q228" s="13">
        <v>0</v>
      </c>
      <c r="R228" s="14">
        <v>1466.1</v>
      </c>
      <c r="S228" s="15">
        <v>0</v>
      </c>
      <c r="T228" s="15">
        <v>0</v>
      </c>
      <c r="U228" s="15">
        <v>1466.1</v>
      </c>
      <c r="V228" s="15">
        <v>1466.1</v>
      </c>
      <c r="W228" s="15">
        <v>0</v>
      </c>
      <c r="X228" s="15">
        <v>0</v>
      </c>
      <c r="Y228" s="16">
        <v>0</v>
      </c>
      <c r="Z228" s="67" t="s">
        <v>26</v>
      </c>
      <c r="AA228" s="12" t="s">
        <v>31</v>
      </c>
    </row>
    <row r="229" spans="1:27" x14ac:dyDescent="0.25">
      <c r="A229" s="10">
        <v>45660</v>
      </c>
      <c r="B229" s="11" t="s">
        <v>1242</v>
      </c>
      <c r="C229" s="11" t="s">
        <v>1243</v>
      </c>
      <c r="D229" s="11" t="s">
        <v>26</v>
      </c>
      <c r="E229" s="11" t="s">
        <v>76</v>
      </c>
      <c r="F229" s="11" t="s">
        <v>26</v>
      </c>
      <c r="G229" s="11" t="s">
        <v>26</v>
      </c>
      <c r="H229" s="12" t="s">
        <v>4422</v>
      </c>
      <c r="I229" s="12" t="s">
        <v>27</v>
      </c>
      <c r="J229" s="12" t="s">
        <v>47</v>
      </c>
      <c r="K229" s="12" t="s">
        <v>48</v>
      </c>
      <c r="L229" s="13">
        <v>41.18</v>
      </c>
      <c r="M229" s="13">
        <v>28</v>
      </c>
      <c r="N229" s="13">
        <v>1.4707142857142861</v>
      </c>
      <c r="O229" s="13">
        <v>87</v>
      </c>
      <c r="P229" s="13" t="s">
        <v>30</v>
      </c>
      <c r="Q229" s="13">
        <v>0</v>
      </c>
      <c r="R229" s="15">
        <v>3582.66</v>
      </c>
      <c r="S229" s="15">
        <v>38</v>
      </c>
      <c r="T229" s="15">
        <v>1564.84</v>
      </c>
      <c r="U229" s="15">
        <v>2017.82</v>
      </c>
      <c r="V229" s="15">
        <v>2017.82</v>
      </c>
      <c r="W229" s="15">
        <v>0</v>
      </c>
      <c r="X229" s="15">
        <v>1523.66</v>
      </c>
      <c r="Y229" s="16">
        <v>41.179999999999836</v>
      </c>
      <c r="Z229" s="67" t="s">
        <v>41</v>
      </c>
      <c r="AA229" s="12" t="s">
        <v>78</v>
      </c>
    </row>
    <row r="230" spans="1:27" x14ac:dyDescent="0.25">
      <c r="A230" s="10">
        <v>45660</v>
      </c>
      <c r="B230" s="11" t="s">
        <v>1244</v>
      </c>
      <c r="C230" s="11" t="s">
        <v>1245</v>
      </c>
      <c r="D230" s="11" t="s">
        <v>26</v>
      </c>
      <c r="E230" s="11" t="s">
        <v>87</v>
      </c>
      <c r="F230" s="11" t="s">
        <v>26</v>
      </c>
      <c r="G230" s="11">
        <v>57150</v>
      </c>
      <c r="H230" s="12" t="s">
        <v>4423</v>
      </c>
      <c r="I230" s="12" t="s">
        <v>27</v>
      </c>
      <c r="J230" s="12" t="s">
        <v>33</v>
      </c>
      <c r="K230" s="12" t="s">
        <v>34</v>
      </c>
      <c r="L230" s="13">
        <v>34.9</v>
      </c>
      <c r="M230" s="13">
        <v>25</v>
      </c>
      <c r="N230" s="13">
        <v>1.3959999999999999</v>
      </c>
      <c r="O230" s="13">
        <v>45</v>
      </c>
      <c r="P230" s="13" t="s">
        <v>30</v>
      </c>
      <c r="Q230" s="13">
        <v>0</v>
      </c>
      <c r="R230" s="14">
        <v>1570.5</v>
      </c>
      <c r="S230" s="15">
        <v>0</v>
      </c>
      <c r="T230" s="15">
        <v>0</v>
      </c>
      <c r="U230" s="15">
        <v>1570.5</v>
      </c>
      <c r="V230" s="15">
        <v>1570.5</v>
      </c>
      <c r="W230" s="15">
        <v>0</v>
      </c>
      <c r="X230" s="16">
        <v>0</v>
      </c>
      <c r="Y230" s="16">
        <v>0</v>
      </c>
      <c r="Z230" s="67" t="s">
        <v>26</v>
      </c>
      <c r="AA230" s="12" t="s">
        <v>31</v>
      </c>
    </row>
    <row r="231" spans="1:27" x14ac:dyDescent="0.25">
      <c r="A231" s="10">
        <v>45660</v>
      </c>
      <c r="B231" s="11" t="s">
        <v>1246</v>
      </c>
      <c r="C231" s="11" t="s">
        <v>1247</v>
      </c>
      <c r="D231" s="11" t="s">
        <v>26</v>
      </c>
      <c r="E231" s="11" t="s">
        <v>574</v>
      </c>
      <c r="F231" s="11" t="s">
        <v>26</v>
      </c>
      <c r="G231" s="11">
        <v>486</v>
      </c>
      <c r="H231" s="12" t="s">
        <v>141</v>
      </c>
      <c r="I231" s="12" t="s">
        <v>27</v>
      </c>
      <c r="J231" s="12" t="s">
        <v>33</v>
      </c>
      <c r="K231" s="12" t="s">
        <v>34</v>
      </c>
      <c r="L231" s="13">
        <v>41.5</v>
      </c>
      <c r="M231" s="13">
        <v>28</v>
      </c>
      <c r="N231" s="13">
        <v>1.482142857142857</v>
      </c>
      <c r="O231" s="13">
        <v>40</v>
      </c>
      <c r="P231" s="13" t="s">
        <v>30</v>
      </c>
      <c r="Q231" s="13">
        <v>0</v>
      </c>
      <c r="R231" s="14">
        <v>1660</v>
      </c>
      <c r="S231" s="15">
        <v>0</v>
      </c>
      <c r="T231" s="15">
        <v>0</v>
      </c>
      <c r="U231" s="15">
        <v>1660</v>
      </c>
      <c r="V231" s="15">
        <v>0</v>
      </c>
      <c r="W231" s="15">
        <v>1660</v>
      </c>
      <c r="X231" s="16">
        <v>0</v>
      </c>
      <c r="Y231" s="16">
        <v>0</v>
      </c>
      <c r="Z231" s="67" t="s">
        <v>26</v>
      </c>
      <c r="AA231" s="12" t="s">
        <v>31</v>
      </c>
    </row>
    <row r="232" spans="1:27" x14ac:dyDescent="0.25">
      <c r="A232" s="10">
        <v>45660</v>
      </c>
      <c r="B232" s="11" t="s">
        <v>711</v>
      </c>
      <c r="C232" s="11" t="s">
        <v>1248</v>
      </c>
      <c r="D232" s="11" t="s">
        <v>26</v>
      </c>
      <c r="E232" s="11" t="s">
        <v>605</v>
      </c>
      <c r="F232" s="11" t="s">
        <v>26</v>
      </c>
      <c r="G232" s="11">
        <v>487</v>
      </c>
      <c r="H232" s="12" t="s">
        <v>141</v>
      </c>
      <c r="I232" s="12" t="s">
        <v>37</v>
      </c>
      <c r="J232" s="12" t="s">
        <v>85</v>
      </c>
      <c r="K232" s="12" t="s">
        <v>86</v>
      </c>
      <c r="L232" s="13">
        <v>40.159999999999997</v>
      </c>
      <c r="M232" s="13">
        <v>25</v>
      </c>
      <c r="N232" s="13">
        <v>1.6064000000000001</v>
      </c>
      <c r="O232" s="13">
        <v>29</v>
      </c>
      <c r="P232" s="13" t="s">
        <v>30</v>
      </c>
      <c r="Q232" s="13">
        <v>0</v>
      </c>
      <c r="R232" s="15">
        <v>1164.6399999999999</v>
      </c>
      <c r="S232" s="15">
        <v>0</v>
      </c>
      <c r="T232" s="15">
        <v>0</v>
      </c>
      <c r="U232" s="15">
        <v>1164.6399999999999</v>
      </c>
      <c r="V232" s="15">
        <v>0</v>
      </c>
      <c r="W232" s="15">
        <v>1164.6399999999999</v>
      </c>
      <c r="X232" s="15">
        <v>0</v>
      </c>
      <c r="Y232" s="16">
        <v>0</v>
      </c>
      <c r="Z232" s="67" t="s">
        <v>26</v>
      </c>
      <c r="AA232" s="12" t="s">
        <v>31</v>
      </c>
    </row>
    <row r="233" spans="1:27" x14ac:dyDescent="0.25">
      <c r="A233" s="10">
        <v>45660</v>
      </c>
      <c r="B233" s="11" t="s">
        <v>1249</v>
      </c>
      <c r="C233" s="11" t="s">
        <v>1250</v>
      </c>
      <c r="D233" s="11" t="s">
        <v>26</v>
      </c>
      <c r="E233" s="11" t="s">
        <v>604</v>
      </c>
      <c r="F233" s="11" t="s">
        <v>26</v>
      </c>
      <c r="G233" s="11">
        <v>488</v>
      </c>
      <c r="H233" s="12" t="s">
        <v>141</v>
      </c>
      <c r="I233" s="12" t="s">
        <v>37</v>
      </c>
      <c r="J233" s="12" t="s">
        <v>85</v>
      </c>
      <c r="K233" s="12" t="s">
        <v>86</v>
      </c>
      <c r="L233" s="13">
        <v>39.659999999999997</v>
      </c>
      <c r="M233" s="13">
        <v>25</v>
      </c>
      <c r="N233" s="13">
        <v>1.5864</v>
      </c>
      <c r="O233" s="13">
        <v>29</v>
      </c>
      <c r="P233" s="13" t="s">
        <v>30</v>
      </c>
      <c r="Q233" s="13">
        <v>0</v>
      </c>
      <c r="R233" s="14">
        <v>1150.1399999999999</v>
      </c>
      <c r="S233" s="15">
        <v>0</v>
      </c>
      <c r="T233" s="15">
        <v>0</v>
      </c>
      <c r="U233" s="15">
        <v>1150.1399999999999</v>
      </c>
      <c r="V233" s="15">
        <v>0</v>
      </c>
      <c r="W233" s="15">
        <v>1150.1399999999999</v>
      </c>
      <c r="X233" s="15">
        <v>0</v>
      </c>
      <c r="Y233" s="16">
        <v>0</v>
      </c>
      <c r="Z233" s="67" t="s">
        <v>26</v>
      </c>
      <c r="AA233" s="12" t="s">
        <v>31</v>
      </c>
    </row>
    <row r="234" spans="1:27" x14ac:dyDescent="0.25">
      <c r="A234" s="10">
        <v>45660</v>
      </c>
      <c r="B234" s="11" t="s">
        <v>1251</v>
      </c>
      <c r="C234" s="11" t="s">
        <v>1252</v>
      </c>
      <c r="D234" s="11" t="s">
        <v>26</v>
      </c>
      <c r="E234" s="11" t="s">
        <v>246</v>
      </c>
      <c r="F234" s="11" t="s">
        <v>26</v>
      </c>
      <c r="G234" s="11">
        <v>2033</v>
      </c>
      <c r="H234" s="12" t="s">
        <v>41</v>
      </c>
      <c r="I234" s="12" t="s">
        <v>27</v>
      </c>
      <c r="J234" s="12" t="s">
        <v>47</v>
      </c>
      <c r="K234" s="12" t="s">
        <v>48</v>
      </c>
      <c r="L234" s="13">
        <v>34.619999999999997</v>
      </c>
      <c r="M234" s="13">
        <v>24</v>
      </c>
      <c r="N234" s="13">
        <v>1.4424999999999999</v>
      </c>
      <c r="O234" s="13" t="s">
        <v>30</v>
      </c>
      <c r="P234" s="13">
        <v>60</v>
      </c>
      <c r="Q234" s="13">
        <v>0</v>
      </c>
      <c r="R234" s="14">
        <v>1440</v>
      </c>
      <c r="S234" s="15">
        <v>0</v>
      </c>
      <c r="T234" s="15">
        <v>0</v>
      </c>
      <c r="U234" s="15">
        <v>1440</v>
      </c>
      <c r="V234" s="15">
        <v>0</v>
      </c>
      <c r="W234" s="15">
        <v>1440</v>
      </c>
      <c r="X234" s="15">
        <v>0</v>
      </c>
      <c r="Y234" s="16">
        <v>0</v>
      </c>
      <c r="Z234" s="67" t="s">
        <v>26</v>
      </c>
      <c r="AA234" s="12" t="s">
        <v>31</v>
      </c>
    </row>
    <row r="235" spans="1:27" x14ac:dyDescent="0.25">
      <c r="A235" s="10">
        <v>45660</v>
      </c>
      <c r="B235" s="11" t="s">
        <v>1253</v>
      </c>
      <c r="C235" s="11" t="s">
        <v>1254</v>
      </c>
      <c r="D235" s="11" t="s">
        <v>26</v>
      </c>
      <c r="E235" s="11" t="s">
        <v>567</v>
      </c>
      <c r="F235" s="11" t="s">
        <v>26</v>
      </c>
      <c r="G235" s="11">
        <v>111877</v>
      </c>
      <c r="H235" s="12" t="s">
        <v>4446</v>
      </c>
      <c r="I235" s="12" t="s">
        <v>27</v>
      </c>
      <c r="J235" s="12" t="s">
        <v>33</v>
      </c>
      <c r="K235" s="12" t="s">
        <v>34</v>
      </c>
      <c r="L235" s="13">
        <v>36.46</v>
      </c>
      <c r="M235" s="13">
        <v>25</v>
      </c>
      <c r="N235" s="13">
        <v>1.4583999999999999</v>
      </c>
      <c r="O235" s="13">
        <v>44</v>
      </c>
      <c r="P235" s="13" t="s">
        <v>30</v>
      </c>
      <c r="Q235" s="13">
        <v>0</v>
      </c>
      <c r="R235" s="14">
        <v>1604.24</v>
      </c>
      <c r="S235" s="15">
        <v>0</v>
      </c>
      <c r="T235" s="15">
        <v>0</v>
      </c>
      <c r="U235" s="15">
        <v>1604.24</v>
      </c>
      <c r="V235" s="15">
        <v>1604.24</v>
      </c>
      <c r="W235" s="15">
        <v>0</v>
      </c>
      <c r="X235" s="15">
        <v>0</v>
      </c>
      <c r="Y235" s="16">
        <v>0</v>
      </c>
      <c r="Z235" s="67" t="s">
        <v>26</v>
      </c>
      <c r="AA235" s="12" t="s">
        <v>31</v>
      </c>
    </row>
    <row r="236" spans="1:27" x14ac:dyDescent="0.25">
      <c r="A236" s="10">
        <v>45660</v>
      </c>
      <c r="B236" s="11" t="s">
        <v>1255</v>
      </c>
      <c r="C236" s="11" t="s">
        <v>1256</v>
      </c>
      <c r="D236" s="11" t="s">
        <v>26</v>
      </c>
      <c r="E236" s="11" t="s">
        <v>80</v>
      </c>
      <c r="F236" s="11" t="s">
        <v>26</v>
      </c>
      <c r="G236" s="11">
        <v>10273</v>
      </c>
      <c r="H236" s="12" t="s">
        <v>140</v>
      </c>
      <c r="I236" s="12" t="s">
        <v>27</v>
      </c>
      <c r="J236" s="12" t="s">
        <v>42</v>
      </c>
      <c r="K236" s="12" t="s">
        <v>43</v>
      </c>
      <c r="L236" s="13">
        <v>42.92</v>
      </c>
      <c r="M236" s="13">
        <v>25</v>
      </c>
      <c r="N236" s="13">
        <v>1.7168000000000001</v>
      </c>
      <c r="O236" s="13">
        <v>35</v>
      </c>
      <c r="P236" s="13"/>
      <c r="Q236" s="13">
        <v>0</v>
      </c>
      <c r="R236" s="15">
        <v>1502.2</v>
      </c>
      <c r="S236" s="15">
        <v>0</v>
      </c>
      <c r="T236" s="15">
        <v>0</v>
      </c>
      <c r="U236" s="15">
        <v>1502.2</v>
      </c>
      <c r="V236" s="15">
        <v>0</v>
      </c>
      <c r="W236" s="15">
        <v>1502.2</v>
      </c>
      <c r="X236" s="15">
        <v>0</v>
      </c>
      <c r="Y236" s="16">
        <v>0</v>
      </c>
      <c r="Z236" s="67" t="s">
        <v>26</v>
      </c>
      <c r="AA236" s="12" t="s">
        <v>31</v>
      </c>
    </row>
    <row r="237" spans="1:27" x14ac:dyDescent="0.25">
      <c r="A237" s="10">
        <v>45660</v>
      </c>
      <c r="B237" s="11" t="s">
        <v>1257</v>
      </c>
      <c r="C237" s="11" t="s">
        <v>1258</v>
      </c>
      <c r="D237" s="11" t="s">
        <v>26</v>
      </c>
      <c r="E237" s="11" t="s">
        <v>483</v>
      </c>
      <c r="F237" s="11" t="s">
        <v>26</v>
      </c>
      <c r="G237" s="11">
        <v>2132</v>
      </c>
      <c r="H237" s="12" t="s">
        <v>41</v>
      </c>
      <c r="I237" s="12" t="s">
        <v>27</v>
      </c>
      <c r="J237" s="12" t="s">
        <v>33</v>
      </c>
      <c r="K237" s="12" t="s">
        <v>34</v>
      </c>
      <c r="L237" s="13">
        <v>36.5</v>
      </c>
      <c r="M237" s="13">
        <v>25</v>
      </c>
      <c r="N237" s="13">
        <v>1.46</v>
      </c>
      <c r="O237" s="13" t="s">
        <v>30</v>
      </c>
      <c r="P237" s="13">
        <v>60</v>
      </c>
      <c r="Q237" s="13">
        <v>0</v>
      </c>
      <c r="R237" s="15">
        <v>1500</v>
      </c>
      <c r="S237" s="15">
        <v>0</v>
      </c>
      <c r="T237" s="15">
        <v>0</v>
      </c>
      <c r="U237" s="15">
        <v>1500</v>
      </c>
      <c r="V237" s="15">
        <v>0</v>
      </c>
      <c r="W237" s="15">
        <v>1500</v>
      </c>
      <c r="X237" s="15">
        <v>0</v>
      </c>
      <c r="Y237" s="16">
        <v>0</v>
      </c>
      <c r="Z237" s="67" t="s">
        <v>26</v>
      </c>
      <c r="AA237" s="12" t="s">
        <v>31</v>
      </c>
    </row>
    <row r="238" spans="1:27" x14ac:dyDescent="0.25">
      <c r="A238" s="10">
        <v>45660</v>
      </c>
      <c r="B238" s="11" t="s">
        <v>1259</v>
      </c>
      <c r="C238" s="11" t="s">
        <v>1260</v>
      </c>
      <c r="D238" s="11" t="s">
        <v>26</v>
      </c>
      <c r="E238" s="11" t="s">
        <v>40</v>
      </c>
      <c r="F238" s="11" t="s">
        <v>26</v>
      </c>
      <c r="G238" s="11">
        <v>2430</v>
      </c>
      <c r="H238" s="12" t="s">
        <v>41</v>
      </c>
      <c r="I238" s="12" t="s">
        <v>55</v>
      </c>
      <c r="J238" s="12" t="s">
        <v>566</v>
      </c>
      <c r="K238" s="12" t="s">
        <v>550</v>
      </c>
      <c r="L238" s="13">
        <v>43.58</v>
      </c>
      <c r="M238" s="13">
        <v>25</v>
      </c>
      <c r="N238" s="13">
        <v>1.7432000000000001</v>
      </c>
      <c r="O238" s="13">
        <v>25</v>
      </c>
      <c r="P238" s="13"/>
      <c r="Q238" s="13">
        <v>0</v>
      </c>
      <c r="R238" s="15">
        <v>1089.5</v>
      </c>
      <c r="S238" s="15">
        <v>0</v>
      </c>
      <c r="T238" s="15">
        <v>0</v>
      </c>
      <c r="U238" s="15">
        <v>1089.5</v>
      </c>
      <c r="V238" s="15">
        <v>0</v>
      </c>
      <c r="W238" s="15">
        <v>1089.5</v>
      </c>
      <c r="X238" s="15">
        <v>0</v>
      </c>
      <c r="Y238" s="16">
        <v>0</v>
      </c>
      <c r="Z238" s="67" t="s">
        <v>26</v>
      </c>
      <c r="AA238" s="12" t="s">
        <v>31</v>
      </c>
    </row>
    <row r="239" spans="1:27" x14ac:dyDescent="0.25">
      <c r="A239" s="10">
        <v>45660</v>
      </c>
      <c r="B239" s="11" t="s">
        <v>1261</v>
      </c>
      <c r="C239" s="11" t="s">
        <v>1262</v>
      </c>
      <c r="D239" s="11" t="s">
        <v>26</v>
      </c>
      <c r="E239" s="11" t="s">
        <v>46</v>
      </c>
      <c r="F239" s="11" t="s">
        <v>26</v>
      </c>
      <c r="G239" s="11">
        <v>111879</v>
      </c>
      <c r="H239" s="12" t="s">
        <v>4446</v>
      </c>
      <c r="I239" s="12" t="s">
        <v>27</v>
      </c>
      <c r="J239" s="12" t="s">
        <v>42</v>
      </c>
      <c r="K239" s="12" t="s">
        <v>43</v>
      </c>
      <c r="L239" s="13">
        <v>40.700000000000003</v>
      </c>
      <c r="M239" s="13">
        <v>25</v>
      </c>
      <c r="N239" s="13">
        <v>1.6279999999999999</v>
      </c>
      <c r="O239" s="13">
        <v>42</v>
      </c>
      <c r="P239" s="13" t="s">
        <v>30</v>
      </c>
      <c r="Q239" s="13">
        <v>0</v>
      </c>
      <c r="R239" s="14">
        <v>1709.4</v>
      </c>
      <c r="S239" s="15">
        <v>0</v>
      </c>
      <c r="T239" s="15">
        <v>0</v>
      </c>
      <c r="U239" s="15">
        <v>1709.4</v>
      </c>
      <c r="V239" s="15">
        <v>1709.4</v>
      </c>
      <c r="W239" s="15">
        <v>0</v>
      </c>
      <c r="X239" s="15">
        <v>0</v>
      </c>
      <c r="Y239" s="16">
        <v>0</v>
      </c>
      <c r="Z239" s="67" t="s">
        <v>26</v>
      </c>
      <c r="AA239" s="12" t="s">
        <v>31</v>
      </c>
    </row>
    <row r="240" spans="1:27" x14ac:dyDescent="0.25">
      <c r="A240" s="10">
        <v>45660</v>
      </c>
      <c r="B240" s="11" t="s">
        <v>1263</v>
      </c>
      <c r="C240" s="11" t="s">
        <v>1264</v>
      </c>
      <c r="D240" s="11" t="s">
        <v>26</v>
      </c>
      <c r="E240" s="11" t="s">
        <v>241</v>
      </c>
      <c r="F240" s="11" t="s">
        <v>26</v>
      </c>
      <c r="G240" s="11">
        <v>74951</v>
      </c>
      <c r="H240" s="12" t="s">
        <v>4448</v>
      </c>
      <c r="I240" s="12" t="s">
        <v>27</v>
      </c>
      <c r="J240" s="12" t="s">
        <v>47</v>
      </c>
      <c r="K240" s="12" t="s">
        <v>48</v>
      </c>
      <c r="L240" s="13">
        <v>37.299999999999997</v>
      </c>
      <c r="M240" s="13">
        <v>25</v>
      </c>
      <c r="N240" s="13">
        <v>1.492</v>
      </c>
      <c r="O240" s="13">
        <v>46.66</v>
      </c>
      <c r="P240" s="13" t="s">
        <v>30</v>
      </c>
      <c r="Q240" s="13">
        <v>0</v>
      </c>
      <c r="R240" s="15">
        <v>1740.4179999999997</v>
      </c>
      <c r="S240" s="15">
        <v>0</v>
      </c>
      <c r="T240" s="15">
        <v>0</v>
      </c>
      <c r="U240" s="15">
        <v>1740.4179999999997</v>
      </c>
      <c r="V240" s="15">
        <v>1305.3134999999997</v>
      </c>
      <c r="W240" s="15">
        <v>435.10449999999992</v>
      </c>
      <c r="X240" s="15">
        <v>0</v>
      </c>
      <c r="Y240" s="16">
        <v>0</v>
      </c>
      <c r="Z240" s="67" t="s">
        <v>26</v>
      </c>
      <c r="AA240" s="12" t="s">
        <v>31</v>
      </c>
    </row>
    <row r="241" spans="1:27" x14ac:dyDescent="0.25">
      <c r="A241" s="10">
        <v>45661</v>
      </c>
      <c r="B241" s="11" t="s">
        <v>725</v>
      </c>
      <c r="C241" s="11" t="s">
        <v>1265</v>
      </c>
      <c r="D241" s="11" t="s">
        <v>26</v>
      </c>
      <c r="E241" s="11" t="s">
        <v>431</v>
      </c>
      <c r="F241" s="11" t="s">
        <v>26</v>
      </c>
      <c r="G241" s="11" t="s">
        <v>26</v>
      </c>
      <c r="H241" s="12" t="s">
        <v>4422</v>
      </c>
      <c r="I241" s="12" t="s">
        <v>27</v>
      </c>
      <c r="J241" s="12" t="s">
        <v>47</v>
      </c>
      <c r="K241" s="12" t="s">
        <v>48</v>
      </c>
      <c r="L241" s="13">
        <v>41.1</v>
      </c>
      <c r="M241" s="13">
        <v>28</v>
      </c>
      <c r="N241" s="13">
        <v>1.467857142857143</v>
      </c>
      <c r="O241" s="13">
        <v>87</v>
      </c>
      <c r="P241" s="13" t="s">
        <v>30</v>
      </c>
      <c r="Q241" s="13">
        <v>0</v>
      </c>
      <c r="R241" s="14">
        <v>3575.7000000000003</v>
      </c>
      <c r="S241" s="15">
        <v>38</v>
      </c>
      <c r="T241" s="15">
        <v>1561.8</v>
      </c>
      <c r="U241" s="15">
        <v>2013.9000000000003</v>
      </c>
      <c r="V241" s="15">
        <v>2013.9000000000003</v>
      </c>
      <c r="W241" s="15">
        <v>0</v>
      </c>
      <c r="X241" s="15">
        <v>1479.6000000000001</v>
      </c>
      <c r="Y241" s="16">
        <v>82.199999999999818</v>
      </c>
      <c r="Z241" s="67" t="s">
        <v>6328</v>
      </c>
      <c r="AA241" s="12" t="s">
        <v>78</v>
      </c>
    </row>
    <row r="242" spans="1:27" x14ac:dyDescent="0.25">
      <c r="A242" s="10">
        <v>45661</v>
      </c>
      <c r="B242" s="11" t="s">
        <v>694</v>
      </c>
      <c r="C242" s="11" t="s">
        <v>1266</v>
      </c>
      <c r="D242" s="11" t="s">
        <v>26</v>
      </c>
      <c r="E242" s="11" t="s">
        <v>604</v>
      </c>
      <c r="F242" s="11" t="s">
        <v>26</v>
      </c>
      <c r="G242" s="11" t="s">
        <v>26</v>
      </c>
      <c r="H242" s="12" t="s">
        <v>4422</v>
      </c>
      <c r="I242" s="12" t="s">
        <v>27</v>
      </c>
      <c r="J242" s="12" t="s">
        <v>47</v>
      </c>
      <c r="K242" s="12" t="s">
        <v>48</v>
      </c>
      <c r="L242" s="13">
        <v>39.700000000000003</v>
      </c>
      <c r="M242" s="13">
        <v>27</v>
      </c>
      <c r="N242" s="13">
        <v>1.470370370370371</v>
      </c>
      <c r="O242" s="13">
        <v>87</v>
      </c>
      <c r="P242" s="13" t="s">
        <v>30</v>
      </c>
      <c r="Q242" s="13">
        <v>0</v>
      </c>
      <c r="R242" s="15">
        <v>3453.9</v>
      </c>
      <c r="S242" s="15">
        <v>38</v>
      </c>
      <c r="T242" s="15">
        <v>1508.6000000000001</v>
      </c>
      <c r="U242" s="15">
        <v>1945.3</v>
      </c>
      <c r="V242" s="15">
        <v>1945.3</v>
      </c>
      <c r="W242" s="15">
        <v>0</v>
      </c>
      <c r="X242" s="15">
        <v>1429.2</v>
      </c>
      <c r="Y242" s="16">
        <v>79.400000000000091</v>
      </c>
      <c r="Z242" s="67" t="s">
        <v>141</v>
      </c>
      <c r="AA242" s="12" t="s">
        <v>78</v>
      </c>
    </row>
    <row r="243" spans="1:27" x14ac:dyDescent="0.25">
      <c r="A243" s="10">
        <v>45661</v>
      </c>
      <c r="B243" s="11" t="s">
        <v>1267</v>
      </c>
      <c r="C243" s="11" t="s">
        <v>1268</v>
      </c>
      <c r="D243" s="11" t="s">
        <v>26</v>
      </c>
      <c r="E243" s="11" t="s">
        <v>574</v>
      </c>
      <c r="F243" s="11" t="s">
        <v>26</v>
      </c>
      <c r="G243" s="11" t="s">
        <v>26</v>
      </c>
      <c r="H243" s="12" t="s">
        <v>4422</v>
      </c>
      <c r="I243" s="12" t="s">
        <v>27</v>
      </c>
      <c r="J243" s="12" t="s">
        <v>47</v>
      </c>
      <c r="K243" s="12" t="s">
        <v>48</v>
      </c>
      <c r="L243" s="13">
        <v>41.98</v>
      </c>
      <c r="M243" s="13">
        <v>28</v>
      </c>
      <c r="N243" s="13">
        <v>1.4992857142857141</v>
      </c>
      <c r="O243" s="13">
        <v>87</v>
      </c>
      <c r="P243" s="13" t="s">
        <v>30</v>
      </c>
      <c r="Q243" s="13">
        <v>0</v>
      </c>
      <c r="R243" s="14">
        <v>3652.2599999999998</v>
      </c>
      <c r="S243" s="15">
        <v>38</v>
      </c>
      <c r="T243" s="15">
        <v>1595.2399999999998</v>
      </c>
      <c r="U243" s="15">
        <v>2057.02</v>
      </c>
      <c r="V243" s="15">
        <v>2057.02</v>
      </c>
      <c r="W243" s="15">
        <v>0</v>
      </c>
      <c r="X243" s="15">
        <v>1511.28</v>
      </c>
      <c r="Y243" s="16">
        <v>83.959999999999809</v>
      </c>
      <c r="Z243" s="67" t="s">
        <v>141</v>
      </c>
      <c r="AA243" s="12" t="s">
        <v>78</v>
      </c>
    </row>
    <row r="244" spans="1:27" x14ac:dyDescent="0.25">
      <c r="A244" s="10">
        <v>45661</v>
      </c>
      <c r="B244" s="11" t="s">
        <v>1269</v>
      </c>
      <c r="C244" s="11" t="s">
        <v>1270</v>
      </c>
      <c r="D244" s="11" t="s">
        <v>26</v>
      </c>
      <c r="E244" s="11" t="s">
        <v>484</v>
      </c>
      <c r="F244" s="11" t="s">
        <v>26</v>
      </c>
      <c r="G244" s="11" t="s">
        <v>35</v>
      </c>
      <c r="H244" s="12" t="s">
        <v>36</v>
      </c>
      <c r="I244" s="12" t="s">
        <v>55</v>
      </c>
      <c r="J244" s="12" t="s">
        <v>55</v>
      </c>
      <c r="K244" s="12" t="s">
        <v>56</v>
      </c>
      <c r="L244" s="13">
        <v>38.6</v>
      </c>
      <c r="M244" s="13">
        <v>25</v>
      </c>
      <c r="N244" s="13">
        <v>1.544</v>
      </c>
      <c r="O244" s="13">
        <v>20</v>
      </c>
      <c r="P244" s="13" t="s">
        <v>30</v>
      </c>
      <c r="Q244" s="13">
        <v>0</v>
      </c>
      <c r="R244" s="15">
        <v>772</v>
      </c>
      <c r="S244" s="15">
        <v>0</v>
      </c>
      <c r="T244" s="15">
        <v>0</v>
      </c>
      <c r="U244" s="15">
        <v>772</v>
      </c>
      <c r="V244" s="15">
        <v>0</v>
      </c>
      <c r="W244" s="15">
        <v>772</v>
      </c>
      <c r="X244" s="15">
        <v>0</v>
      </c>
      <c r="Y244" s="16">
        <v>0</v>
      </c>
      <c r="Z244" s="67" t="s">
        <v>26</v>
      </c>
      <c r="AA244" s="12" t="s">
        <v>31</v>
      </c>
    </row>
    <row r="245" spans="1:27" x14ac:dyDescent="0.25">
      <c r="A245" s="10">
        <v>45661</v>
      </c>
      <c r="B245" s="11" t="s">
        <v>1271</v>
      </c>
      <c r="C245" s="11" t="s">
        <v>1272</v>
      </c>
      <c r="D245" s="11" t="s">
        <v>26</v>
      </c>
      <c r="E245" s="11" t="s">
        <v>501</v>
      </c>
      <c r="F245" s="11" t="s">
        <v>26</v>
      </c>
      <c r="G245" s="11" t="s">
        <v>26</v>
      </c>
      <c r="H245" s="12" t="s">
        <v>4422</v>
      </c>
      <c r="I245" s="12" t="s">
        <v>27</v>
      </c>
      <c r="J245" s="12" t="s">
        <v>33</v>
      </c>
      <c r="K245" s="12" t="s">
        <v>34</v>
      </c>
      <c r="L245" s="13">
        <v>43.5</v>
      </c>
      <c r="M245" s="13">
        <v>30</v>
      </c>
      <c r="N245" s="13">
        <v>1.45</v>
      </c>
      <c r="O245" s="13">
        <v>85</v>
      </c>
      <c r="P245" s="13" t="s">
        <v>30</v>
      </c>
      <c r="Q245" s="13">
        <v>0</v>
      </c>
      <c r="R245" s="15">
        <v>3697.5</v>
      </c>
      <c r="S245" s="15">
        <v>38</v>
      </c>
      <c r="T245" s="15">
        <v>1653</v>
      </c>
      <c r="U245" s="15">
        <v>2044.5</v>
      </c>
      <c r="V245" s="15">
        <v>2044.5</v>
      </c>
      <c r="W245" s="15">
        <v>0</v>
      </c>
      <c r="X245" s="15">
        <v>1566</v>
      </c>
      <c r="Y245" s="16">
        <v>87</v>
      </c>
      <c r="Z245" s="67" t="s">
        <v>141</v>
      </c>
      <c r="AA245" s="12" t="s">
        <v>78</v>
      </c>
    </row>
    <row r="246" spans="1:27" x14ac:dyDescent="0.25">
      <c r="A246" s="10">
        <v>45661</v>
      </c>
      <c r="B246" s="11" t="s">
        <v>716</v>
      </c>
      <c r="C246" s="11" t="s">
        <v>1273</v>
      </c>
      <c r="D246" s="11" t="s">
        <v>26</v>
      </c>
      <c r="E246" s="11" t="s">
        <v>240</v>
      </c>
      <c r="F246" s="11" t="s">
        <v>26</v>
      </c>
      <c r="G246" s="11">
        <v>2905</v>
      </c>
      <c r="H246" s="12" t="s">
        <v>41</v>
      </c>
      <c r="I246" s="12" t="s">
        <v>37</v>
      </c>
      <c r="J246" s="12" t="s">
        <v>228</v>
      </c>
      <c r="K246" s="12" t="s">
        <v>38</v>
      </c>
      <c r="L246" s="13">
        <v>38.78</v>
      </c>
      <c r="M246" s="13">
        <v>25</v>
      </c>
      <c r="N246" s="13">
        <v>1.5511999999999999</v>
      </c>
      <c r="O246" s="13" t="s">
        <v>30</v>
      </c>
      <c r="P246" s="13">
        <v>43.5</v>
      </c>
      <c r="Q246" s="13">
        <v>0</v>
      </c>
      <c r="R246" s="15">
        <v>1087.5</v>
      </c>
      <c r="S246" s="15">
        <v>0</v>
      </c>
      <c r="T246" s="15">
        <v>0</v>
      </c>
      <c r="U246" s="15">
        <v>1087.5</v>
      </c>
      <c r="V246" s="15">
        <v>0</v>
      </c>
      <c r="W246" s="15">
        <v>1087.5</v>
      </c>
      <c r="X246" s="15">
        <v>0</v>
      </c>
      <c r="Y246" s="16">
        <v>0</v>
      </c>
      <c r="Z246" s="67" t="s">
        <v>26</v>
      </c>
      <c r="AA246" s="12" t="s">
        <v>31</v>
      </c>
    </row>
    <row r="247" spans="1:27" x14ac:dyDescent="0.25">
      <c r="A247" s="10">
        <v>45661</v>
      </c>
      <c r="B247" s="11" t="s">
        <v>650</v>
      </c>
      <c r="C247" s="11" t="s">
        <v>1274</v>
      </c>
      <c r="D247" s="11" t="s">
        <v>26</v>
      </c>
      <c r="E247" s="11" t="s">
        <v>241</v>
      </c>
      <c r="F247" s="11" t="s">
        <v>26</v>
      </c>
      <c r="G247" s="11">
        <v>71092</v>
      </c>
      <c r="H247" s="12" t="s">
        <v>4448</v>
      </c>
      <c r="I247" s="12" t="s">
        <v>27</v>
      </c>
      <c r="J247" s="12" t="s">
        <v>33</v>
      </c>
      <c r="K247" s="12" t="s">
        <v>34</v>
      </c>
      <c r="L247" s="13">
        <v>42.82</v>
      </c>
      <c r="M247" s="13">
        <v>29</v>
      </c>
      <c r="N247" s="13">
        <v>1.4765517241379309</v>
      </c>
      <c r="O247" s="13">
        <v>45.33</v>
      </c>
      <c r="P247" s="13" t="s">
        <v>30</v>
      </c>
      <c r="Q247" s="13">
        <v>0</v>
      </c>
      <c r="R247" s="14">
        <v>1941.0306</v>
      </c>
      <c r="S247" s="15">
        <v>0</v>
      </c>
      <c r="T247" s="15">
        <v>0</v>
      </c>
      <c r="U247" s="15">
        <v>1941.0306</v>
      </c>
      <c r="V247" s="15">
        <v>1455.77295</v>
      </c>
      <c r="W247" s="15">
        <v>485.25765000000001</v>
      </c>
      <c r="X247" s="15">
        <v>0</v>
      </c>
      <c r="Y247" s="16">
        <v>0</v>
      </c>
      <c r="Z247" s="67" t="s">
        <v>26</v>
      </c>
      <c r="AA247" s="12" t="s">
        <v>31</v>
      </c>
    </row>
    <row r="248" spans="1:27" x14ac:dyDescent="0.25">
      <c r="A248" s="10">
        <v>45661</v>
      </c>
      <c r="B248" s="11" t="s">
        <v>1275</v>
      </c>
      <c r="C248" s="11" t="s">
        <v>1276</v>
      </c>
      <c r="D248" s="11" t="s">
        <v>26</v>
      </c>
      <c r="E248" s="11" t="s">
        <v>53</v>
      </c>
      <c r="F248" s="11" t="s">
        <v>26</v>
      </c>
      <c r="G248" s="11" t="s">
        <v>26</v>
      </c>
      <c r="H248" s="12" t="s">
        <v>4422</v>
      </c>
      <c r="I248" s="12" t="s">
        <v>27</v>
      </c>
      <c r="J248" s="12" t="s">
        <v>33</v>
      </c>
      <c r="K248" s="12" t="s">
        <v>34</v>
      </c>
      <c r="L248" s="13">
        <v>43.36</v>
      </c>
      <c r="M248" s="13">
        <v>30</v>
      </c>
      <c r="N248" s="13">
        <v>1.4453333333333329</v>
      </c>
      <c r="O248" s="13">
        <v>85</v>
      </c>
      <c r="P248" s="13" t="s">
        <v>30</v>
      </c>
      <c r="Q248" s="13">
        <v>0</v>
      </c>
      <c r="R248" s="15">
        <v>3685.6</v>
      </c>
      <c r="S248" s="15">
        <v>38</v>
      </c>
      <c r="T248" s="15">
        <v>1647.68</v>
      </c>
      <c r="U248" s="15">
        <v>2037.9199999999998</v>
      </c>
      <c r="V248" s="15">
        <v>2037.9199999999998</v>
      </c>
      <c r="W248" s="15">
        <v>0</v>
      </c>
      <c r="X248" s="15">
        <v>1604.32</v>
      </c>
      <c r="Y248" s="16">
        <v>43.360000000000127</v>
      </c>
      <c r="Z248" s="67" t="s">
        <v>41</v>
      </c>
      <c r="AA248" s="12" t="s">
        <v>78</v>
      </c>
    </row>
    <row r="249" spans="1:27" x14ac:dyDescent="0.25">
      <c r="A249" s="10">
        <v>45661</v>
      </c>
      <c r="B249" s="11" t="s">
        <v>1277</v>
      </c>
      <c r="C249" s="11" t="s">
        <v>1278</v>
      </c>
      <c r="D249" s="11" t="s">
        <v>26</v>
      </c>
      <c r="E249" s="11" t="s">
        <v>224</v>
      </c>
      <c r="F249" s="11" t="s">
        <v>26</v>
      </c>
      <c r="G249" s="11">
        <v>57830</v>
      </c>
      <c r="H249" s="12" t="s">
        <v>4423</v>
      </c>
      <c r="I249" s="12" t="s">
        <v>27</v>
      </c>
      <c r="J249" s="12" t="s">
        <v>33</v>
      </c>
      <c r="K249" s="12" t="s">
        <v>34</v>
      </c>
      <c r="L249" s="13">
        <v>35.520000000000003</v>
      </c>
      <c r="M249" s="13">
        <v>25</v>
      </c>
      <c r="N249" s="13">
        <v>1.4208000000000001</v>
      </c>
      <c r="O249" s="13">
        <v>45</v>
      </c>
      <c r="P249" s="13" t="s">
        <v>30</v>
      </c>
      <c r="Q249" s="13">
        <v>0</v>
      </c>
      <c r="R249" s="15">
        <v>1598.4</v>
      </c>
      <c r="S249" s="15">
        <v>0</v>
      </c>
      <c r="T249" s="15">
        <v>0</v>
      </c>
      <c r="U249" s="15">
        <v>1598.4</v>
      </c>
      <c r="V249" s="15">
        <v>1598.4</v>
      </c>
      <c r="W249" s="15">
        <v>0</v>
      </c>
      <c r="X249" s="15">
        <v>0</v>
      </c>
      <c r="Y249" s="16">
        <v>0</v>
      </c>
      <c r="Z249" s="67" t="s">
        <v>26</v>
      </c>
      <c r="AA249" s="12" t="s">
        <v>31</v>
      </c>
    </row>
    <row r="250" spans="1:27" x14ac:dyDescent="0.25">
      <c r="A250" s="10">
        <v>45661</v>
      </c>
      <c r="B250" s="11" t="s">
        <v>1279</v>
      </c>
      <c r="C250" s="11" t="s">
        <v>1280</v>
      </c>
      <c r="D250" s="11" t="s">
        <v>26</v>
      </c>
      <c r="E250" s="11" t="s">
        <v>1281</v>
      </c>
      <c r="F250" s="11" t="s">
        <v>26</v>
      </c>
      <c r="G250" s="11" t="s">
        <v>26</v>
      </c>
      <c r="H250" s="12" t="s">
        <v>4422</v>
      </c>
      <c r="I250" s="12" t="s">
        <v>27</v>
      </c>
      <c r="J250" s="12" t="s">
        <v>33</v>
      </c>
      <c r="K250" s="12" t="s">
        <v>34</v>
      </c>
      <c r="L250" s="13">
        <v>42.12</v>
      </c>
      <c r="M250" s="13">
        <v>25</v>
      </c>
      <c r="N250" s="13">
        <v>1.6848000000000001</v>
      </c>
      <c r="O250" s="13">
        <v>85</v>
      </c>
      <c r="P250" s="13" t="s">
        <v>30</v>
      </c>
      <c r="Q250" s="13">
        <v>0</v>
      </c>
      <c r="R250" s="15">
        <v>3580.2</v>
      </c>
      <c r="S250" s="15">
        <v>38</v>
      </c>
      <c r="T250" s="15">
        <v>1600.56</v>
      </c>
      <c r="U250" s="15">
        <v>1979.6399999999999</v>
      </c>
      <c r="V250" s="15">
        <v>1979.6399999999999</v>
      </c>
      <c r="W250" s="15">
        <v>0</v>
      </c>
      <c r="X250" s="15">
        <v>1516.32</v>
      </c>
      <c r="Y250" s="16">
        <v>84.240000000000009</v>
      </c>
      <c r="Z250" s="67" t="s">
        <v>141</v>
      </c>
      <c r="AA250" s="12" t="s">
        <v>78</v>
      </c>
    </row>
    <row r="251" spans="1:27" x14ac:dyDescent="0.25">
      <c r="A251" s="10">
        <v>45661</v>
      </c>
      <c r="B251" s="11" t="s">
        <v>1282</v>
      </c>
      <c r="C251" s="11" t="s">
        <v>1283</v>
      </c>
      <c r="D251" s="11" t="s">
        <v>26</v>
      </c>
      <c r="E251" s="11" t="s">
        <v>1200</v>
      </c>
      <c r="F251" s="11" t="s">
        <v>26</v>
      </c>
      <c r="G251" s="11">
        <v>963</v>
      </c>
      <c r="H251" s="12" t="s">
        <v>163</v>
      </c>
      <c r="I251" s="12" t="s">
        <v>27</v>
      </c>
      <c r="J251" s="12" t="s">
        <v>33</v>
      </c>
      <c r="K251" s="12" t="s">
        <v>34</v>
      </c>
      <c r="L251" s="13">
        <v>38.380000000000003</v>
      </c>
      <c r="M251" s="13">
        <v>25</v>
      </c>
      <c r="N251" s="13">
        <v>1.5351999999999999</v>
      </c>
      <c r="O251" s="13" t="s">
        <v>30</v>
      </c>
      <c r="P251" s="13">
        <v>58</v>
      </c>
      <c r="Q251" s="13">
        <v>0</v>
      </c>
      <c r="R251" s="14">
        <v>1450</v>
      </c>
      <c r="S251" s="15">
        <v>0</v>
      </c>
      <c r="T251" s="15">
        <v>0</v>
      </c>
      <c r="U251" s="15">
        <v>1450</v>
      </c>
      <c r="V251" s="15">
        <v>0</v>
      </c>
      <c r="W251" s="15">
        <v>1450</v>
      </c>
      <c r="X251" s="15">
        <v>0</v>
      </c>
      <c r="Y251" s="16">
        <v>0</v>
      </c>
      <c r="Z251" s="67" t="s">
        <v>26</v>
      </c>
      <c r="AA251" s="12" t="s">
        <v>31</v>
      </c>
    </row>
    <row r="252" spans="1:27" x14ac:dyDescent="0.25">
      <c r="A252" s="10">
        <v>45661</v>
      </c>
      <c r="B252" s="11" t="s">
        <v>1284</v>
      </c>
      <c r="C252" s="11" t="s">
        <v>1285</v>
      </c>
      <c r="D252" s="11" t="s">
        <v>26</v>
      </c>
      <c r="E252" s="11" t="s">
        <v>57</v>
      </c>
      <c r="F252" s="11" t="s">
        <v>26</v>
      </c>
      <c r="G252" s="11" t="s">
        <v>26</v>
      </c>
      <c r="H252" s="12" t="s">
        <v>4422</v>
      </c>
      <c r="I252" s="12" t="s">
        <v>27</v>
      </c>
      <c r="J252" s="12" t="s">
        <v>33</v>
      </c>
      <c r="K252" s="12" t="s">
        <v>34</v>
      </c>
      <c r="L252" s="13">
        <v>43.32</v>
      </c>
      <c r="M252" s="13">
        <v>30</v>
      </c>
      <c r="N252" s="13">
        <v>1.444</v>
      </c>
      <c r="O252" s="13">
        <v>85</v>
      </c>
      <c r="P252" s="13" t="s">
        <v>30</v>
      </c>
      <c r="Q252" s="13">
        <v>0</v>
      </c>
      <c r="R252" s="15">
        <v>3682.2</v>
      </c>
      <c r="S252" s="15">
        <v>38</v>
      </c>
      <c r="T252" s="15">
        <v>1646.16</v>
      </c>
      <c r="U252" s="15">
        <v>2036.0399999999997</v>
      </c>
      <c r="V252" s="15">
        <v>2036.0399999999997</v>
      </c>
      <c r="W252" s="15">
        <v>0</v>
      </c>
      <c r="X252" s="15">
        <v>1602.84</v>
      </c>
      <c r="Y252" s="16">
        <v>43.320000000000164</v>
      </c>
      <c r="Z252" s="67" t="s">
        <v>41</v>
      </c>
      <c r="AA252" s="12" t="s">
        <v>78</v>
      </c>
    </row>
    <row r="253" spans="1:27" x14ac:dyDescent="0.25">
      <c r="A253" s="10">
        <v>45661</v>
      </c>
      <c r="B253" s="11" t="s">
        <v>1286</v>
      </c>
      <c r="C253" s="11" t="s">
        <v>1287</v>
      </c>
      <c r="D253" s="11" t="s">
        <v>26</v>
      </c>
      <c r="E253" s="11" t="s">
        <v>605</v>
      </c>
      <c r="F253" s="11" t="s">
        <v>26</v>
      </c>
      <c r="G253" s="11" t="s">
        <v>26</v>
      </c>
      <c r="H253" s="12" t="s">
        <v>4422</v>
      </c>
      <c r="I253" s="12" t="s">
        <v>27</v>
      </c>
      <c r="J253" s="12" t="s">
        <v>42</v>
      </c>
      <c r="K253" s="12" t="s">
        <v>43</v>
      </c>
      <c r="L253" s="13">
        <v>42.98</v>
      </c>
      <c r="M253" s="13">
        <v>25</v>
      </c>
      <c r="N253" s="13">
        <v>1.7192000000000001</v>
      </c>
      <c r="O253" s="13">
        <v>83</v>
      </c>
      <c r="P253" s="13" t="s">
        <v>30</v>
      </c>
      <c r="Q253" s="13">
        <v>0</v>
      </c>
      <c r="R253" s="14">
        <v>3567.3399999999997</v>
      </c>
      <c r="S253" s="15">
        <v>38</v>
      </c>
      <c r="T253" s="15">
        <v>1633.2399999999998</v>
      </c>
      <c r="U253" s="15">
        <v>1934.1</v>
      </c>
      <c r="V253" s="15">
        <v>1934.1</v>
      </c>
      <c r="W253" s="15">
        <v>0</v>
      </c>
      <c r="X253" s="15">
        <v>1547.28</v>
      </c>
      <c r="Y253" s="16">
        <v>85.959999999999809</v>
      </c>
      <c r="Z253" s="67" t="s">
        <v>141</v>
      </c>
      <c r="AA253" s="12" t="s">
        <v>78</v>
      </c>
    </row>
    <row r="254" spans="1:27" x14ac:dyDescent="0.25">
      <c r="A254" s="10">
        <v>45661</v>
      </c>
      <c r="B254" s="11" t="s">
        <v>1288</v>
      </c>
      <c r="C254" s="11" t="s">
        <v>1289</v>
      </c>
      <c r="D254" s="11" t="s">
        <v>26</v>
      </c>
      <c r="E254" s="11" t="s">
        <v>80</v>
      </c>
      <c r="F254" s="11" t="s">
        <v>26</v>
      </c>
      <c r="G254" s="11">
        <v>10274</v>
      </c>
      <c r="H254" s="12" t="s">
        <v>140</v>
      </c>
      <c r="I254" s="12" t="s">
        <v>27</v>
      </c>
      <c r="J254" s="12" t="s">
        <v>42</v>
      </c>
      <c r="K254" s="12" t="s">
        <v>43</v>
      </c>
      <c r="L254" s="13">
        <v>43.96</v>
      </c>
      <c r="M254" s="13">
        <v>25</v>
      </c>
      <c r="N254" s="13">
        <v>1.7584</v>
      </c>
      <c r="O254" s="13">
        <v>35</v>
      </c>
      <c r="P254" s="13"/>
      <c r="Q254" s="13">
        <v>0</v>
      </c>
      <c r="R254" s="14">
        <v>1538.6000000000001</v>
      </c>
      <c r="S254" s="15">
        <v>0</v>
      </c>
      <c r="T254" s="15">
        <v>0</v>
      </c>
      <c r="U254" s="15">
        <v>1538.6000000000001</v>
      </c>
      <c r="V254" s="15">
        <v>0</v>
      </c>
      <c r="W254" s="15">
        <v>1538.6000000000001</v>
      </c>
      <c r="X254" s="15">
        <v>0</v>
      </c>
      <c r="Y254" s="16">
        <v>0</v>
      </c>
      <c r="Z254" s="67" t="s">
        <v>26</v>
      </c>
      <c r="AA254" s="12" t="s">
        <v>31</v>
      </c>
    </row>
    <row r="255" spans="1:27" x14ac:dyDescent="0.25">
      <c r="A255" s="10">
        <v>45661</v>
      </c>
      <c r="B255" s="11" t="s">
        <v>1290</v>
      </c>
      <c r="C255" s="11" t="s">
        <v>1291</v>
      </c>
      <c r="D255" s="11" t="s">
        <v>26</v>
      </c>
      <c r="E255" s="11" t="s">
        <v>49</v>
      </c>
      <c r="F255" s="11" t="s">
        <v>26</v>
      </c>
      <c r="G255" s="11">
        <v>1489</v>
      </c>
      <c r="H255" s="12" t="s">
        <v>45</v>
      </c>
      <c r="I255" s="12" t="s">
        <v>27</v>
      </c>
      <c r="J255" s="12" t="s">
        <v>42</v>
      </c>
      <c r="K255" s="12" t="s">
        <v>43</v>
      </c>
      <c r="L255" s="13">
        <v>43.08</v>
      </c>
      <c r="M255" s="13">
        <v>25</v>
      </c>
      <c r="N255" s="13">
        <v>1.7232000000000001</v>
      </c>
      <c r="O255" s="13" t="s">
        <v>30</v>
      </c>
      <c r="P255" s="13">
        <v>62</v>
      </c>
      <c r="Q255" s="13">
        <v>0</v>
      </c>
      <c r="R255" s="15">
        <v>1550</v>
      </c>
      <c r="S255" s="15">
        <v>0</v>
      </c>
      <c r="T255" s="15">
        <v>0</v>
      </c>
      <c r="U255" s="15">
        <v>1550</v>
      </c>
      <c r="V255" s="15">
        <v>0</v>
      </c>
      <c r="W255" s="15">
        <v>1550</v>
      </c>
      <c r="X255" s="15">
        <v>0</v>
      </c>
      <c r="Y255" s="16">
        <v>0</v>
      </c>
      <c r="Z255" s="67" t="s">
        <v>26</v>
      </c>
      <c r="AA255" s="12" t="s">
        <v>31</v>
      </c>
    </row>
    <row r="256" spans="1:27" x14ac:dyDescent="0.25">
      <c r="A256" s="10">
        <v>45661</v>
      </c>
      <c r="B256" s="11" t="s">
        <v>1292</v>
      </c>
      <c r="C256" s="11" t="s">
        <v>1293</v>
      </c>
      <c r="D256" s="11" t="s">
        <v>26</v>
      </c>
      <c r="E256" s="11" t="s">
        <v>44</v>
      </c>
      <c r="F256" s="11" t="s">
        <v>26</v>
      </c>
      <c r="G256" s="11">
        <v>1484</v>
      </c>
      <c r="H256" s="12" t="s">
        <v>45</v>
      </c>
      <c r="I256" s="12" t="s">
        <v>27</v>
      </c>
      <c r="J256" s="12" t="s">
        <v>42</v>
      </c>
      <c r="K256" s="12" t="s">
        <v>43</v>
      </c>
      <c r="L256" s="13">
        <v>42.1</v>
      </c>
      <c r="M256" s="13">
        <v>25</v>
      </c>
      <c r="N256" s="13">
        <v>1.6839999999999999</v>
      </c>
      <c r="O256" s="13" t="s">
        <v>30</v>
      </c>
      <c r="P256" s="13">
        <v>62</v>
      </c>
      <c r="Q256" s="14">
        <v>0</v>
      </c>
      <c r="R256" s="15">
        <v>1550</v>
      </c>
      <c r="S256" s="15">
        <v>0</v>
      </c>
      <c r="T256" s="15">
        <v>0</v>
      </c>
      <c r="U256" s="15">
        <v>1550</v>
      </c>
      <c r="V256" s="15">
        <v>0</v>
      </c>
      <c r="W256" s="15">
        <v>1550</v>
      </c>
      <c r="X256" s="15">
        <v>0</v>
      </c>
      <c r="Y256" s="16">
        <v>0</v>
      </c>
      <c r="Z256" s="67" t="s">
        <v>26</v>
      </c>
      <c r="AA256" s="12" t="s">
        <v>31</v>
      </c>
    </row>
    <row r="257" spans="1:27" x14ac:dyDescent="0.25">
      <c r="A257" s="10">
        <v>45661</v>
      </c>
      <c r="B257" s="11" t="s">
        <v>1294</v>
      </c>
      <c r="C257" s="11" t="s">
        <v>1295</v>
      </c>
      <c r="D257" s="11" t="s">
        <v>26</v>
      </c>
      <c r="E257" s="11" t="s">
        <v>244</v>
      </c>
      <c r="F257" s="11" t="s">
        <v>26</v>
      </c>
      <c r="G257" s="11" t="s">
        <v>26</v>
      </c>
      <c r="H257" s="12" t="s">
        <v>4422</v>
      </c>
      <c r="I257" s="12" t="s">
        <v>27</v>
      </c>
      <c r="J257" s="12" t="s">
        <v>42</v>
      </c>
      <c r="K257" s="12" t="s">
        <v>43</v>
      </c>
      <c r="L257" s="13">
        <v>42.36</v>
      </c>
      <c r="M257" s="13">
        <v>25</v>
      </c>
      <c r="N257" s="13">
        <v>1.6943999999999999</v>
      </c>
      <c r="O257" s="13">
        <v>83</v>
      </c>
      <c r="P257" s="13" t="s">
        <v>30</v>
      </c>
      <c r="Q257" s="13">
        <v>0</v>
      </c>
      <c r="R257" s="15">
        <v>3515.88</v>
      </c>
      <c r="S257" s="15">
        <v>38</v>
      </c>
      <c r="T257" s="15">
        <v>1609.68</v>
      </c>
      <c r="U257" s="15">
        <v>1906.2</v>
      </c>
      <c r="V257" s="15">
        <v>1906.2</v>
      </c>
      <c r="W257" s="15">
        <v>0</v>
      </c>
      <c r="X257" s="15">
        <v>1524.96</v>
      </c>
      <c r="Y257" s="16">
        <v>84.720000000000027</v>
      </c>
      <c r="Z257" s="67" t="s">
        <v>141</v>
      </c>
      <c r="AA257" s="12" t="s">
        <v>78</v>
      </c>
    </row>
    <row r="258" spans="1:27" x14ac:dyDescent="0.25">
      <c r="A258" s="10">
        <v>45661</v>
      </c>
      <c r="B258" s="11" t="s">
        <v>1296</v>
      </c>
      <c r="C258" s="11" t="s">
        <v>1297</v>
      </c>
      <c r="D258" s="11" t="s">
        <v>26</v>
      </c>
      <c r="E258" s="11" t="s">
        <v>246</v>
      </c>
      <c r="F258" s="11" t="s">
        <v>26</v>
      </c>
      <c r="G258" s="11" t="s">
        <v>26</v>
      </c>
      <c r="H258" s="12" t="s">
        <v>4422</v>
      </c>
      <c r="I258" s="12" t="s">
        <v>27</v>
      </c>
      <c r="J258" s="12" t="s">
        <v>42</v>
      </c>
      <c r="K258" s="12" t="s">
        <v>43</v>
      </c>
      <c r="L258" s="13">
        <v>42.34</v>
      </c>
      <c r="M258" s="13">
        <v>25</v>
      </c>
      <c r="N258" s="13">
        <v>1.6936</v>
      </c>
      <c r="O258" s="13">
        <v>83</v>
      </c>
      <c r="P258" s="13" t="s">
        <v>30</v>
      </c>
      <c r="Q258" s="13">
        <v>0</v>
      </c>
      <c r="R258" s="14">
        <v>3514.2200000000003</v>
      </c>
      <c r="S258" s="15">
        <v>38</v>
      </c>
      <c r="T258" s="15">
        <v>1608.92</v>
      </c>
      <c r="U258" s="15">
        <v>1905.3000000000002</v>
      </c>
      <c r="V258" s="15">
        <v>1905.3000000000002</v>
      </c>
      <c r="W258" s="15">
        <v>0</v>
      </c>
      <c r="X258" s="15">
        <v>1566.5800000000002</v>
      </c>
      <c r="Y258" s="16">
        <v>42.339999999999918</v>
      </c>
      <c r="Z258" s="67" t="s">
        <v>41</v>
      </c>
      <c r="AA258" s="12" t="s">
        <v>78</v>
      </c>
    </row>
    <row r="259" spans="1:27" x14ac:dyDescent="0.25">
      <c r="A259" s="10">
        <v>45661</v>
      </c>
      <c r="B259" s="11" t="s">
        <v>751</v>
      </c>
      <c r="C259" s="11" t="s">
        <v>1298</v>
      </c>
      <c r="D259" s="11" t="s">
        <v>26</v>
      </c>
      <c r="E259" s="11" t="s">
        <v>76</v>
      </c>
      <c r="F259" s="11" t="s">
        <v>26</v>
      </c>
      <c r="G259" s="11" t="s">
        <v>26</v>
      </c>
      <c r="H259" s="12" t="s">
        <v>4422</v>
      </c>
      <c r="I259" s="12" t="s">
        <v>27</v>
      </c>
      <c r="J259" s="12" t="s">
        <v>42</v>
      </c>
      <c r="K259" s="12" t="s">
        <v>43</v>
      </c>
      <c r="L259" s="13">
        <v>42.28</v>
      </c>
      <c r="M259" s="13">
        <v>25</v>
      </c>
      <c r="N259" s="13">
        <v>1.6912</v>
      </c>
      <c r="O259" s="13">
        <v>83</v>
      </c>
      <c r="P259" s="13" t="s">
        <v>30</v>
      </c>
      <c r="Q259" s="13">
        <v>0</v>
      </c>
      <c r="R259" s="14">
        <v>3509.2400000000002</v>
      </c>
      <c r="S259" s="15">
        <v>38</v>
      </c>
      <c r="T259" s="15">
        <v>1606.64</v>
      </c>
      <c r="U259" s="15">
        <v>1902.6000000000001</v>
      </c>
      <c r="V259" s="15">
        <v>1902.6000000000001</v>
      </c>
      <c r="W259" s="15">
        <v>0</v>
      </c>
      <c r="X259" s="15">
        <v>1564.3600000000001</v>
      </c>
      <c r="Y259" s="16">
        <v>42.279999999999973</v>
      </c>
      <c r="Z259" s="67" t="s">
        <v>41</v>
      </c>
      <c r="AA259" s="12" t="s">
        <v>78</v>
      </c>
    </row>
    <row r="260" spans="1:27" x14ac:dyDescent="0.25">
      <c r="A260" s="10">
        <v>45661</v>
      </c>
      <c r="B260" s="11" t="s">
        <v>1299</v>
      </c>
      <c r="C260" s="11" t="s">
        <v>1300</v>
      </c>
      <c r="D260" s="11" t="s">
        <v>26</v>
      </c>
      <c r="E260" s="11" t="s">
        <v>520</v>
      </c>
      <c r="F260" s="11" t="s">
        <v>26</v>
      </c>
      <c r="G260" s="11">
        <v>4362</v>
      </c>
      <c r="H260" s="12" t="s">
        <v>140</v>
      </c>
      <c r="I260" s="12" t="s">
        <v>27</v>
      </c>
      <c r="J260" s="12" t="s">
        <v>42</v>
      </c>
      <c r="K260" s="12" t="s">
        <v>43</v>
      </c>
      <c r="L260" s="13">
        <v>41.32</v>
      </c>
      <c r="M260" s="13">
        <v>25</v>
      </c>
      <c r="N260" s="13">
        <v>1.6528</v>
      </c>
      <c r="O260" s="13">
        <v>35</v>
      </c>
      <c r="P260" s="13"/>
      <c r="Q260" s="13">
        <v>0</v>
      </c>
      <c r="R260" s="14">
        <v>1446.2</v>
      </c>
      <c r="S260" s="15">
        <v>0</v>
      </c>
      <c r="T260" s="15">
        <v>0</v>
      </c>
      <c r="U260" s="15">
        <v>1446.2</v>
      </c>
      <c r="V260" s="15">
        <v>0</v>
      </c>
      <c r="W260" s="15">
        <v>1446.2</v>
      </c>
      <c r="X260" s="15">
        <v>0</v>
      </c>
      <c r="Y260" s="16">
        <v>0</v>
      </c>
      <c r="Z260" s="67" t="s">
        <v>26</v>
      </c>
      <c r="AA260" s="12" t="s">
        <v>31</v>
      </c>
    </row>
    <row r="261" spans="1:27" x14ac:dyDescent="0.25">
      <c r="A261" s="10">
        <v>45661</v>
      </c>
      <c r="B261" s="11" t="s">
        <v>1301</v>
      </c>
      <c r="C261" s="11" t="s">
        <v>1302</v>
      </c>
      <c r="D261" s="11" t="s">
        <v>26</v>
      </c>
      <c r="E261" s="11" t="s">
        <v>505</v>
      </c>
      <c r="F261" s="11" t="s">
        <v>26</v>
      </c>
      <c r="G261" s="11" t="s">
        <v>26</v>
      </c>
      <c r="H261" s="12" t="s">
        <v>4422</v>
      </c>
      <c r="I261" s="12" t="s">
        <v>27</v>
      </c>
      <c r="J261" s="12" t="s">
        <v>42</v>
      </c>
      <c r="K261" s="12" t="s">
        <v>43</v>
      </c>
      <c r="L261" s="13">
        <v>41.68</v>
      </c>
      <c r="M261" s="13">
        <v>25</v>
      </c>
      <c r="N261" s="13">
        <v>1.6672</v>
      </c>
      <c r="O261" s="13">
        <v>83</v>
      </c>
      <c r="P261" s="13" t="s">
        <v>30</v>
      </c>
      <c r="Q261" s="13">
        <v>0</v>
      </c>
      <c r="R261" s="15">
        <v>3459.44</v>
      </c>
      <c r="S261" s="15">
        <v>38</v>
      </c>
      <c r="T261" s="15">
        <v>1583.84</v>
      </c>
      <c r="U261" s="15">
        <v>1875.6000000000001</v>
      </c>
      <c r="V261" s="15">
        <v>1875.6000000000001</v>
      </c>
      <c r="W261" s="15">
        <v>0</v>
      </c>
      <c r="X261" s="15">
        <v>1500.48</v>
      </c>
      <c r="Y261" s="16">
        <v>83.3599999999999</v>
      </c>
      <c r="Z261" s="67" t="s">
        <v>141</v>
      </c>
      <c r="AA261" s="12" t="s">
        <v>78</v>
      </c>
    </row>
    <row r="262" spans="1:27" x14ac:dyDescent="0.25">
      <c r="A262" s="10">
        <v>45661</v>
      </c>
      <c r="B262" s="11" t="s">
        <v>1303</v>
      </c>
      <c r="C262" s="11" t="s">
        <v>1304</v>
      </c>
      <c r="D262" s="11" t="s">
        <v>26</v>
      </c>
      <c r="E262" s="11" t="s">
        <v>571</v>
      </c>
      <c r="F262" s="11" t="s">
        <v>26</v>
      </c>
      <c r="G262" s="11">
        <v>111911</v>
      </c>
      <c r="H262" s="12" t="s">
        <v>4446</v>
      </c>
      <c r="I262" s="12" t="s">
        <v>27</v>
      </c>
      <c r="J262" s="12" t="s">
        <v>42</v>
      </c>
      <c r="K262" s="12" t="s">
        <v>43</v>
      </c>
      <c r="L262" s="13">
        <v>36.46</v>
      </c>
      <c r="M262" s="13">
        <v>24</v>
      </c>
      <c r="N262" s="13">
        <v>1.519166666666667</v>
      </c>
      <c r="O262" s="13">
        <v>42</v>
      </c>
      <c r="P262" s="13" t="s">
        <v>30</v>
      </c>
      <c r="Q262" s="13">
        <v>0</v>
      </c>
      <c r="R262" s="14">
        <v>1531.32</v>
      </c>
      <c r="S262" s="15">
        <v>0</v>
      </c>
      <c r="T262" s="15">
        <v>0</v>
      </c>
      <c r="U262" s="15">
        <v>1531.32</v>
      </c>
      <c r="V262" s="15">
        <v>1531.32</v>
      </c>
      <c r="W262" s="15">
        <v>0</v>
      </c>
      <c r="X262" s="16">
        <v>0</v>
      </c>
      <c r="Y262" s="16">
        <v>0</v>
      </c>
      <c r="Z262" s="67" t="s">
        <v>26</v>
      </c>
      <c r="AA262" s="12" t="s">
        <v>31</v>
      </c>
    </row>
    <row r="263" spans="1:27" x14ac:dyDescent="0.25">
      <c r="A263" s="10">
        <v>45661</v>
      </c>
      <c r="B263" s="11" t="s">
        <v>700</v>
      </c>
      <c r="C263" s="11" t="s">
        <v>1305</v>
      </c>
      <c r="D263" s="11" t="s">
        <v>26</v>
      </c>
      <c r="E263" s="11" t="s">
        <v>569</v>
      </c>
      <c r="F263" s="11" t="s">
        <v>26</v>
      </c>
      <c r="G263" s="11">
        <v>111734</v>
      </c>
      <c r="H263" s="12" t="s">
        <v>4446</v>
      </c>
      <c r="I263" s="12" t="s">
        <v>27</v>
      </c>
      <c r="J263" s="12" t="s">
        <v>42</v>
      </c>
      <c r="K263" s="12" t="s">
        <v>43</v>
      </c>
      <c r="L263" s="13">
        <v>39.74</v>
      </c>
      <c r="M263" s="13">
        <v>25</v>
      </c>
      <c r="N263" s="13">
        <v>1.5895999999999999</v>
      </c>
      <c r="O263" s="13">
        <v>42</v>
      </c>
      <c r="P263" s="13" t="s">
        <v>30</v>
      </c>
      <c r="Q263" s="13">
        <v>0</v>
      </c>
      <c r="R263" s="15">
        <v>1669.0800000000002</v>
      </c>
      <c r="S263" s="15">
        <v>0</v>
      </c>
      <c r="T263" s="15">
        <v>0</v>
      </c>
      <c r="U263" s="15">
        <v>1669.0800000000002</v>
      </c>
      <c r="V263" s="15">
        <v>1669.0800000000002</v>
      </c>
      <c r="W263" s="15">
        <v>0</v>
      </c>
      <c r="X263" s="15">
        <v>0</v>
      </c>
      <c r="Y263" s="16">
        <v>0</v>
      </c>
      <c r="Z263" s="67" t="s">
        <v>26</v>
      </c>
      <c r="AA263" s="12" t="s">
        <v>31</v>
      </c>
    </row>
    <row r="264" spans="1:27" x14ac:dyDescent="0.25">
      <c r="A264" s="10">
        <v>45661</v>
      </c>
      <c r="B264" s="11" t="s">
        <v>1306</v>
      </c>
      <c r="C264" s="11" t="s">
        <v>1307</v>
      </c>
      <c r="D264" s="11" t="s">
        <v>26</v>
      </c>
      <c r="E264" s="11" t="s">
        <v>544</v>
      </c>
      <c r="F264" s="11" t="s">
        <v>26</v>
      </c>
      <c r="G264" s="11">
        <v>70143</v>
      </c>
      <c r="H264" s="12" t="s">
        <v>4448</v>
      </c>
      <c r="I264" s="12" t="s">
        <v>27</v>
      </c>
      <c r="J264" s="12" t="s">
        <v>42</v>
      </c>
      <c r="K264" s="12" t="s">
        <v>43</v>
      </c>
      <c r="L264" s="13">
        <v>41.9</v>
      </c>
      <c r="M264" s="13">
        <v>25</v>
      </c>
      <c r="N264" s="13">
        <v>1.6759999999999999</v>
      </c>
      <c r="O264" s="13">
        <v>42.5</v>
      </c>
      <c r="P264" s="13"/>
      <c r="Q264" s="13">
        <v>0</v>
      </c>
      <c r="R264" s="15">
        <v>1780.75</v>
      </c>
      <c r="S264" s="15">
        <v>0</v>
      </c>
      <c r="T264" s="15">
        <v>0</v>
      </c>
      <c r="U264" s="15">
        <v>1780.75</v>
      </c>
      <c r="V264" s="15">
        <v>1335.5625</v>
      </c>
      <c r="W264" s="15">
        <v>445.1875</v>
      </c>
      <c r="X264" s="15">
        <v>0</v>
      </c>
      <c r="Y264" s="16">
        <v>0</v>
      </c>
      <c r="Z264" s="67" t="s">
        <v>26</v>
      </c>
      <c r="AA264" s="12" t="s">
        <v>31</v>
      </c>
    </row>
    <row r="265" spans="1:27" x14ac:dyDescent="0.25">
      <c r="A265" s="10">
        <v>45661</v>
      </c>
      <c r="B265" s="11" t="s">
        <v>1308</v>
      </c>
      <c r="C265" s="11" t="s">
        <v>1309</v>
      </c>
      <c r="D265" s="11" t="s">
        <v>26</v>
      </c>
      <c r="E265" s="11" t="s">
        <v>480</v>
      </c>
      <c r="F265" s="11" t="s">
        <v>26</v>
      </c>
      <c r="G265" s="11">
        <v>74918</v>
      </c>
      <c r="H265" s="12" t="s">
        <v>4448</v>
      </c>
      <c r="I265" s="12" t="s">
        <v>27</v>
      </c>
      <c r="J265" s="12" t="s">
        <v>42</v>
      </c>
      <c r="K265" s="12" t="s">
        <v>43</v>
      </c>
      <c r="L265" s="13">
        <v>43.38</v>
      </c>
      <c r="M265" s="13">
        <v>25</v>
      </c>
      <c r="N265" s="13">
        <v>1.7352000000000001</v>
      </c>
      <c r="O265" s="13">
        <v>42.5</v>
      </c>
      <c r="P265" s="13"/>
      <c r="Q265" s="13">
        <v>0</v>
      </c>
      <c r="R265" s="14">
        <v>1843.65</v>
      </c>
      <c r="S265" s="15">
        <v>0</v>
      </c>
      <c r="T265" s="15">
        <v>0</v>
      </c>
      <c r="U265" s="15">
        <v>1843.65</v>
      </c>
      <c r="V265" s="15">
        <v>1382.7375000000002</v>
      </c>
      <c r="W265" s="15">
        <v>460.91249999999991</v>
      </c>
      <c r="X265" s="15">
        <v>0</v>
      </c>
      <c r="Y265" s="16">
        <v>0</v>
      </c>
      <c r="Z265" s="67" t="s">
        <v>26</v>
      </c>
      <c r="AA265" s="12" t="s">
        <v>31</v>
      </c>
    </row>
    <row r="266" spans="1:27" x14ac:dyDescent="0.25">
      <c r="A266" s="10">
        <v>45661</v>
      </c>
      <c r="B266" s="11" t="s">
        <v>669</v>
      </c>
      <c r="C266" s="11" t="s">
        <v>1310</v>
      </c>
      <c r="D266" s="11" t="s">
        <v>26</v>
      </c>
      <c r="E266" s="11" t="s">
        <v>525</v>
      </c>
      <c r="F266" s="11" t="s">
        <v>26</v>
      </c>
      <c r="G266" s="11">
        <v>76542</v>
      </c>
      <c r="H266" s="12" t="s">
        <v>4448</v>
      </c>
      <c r="I266" s="12" t="s">
        <v>27</v>
      </c>
      <c r="J266" s="12" t="s">
        <v>42</v>
      </c>
      <c r="K266" s="12" t="s">
        <v>43</v>
      </c>
      <c r="L266" s="13">
        <v>44.42</v>
      </c>
      <c r="M266" s="13">
        <v>25</v>
      </c>
      <c r="N266" s="13">
        <v>1.7767999999999999</v>
      </c>
      <c r="O266" s="13">
        <v>42.5</v>
      </c>
      <c r="P266" s="13"/>
      <c r="Q266" s="13">
        <v>0</v>
      </c>
      <c r="R266" s="14">
        <v>1887.8500000000001</v>
      </c>
      <c r="S266" s="15">
        <v>0</v>
      </c>
      <c r="T266" s="15">
        <v>0</v>
      </c>
      <c r="U266" s="15">
        <v>1887.8500000000001</v>
      </c>
      <c r="V266" s="15">
        <v>1415.8875</v>
      </c>
      <c r="W266" s="15">
        <v>471.96250000000009</v>
      </c>
      <c r="X266" s="15">
        <v>0</v>
      </c>
      <c r="Y266" s="16">
        <v>0</v>
      </c>
      <c r="Z266" s="67" t="s">
        <v>26</v>
      </c>
      <c r="AA266" s="12" t="s">
        <v>31</v>
      </c>
    </row>
    <row r="267" spans="1:27" x14ac:dyDescent="0.25">
      <c r="A267" s="10">
        <v>45661</v>
      </c>
      <c r="B267" s="11" t="s">
        <v>1311</v>
      </c>
      <c r="C267" s="11" t="s">
        <v>1312</v>
      </c>
      <c r="D267" s="11" t="s">
        <v>26</v>
      </c>
      <c r="E267" s="11" t="s">
        <v>241</v>
      </c>
      <c r="F267" s="11" t="s">
        <v>26</v>
      </c>
      <c r="G267" s="11">
        <v>71093</v>
      </c>
      <c r="H267" s="12" t="s">
        <v>4448</v>
      </c>
      <c r="I267" s="12" t="s">
        <v>27</v>
      </c>
      <c r="J267" s="12" t="s">
        <v>42</v>
      </c>
      <c r="K267" s="12" t="s">
        <v>43</v>
      </c>
      <c r="L267" s="13">
        <v>44.22</v>
      </c>
      <c r="M267" s="13">
        <v>25</v>
      </c>
      <c r="N267" s="13">
        <v>1.7687999999999999</v>
      </c>
      <c r="O267" s="13">
        <v>42.5</v>
      </c>
      <c r="P267" s="13"/>
      <c r="Q267" s="13">
        <v>0</v>
      </c>
      <c r="R267" s="15">
        <v>1879.35</v>
      </c>
      <c r="S267" s="15">
        <v>0</v>
      </c>
      <c r="T267" s="15">
        <v>0</v>
      </c>
      <c r="U267" s="15">
        <v>1879.35</v>
      </c>
      <c r="V267" s="15">
        <v>1409.5124999999998</v>
      </c>
      <c r="W267" s="15">
        <v>469.83750000000009</v>
      </c>
      <c r="X267" s="15">
        <v>0</v>
      </c>
      <c r="Y267" s="16">
        <v>0</v>
      </c>
      <c r="Z267" s="67" t="s">
        <v>26</v>
      </c>
      <c r="AA267" s="12" t="s">
        <v>31</v>
      </c>
    </row>
    <row r="268" spans="1:27" x14ac:dyDescent="0.25">
      <c r="A268" s="10">
        <v>45661</v>
      </c>
      <c r="B268" s="11" t="s">
        <v>1313</v>
      </c>
      <c r="C268" s="11" t="s">
        <v>1314</v>
      </c>
      <c r="D268" s="11" t="s">
        <v>26</v>
      </c>
      <c r="E268" s="11" t="s">
        <v>604</v>
      </c>
      <c r="F268" s="11" t="s">
        <v>26</v>
      </c>
      <c r="G268" s="11">
        <v>489</v>
      </c>
      <c r="H268" s="12" t="s">
        <v>141</v>
      </c>
      <c r="I268" s="12" t="s">
        <v>27</v>
      </c>
      <c r="J268" s="12" t="s">
        <v>42</v>
      </c>
      <c r="K268" s="12" t="s">
        <v>43</v>
      </c>
      <c r="L268" s="13">
        <v>40.94</v>
      </c>
      <c r="M268" s="13">
        <v>25</v>
      </c>
      <c r="N268" s="13">
        <v>1.6375999999999999</v>
      </c>
      <c r="O268" s="13">
        <v>40</v>
      </c>
      <c r="P268" s="13" t="s">
        <v>30</v>
      </c>
      <c r="Q268" s="13">
        <v>0</v>
      </c>
      <c r="R268" s="14">
        <v>1637.6</v>
      </c>
      <c r="S268" s="15">
        <v>0</v>
      </c>
      <c r="T268" s="15">
        <v>0</v>
      </c>
      <c r="U268" s="15">
        <v>1637.6</v>
      </c>
      <c r="V268" s="15">
        <v>0</v>
      </c>
      <c r="W268" s="15">
        <v>1637.6</v>
      </c>
      <c r="X268" s="15">
        <v>0</v>
      </c>
      <c r="Y268" s="16">
        <v>0</v>
      </c>
      <c r="Z268" s="67" t="s">
        <v>26</v>
      </c>
      <c r="AA268" s="12" t="s">
        <v>31</v>
      </c>
    </row>
    <row r="269" spans="1:27" x14ac:dyDescent="0.25">
      <c r="A269" s="10">
        <v>45661</v>
      </c>
      <c r="B269" s="11" t="s">
        <v>1315</v>
      </c>
      <c r="C269" s="11" t="s">
        <v>1316</v>
      </c>
      <c r="D269" s="11" t="s">
        <v>26</v>
      </c>
      <c r="E269" s="11" t="s">
        <v>486</v>
      </c>
      <c r="F269" s="11" t="s">
        <v>26</v>
      </c>
      <c r="G269" s="11">
        <v>72861</v>
      </c>
      <c r="H269" s="12" t="s">
        <v>4448</v>
      </c>
      <c r="I269" s="12" t="s">
        <v>27</v>
      </c>
      <c r="J269" s="12" t="s">
        <v>42</v>
      </c>
      <c r="K269" s="12" t="s">
        <v>43</v>
      </c>
      <c r="L269" s="13">
        <v>42.94</v>
      </c>
      <c r="M269" s="13">
        <v>25</v>
      </c>
      <c r="N269" s="13">
        <v>1.7176</v>
      </c>
      <c r="O269" s="13">
        <v>42.5</v>
      </c>
      <c r="P269" s="13"/>
      <c r="Q269" s="13">
        <v>0</v>
      </c>
      <c r="R269" s="15">
        <v>1824.9499999999998</v>
      </c>
      <c r="S269" s="15">
        <v>0</v>
      </c>
      <c r="T269" s="15">
        <v>0</v>
      </c>
      <c r="U269" s="15">
        <v>1824.9499999999998</v>
      </c>
      <c r="V269" s="15">
        <v>1368.7124999999999</v>
      </c>
      <c r="W269" s="15">
        <v>456.23749999999995</v>
      </c>
      <c r="X269" s="15">
        <v>0</v>
      </c>
      <c r="Y269" s="16">
        <v>0</v>
      </c>
      <c r="Z269" s="67" t="s">
        <v>26</v>
      </c>
      <c r="AA269" s="12" t="s">
        <v>31</v>
      </c>
    </row>
    <row r="270" spans="1:27" x14ac:dyDescent="0.25">
      <c r="A270" s="10">
        <v>45661</v>
      </c>
      <c r="B270" s="11" t="s">
        <v>1317</v>
      </c>
      <c r="C270" s="11" t="s">
        <v>1318</v>
      </c>
      <c r="D270" s="11" t="s">
        <v>26</v>
      </c>
      <c r="E270" s="11" t="s">
        <v>539</v>
      </c>
      <c r="F270" s="11" t="s">
        <v>26</v>
      </c>
      <c r="G270" s="11">
        <v>2291</v>
      </c>
      <c r="H270" s="12" t="s">
        <v>41</v>
      </c>
      <c r="I270" s="12" t="s">
        <v>37</v>
      </c>
      <c r="J270" s="12" t="s">
        <v>228</v>
      </c>
      <c r="K270" s="12" t="s">
        <v>38</v>
      </c>
      <c r="L270" s="13">
        <v>37.9</v>
      </c>
      <c r="M270" s="13">
        <v>25</v>
      </c>
      <c r="N270" s="13">
        <v>1.516</v>
      </c>
      <c r="O270" s="13" t="s">
        <v>30</v>
      </c>
      <c r="P270" s="13">
        <v>43.5</v>
      </c>
      <c r="Q270" s="13">
        <v>0</v>
      </c>
      <c r="R270" s="15">
        <v>1087.5</v>
      </c>
      <c r="S270" s="15">
        <v>0</v>
      </c>
      <c r="T270" s="15">
        <v>0</v>
      </c>
      <c r="U270" s="15">
        <v>1087.5</v>
      </c>
      <c r="V270" s="15">
        <v>0</v>
      </c>
      <c r="W270" s="15">
        <v>1087.5</v>
      </c>
      <c r="X270" s="15">
        <v>0</v>
      </c>
      <c r="Y270" s="16">
        <v>0</v>
      </c>
      <c r="Z270" s="67" t="s">
        <v>26</v>
      </c>
      <c r="AA270" s="12" t="s">
        <v>31</v>
      </c>
    </row>
    <row r="271" spans="1:27" x14ac:dyDescent="0.25">
      <c r="A271" s="10">
        <v>45661</v>
      </c>
      <c r="B271" s="11" t="s">
        <v>1319</v>
      </c>
      <c r="C271" s="11" t="s">
        <v>1320</v>
      </c>
      <c r="D271" s="11" t="s">
        <v>26</v>
      </c>
      <c r="E271" s="11" t="s">
        <v>84</v>
      </c>
      <c r="F271" s="11" t="s">
        <v>26</v>
      </c>
      <c r="G271" s="11">
        <v>44077</v>
      </c>
      <c r="H271" s="12" t="s">
        <v>4423</v>
      </c>
      <c r="I271" s="12" t="s">
        <v>27</v>
      </c>
      <c r="J271" s="12" t="s">
        <v>33</v>
      </c>
      <c r="K271" s="12" t="s">
        <v>34</v>
      </c>
      <c r="L271" s="13">
        <v>30</v>
      </c>
      <c r="M271" s="13">
        <v>25</v>
      </c>
      <c r="N271" s="13">
        <v>1.2</v>
      </c>
      <c r="O271" s="13">
        <v>45</v>
      </c>
      <c r="P271" s="13" t="s">
        <v>30</v>
      </c>
      <c r="Q271" s="13">
        <v>0</v>
      </c>
      <c r="R271" s="14">
        <v>1350</v>
      </c>
      <c r="S271" s="15">
        <v>0</v>
      </c>
      <c r="T271" s="15">
        <v>0</v>
      </c>
      <c r="U271" s="15">
        <v>1350</v>
      </c>
      <c r="V271" s="15">
        <v>1350</v>
      </c>
      <c r="W271" s="15">
        <v>0</v>
      </c>
      <c r="X271" s="15">
        <v>0</v>
      </c>
      <c r="Y271" s="16">
        <v>0</v>
      </c>
      <c r="Z271" s="67" t="s">
        <v>26</v>
      </c>
      <c r="AA271" s="12" t="s">
        <v>31</v>
      </c>
    </row>
    <row r="272" spans="1:27" x14ac:dyDescent="0.25">
      <c r="A272" s="10">
        <v>45661</v>
      </c>
      <c r="B272" s="11" t="s">
        <v>679</v>
      </c>
      <c r="C272" s="11" t="s">
        <v>1321</v>
      </c>
      <c r="D272" s="11" t="s">
        <v>26</v>
      </c>
      <c r="E272" s="11" t="s">
        <v>98</v>
      </c>
      <c r="F272" s="11" t="s">
        <v>26</v>
      </c>
      <c r="G272" s="11">
        <v>10124</v>
      </c>
      <c r="H272" s="12" t="s">
        <v>140</v>
      </c>
      <c r="I272" s="12" t="s">
        <v>27</v>
      </c>
      <c r="J272" s="12" t="s">
        <v>42</v>
      </c>
      <c r="K272" s="12" t="s">
        <v>43</v>
      </c>
      <c r="L272" s="13">
        <v>43.1</v>
      </c>
      <c r="M272" s="13">
        <v>25</v>
      </c>
      <c r="N272" s="13">
        <v>1.724</v>
      </c>
      <c r="O272" s="13">
        <v>35</v>
      </c>
      <c r="P272" s="13"/>
      <c r="Q272" s="13">
        <v>0</v>
      </c>
      <c r="R272" s="14">
        <v>1508.5</v>
      </c>
      <c r="S272" s="15">
        <v>0</v>
      </c>
      <c r="T272" s="15">
        <v>0</v>
      </c>
      <c r="U272" s="15">
        <v>1508.5</v>
      </c>
      <c r="V272" s="15">
        <v>0</v>
      </c>
      <c r="W272" s="15">
        <v>1508.5</v>
      </c>
      <c r="X272" s="15">
        <v>0</v>
      </c>
      <c r="Y272" s="16">
        <v>0</v>
      </c>
      <c r="Z272" s="67" t="s">
        <v>26</v>
      </c>
      <c r="AA272" s="12" t="s">
        <v>31</v>
      </c>
    </row>
    <row r="273" spans="1:27" x14ac:dyDescent="0.25">
      <c r="A273" s="10">
        <v>45661</v>
      </c>
      <c r="B273" s="11" t="s">
        <v>676</v>
      </c>
      <c r="C273" s="11" t="s">
        <v>1322</v>
      </c>
      <c r="D273" s="11" t="s">
        <v>26</v>
      </c>
      <c r="E273" s="11" t="s">
        <v>1200</v>
      </c>
      <c r="F273" s="11" t="s">
        <v>26</v>
      </c>
      <c r="G273" s="11">
        <v>964</v>
      </c>
      <c r="H273" s="12" t="s">
        <v>163</v>
      </c>
      <c r="I273" s="12" t="s">
        <v>27</v>
      </c>
      <c r="J273" s="12" t="s">
        <v>47</v>
      </c>
      <c r="K273" s="12" t="s">
        <v>48</v>
      </c>
      <c r="L273" s="13">
        <v>38.18</v>
      </c>
      <c r="M273" s="13">
        <v>25</v>
      </c>
      <c r="N273" s="13">
        <v>1.5271999999999999</v>
      </c>
      <c r="O273" s="13" t="s">
        <v>30</v>
      </c>
      <c r="P273" s="13">
        <v>58</v>
      </c>
      <c r="Q273" s="13">
        <v>0</v>
      </c>
      <c r="R273" s="14">
        <v>1450</v>
      </c>
      <c r="S273" s="15">
        <v>0</v>
      </c>
      <c r="T273" s="15">
        <v>0</v>
      </c>
      <c r="U273" s="15">
        <v>1450</v>
      </c>
      <c r="V273" s="15">
        <v>0</v>
      </c>
      <c r="W273" s="15">
        <v>1450</v>
      </c>
      <c r="X273" s="15">
        <v>0</v>
      </c>
      <c r="Y273" s="16">
        <v>0</v>
      </c>
      <c r="Z273" s="67" t="s">
        <v>26</v>
      </c>
      <c r="AA273" s="12" t="s">
        <v>31</v>
      </c>
    </row>
    <row r="274" spans="1:27" x14ac:dyDescent="0.25">
      <c r="A274" s="10">
        <v>45661</v>
      </c>
      <c r="B274" s="11" t="s">
        <v>1323</v>
      </c>
      <c r="C274" s="11" t="s">
        <v>1324</v>
      </c>
      <c r="D274" s="11" t="s">
        <v>26</v>
      </c>
      <c r="E274" s="11" t="s">
        <v>80</v>
      </c>
      <c r="F274" s="11" t="s">
        <v>26</v>
      </c>
      <c r="G274" s="11">
        <v>10275</v>
      </c>
      <c r="H274" s="12" t="s">
        <v>140</v>
      </c>
      <c r="I274" s="12" t="s">
        <v>27</v>
      </c>
      <c r="J274" s="12" t="s">
        <v>42</v>
      </c>
      <c r="K274" s="12" t="s">
        <v>43</v>
      </c>
      <c r="L274" s="13">
        <v>44.66</v>
      </c>
      <c r="M274" s="13">
        <v>25</v>
      </c>
      <c r="N274" s="13">
        <v>1.7864</v>
      </c>
      <c r="O274" s="13">
        <v>35</v>
      </c>
      <c r="P274" s="13"/>
      <c r="Q274" s="13">
        <v>0</v>
      </c>
      <c r="R274" s="14">
        <v>1563.1</v>
      </c>
      <c r="S274" s="15">
        <v>0</v>
      </c>
      <c r="T274" s="15">
        <v>0</v>
      </c>
      <c r="U274" s="15">
        <v>1563.1</v>
      </c>
      <c r="V274" s="15">
        <v>0</v>
      </c>
      <c r="W274" s="15">
        <v>1563.1</v>
      </c>
      <c r="X274" s="15">
        <v>0</v>
      </c>
      <c r="Y274" s="16">
        <v>0</v>
      </c>
      <c r="Z274" s="67" t="s">
        <v>26</v>
      </c>
      <c r="AA274" s="12" t="s">
        <v>31</v>
      </c>
    </row>
    <row r="275" spans="1:27" x14ac:dyDescent="0.25">
      <c r="A275" s="10">
        <v>45661</v>
      </c>
      <c r="B275" s="11" t="s">
        <v>1325</v>
      </c>
      <c r="C275" s="11" t="s">
        <v>1326</v>
      </c>
      <c r="D275" s="11" t="s">
        <v>26</v>
      </c>
      <c r="E275" s="11" t="s">
        <v>431</v>
      </c>
      <c r="F275" s="11" t="s">
        <v>26</v>
      </c>
      <c r="G275" s="11" t="s">
        <v>26</v>
      </c>
      <c r="H275" s="12" t="s">
        <v>4422</v>
      </c>
      <c r="I275" s="12" t="s">
        <v>27</v>
      </c>
      <c r="J275" s="12" t="s">
        <v>33</v>
      </c>
      <c r="K275" s="12" t="s">
        <v>34</v>
      </c>
      <c r="L275" s="13">
        <v>39.5</v>
      </c>
      <c r="M275" s="13">
        <v>27</v>
      </c>
      <c r="N275" s="13">
        <v>1.462962962962963</v>
      </c>
      <c r="O275" s="13">
        <v>85</v>
      </c>
      <c r="P275" s="13" t="s">
        <v>30</v>
      </c>
      <c r="Q275" s="13">
        <v>0</v>
      </c>
      <c r="R275" s="14">
        <v>3357.5</v>
      </c>
      <c r="S275" s="15">
        <v>38</v>
      </c>
      <c r="T275" s="15">
        <v>1501</v>
      </c>
      <c r="U275" s="15">
        <v>1856.5</v>
      </c>
      <c r="V275" s="15">
        <v>1856.5</v>
      </c>
      <c r="W275" s="15">
        <v>0</v>
      </c>
      <c r="X275" s="15">
        <v>1422</v>
      </c>
      <c r="Y275" s="16">
        <v>79</v>
      </c>
      <c r="Z275" s="67" t="s">
        <v>6328</v>
      </c>
      <c r="AA275" s="12" t="s">
        <v>78</v>
      </c>
    </row>
    <row r="276" spans="1:27" x14ac:dyDescent="0.25">
      <c r="A276" s="10">
        <v>45661</v>
      </c>
      <c r="B276" s="11" t="s">
        <v>1327</v>
      </c>
      <c r="C276" s="11" t="s">
        <v>1328</v>
      </c>
      <c r="D276" s="11" t="s">
        <v>26</v>
      </c>
      <c r="E276" s="11" t="s">
        <v>61</v>
      </c>
      <c r="F276" s="11" t="s">
        <v>26</v>
      </c>
      <c r="G276" s="11" t="s">
        <v>35</v>
      </c>
      <c r="H276" s="12" t="s">
        <v>36</v>
      </c>
      <c r="I276" s="12" t="s">
        <v>27</v>
      </c>
      <c r="J276" s="12" t="s">
        <v>33</v>
      </c>
      <c r="K276" s="12" t="s">
        <v>34</v>
      </c>
      <c r="L276" s="13">
        <v>9.0399999999999991</v>
      </c>
      <c r="M276" s="13">
        <v>6</v>
      </c>
      <c r="N276" s="13">
        <v>1.506666666666667</v>
      </c>
      <c r="O276" s="13">
        <v>50</v>
      </c>
      <c r="P276" s="13" t="s">
        <v>30</v>
      </c>
      <c r="Q276" s="13">
        <v>0</v>
      </c>
      <c r="R276" s="15">
        <v>451.99999999999994</v>
      </c>
      <c r="S276" s="15">
        <v>0</v>
      </c>
      <c r="T276" s="15">
        <v>0</v>
      </c>
      <c r="U276" s="15">
        <v>451.99999999999994</v>
      </c>
      <c r="V276" s="15">
        <v>0</v>
      </c>
      <c r="W276" s="15">
        <v>451.99999999999994</v>
      </c>
      <c r="X276" s="15">
        <v>0</v>
      </c>
      <c r="Y276" s="16">
        <v>0</v>
      </c>
      <c r="Z276" s="67" t="s">
        <v>26</v>
      </c>
      <c r="AA276" s="12" t="s">
        <v>31</v>
      </c>
    </row>
    <row r="277" spans="1:27" x14ac:dyDescent="0.25">
      <c r="A277" s="10">
        <v>45661</v>
      </c>
      <c r="B277" s="11" t="s">
        <v>1329</v>
      </c>
      <c r="C277" s="11" t="s">
        <v>1330</v>
      </c>
      <c r="D277" s="11" t="s">
        <v>26</v>
      </c>
      <c r="E277" s="11" t="s">
        <v>325</v>
      </c>
      <c r="F277" s="11" t="s">
        <v>26</v>
      </c>
      <c r="G277" s="11" t="s">
        <v>35</v>
      </c>
      <c r="H277" s="12" t="s">
        <v>36</v>
      </c>
      <c r="I277" s="12" t="s">
        <v>27</v>
      </c>
      <c r="J277" s="12" t="s">
        <v>42</v>
      </c>
      <c r="K277" s="12" t="s">
        <v>43</v>
      </c>
      <c r="L277" s="13">
        <v>8.02</v>
      </c>
      <c r="M277" s="13">
        <v>5</v>
      </c>
      <c r="N277" s="13">
        <v>1.6040000000000001</v>
      </c>
      <c r="O277" s="13">
        <v>45</v>
      </c>
      <c r="P277" s="13" t="s">
        <v>30</v>
      </c>
      <c r="Q277" s="13">
        <v>0</v>
      </c>
      <c r="R277" s="15">
        <v>360.9</v>
      </c>
      <c r="S277" s="15">
        <v>0</v>
      </c>
      <c r="T277" s="15">
        <v>0</v>
      </c>
      <c r="U277" s="15">
        <v>360.9</v>
      </c>
      <c r="V277" s="15">
        <v>0</v>
      </c>
      <c r="W277" s="15">
        <v>360.9</v>
      </c>
      <c r="X277" s="15">
        <v>0</v>
      </c>
      <c r="Y277" s="16">
        <v>0</v>
      </c>
      <c r="Z277" s="67" t="s">
        <v>26</v>
      </c>
      <c r="AA277" s="12" t="s">
        <v>31</v>
      </c>
    </row>
    <row r="278" spans="1:27" x14ac:dyDescent="0.25">
      <c r="A278" s="10">
        <v>45661</v>
      </c>
      <c r="B278" s="11" t="s">
        <v>1331</v>
      </c>
      <c r="C278" s="11" t="s">
        <v>1332</v>
      </c>
      <c r="D278" s="11" t="s">
        <v>26</v>
      </c>
      <c r="E278" s="11" t="s">
        <v>32</v>
      </c>
      <c r="F278" s="11" t="s">
        <v>26</v>
      </c>
      <c r="G278" s="11">
        <v>1445</v>
      </c>
      <c r="H278" s="12" t="s">
        <v>45</v>
      </c>
      <c r="I278" s="12" t="s">
        <v>27</v>
      </c>
      <c r="J278" s="12" t="s">
        <v>33</v>
      </c>
      <c r="K278" s="12" t="s">
        <v>34</v>
      </c>
      <c r="L278" s="13">
        <v>38.46</v>
      </c>
      <c r="M278" s="13">
        <v>25</v>
      </c>
      <c r="N278" s="13">
        <v>1.5384</v>
      </c>
      <c r="O278" s="13" t="s">
        <v>30</v>
      </c>
      <c r="P278" s="13">
        <v>58</v>
      </c>
      <c r="Q278" s="13">
        <v>0</v>
      </c>
      <c r="R278" s="15">
        <v>1450</v>
      </c>
      <c r="S278" s="15">
        <v>0</v>
      </c>
      <c r="T278" s="15">
        <v>0</v>
      </c>
      <c r="U278" s="15">
        <v>1450</v>
      </c>
      <c r="V278" s="15">
        <v>0</v>
      </c>
      <c r="W278" s="15">
        <v>1450</v>
      </c>
      <c r="X278" s="15">
        <v>0</v>
      </c>
      <c r="Y278" s="16">
        <v>0</v>
      </c>
      <c r="Z278" s="67" t="s">
        <v>26</v>
      </c>
      <c r="AA278" s="12" t="s">
        <v>31</v>
      </c>
    </row>
    <row r="279" spans="1:27" x14ac:dyDescent="0.25">
      <c r="A279" s="10">
        <v>45661</v>
      </c>
      <c r="B279" s="11" t="s">
        <v>1333</v>
      </c>
      <c r="C279" s="11" t="s">
        <v>1334</v>
      </c>
      <c r="D279" s="11" t="s">
        <v>26</v>
      </c>
      <c r="E279" s="11" t="s">
        <v>57</v>
      </c>
      <c r="F279" s="11" t="s">
        <v>26</v>
      </c>
      <c r="G279" s="11" t="s">
        <v>26</v>
      </c>
      <c r="H279" s="12" t="s">
        <v>4422</v>
      </c>
      <c r="I279" s="12" t="s">
        <v>27</v>
      </c>
      <c r="J279" s="12" t="s">
        <v>47</v>
      </c>
      <c r="K279" s="12" t="s">
        <v>48</v>
      </c>
      <c r="L279" s="13">
        <v>42.18</v>
      </c>
      <c r="M279" s="13">
        <v>29</v>
      </c>
      <c r="N279" s="13">
        <v>1.4544827586206901</v>
      </c>
      <c r="O279" s="13">
        <v>87</v>
      </c>
      <c r="P279" s="13" t="s">
        <v>30</v>
      </c>
      <c r="Q279" s="13">
        <v>0</v>
      </c>
      <c r="R279" s="15">
        <v>3669.66</v>
      </c>
      <c r="S279" s="15">
        <v>38</v>
      </c>
      <c r="T279" s="15">
        <v>1602.84</v>
      </c>
      <c r="U279" s="15">
        <v>2066.8199999999997</v>
      </c>
      <c r="V279" s="15">
        <v>2066.8199999999997</v>
      </c>
      <c r="W279" s="15">
        <v>0</v>
      </c>
      <c r="X279" s="15">
        <v>1560.66</v>
      </c>
      <c r="Y279" s="16">
        <v>42.179999999999836</v>
      </c>
      <c r="Z279" s="67" t="s">
        <v>41</v>
      </c>
      <c r="AA279" s="12" t="s">
        <v>78</v>
      </c>
    </row>
    <row r="280" spans="1:27" x14ac:dyDescent="0.25">
      <c r="A280" s="10">
        <v>45661</v>
      </c>
      <c r="B280" s="11" t="s">
        <v>1335</v>
      </c>
      <c r="C280" s="11" t="s">
        <v>1336</v>
      </c>
      <c r="D280" s="11" t="s">
        <v>26</v>
      </c>
      <c r="E280" s="11" t="s">
        <v>76</v>
      </c>
      <c r="F280" s="11" t="s">
        <v>26</v>
      </c>
      <c r="G280" s="11">
        <v>2222</v>
      </c>
      <c r="H280" s="12" t="s">
        <v>41</v>
      </c>
      <c r="I280" s="12" t="s">
        <v>27</v>
      </c>
      <c r="J280" s="12" t="s">
        <v>33</v>
      </c>
      <c r="K280" s="12" t="s">
        <v>34</v>
      </c>
      <c r="L280" s="13">
        <v>35.619999999999997</v>
      </c>
      <c r="M280" s="13">
        <v>25</v>
      </c>
      <c r="N280" s="13">
        <v>1.4248000000000001</v>
      </c>
      <c r="O280" s="13" t="s">
        <v>30</v>
      </c>
      <c r="P280" s="13">
        <v>60</v>
      </c>
      <c r="Q280" s="13">
        <v>0</v>
      </c>
      <c r="R280" s="15">
        <v>1500</v>
      </c>
      <c r="S280" s="15">
        <v>0</v>
      </c>
      <c r="T280" s="15">
        <v>0</v>
      </c>
      <c r="U280" s="15">
        <v>1500</v>
      </c>
      <c r="V280" s="15">
        <v>0</v>
      </c>
      <c r="W280" s="15">
        <v>1500</v>
      </c>
      <c r="X280" s="15">
        <v>0</v>
      </c>
      <c r="Y280" s="16">
        <v>0</v>
      </c>
      <c r="Z280" s="67" t="s">
        <v>26</v>
      </c>
      <c r="AA280" s="12" t="s">
        <v>31</v>
      </c>
    </row>
    <row r="281" spans="1:27" x14ac:dyDescent="0.25">
      <c r="A281" s="10">
        <v>45661</v>
      </c>
      <c r="B281" s="11" t="s">
        <v>1337</v>
      </c>
      <c r="C281" s="11" t="s">
        <v>1338</v>
      </c>
      <c r="D281" s="11" t="s">
        <v>26</v>
      </c>
      <c r="E281" s="11" t="s">
        <v>571</v>
      </c>
      <c r="F281" s="11" t="s">
        <v>26</v>
      </c>
      <c r="G281" s="11">
        <v>111912</v>
      </c>
      <c r="H281" s="12" t="s">
        <v>4446</v>
      </c>
      <c r="I281" s="12" t="s">
        <v>27</v>
      </c>
      <c r="J281" s="12" t="s">
        <v>42</v>
      </c>
      <c r="K281" s="12" t="s">
        <v>43</v>
      </c>
      <c r="L281" s="13">
        <v>37.6</v>
      </c>
      <c r="M281" s="13">
        <v>24</v>
      </c>
      <c r="N281" s="13">
        <v>1.5666666666666671</v>
      </c>
      <c r="O281" s="13">
        <v>42</v>
      </c>
      <c r="P281" s="13" t="s">
        <v>30</v>
      </c>
      <c r="Q281" s="13">
        <v>0</v>
      </c>
      <c r="R281" s="15">
        <v>1579.2</v>
      </c>
      <c r="S281" s="15">
        <v>0</v>
      </c>
      <c r="T281" s="15">
        <v>0</v>
      </c>
      <c r="U281" s="15">
        <v>1579.2</v>
      </c>
      <c r="V281" s="15">
        <v>1579.2</v>
      </c>
      <c r="W281" s="15">
        <v>0</v>
      </c>
      <c r="X281" s="15">
        <v>0</v>
      </c>
      <c r="Y281" s="16">
        <v>0</v>
      </c>
      <c r="Z281" s="67" t="s">
        <v>26</v>
      </c>
      <c r="AA281" s="12" t="s">
        <v>31</v>
      </c>
    </row>
    <row r="282" spans="1:27" x14ac:dyDescent="0.25">
      <c r="A282" s="10">
        <v>45661</v>
      </c>
      <c r="B282" s="11" t="s">
        <v>1339</v>
      </c>
      <c r="C282" s="11" t="s">
        <v>1340</v>
      </c>
      <c r="D282" s="11" t="s">
        <v>26</v>
      </c>
      <c r="E282" s="11" t="s">
        <v>501</v>
      </c>
      <c r="F282" s="11" t="s">
        <v>26</v>
      </c>
      <c r="G282" s="11">
        <v>490</v>
      </c>
      <c r="H282" s="12" t="s">
        <v>141</v>
      </c>
      <c r="I282" s="12" t="s">
        <v>27</v>
      </c>
      <c r="J282" s="12" t="s">
        <v>33</v>
      </c>
      <c r="K282" s="12" t="s">
        <v>34</v>
      </c>
      <c r="L282" s="13">
        <v>41.96</v>
      </c>
      <c r="M282" s="13">
        <v>29</v>
      </c>
      <c r="N282" s="13">
        <v>1.4468965517241379</v>
      </c>
      <c r="O282" s="13">
        <v>40</v>
      </c>
      <c r="P282" s="13" t="s">
        <v>30</v>
      </c>
      <c r="Q282" s="13">
        <v>0</v>
      </c>
      <c r="R282" s="14">
        <v>1678.4</v>
      </c>
      <c r="S282" s="15">
        <v>0</v>
      </c>
      <c r="T282" s="15">
        <v>0</v>
      </c>
      <c r="U282" s="15">
        <v>1678.4</v>
      </c>
      <c r="V282" s="15">
        <v>0</v>
      </c>
      <c r="W282" s="15">
        <v>1678.4</v>
      </c>
      <c r="X282" s="15">
        <v>0</v>
      </c>
      <c r="Y282" s="16">
        <v>0</v>
      </c>
      <c r="Z282" s="67" t="s">
        <v>26</v>
      </c>
      <c r="AA282" s="12" t="s">
        <v>31</v>
      </c>
    </row>
    <row r="283" spans="1:27" x14ac:dyDescent="0.25">
      <c r="A283" s="10">
        <v>45661</v>
      </c>
      <c r="B283" s="11" t="s">
        <v>448</v>
      </c>
      <c r="C283" s="11" t="s">
        <v>1341</v>
      </c>
      <c r="D283" s="11" t="s">
        <v>26</v>
      </c>
      <c r="E283" s="11" t="s">
        <v>113</v>
      </c>
      <c r="F283" s="11" t="s">
        <v>26</v>
      </c>
      <c r="G283" s="11">
        <v>689</v>
      </c>
      <c r="H283" s="12" t="s">
        <v>6328</v>
      </c>
      <c r="I283" s="12" t="s">
        <v>55</v>
      </c>
      <c r="J283" s="12" t="s">
        <v>55</v>
      </c>
      <c r="K283" s="12" t="s">
        <v>56</v>
      </c>
      <c r="L283" s="13">
        <v>30.44</v>
      </c>
      <c r="M283" s="13">
        <v>20</v>
      </c>
      <c r="N283" s="13">
        <v>1.522</v>
      </c>
      <c r="O283" s="13">
        <v>15</v>
      </c>
      <c r="P283" s="13"/>
      <c r="Q283" s="13">
        <v>0</v>
      </c>
      <c r="R283" s="15">
        <v>456.6</v>
      </c>
      <c r="S283" s="15">
        <v>0</v>
      </c>
      <c r="T283" s="15">
        <v>0</v>
      </c>
      <c r="U283" s="15">
        <v>456.6</v>
      </c>
      <c r="V283" s="15">
        <v>0</v>
      </c>
      <c r="W283" s="15">
        <v>456.6</v>
      </c>
      <c r="X283" s="15">
        <v>0</v>
      </c>
      <c r="Y283" s="16">
        <v>0</v>
      </c>
      <c r="Z283" s="67" t="s">
        <v>26</v>
      </c>
      <c r="AA283" s="12" t="s">
        <v>31</v>
      </c>
    </row>
    <row r="284" spans="1:27" x14ac:dyDescent="0.25">
      <c r="A284" s="10">
        <v>45661</v>
      </c>
      <c r="B284" s="11" t="s">
        <v>1342</v>
      </c>
      <c r="C284" s="11" t="s">
        <v>1343</v>
      </c>
      <c r="D284" s="11" t="s">
        <v>26</v>
      </c>
      <c r="E284" s="11" t="s">
        <v>604</v>
      </c>
      <c r="F284" s="11" t="s">
        <v>26</v>
      </c>
      <c r="G284" s="11">
        <v>491</v>
      </c>
      <c r="H284" s="12" t="s">
        <v>141</v>
      </c>
      <c r="I284" s="12" t="s">
        <v>27</v>
      </c>
      <c r="J284" s="12" t="s">
        <v>47</v>
      </c>
      <c r="K284" s="12" t="s">
        <v>48</v>
      </c>
      <c r="L284" s="13">
        <v>38.880000000000003</v>
      </c>
      <c r="M284" s="13">
        <v>25</v>
      </c>
      <c r="N284" s="13">
        <v>1.5551999999999999</v>
      </c>
      <c r="O284" s="13">
        <v>40</v>
      </c>
      <c r="P284" s="13" t="s">
        <v>30</v>
      </c>
      <c r="Q284" s="13">
        <v>0</v>
      </c>
      <c r="R284" s="14">
        <v>1555.2</v>
      </c>
      <c r="S284" s="15">
        <v>0</v>
      </c>
      <c r="T284" s="15">
        <v>0</v>
      </c>
      <c r="U284" s="15">
        <v>1555.2</v>
      </c>
      <c r="V284" s="15">
        <v>0</v>
      </c>
      <c r="W284" s="15">
        <v>1555.2</v>
      </c>
      <c r="X284" s="15">
        <v>0</v>
      </c>
      <c r="Y284" s="16">
        <v>0</v>
      </c>
      <c r="Z284" s="67" t="s">
        <v>26</v>
      </c>
      <c r="AA284" s="12" t="s">
        <v>31</v>
      </c>
    </row>
    <row r="285" spans="1:27" x14ac:dyDescent="0.25">
      <c r="A285" s="10">
        <v>45661</v>
      </c>
      <c r="B285" s="11" t="s">
        <v>475</v>
      </c>
      <c r="C285" s="11" t="s">
        <v>1344</v>
      </c>
      <c r="D285" s="11" t="s">
        <v>26</v>
      </c>
      <c r="E285" s="11" t="s">
        <v>573</v>
      </c>
      <c r="F285" s="11" t="s">
        <v>26</v>
      </c>
      <c r="G285" s="11">
        <v>112043</v>
      </c>
      <c r="H285" s="12" t="s">
        <v>4446</v>
      </c>
      <c r="I285" s="12" t="s">
        <v>27</v>
      </c>
      <c r="J285" s="12" t="s">
        <v>33</v>
      </c>
      <c r="K285" s="12" t="s">
        <v>34</v>
      </c>
      <c r="L285" s="13">
        <v>38.56</v>
      </c>
      <c r="M285" s="13">
        <v>25</v>
      </c>
      <c r="N285" s="13">
        <v>1.5424</v>
      </c>
      <c r="O285" s="13">
        <v>44</v>
      </c>
      <c r="P285" s="13" t="s">
        <v>30</v>
      </c>
      <c r="Q285" s="13">
        <v>0</v>
      </c>
      <c r="R285" s="14">
        <v>1696.64</v>
      </c>
      <c r="S285" s="15">
        <v>0</v>
      </c>
      <c r="T285" s="15">
        <v>0</v>
      </c>
      <c r="U285" s="15">
        <v>1696.64</v>
      </c>
      <c r="V285" s="15">
        <v>1696.64</v>
      </c>
      <c r="W285" s="15">
        <v>0</v>
      </c>
      <c r="X285" s="15">
        <v>0</v>
      </c>
      <c r="Y285" s="16">
        <v>0</v>
      </c>
      <c r="Z285" s="67" t="s">
        <v>26</v>
      </c>
      <c r="AA285" s="12" t="s">
        <v>31</v>
      </c>
    </row>
    <row r="286" spans="1:27" x14ac:dyDescent="0.25">
      <c r="A286" s="10">
        <v>45661</v>
      </c>
      <c r="B286" s="11" t="s">
        <v>253</v>
      </c>
      <c r="C286" s="11" t="s">
        <v>1345</v>
      </c>
      <c r="D286" s="11" t="s">
        <v>26</v>
      </c>
      <c r="E286" s="11" t="s">
        <v>84</v>
      </c>
      <c r="F286" s="11" t="s">
        <v>26</v>
      </c>
      <c r="G286" s="11">
        <v>44078</v>
      </c>
      <c r="H286" s="12" t="s">
        <v>4423</v>
      </c>
      <c r="I286" s="12" t="s">
        <v>27</v>
      </c>
      <c r="J286" s="12" t="s">
        <v>33</v>
      </c>
      <c r="K286" s="12" t="s">
        <v>34</v>
      </c>
      <c r="L286" s="13">
        <v>33.44</v>
      </c>
      <c r="M286" s="13">
        <v>25</v>
      </c>
      <c r="N286" s="13">
        <v>1.3375999999999999</v>
      </c>
      <c r="O286" s="13">
        <v>45</v>
      </c>
      <c r="P286" s="13" t="s">
        <v>30</v>
      </c>
      <c r="Q286" s="13">
        <v>0</v>
      </c>
      <c r="R286" s="14">
        <v>1504.8</v>
      </c>
      <c r="S286" s="15">
        <v>0</v>
      </c>
      <c r="T286" s="15">
        <v>0</v>
      </c>
      <c r="U286" s="15">
        <v>1504.8</v>
      </c>
      <c r="V286" s="15">
        <v>1504.8</v>
      </c>
      <c r="W286" s="15">
        <v>0</v>
      </c>
      <c r="X286" s="15">
        <v>0</v>
      </c>
      <c r="Y286" s="16">
        <v>0</v>
      </c>
      <c r="Z286" s="67" t="s">
        <v>26</v>
      </c>
      <c r="AA286" s="12" t="s">
        <v>31</v>
      </c>
    </row>
    <row r="287" spans="1:27" x14ac:dyDescent="0.25">
      <c r="A287" s="10">
        <v>45661</v>
      </c>
      <c r="B287" s="11" t="s">
        <v>1346</v>
      </c>
      <c r="C287" s="11" t="s">
        <v>1347</v>
      </c>
      <c r="D287" s="11" t="s">
        <v>26</v>
      </c>
      <c r="E287" s="11" t="s">
        <v>87</v>
      </c>
      <c r="F287" s="11" t="s">
        <v>26</v>
      </c>
      <c r="G287" s="11">
        <v>32351</v>
      </c>
      <c r="H287" s="12" t="s">
        <v>4423</v>
      </c>
      <c r="I287" s="12" t="s">
        <v>27</v>
      </c>
      <c r="J287" s="12" t="s">
        <v>33</v>
      </c>
      <c r="K287" s="12" t="s">
        <v>34</v>
      </c>
      <c r="L287" s="13">
        <v>35.479999999999997</v>
      </c>
      <c r="M287" s="13">
        <v>25</v>
      </c>
      <c r="N287" s="13">
        <v>1.4192</v>
      </c>
      <c r="O287" s="13">
        <v>45</v>
      </c>
      <c r="P287" s="13" t="s">
        <v>30</v>
      </c>
      <c r="Q287" s="13">
        <v>0</v>
      </c>
      <c r="R287" s="14">
        <v>1596.6</v>
      </c>
      <c r="S287" s="15">
        <v>0</v>
      </c>
      <c r="T287" s="15">
        <v>0</v>
      </c>
      <c r="U287" s="15">
        <v>1596.6</v>
      </c>
      <c r="V287" s="15">
        <v>1596.6</v>
      </c>
      <c r="W287" s="15">
        <v>0</v>
      </c>
      <c r="X287" s="15">
        <v>0</v>
      </c>
      <c r="Y287" s="16">
        <v>0</v>
      </c>
      <c r="Z287" s="67" t="s">
        <v>26</v>
      </c>
      <c r="AA287" s="12" t="s">
        <v>31</v>
      </c>
    </row>
    <row r="288" spans="1:27" x14ac:dyDescent="0.25">
      <c r="A288" s="10">
        <v>45661</v>
      </c>
      <c r="B288" s="11" t="s">
        <v>1348</v>
      </c>
      <c r="C288" s="11" t="s">
        <v>1349</v>
      </c>
      <c r="D288" s="11" t="s">
        <v>26</v>
      </c>
      <c r="E288" s="11" t="s">
        <v>593</v>
      </c>
      <c r="F288" s="11" t="s">
        <v>26</v>
      </c>
      <c r="G288" s="11">
        <v>59473</v>
      </c>
      <c r="H288" s="12" t="s">
        <v>4423</v>
      </c>
      <c r="I288" s="12" t="s">
        <v>27</v>
      </c>
      <c r="J288" s="12" t="s">
        <v>33</v>
      </c>
      <c r="K288" s="12" t="s">
        <v>34</v>
      </c>
      <c r="L288" s="13">
        <v>35.14</v>
      </c>
      <c r="M288" s="13">
        <v>25</v>
      </c>
      <c r="N288" s="13">
        <v>1.4056</v>
      </c>
      <c r="O288" s="13">
        <v>45</v>
      </c>
      <c r="P288" s="13" t="s">
        <v>30</v>
      </c>
      <c r="Q288" s="13">
        <v>0</v>
      </c>
      <c r="R288" s="15">
        <v>1581.3</v>
      </c>
      <c r="S288" s="15">
        <v>0</v>
      </c>
      <c r="T288" s="15">
        <v>0</v>
      </c>
      <c r="U288" s="15">
        <v>1581.3</v>
      </c>
      <c r="V288" s="15">
        <v>1581.3</v>
      </c>
      <c r="W288" s="15">
        <v>0</v>
      </c>
      <c r="X288" s="15">
        <v>0</v>
      </c>
      <c r="Y288" s="16">
        <v>0</v>
      </c>
      <c r="Z288" s="67" t="s">
        <v>26</v>
      </c>
      <c r="AA288" s="12" t="s">
        <v>31</v>
      </c>
    </row>
    <row r="289" spans="1:27" x14ac:dyDescent="0.25">
      <c r="A289" s="10">
        <v>45661</v>
      </c>
      <c r="B289" s="11" t="s">
        <v>728</v>
      </c>
      <c r="C289" s="11" t="s">
        <v>1350</v>
      </c>
      <c r="D289" s="11" t="s">
        <v>26</v>
      </c>
      <c r="E289" s="11" t="s">
        <v>39</v>
      </c>
      <c r="F289" s="11" t="s">
        <v>26</v>
      </c>
      <c r="G289" s="11">
        <v>492</v>
      </c>
      <c r="H289" s="12" t="s">
        <v>141</v>
      </c>
      <c r="I289" s="12" t="s">
        <v>55</v>
      </c>
      <c r="J289" s="12" t="s">
        <v>55</v>
      </c>
      <c r="K289" s="12" t="s">
        <v>56</v>
      </c>
      <c r="L289" s="13">
        <v>38.840000000000003</v>
      </c>
      <c r="M289" s="13">
        <v>25</v>
      </c>
      <c r="N289" s="13">
        <v>1.5536000000000001</v>
      </c>
      <c r="O289" s="13">
        <v>15</v>
      </c>
      <c r="P289" s="13" t="s">
        <v>30</v>
      </c>
      <c r="Q289" s="13">
        <v>0</v>
      </c>
      <c r="R289" s="14">
        <v>582.6</v>
      </c>
      <c r="S289" s="15">
        <v>0</v>
      </c>
      <c r="T289" s="15">
        <v>0</v>
      </c>
      <c r="U289" s="15">
        <v>582.6</v>
      </c>
      <c r="V289" s="15">
        <v>0</v>
      </c>
      <c r="W289" s="15">
        <v>582.6</v>
      </c>
      <c r="X289" s="15">
        <v>0</v>
      </c>
      <c r="Y289" s="16">
        <v>0</v>
      </c>
      <c r="Z289" s="67" t="s">
        <v>26</v>
      </c>
      <c r="AA289" s="12" t="s">
        <v>31</v>
      </c>
    </row>
    <row r="290" spans="1:27" x14ac:dyDescent="0.25">
      <c r="A290" s="10">
        <v>45661</v>
      </c>
      <c r="B290" s="11" t="s">
        <v>306</v>
      </c>
      <c r="C290" s="11" t="s">
        <v>1351</v>
      </c>
      <c r="D290" s="11" t="s">
        <v>26</v>
      </c>
      <c r="E290" s="11" t="s">
        <v>52</v>
      </c>
      <c r="F290" s="11" t="s">
        <v>26</v>
      </c>
      <c r="G290" s="11">
        <v>493</v>
      </c>
      <c r="H290" s="12" t="s">
        <v>141</v>
      </c>
      <c r="I290" s="12" t="s">
        <v>55</v>
      </c>
      <c r="J290" s="12" t="s">
        <v>55</v>
      </c>
      <c r="K290" s="12" t="s">
        <v>56</v>
      </c>
      <c r="L290" s="13">
        <v>38.200000000000003</v>
      </c>
      <c r="M290" s="13">
        <v>25</v>
      </c>
      <c r="N290" s="13">
        <v>1.528</v>
      </c>
      <c r="O290" s="13">
        <v>15</v>
      </c>
      <c r="P290" s="13" t="s">
        <v>30</v>
      </c>
      <c r="Q290" s="13">
        <v>0</v>
      </c>
      <c r="R290" s="14">
        <v>573</v>
      </c>
      <c r="S290" s="15">
        <v>0</v>
      </c>
      <c r="T290" s="15">
        <v>0</v>
      </c>
      <c r="U290" s="15">
        <v>573</v>
      </c>
      <c r="V290" s="15">
        <v>0</v>
      </c>
      <c r="W290" s="15">
        <v>573</v>
      </c>
      <c r="X290" s="15">
        <v>0</v>
      </c>
      <c r="Y290" s="16">
        <v>0</v>
      </c>
      <c r="Z290" s="67" t="s">
        <v>26</v>
      </c>
      <c r="AA290" s="12" t="s">
        <v>31</v>
      </c>
    </row>
    <row r="291" spans="1:27" x14ac:dyDescent="0.25">
      <c r="A291" s="10">
        <v>45661</v>
      </c>
      <c r="B291" s="11" t="s">
        <v>410</v>
      </c>
      <c r="C291" s="11" t="s">
        <v>1352</v>
      </c>
      <c r="D291" s="11" t="s">
        <v>26</v>
      </c>
      <c r="E291" s="11" t="s">
        <v>74</v>
      </c>
      <c r="F291" s="11" t="s">
        <v>26</v>
      </c>
      <c r="G291" s="11">
        <v>1309</v>
      </c>
      <c r="H291" s="12" t="s">
        <v>70</v>
      </c>
      <c r="I291" s="12" t="s">
        <v>27</v>
      </c>
      <c r="J291" s="12" t="s">
        <v>47</v>
      </c>
      <c r="K291" s="12" t="s">
        <v>48</v>
      </c>
      <c r="L291" s="13">
        <v>36.74</v>
      </c>
      <c r="M291" s="13">
        <v>25</v>
      </c>
      <c r="N291" s="13">
        <v>1.4696</v>
      </c>
      <c r="O291" s="13" t="s">
        <v>30</v>
      </c>
      <c r="P291" s="13">
        <v>60</v>
      </c>
      <c r="Q291" s="13">
        <v>0</v>
      </c>
      <c r="R291" s="15">
        <v>1500</v>
      </c>
      <c r="S291" s="15">
        <v>0</v>
      </c>
      <c r="T291" s="15">
        <v>0</v>
      </c>
      <c r="U291" s="15">
        <v>1500</v>
      </c>
      <c r="V291" s="15">
        <v>0</v>
      </c>
      <c r="W291" s="15">
        <v>1500</v>
      </c>
      <c r="X291" s="15">
        <v>0</v>
      </c>
      <c r="Y291" s="16">
        <v>0</v>
      </c>
      <c r="Z291" s="67" t="s">
        <v>26</v>
      </c>
      <c r="AA291" s="12" t="s">
        <v>31</v>
      </c>
    </row>
    <row r="292" spans="1:27" x14ac:dyDescent="0.25">
      <c r="A292" s="10">
        <v>45661</v>
      </c>
      <c r="B292" s="11" t="s">
        <v>1353</v>
      </c>
      <c r="C292" s="11" t="s">
        <v>1354</v>
      </c>
      <c r="D292" s="11" t="s">
        <v>26</v>
      </c>
      <c r="E292" s="11" t="s">
        <v>64</v>
      </c>
      <c r="F292" s="11" t="s">
        <v>26</v>
      </c>
      <c r="G292" s="11">
        <v>494</v>
      </c>
      <c r="H292" s="12" t="s">
        <v>141</v>
      </c>
      <c r="I292" s="12" t="s">
        <v>55</v>
      </c>
      <c r="J292" s="12" t="s">
        <v>55</v>
      </c>
      <c r="K292" s="12" t="s">
        <v>56</v>
      </c>
      <c r="L292" s="13">
        <v>38</v>
      </c>
      <c r="M292" s="13">
        <v>25</v>
      </c>
      <c r="N292" s="13">
        <v>1.52</v>
      </c>
      <c r="O292" s="13">
        <v>15</v>
      </c>
      <c r="P292" s="13" t="s">
        <v>30</v>
      </c>
      <c r="Q292" s="13">
        <v>0</v>
      </c>
      <c r="R292" s="15">
        <v>570</v>
      </c>
      <c r="S292" s="15">
        <v>0</v>
      </c>
      <c r="T292" s="15">
        <v>0</v>
      </c>
      <c r="U292" s="15">
        <v>570</v>
      </c>
      <c r="V292" s="15">
        <v>0</v>
      </c>
      <c r="W292" s="15">
        <v>570</v>
      </c>
      <c r="X292" s="15">
        <v>0</v>
      </c>
      <c r="Y292" s="16">
        <v>0</v>
      </c>
      <c r="Z292" s="67" t="s">
        <v>26</v>
      </c>
      <c r="AA292" s="12" t="s">
        <v>31</v>
      </c>
    </row>
    <row r="293" spans="1:27" x14ac:dyDescent="0.25">
      <c r="A293" s="10">
        <v>45661</v>
      </c>
      <c r="B293" s="11" t="s">
        <v>698</v>
      </c>
      <c r="C293" s="11" t="s">
        <v>1355</v>
      </c>
      <c r="D293" s="11" t="s">
        <v>26</v>
      </c>
      <c r="E293" s="11" t="s">
        <v>53</v>
      </c>
      <c r="F293" s="11" t="s">
        <v>26</v>
      </c>
      <c r="G293" s="11">
        <v>2392</v>
      </c>
      <c r="H293" s="12" t="s">
        <v>41</v>
      </c>
      <c r="I293" s="12" t="s">
        <v>27</v>
      </c>
      <c r="J293" s="12" t="s">
        <v>42</v>
      </c>
      <c r="K293" s="12" t="s">
        <v>43</v>
      </c>
      <c r="L293" s="13">
        <v>43.4</v>
      </c>
      <c r="M293" s="13">
        <v>25</v>
      </c>
      <c r="N293" s="13">
        <v>1.736</v>
      </c>
      <c r="O293" s="13" t="s">
        <v>30</v>
      </c>
      <c r="P293" s="13">
        <v>64</v>
      </c>
      <c r="Q293" s="13">
        <v>0</v>
      </c>
      <c r="R293" s="15">
        <v>1600</v>
      </c>
      <c r="S293" s="15">
        <v>0</v>
      </c>
      <c r="T293" s="15">
        <v>0</v>
      </c>
      <c r="U293" s="15">
        <v>1600</v>
      </c>
      <c r="V293" s="15">
        <v>0</v>
      </c>
      <c r="W293" s="15">
        <v>1600</v>
      </c>
      <c r="X293" s="15">
        <v>0</v>
      </c>
      <c r="Y293" s="16">
        <v>0</v>
      </c>
      <c r="Z293" s="67" t="s">
        <v>26</v>
      </c>
      <c r="AA293" s="12" t="s">
        <v>31</v>
      </c>
    </row>
    <row r="294" spans="1:27" x14ac:dyDescent="0.25">
      <c r="A294" s="10">
        <v>45661</v>
      </c>
      <c r="B294" s="11" t="s">
        <v>1356</v>
      </c>
      <c r="C294" s="11" t="s">
        <v>1357</v>
      </c>
      <c r="D294" s="11" t="s">
        <v>26</v>
      </c>
      <c r="E294" s="11" t="s">
        <v>69</v>
      </c>
      <c r="F294" s="11" t="s">
        <v>26</v>
      </c>
      <c r="G294" s="11">
        <v>4676</v>
      </c>
      <c r="H294" s="12" t="s">
        <v>70</v>
      </c>
      <c r="I294" s="12" t="s">
        <v>27</v>
      </c>
      <c r="J294" s="12" t="s">
        <v>33</v>
      </c>
      <c r="K294" s="12" t="s">
        <v>34</v>
      </c>
      <c r="L294" s="13">
        <v>38.659999999999997</v>
      </c>
      <c r="M294" s="13">
        <v>25</v>
      </c>
      <c r="N294" s="13">
        <v>1.5464</v>
      </c>
      <c r="O294" s="13" t="s">
        <v>30</v>
      </c>
      <c r="P294" s="13">
        <v>60</v>
      </c>
      <c r="Q294" s="13">
        <v>0</v>
      </c>
      <c r="R294" s="14">
        <v>1500</v>
      </c>
      <c r="S294" s="15">
        <v>0</v>
      </c>
      <c r="T294" s="15">
        <v>0</v>
      </c>
      <c r="U294" s="15">
        <v>1500</v>
      </c>
      <c r="V294" s="15">
        <v>0</v>
      </c>
      <c r="W294" s="15">
        <v>1500</v>
      </c>
      <c r="X294" s="15">
        <v>0</v>
      </c>
      <c r="Y294" s="16">
        <v>0</v>
      </c>
      <c r="Z294" s="67" t="s">
        <v>26</v>
      </c>
      <c r="AA294" s="12" t="s">
        <v>31</v>
      </c>
    </row>
    <row r="295" spans="1:27" x14ac:dyDescent="0.25">
      <c r="A295" s="10">
        <v>45661</v>
      </c>
      <c r="B295" s="11" t="s">
        <v>1358</v>
      </c>
      <c r="C295" s="11" t="s">
        <v>1359</v>
      </c>
      <c r="D295" s="11" t="s">
        <v>26</v>
      </c>
      <c r="E295" s="11" t="s">
        <v>431</v>
      </c>
      <c r="F295" s="11" t="s">
        <v>26</v>
      </c>
      <c r="G295" s="11">
        <v>131</v>
      </c>
      <c r="H295" s="12" t="s">
        <v>6328</v>
      </c>
      <c r="I295" s="12" t="s">
        <v>55</v>
      </c>
      <c r="J295" s="12" t="s">
        <v>55</v>
      </c>
      <c r="K295" s="12" t="s">
        <v>56</v>
      </c>
      <c r="L295" s="13">
        <v>37.159999999999997</v>
      </c>
      <c r="M295" s="13">
        <v>25</v>
      </c>
      <c r="N295" s="13">
        <v>1.4863999999999999</v>
      </c>
      <c r="O295" s="13">
        <v>15</v>
      </c>
      <c r="P295" s="13"/>
      <c r="Q295" s="13">
        <v>0</v>
      </c>
      <c r="R295" s="15">
        <v>557.4</v>
      </c>
      <c r="S295" s="15">
        <v>0</v>
      </c>
      <c r="T295" s="15">
        <v>0</v>
      </c>
      <c r="U295" s="15">
        <v>557.4</v>
      </c>
      <c r="V295" s="15">
        <v>0</v>
      </c>
      <c r="W295" s="15">
        <v>557.4</v>
      </c>
      <c r="X295" s="15">
        <v>0</v>
      </c>
      <c r="Y295" s="16">
        <v>0</v>
      </c>
      <c r="Z295" s="67" t="s">
        <v>26</v>
      </c>
      <c r="AA295" s="12" t="s">
        <v>31</v>
      </c>
    </row>
    <row r="296" spans="1:27" x14ac:dyDescent="0.25">
      <c r="A296" s="10">
        <v>45661</v>
      </c>
      <c r="B296" s="11" t="s">
        <v>1360</v>
      </c>
      <c r="C296" s="11" t="s">
        <v>1361</v>
      </c>
      <c r="D296" s="11" t="s">
        <v>26</v>
      </c>
      <c r="E296" s="11" t="s">
        <v>237</v>
      </c>
      <c r="F296" s="11" t="s">
        <v>26</v>
      </c>
      <c r="G296" s="11">
        <v>44272</v>
      </c>
      <c r="H296" s="12" t="s">
        <v>4423</v>
      </c>
      <c r="I296" s="12" t="s">
        <v>27</v>
      </c>
      <c r="J296" s="12" t="s">
        <v>33</v>
      </c>
      <c r="K296" s="12" t="s">
        <v>34</v>
      </c>
      <c r="L296" s="13">
        <v>35.36</v>
      </c>
      <c r="M296" s="13">
        <v>25</v>
      </c>
      <c r="N296" s="13">
        <v>1.4144000000000001</v>
      </c>
      <c r="O296" s="13">
        <v>45</v>
      </c>
      <c r="P296" s="13" t="s">
        <v>30</v>
      </c>
      <c r="Q296" s="13">
        <v>0</v>
      </c>
      <c r="R296" s="14">
        <v>1591.2</v>
      </c>
      <c r="S296" s="15">
        <v>0</v>
      </c>
      <c r="T296" s="15">
        <v>0</v>
      </c>
      <c r="U296" s="15">
        <v>1591.2</v>
      </c>
      <c r="V296" s="15">
        <v>1591.2</v>
      </c>
      <c r="W296" s="15">
        <v>0</v>
      </c>
      <c r="X296" s="15">
        <v>0</v>
      </c>
      <c r="Y296" s="16">
        <v>0</v>
      </c>
      <c r="Z296" s="67" t="s">
        <v>26</v>
      </c>
      <c r="AA296" s="12" t="s">
        <v>31</v>
      </c>
    </row>
    <row r="297" spans="1:27" x14ac:dyDescent="0.25">
      <c r="A297" s="10">
        <v>45661</v>
      </c>
      <c r="B297" s="11" t="s">
        <v>1362</v>
      </c>
      <c r="C297" s="11" t="s">
        <v>1363</v>
      </c>
      <c r="D297" s="11" t="s">
        <v>26</v>
      </c>
      <c r="E297" s="11" t="s">
        <v>57</v>
      </c>
      <c r="F297" s="11" t="s">
        <v>26</v>
      </c>
      <c r="G297" s="11">
        <v>2717</v>
      </c>
      <c r="H297" s="12" t="s">
        <v>41</v>
      </c>
      <c r="I297" s="12" t="s">
        <v>55</v>
      </c>
      <c r="J297" s="12" t="s">
        <v>566</v>
      </c>
      <c r="K297" s="12" t="s">
        <v>550</v>
      </c>
      <c r="L297" s="13">
        <v>42.64</v>
      </c>
      <c r="M297" s="13">
        <v>25</v>
      </c>
      <c r="N297" s="13">
        <v>1.7056</v>
      </c>
      <c r="O297" s="13">
        <v>25</v>
      </c>
      <c r="P297" s="13"/>
      <c r="Q297" s="13">
        <v>0</v>
      </c>
      <c r="R297" s="14">
        <v>1066</v>
      </c>
      <c r="S297" s="15">
        <v>0</v>
      </c>
      <c r="T297" s="15">
        <v>0</v>
      </c>
      <c r="U297" s="15">
        <v>1066</v>
      </c>
      <c r="V297" s="15">
        <v>0</v>
      </c>
      <c r="W297" s="15">
        <v>1066</v>
      </c>
      <c r="X297" s="15">
        <v>0</v>
      </c>
      <c r="Y297" s="16">
        <v>0</v>
      </c>
      <c r="Z297" s="67" t="s">
        <v>26</v>
      </c>
      <c r="AA297" s="12" t="s">
        <v>31</v>
      </c>
    </row>
    <row r="298" spans="1:27" x14ac:dyDescent="0.25">
      <c r="A298" s="10">
        <v>45661</v>
      </c>
      <c r="B298" s="11" t="s">
        <v>1364</v>
      </c>
      <c r="C298" s="11" t="s">
        <v>1365</v>
      </c>
      <c r="D298" s="11" t="s">
        <v>26</v>
      </c>
      <c r="E298" s="11" t="s">
        <v>81</v>
      </c>
      <c r="F298" s="11" t="s">
        <v>26</v>
      </c>
      <c r="G298" s="11">
        <v>495</v>
      </c>
      <c r="H298" s="12" t="s">
        <v>141</v>
      </c>
      <c r="I298" s="12" t="s">
        <v>27</v>
      </c>
      <c r="J298" s="12" t="s">
        <v>33</v>
      </c>
      <c r="K298" s="12" t="s">
        <v>34</v>
      </c>
      <c r="L298" s="13">
        <v>42.34</v>
      </c>
      <c r="M298" s="13">
        <v>29</v>
      </c>
      <c r="N298" s="13">
        <v>1.46</v>
      </c>
      <c r="O298" s="13">
        <v>40</v>
      </c>
      <c r="P298" s="13" t="s">
        <v>30</v>
      </c>
      <c r="Q298" s="13">
        <v>0</v>
      </c>
      <c r="R298" s="14">
        <v>1693.6000000000001</v>
      </c>
      <c r="S298" s="15">
        <v>0</v>
      </c>
      <c r="T298" s="15">
        <v>0</v>
      </c>
      <c r="U298" s="15">
        <v>1693.6000000000001</v>
      </c>
      <c r="V298" s="15">
        <v>0</v>
      </c>
      <c r="W298" s="15">
        <v>1693.6000000000001</v>
      </c>
      <c r="X298" s="15">
        <v>0</v>
      </c>
      <c r="Y298" s="16">
        <v>0</v>
      </c>
      <c r="Z298" s="67" t="s">
        <v>26</v>
      </c>
      <c r="AA298" s="12" t="s">
        <v>31</v>
      </c>
    </row>
    <row r="299" spans="1:27" x14ac:dyDescent="0.25">
      <c r="A299" s="10">
        <v>45661</v>
      </c>
      <c r="B299" s="11" t="s">
        <v>1366</v>
      </c>
      <c r="C299" s="11" t="s">
        <v>1367</v>
      </c>
      <c r="D299" s="11" t="s">
        <v>26</v>
      </c>
      <c r="E299" s="11" t="s">
        <v>574</v>
      </c>
      <c r="F299" s="11" t="s">
        <v>26</v>
      </c>
      <c r="G299" s="11" t="s">
        <v>26</v>
      </c>
      <c r="H299" s="12" t="s">
        <v>4422</v>
      </c>
      <c r="I299" s="12" t="s">
        <v>27</v>
      </c>
      <c r="J299" s="12" t="s">
        <v>47</v>
      </c>
      <c r="K299" s="12" t="s">
        <v>48</v>
      </c>
      <c r="L299" s="13">
        <v>41.42</v>
      </c>
      <c r="M299" s="13">
        <v>28</v>
      </c>
      <c r="N299" s="13">
        <v>1.4792857142857141</v>
      </c>
      <c r="O299" s="13">
        <v>87</v>
      </c>
      <c r="P299" s="13" t="s">
        <v>30</v>
      </c>
      <c r="Q299" s="13">
        <v>0</v>
      </c>
      <c r="R299" s="15">
        <v>3603.54</v>
      </c>
      <c r="S299" s="15">
        <v>38</v>
      </c>
      <c r="T299" s="15">
        <v>1573.96</v>
      </c>
      <c r="U299" s="15">
        <v>2029.58</v>
      </c>
      <c r="V299" s="15">
        <v>2029.58</v>
      </c>
      <c r="W299" s="15">
        <v>0</v>
      </c>
      <c r="X299" s="15">
        <v>1491.1200000000001</v>
      </c>
      <c r="Y299" s="16">
        <v>82.839999999999918</v>
      </c>
      <c r="Z299" s="67" t="s">
        <v>141</v>
      </c>
      <c r="AA299" s="12" t="s">
        <v>78</v>
      </c>
    </row>
    <row r="300" spans="1:27" x14ac:dyDescent="0.25">
      <c r="A300" s="10">
        <v>45661</v>
      </c>
      <c r="B300" s="11" t="s">
        <v>1368</v>
      </c>
      <c r="C300" s="11" t="s">
        <v>1369</v>
      </c>
      <c r="D300" s="11" t="s">
        <v>26</v>
      </c>
      <c r="E300" s="11" t="s">
        <v>60</v>
      </c>
      <c r="F300" s="11" t="s">
        <v>26</v>
      </c>
      <c r="G300" s="11" t="s">
        <v>35</v>
      </c>
      <c r="H300" s="12" t="s">
        <v>36</v>
      </c>
      <c r="I300" s="12" t="s">
        <v>27</v>
      </c>
      <c r="J300" s="12" t="s">
        <v>42</v>
      </c>
      <c r="K300" s="12" t="s">
        <v>43</v>
      </c>
      <c r="L300" s="13">
        <v>4.22</v>
      </c>
      <c r="M300" s="13">
        <v>3</v>
      </c>
      <c r="N300" s="13">
        <v>1.406666666666667</v>
      </c>
      <c r="O300" s="13">
        <v>45</v>
      </c>
      <c r="P300" s="13" t="s">
        <v>30</v>
      </c>
      <c r="Q300" s="13">
        <v>0</v>
      </c>
      <c r="R300" s="14">
        <v>189.89999999999998</v>
      </c>
      <c r="S300" s="15">
        <v>0</v>
      </c>
      <c r="T300" s="15">
        <v>0</v>
      </c>
      <c r="U300" s="15">
        <v>189.89999999999998</v>
      </c>
      <c r="V300" s="15">
        <v>0</v>
      </c>
      <c r="W300" s="15">
        <v>189.89999999999998</v>
      </c>
      <c r="X300" s="15">
        <v>0</v>
      </c>
      <c r="Y300" s="16">
        <v>0</v>
      </c>
      <c r="Z300" s="67" t="s">
        <v>26</v>
      </c>
      <c r="AA300" s="12" t="s">
        <v>31</v>
      </c>
    </row>
    <row r="301" spans="1:27" x14ac:dyDescent="0.25">
      <c r="A301" s="10">
        <v>45661</v>
      </c>
      <c r="B301" s="11" t="s">
        <v>1370</v>
      </c>
      <c r="C301" s="11" t="s">
        <v>1371</v>
      </c>
      <c r="D301" s="11" t="s">
        <v>26</v>
      </c>
      <c r="E301" s="11" t="s">
        <v>605</v>
      </c>
      <c r="F301" s="11" t="s">
        <v>26</v>
      </c>
      <c r="G301" s="11">
        <v>496</v>
      </c>
      <c r="H301" s="12" t="s">
        <v>141</v>
      </c>
      <c r="I301" s="12" t="s">
        <v>27</v>
      </c>
      <c r="J301" s="12" t="s">
        <v>42</v>
      </c>
      <c r="K301" s="12" t="s">
        <v>43</v>
      </c>
      <c r="L301" s="13">
        <v>42</v>
      </c>
      <c r="M301" s="13">
        <v>25</v>
      </c>
      <c r="N301" s="13">
        <v>1.68</v>
      </c>
      <c r="O301" s="13">
        <v>40</v>
      </c>
      <c r="P301" s="13" t="s">
        <v>30</v>
      </c>
      <c r="Q301" s="13">
        <v>0</v>
      </c>
      <c r="R301" s="15">
        <v>1680</v>
      </c>
      <c r="S301" s="15">
        <v>0</v>
      </c>
      <c r="T301" s="15">
        <v>0</v>
      </c>
      <c r="U301" s="15">
        <v>1680</v>
      </c>
      <c r="V301" s="15">
        <v>0</v>
      </c>
      <c r="W301" s="15">
        <v>1680</v>
      </c>
      <c r="X301" s="15">
        <v>0</v>
      </c>
      <c r="Y301" s="16">
        <v>0</v>
      </c>
      <c r="Z301" s="67" t="s">
        <v>26</v>
      </c>
      <c r="AA301" s="12" t="s">
        <v>31</v>
      </c>
    </row>
    <row r="302" spans="1:27" x14ac:dyDescent="0.25">
      <c r="A302" s="10">
        <v>45661</v>
      </c>
      <c r="B302" s="11" t="s">
        <v>1372</v>
      </c>
      <c r="C302" s="11" t="s">
        <v>1373</v>
      </c>
      <c r="D302" s="11" t="s">
        <v>26</v>
      </c>
      <c r="E302" s="11" t="s">
        <v>571</v>
      </c>
      <c r="F302" s="11" t="s">
        <v>26</v>
      </c>
      <c r="G302" s="11">
        <v>111913</v>
      </c>
      <c r="H302" s="12" t="s">
        <v>4446</v>
      </c>
      <c r="I302" s="12" t="s">
        <v>27</v>
      </c>
      <c r="J302" s="12" t="s">
        <v>42</v>
      </c>
      <c r="K302" s="12" t="s">
        <v>43</v>
      </c>
      <c r="L302" s="13">
        <v>37.299999999999997</v>
      </c>
      <c r="M302" s="13">
        <v>24</v>
      </c>
      <c r="N302" s="13">
        <v>1.554166666666666</v>
      </c>
      <c r="O302" s="13">
        <v>42</v>
      </c>
      <c r="P302" s="13" t="s">
        <v>30</v>
      </c>
      <c r="Q302" s="13">
        <v>0</v>
      </c>
      <c r="R302" s="15">
        <v>1566.6</v>
      </c>
      <c r="S302" s="15">
        <v>0</v>
      </c>
      <c r="T302" s="15">
        <v>0</v>
      </c>
      <c r="U302" s="15">
        <v>1566.6</v>
      </c>
      <c r="V302" s="15">
        <v>1566.6</v>
      </c>
      <c r="W302" s="15">
        <v>0</v>
      </c>
      <c r="X302" s="15">
        <v>0</v>
      </c>
      <c r="Y302" s="16">
        <v>0</v>
      </c>
      <c r="Z302" s="67" t="s">
        <v>26</v>
      </c>
      <c r="AA302" s="12" t="s">
        <v>31</v>
      </c>
    </row>
    <row r="303" spans="1:27" x14ac:dyDescent="0.25">
      <c r="A303" s="10">
        <v>45661</v>
      </c>
      <c r="B303" s="11" t="s">
        <v>1374</v>
      </c>
      <c r="C303" s="11" t="s">
        <v>1375</v>
      </c>
      <c r="D303" s="11" t="s">
        <v>26</v>
      </c>
      <c r="E303" s="11" t="s">
        <v>520</v>
      </c>
      <c r="F303" s="11" t="s">
        <v>26</v>
      </c>
      <c r="G303" s="11">
        <v>4363</v>
      </c>
      <c r="H303" s="12" t="s">
        <v>140</v>
      </c>
      <c r="I303" s="12" t="s">
        <v>55</v>
      </c>
      <c r="J303" s="12" t="s">
        <v>55</v>
      </c>
      <c r="K303" s="12" t="s">
        <v>56</v>
      </c>
      <c r="L303" s="13">
        <v>37.74</v>
      </c>
      <c r="M303" s="13">
        <v>25</v>
      </c>
      <c r="N303" s="13">
        <v>1.5096000000000001</v>
      </c>
      <c r="O303" s="13">
        <v>15</v>
      </c>
      <c r="P303" s="13"/>
      <c r="Q303" s="13">
        <v>0</v>
      </c>
      <c r="R303" s="14">
        <v>566.1</v>
      </c>
      <c r="S303" s="15">
        <v>0</v>
      </c>
      <c r="T303" s="15">
        <v>0</v>
      </c>
      <c r="U303" s="15">
        <v>566.1</v>
      </c>
      <c r="V303" s="15">
        <v>0</v>
      </c>
      <c r="W303" s="15">
        <v>566.1</v>
      </c>
      <c r="X303" s="15">
        <v>0</v>
      </c>
      <c r="Y303" s="16">
        <v>0</v>
      </c>
      <c r="Z303" s="67" t="s">
        <v>26</v>
      </c>
      <c r="AA303" s="12" t="s">
        <v>31</v>
      </c>
    </row>
    <row r="304" spans="1:27" x14ac:dyDescent="0.25">
      <c r="A304" s="10">
        <v>45661</v>
      </c>
      <c r="B304" s="11" t="s">
        <v>407</v>
      </c>
      <c r="C304" s="11" t="s">
        <v>1376</v>
      </c>
      <c r="D304" s="11" t="s">
        <v>26</v>
      </c>
      <c r="E304" s="11" t="s">
        <v>575</v>
      </c>
      <c r="F304" s="11" t="s">
        <v>26</v>
      </c>
      <c r="G304" s="11">
        <v>111639</v>
      </c>
      <c r="H304" s="12" t="s">
        <v>4446</v>
      </c>
      <c r="I304" s="12" t="s">
        <v>27</v>
      </c>
      <c r="J304" s="12" t="s">
        <v>42</v>
      </c>
      <c r="K304" s="12" t="s">
        <v>43</v>
      </c>
      <c r="L304" s="13">
        <v>41.02</v>
      </c>
      <c r="M304" s="13">
        <v>25</v>
      </c>
      <c r="N304" s="13">
        <v>1.6408</v>
      </c>
      <c r="O304" s="13">
        <v>42</v>
      </c>
      <c r="P304" s="13" t="s">
        <v>30</v>
      </c>
      <c r="Q304" s="13">
        <v>0</v>
      </c>
      <c r="R304" s="14">
        <v>1722.8400000000001</v>
      </c>
      <c r="S304" s="15">
        <v>0</v>
      </c>
      <c r="T304" s="15">
        <v>0</v>
      </c>
      <c r="U304" s="15">
        <v>1722.8400000000001</v>
      </c>
      <c r="V304" s="15">
        <v>1722.8400000000001</v>
      </c>
      <c r="W304" s="15">
        <v>0</v>
      </c>
      <c r="X304" s="15">
        <v>0</v>
      </c>
      <c r="Y304" s="16">
        <v>0</v>
      </c>
      <c r="Z304" s="67" t="s">
        <v>26</v>
      </c>
      <c r="AA304" s="12" t="s">
        <v>31</v>
      </c>
    </row>
    <row r="305" spans="1:27" x14ac:dyDescent="0.25">
      <c r="A305" s="10">
        <v>45661</v>
      </c>
      <c r="B305" s="11" t="s">
        <v>397</v>
      </c>
      <c r="C305" s="11" t="s">
        <v>1377</v>
      </c>
      <c r="D305" s="11" t="s">
        <v>26</v>
      </c>
      <c r="E305" s="11" t="s">
        <v>509</v>
      </c>
      <c r="F305" s="11" t="s">
        <v>26</v>
      </c>
      <c r="G305" s="11">
        <v>497</v>
      </c>
      <c r="H305" s="12" t="s">
        <v>141</v>
      </c>
      <c r="I305" s="12" t="s">
        <v>27</v>
      </c>
      <c r="J305" s="12" t="s">
        <v>33</v>
      </c>
      <c r="K305" s="12" t="s">
        <v>34</v>
      </c>
      <c r="L305" s="13">
        <v>42.82</v>
      </c>
      <c r="M305" s="13">
        <v>29</v>
      </c>
      <c r="N305" s="13">
        <v>1.4765517241379309</v>
      </c>
      <c r="O305" s="13">
        <v>40</v>
      </c>
      <c r="P305" s="13" t="s">
        <v>30</v>
      </c>
      <c r="Q305" s="13">
        <v>0</v>
      </c>
      <c r="R305" s="15">
        <v>1712.8</v>
      </c>
      <c r="S305" s="15">
        <v>0</v>
      </c>
      <c r="T305" s="15">
        <v>0</v>
      </c>
      <c r="U305" s="15">
        <v>1712.8</v>
      </c>
      <c r="V305" s="15">
        <v>0</v>
      </c>
      <c r="W305" s="15">
        <v>1712.8</v>
      </c>
      <c r="X305" s="15">
        <v>0</v>
      </c>
      <c r="Y305" s="16">
        <v>0</v>
      </c>
      <c r="Z305" s="67" t="s">
        <v>26</v>
      </c>
      <c r="AA305" s="12" t="s">
        <v>31</v>
      </c>
    </row>
    <row r="306" spans="1:27" x14ac:dyDescent="0.25">
      <c r="A306" s="10">
        <v>45661</v>
      </c>
      <c r="B306" s="11" t="s">
        <v>1378</v>
      </c>
      <c r="C306" s="11" t="s">
        <v>1379</v>
      </c>
      <c r="D306" s="11" t="s">
        <v>26</v>
      </c>
      <c r="E306" s="11" t="s">
        <v>69</v>
      </c>
      <c r="F306" s="11" t="s">
        <v>26</v>
      </c>
      <c r="G306" s="11">
        <v>4677</v>
      </c>
      <c r="H306" s="12" t="s">
        <v>70</v>
      </c>
      <c r="I306" s="12" t="s">
        <v>27</v>
      </c>
      <c r="J306" s="12" t="s">
        <v>33</v>
      </c>
      <c r="K306" s="12" t="s">
        <v>34</v>
      </c>
      <c r="L306" s="13">
        <v>39.9</v>
      </c>
      <c r="M306" s="13">
        <v>25</v>
      </c>
      <c r="N306" s="13">
        <v>1.5960000000000001</v>
      </c>
      <c r="O306" s="13" t="s">
        <v>30</v>
      </c>
      <c r="P306" s="13">
        <v>60</v>
      </c>
      <c r="Q306" s="13">
        <v>0</v>
      </c>
      <c r="R306" s="14">
        <v>1500</v>
      </c>
      <c r="S306" s="15">
        <v>0</v>
      </c>
      <c r="T306" s="15">
        <v>0</v>
      </c>
      <c r="U306" s="15">
        <v>1500</v>
      </c>
      <c r="V306" s="15">
        <v>0</v>
      </c>
      <c r="W306" s="15">
        <v>1500</v>
      </c>
      <c r="X306" s="15">
        <v>0</v>
      </c>
      <c r="Y306" s="16">
        <v>0</v>
      </c>
      <c r="Z306" s="67" t="s">
        <v>26</v>
      </c>
      <c r="AA306" s="12" t="s">
        <v>31</v>
      </c>
    </row>
    <row r="307" spans="1:27" x14ac:dyDescent="0.25">
      <c r="A307" s="10">
        <v>45661</v>
      </c>
      <c r="B307" s="11" t="s">
        <v>1380</v>
      </c>
      <c r="C307" s="11" t="s">
        <v>1381</v>
      </c>
      <c r="D307" s="11" t="s">
        <v>26</v>
      </c>
      <c r="E307" s="11" t="s">
        <v>501</v>
      </c>
      <c r="F307" s="11" t="s">
        <v>26</v>
      </c>
      <c r="G307" s="11">
        <v>498</v>
      </c>
      <c r="H307" s="12" t="s">
        <v>141</v>
      </c>
      <c r="I307" s="12" t="s">
        <v>27</v>
      </c>
      <c r="J307" s="12" t="s">
        <v>47</v>
      </c>
      <c r="K307" s="12" t="s">
        <v>48</v>
      </c>
      <c r="L307" s="13">
        <v>42.4</v>
      </c>
      <c r="M307" s="13">
        <v>29</v>
      </c>
      <c r="N307" s="13">
        <v>1.462068965517241</v>
      </c>
      <c r="O307" s="13">
        <v>40</v>
      </c>
      <c r="P307" s="13" t="s">
        <v>30</v>
      </c>
      <c r="Q307" s="13">
        <v>0</v>
      </c>
      <c r="R307" s="15">
        <v>1696</v>
      </c>
      <c r="S307" s="15">
        <v>0</v>
      </c>
      <c r="T307" s="15">
        <v>0</v>
      </c>
      <c r="U307" s="15">
        <v>1696</v>
      </c>
      <c r="V307" s="15">
        <v>0</v>
      </c>
      <c r="W307" s="15">
        <v>1696</v>
      </c>
      <c r="X307" s="15">
        <v>0</v>
      </c>
      <c r="Y307" s="16">
        <v>0</v>
      </c>
      <c r="Z307" s="67" t="s">
        <v>26</v>
      </c>
      <c r="AA307" s="12" t="s">
        <v>31</v>
      </c>
    </row>
    <row r="308" spans="1:27" x14ac:dyDescent="0.25">
      <c r="A308" s="10">
        <v>45661</v>
      </c>
      <c r="B308" s="11" t="s">
        <v>451</v>
      </c>
      <c r="C308" s="11" t="s">
        <v>1382</v>
      </c>
      <c r="D308" s="11" t="s">
        <v>26</v>
      </c>
      <c r="E308" s="11" t="s">
        <v>40</v>
      </c>
      <c r="F308" s="11" t="s">
        <v>26</v>
      </c>
      <c r="G308" s="11">
        <v>2431</v>
      </c>
      <c r="H308" s="12" t="s">
        <v>41</v>
      </c>
      <c r="I308" s="12" t="s">
        <v>37</v>
      </c>
      <c r="J308" s="12" t="s">
        <v>228</v>
      </c>
      <c r="K308" s="12" t="s">
        <v>38</v>
      </c>
      <c r="L308" s="13">
        <v>40.78</v>
      </c>
      <c r="M308" s="13">
        <v>25</v>
      </c>
      <c r="N308" s="13">
        <v>1.6312</v>
      </c>
      <c r="O308" s="13" t="s">
        <v>30</v>
      </c>
      <c r="P308" s="13">
        <v>43.5</v>
      </c>
      <c r="Q308" s="13">
        <v>0</v>
      </c>
      <c r="R308" s="15">
        <v>1087.5</v>
      </c>
      <c r="S308" s="15">
        <v>0</v>
      </c>
      <c r="T308" s="15">
        <v>0</v>
      </c>
      <c r="U308" s="15">
        <v>1087.5</v>
      </c>
      <c r="V308" s="15">
        <v>0</v>
      </c>
      <c r="W308" s="15">
        <v>1087.5</v>
      </c>
      <c r="X308" s="15">
        <v>0</v>
      </c>
      <c r="Y308" s="16">
        <v>0</v>
      </c>
      <c r="Z308" s="67" t="s">
        <v>26</v>
      </c>
      <c r="AA308" s="12" t="s">
        <v>31</v>
      </c>
    </row>
    <row r="309" spans="1:27" x14ac:dyDescent="0.25">
      <c r="A309" s="10">
        <v>45661</v>
      </c>
      <c r="B309" s="11" t="s">
        <v>1383</v>
      </c>
      <c r="C309" s="11" t="s">
        <v>1384</v>
      </c>
      <c r="D309" s="11" t="s">
        <v>26</v>
      </c>
      <c r="E309" s="11" t="s">
        <v>63</v>
      </c>
      <c r="F309" s="11" t="s">
        <v>26</v>
      </c>
      <c r="G309" s="11">
        <v>10160</v>
      </c>
      <c r="H309" s="12" t="s">
        <v>140</v>
      </c>
      <c r="I309" s="12" t="s">
        <v>55</v>
      </c>
      <c r="J309" s="12" t="s">
        <v>55</v>
      </c>
      <c r="K309" s="12" t="s">
        <v>56</v>
      </c>
      <c r="L309" s="13">
        <v>37.479999999999997</v>
      </c>
      <c r="M309" s="13">
        <v>25</v>
      </c>
      <c r="N309" s="13">
        <v>1.4992000000000001</v>
      </c>
      <c r="O309" s="13">
        <v>15</v>
      </c>
      <c r="P309" s="13"/>
      <c r="Q309" s="13">
        <v>0</v>
      </c>
      <c r="R309" s="15">
        <v>562.19999999999993</v>
      </c>
      <c r="S309" s="15">
        <v>0</v>
      </c>
      <c r="T309" s="15">
        <v>0</v>
      </c>
      <c r="U309" s="15">
        <v>562.19999999999993</v>
      </c>
      <c r="V309" s="15">
        <v>0</v>
      </c>
      <c r="W309" s="15">
        <v>562.19999999999993</v>
      </c>
      <c r="X309" s="15">
        <v>0</v>
      </c>
      <c r="Y309" s="16">
        <v>0</v>
      </c>
      <c r="Z309" s="67" t="s">
        <v>26</v>
      </c>
      <c r="AA309" s="12" t="s">
        <v>31</v>
      </c>
    </row>
    <row r="310" spans="1:27" x14ac:dyDescent="0.25">
      <c r="A310" s="10">
        <v>45663</v>
      </c>
      <c r="B310" s="11" t="s">
        <v>704</v>
      </c>
      <c r="C310" s="11" t="s">
        <v>1385</v>
      </c>
      <c r="D310" s="11" t="s">
        <v>26</v>
      </c>
      <c r="E310" s="11" t="s">
        <v>32</v>
      </c>
      <c r="F310" s="11" t="s">
        <v>26</v>
      </c>
      <c r="G310" s="11">
        <v>75033</v>
      </c>
      <c r="H310" s="12" t="s">
        <v>4448</v>
      </c>
      <c r="I310" s="12" t="s">
        <v>27</v>
      </c>
      <c r="J310" s="12" t="s">
        <v>47</v>
      </c>
      <c r="K310" s="12" t="s">
        <v>48</v>
      </c>
      <c r="L310" s="13">
        <v>38</v>
      </c>
      <c r="M310" s="13">
        <v>25</v>
      </c>
      <c r="N310" s="13">
        <v>1.52</v>
      </c>
      <c r="O310" s="13">
        <v>46.66</v>
      </c>
      <c r="P310" s="13" t="s">
        <v>30</v>
      </c>
      <c r="Q310" s="13">
        <v>0</v>
      </c>
      <c r="R310" s="15">
        <v>1773.08</v>
      </c>
      <c r="S310" s="15">
        <v>0</v>
      </c>
      <c r="T310" s="15">
        <v>0</v>
      </c>
      <c r="U310" s="15">
        <v>1773.08</v>
      </c>
      <c r="V310" s="15">
        <v>1329.81</v>
      </c>
      <c r="W310" s="15">
        <v>443.27</v>
      </c>
      <c r="X310" s="15">
        <v>0</v>
      </c>
      <c r="Y310" s="16">
        <v>0</v>
      </c>
      <c r="Z310" s="67" t="s">
        <v>26</v>
      </c>
      <c r="AA310" s="12" t="s">
        <v>31</v>
      </c>
    </row>
    <row r="311" spans="1:27" x14ac:dyDescent="0.25">
      <c r="A311" s="10">
        <v>45663</v>
      </c>
      <c r="B311" s="11" t="s">
        <v>400</v>
      </c>
      <c r="C311" s="11" t="s">
        <v>1386</v>
      </c>
      <c r="D311" s="11" t="s">
        <v>26</v>
      </c>
      <c r="E311" s="11" t="s">
        <v>431</v>
      </c>
      <c r="F311" s="11" t="s">
        <v>26</v>
      </c>
      <c r="G311" s="11" t="s">
        <v>26</v>
      </c>
      <c r="H311" s="12" t="s">
        <v>4422</v>
      </c>
      <c r="I311" s="12" t="s">
        <v>27</v>
      </c>
      <c r="J311" s="12" t="s">
        <v>47</v>
      </c>
      <c r="K311" s="12" t="s">
        <v>48</v>
      </c>
      <c r="L311" s="13">
        <v>37.46</v>
      </c>
      <c r="M311" s="13">
        <v>25</v>
      </c>
      <c r="N311" s="13">
        <v>1.4984</v>
      </c>
      <c r="O311" s="13">
        <v>87</v>
      </c>
      <c r="P311" s="13" t="s">
        <v>30</v>
      </c>
      <c r="Q311" s="13">
        <v>0</v>
      </c>
      <c r="R311" s="15">
        <v>3259.02</v>
      </c>
      <c r="S311" s="15">
        <v>38</v>
      </c>
      <c r="T311" s="15">
        <v>1423.48</v>
      </c>
      <c r="U311" s="15">
        <v>1835.54</v>
      </c>
      <c r="V311" s="15">
        <v>1835.54</v>
      </c>
      <c r="W311" s="15">
        <v>0</v>
      </c>
      <c r="X311" s="15">
        <v>1348.56</v>
      </c>
      <c r="Y311" s="16">
        <v>74.920000000000073</v>
      </c>
      <c r="Z311" s="67" t="s">
        <v>6328</v>
      </c>
      <c r="AA311" s="12" t="s">
        <v>78</v>
      </c>
    </row>
    <row r="312" spans="1:27" x14ac:dyDescent="0.25">
      <c r="A312" s="10">
        <v>45663</v>
      </c>
      <c r="B312" s="11" t="s">
        <v>1387</v>
      </c>
      <c r="C312" s="11" t="s">
        <v>1388</v>
      </c>
      <c r="D312" s="11" t="s">
        <v>26</v>
      </c>
      <c r="E312" s="11" t="s">
        <v>501</v>
      </c>
      <c r="F312" s="11" t="s">
        <v>26</v>
      </c>
      <c r="G312" s="11" t="s">
        <v>26</v>
      </c>
      <c r="H312" s="12" t="s">
        <v>4422</v>
      </c>
      <c r="I312" s="12" t="s">
        <v>27</v>
      </c>
      <c r="J312" s="12" t="s">
        <v>47</v>
      </c>
      <c r="K312" s="12" t="s">
        <v>48</v>
      </c>
      <c r="L312" s="13">
        <v>42.96</v>
      </c>
      <c r="M312" s="13">
        <v>30</v>
      </c>
      <c r="N312" s="13">
        <v>1.4319999999999999</v>
      </c>
      <c r="O312" s="13">
        <v>87</v>
      </c>
      <c r="P312" s="13" t="s">
        <v>30</v>
      </c>
      <c r="Q312" s="13">
        <v>0</v>
      </c>
      <c r="R312" s="15">
        <v>3737.52</v>
      </c>
      <c r="S312" s="15">
        <v>38</v>
      </c>
      <c r="T312" s="15">
        <v>1632.48</v>
      </c>
      <c r="U312" s="15">
        <v>2105.04</v>
      </c>
      <c r="V312" s="15">
        <v>2105.04</v>
      </c>
      <c r="W312" s="15">
        <v>0</v>
      </c>
      <c r="X312" s="15">
        <v>1546.56</v>
      </c>
      <c r="Y312" s="16">
        <v>85.920000000000073</v>
      </c>
      <c r="Z312" s="67" t="s">
        <v>141</v>
      </c>
      <c r="AA312" s="12" t="s">
        <v>78</v>
      </c>
    </row>
    <row r="313" spans="1:27" x14ac:dyDescent="0.25">
      <c r="A313" s="10">
        <v>45663</v>
      </c>
      <c r="B313" s="11" t="s">
        <v>618</v>
      </c>
      <c r="C313" s="11" t="s">
        <v>1389</v>
      </c>
      <c r="D313" s="11" t="s">
        <v>26</v>
      </c>
      <c r="E313" s="11" t="s">
        <v>81</v>
      </c>
      <c r="F313" s="11" t="s">
        <v>26</v>
      </c>
      <c r="G313" s="11" t="s">
        <v>26</v>
      </c>
      <c r="H313" s="12" t="s">
        <v>4422</v>
      </c>
      <c r="I313" s="12" t="s">
        <v>27</v>
      </c>
      <c r="J313" s="12" t="s">
        <v>33</v>
      </c>
      <c r="K313" s="12" t="s">
        <v>34</v>
      </c>
      <c r="L313" s="13">
        <v>42.68</v>
      </c>
      <c r="M313" s="13">
        <v>29</v>
      </c>
      <c r="N313" s="13">
        <v>1.471724137931034</v>
      </c>
      <c r="O313" s="13">
        <v>85</v>
      </c>
      <c r="P313" s="13" t="s">
        <v>30</v>
      </c>
      <c r="Q313" s="13">
        <v>0</v>
      </c>
      <c r="R313" s="15">
        <v>3627.8</v>
      </c>
      <c r="S313" s="15">
        <v>38</v>
      </c>
      <c r="T313" s="15">
        <v>1621.84</v>
      </c>
      <c r="U313" s="15">
        <v>2005.9600000000003</v>
      </c>
      <c r="V313" s="15">
        <v>2005.9600000000003</v>
      </c>
      <c r="W313" s="15">
        <v>0</v>
      </c>
      <c r="X313" s="15">
        <v>1536.48</v>
      </c>
      <c r="Y313" s="16">
        <v>85.3599999999999</v>
      </c>
      <c r="Z313" s="67" t="s">
        <v>141</v>
      </c>
      <c r="AA313" s="12" t="s">
        <v>78</v>
      </c>
    </row>
    <row r="314" spans="1:27" x14ac:dyDescent="0.25">
      <c r="A314" s="10">
        <v>45663</v>
      </c>
      <c r="B314" s="11" t="s">
        <v>1390</v>
      </c>
      <c r="C314" s="11" t="s">
        <v>1391</v>
      </c>
      <c r="D314" s="11" t="s">
        <v>26</v>
      </c>
      <c r="E314" s="11" t="s">
        <v>238</v>
      </c>
      <c r="F314" s="11" t="s">
        <v>26</v>
      </c>
      <c r="G314" s="11" t="s">
        <v>35</v>
      </c>
      <c r="H314" s="12" t="s">
        <v>36</v>
      </c>
      <c r="I314" s="12" t="s">
        <v>55</v>
      </c>
      <c r="J314" s="12" t="s">
        <v>55</v>
      </c>
      <c r="K314" s="12" t="s">
        <v>56</v>
      </c>
      <c r="L314" s="13">
        <v>30.24</v>
      </c>
      <c r="M314" s="13">
        <v>20</v>
      </c>
      <c r="N314" s="13">
        <v>1.512</v>
      </c>
      <c r="O314" s="13">
        <v>20</v>
      </c>
      <c r="P314" s="13" t="s">
        <v>30</v>
      </c>
      <c r="Q314" s="13">
        <v>0</v>
      </c>
      <c r="R314" s="15">
        <v>604.79999999999995</v>
      </c>
      <c r="S314" s="15">
        <v>0</v>
      </c>
      <c r="T314" s="15">
        <v>0</v>
      </c>
      <c r="U314" s="15">
        <v>604.79999999999995</v>
      </c>
      <c r="V314" s="15">
        <v>0</v>
      </c>
      <c r="W314" s="15">
        <v>604.79999999999995</v>
      </c>
      <c r="X314" s="15">
        <v>0</v>
      </c>
      <c r="Y314" s="16">
        <v>0</v>
      </c>
      <c r="Z314" s="67" t="s">
        <v>26</v>
      </c>
      <c r="AA314" s="12" t="s">
        <v>31</v>
      </c>
    </row>
    <row r="315" spans="1:27" x14ac:dyDescent="0.25">
      <c r="A315" s="10">
        <v>45663</v>
      </c>
      <c r="B315" s="11" t="s">
        <v>1392</v>
      </c>
      <c r="C315" s="11" t="s">
        <v>1393</v>
      </c>
      <c r="D315" s="11" t="s">
        <v>26</v>
      </c>
      <c r="E315" s="11" t="s">
        <v>184</v>
      </c>
      <c r="F315" s="11" t="s">
        <v>26</v>
      </c>
      <c r="G315" s="11" t="s">
        <v>26</v>
      </c>
      <c r="H315" s="12" t="s">
        <v>4422</v>
      </c>
      <c r="I315" s="12" t="s">
        <v>27</v>
      </c>
      <c r="J315" s="12" t="s">
        <v>33</v>
      </c>
      <c r="K315" s="12" t="s">
        <v>34</v>
      </c>
      <c r="L315" s="13">
        <v>41.36</v>
      </c>
      <c r="M315" s="13">
        <v>28</v>
      </c>
      <c r="N315" s="13">
        <v>1.4771428571428571</v>
      </c>
      <c r="O315" s="13">
        <v>85</v>
      </c>
      <c r="P315" s="13" t="s">
        <v>30</v>
      </c>
      <c r="Q315" s="13">
        <v>0</v>
      </c>
      <c r="R315" s="14">
        <v>3515.6</v>
      </c>
      <c r="S315" s="15">
        <v>38</v>
      </c>
      <c r="T315" s="15">
        <v>1571.68</v>
      </c>
      <c r="U315" s="15">
        <v>1943.9199999999998</v>
      </c>
      <c r="V315" s="15">
        <v>1943.9199999999998</v>
      </c>
      <c r="W315" s="15">
        <v>0</v>
      </c>
      <c r="X315" s="15">
        <v>1488.96</v>
      </c>
      <c r="Y315" s="16">
        <v>82.720000000000027</v>
      </c>
      <c r="Z315" s="67" t="s">
        <v>141</v>
      </c>
      <c r="AA315" s="12" t="s">
        <v>78</v>
      </c>
    </row>
    <row r="316" spans="1:27" x14ac:dyDescent="0.25">
      <c r="A316" s="10">
        <v>45663</v>
      </c>
      <c r="B316" s="11" t="s">
        <v>1394</v>
      </c>
      <c r="C316" s="11" t="s">
        <v>1395</v>
      </c>
      <c r="D316" s="11" t="s">
        <v>26</v>
      </c>
      <c r="E316" s="11" t="s">
        <v>605</v>
      </c>
      <c r="F316" s="11" t="s">
        <v>26</v>
      </c>
      <c r="G316" s="11" t="s">
        <v>26</v>
      </c>
      <c r="H316" s="12" t="s">
        <v>4422</v>
      </c>
      <c r="I316" s="12" t="s">
        <v>27</v>
      </c>
      <c r="J316" s="12" t="s">
        <v>33</v>
      </c>
      <c r="K316" s="12" t="s">
        <v>34</v>
      </c>
      <c r="L316" s="13">
        <v>40.659999999999997</v>
      </c>
      <c r="M316" s="13">
        <v>28</v>
      </c>
      <c r="N316" s="13">
        <v>1.452142857142857</v>
      </c>
      <c r="O316" s="13">
        <v>85</v>
      </c>
      <c r="P316" s="13" t="s">
        <v>30</v>
      </c>
      <c r="Q316" s="13">
        <v>0</v>
      </c>
      <c r="R316" s="15">
        <v>3456.1</v>
      </c>
      <c r="S316" s="15">
        <v>38</v>
      </c>
      <c r="T316" s="15">
        <v>1545.08</v>
      </c>
      <c r="U316" s="15">
        <v>1911.02</v>
      </c>
      <c r="V316" s="15">
        <v>1911.02</v>
      </c>
      <c r="W316" s="15">
        <v>0</v>
      </c>
      <c r="X316" s="15">
        <v>1463.7599999999998</v>
      </c>
      <c r="Y316" s="16">
        <v>81.320000000000164</v>
      </c>
      <c r="Z316" s="67" t="s">
        <v>141</v>
      </c>
      <c r="AA316" s="12" t="s">
        <v>78</v>
      </c>
    </row>
    <row r="317" spans="1:27" x14ac:dyDescent="0.25">
      <c r="A317" s="10">
        <v>45663</v>
      </c>
      <c r="B317" s="11" t="s">
        <v>1396</v>
      </c>
      <c r="C317" s="11" t="s">
        <v>1397</v>
      </c>
      <c r="D317" s="11" t="s">
        <v>26</v>
      </c>
      <c r="E317" s="11" t="s">
        <v>53</v>
      </c>
      <c r="F317" s="11" t="s">
        <v>26</v>
      </c>
      <c r="G317" s="11" t="s">
        <v>26</v>
      </c>
      <c r="H317" s="12" t="s">
        <v>4422</v>
      </c>
      <c r="I317" s="12" t="s">
        <v>27</v>
      </c>
      <c r="J317" s="12" t="s">
        <v>33</v>
      </c>
      <c r="K317" s="12" t="s">
        <v>34</v>
      </c>
      <c r="L317" s="13">
        <v>43.8</v>
      </c>
      <c r="M317" s="13">
        <v>30</v>
      </c>
      <c r="N317" s="13">
        <v>1.46</v>
      </c>
      <c r="O317" s="13">
        <v>85</v>
      </c>
      <c r="P317" s="13" t="s">
        <v>30</v>
      </c>
      <c r="Q317" s="13">
        <v>0</v>
      </c>
      <c r="R317" s="14">
        <v>3722.9999999999995</v>
      </c>
      <c r="S317" s="15">
        <v>38</v>
      </c>
      <c r="T317" s="15">
        <v>1664.3999999999999</v>
      </c>
      <c r="U317" s="15">
        <v>2058.5999999999995</v>
      </c>
      <c r="V317" s="15">
        <v>2058.5999999999995</v>
      </c>
      <c r="W317" s="15">
        <v>0</v>
      </c>
      <c r="X317" s="15">
        <v>1620.6</v>
      </c>
      <c r="Y317" s="16">
        <v>43.799999999999955</v>
      </c>
      <c r="Z317" s="67" t="s">
        <v>41</v>
      </c>
      <c r="AA317" s="12" t="s">
        <v>78</v>
      </c>
    </row>
    <row r="318" spans="1:27" x14ac:dyDescent="0.25">
      <c r="A318" s="10">
        <v>45663</v>
      </c>
      <c r="B318" s="11" t="s">
        <v>1398</v>
      </c>
      <c r="C318" s="11" t="s">
        <v>1399</v>
      </c>
      <c r="D318" s="11" t="s">
        <v>26</v>
      </c>
      <c r="E318" s="11" t="s">
        <v>570</v>
      </c>
      <c r="F318" s="11" t="s">
        <v>26</v>
      </c>
      <c r="G318" s="11">
        <v>10311</v>
      </c>
      <c r="H318" s="12" t="s">
        <v>140</v>
      </c>
      <c r="I318" s="12" t="s">
        <v>27</v>
      </c>
      <c r="J318" s="12" t="s">
        <v>47</v>
      </c>
      <c r="K318" s="12" t="s">
        <v>48</v>
      </c>
      <c r="L318" s="13">
        <v>39.340000000000003</v>
      </c>
      <c r="M318" s="13">
        <v>27</v>
      </c>
      <c r="N318" s="13">
        <v>1.4570370370370369</v>
      </c>
      <c r="O318" s="13">
        <v>40</v>
      </c>
      <c r="P318" s="13"/>
      <c r="Q318" s="13">
        <v>0</v>
      </c>
      <c r="R318" s="14">
        <v>1573.6000000000001</v>
      </c>
      <c r="S318" s="15">
        <v>0</v>
      </c>
      <c r="T318" s="15">
        <v>0</v>
      </c>
      <c r="U318" s="15">
        <v>1573.6000000000001</v>
      </c>
      <c r="V318" s="15">
        <v>0</v>
      </c>
      <c r="W318" s="15">
        <v>1573.6000000000001</v>
      </c>
      <c r="X318" s="15">
        <v>0</v>
      </c>
      <c r="Y318" s="16">
        <v>0</v>
      </c>
      <c r="Z318" s="67" t="s">
        <v>26</v>
      </c>
      <c r="AA318" s="12" t="s">
        <v>31</v>
      </c>
    </row>
    <row r="319" spans="1:27" x14ac:dyDescent="0.25">
      <c r="A319" s="10">
        <v>45663</v>
      </c>
      <c r="B319" s="11" t="s">
        <v>1400</v>
      </c>
      <c r="C319" s="11" t="s">
        <v>1401</v>
      </c>
      <c r="D319" s="11" t="s">
        <v>26</v>
      </c>
      <c r="E319" s="11" t="s">
        <v>539</v>
      </c>
      <c r="F319" s="11" t="s">
        <v>26</v>
      </c>
      <c r="G319" s="11" t="s">
        <v>26</v>
      </c>
      <c r="H319" s="12" t="s">
        <v>4422</v>
      </c>
      <c r="I319" s="12" t="s">
        <v>27</v>
      </c>
      <c r="J319" s="12" t="s">
        <v>33</v>
      </c>
      <c r="K319" s="12" t="s">
        <v>34</v>
      </c>
      <c r="L319" s="13">
        <v>42.4</v>
      </c>
      <c r="M319" s="13">
        <v>29</v>
      </c>
      <c r="N319" s="13">
        <v>1.462068965517241</v>
      </c>
      <c r="O319" s="13">
        <v>85</v>
      </c>
      <c r="P319" s="13" t="s">
        <v>30</v>
      </c>
      <c r="Q319" s="13">
        <v>0</v>
      </c>
      <c r="R319" s="14">
        <v>3604</v>
      </c>
      <c r="S319" s="15">
        <v>38</v>
      </c>
      <c r="T319" s="15">
        <v>1611.2</v>
      </c>
      <c r="U319" s="15">
        <v>1992.8</v>
      </c>
      <c r="V319" s="15">
        <v>1992.8</v>
      </c>
      <c r="W319" s="15">
        <v>0</v>
      </c>
      <c r="X319" s="15">
        <v>1568.8</v>
      </c>
      <c r="Y319" s="16">
        <v>42.400000000000091</v>
      </c>
      <c r="Z319" s="67" t="s">
        <v>41</v>
      </c>
      <c r="AA319" s="12" t="s">
        <v>78</v>
      </c>
    </row>
    <row r="320" spans="1:27" x14ac:dyDescent="0.25">
      <c r="A320" s="10">
        <v>45663</v>
      </c>
      <c r="B320" s="11" t="s">
        <v>1402</v>
      </c>
      <c r="C320" s="11" t="s">
        <v>1403</v>
      </c>
      <c r="D320" s="11" t="s">
        <v>26</v>
      </c>
      <c r="E320" s="11" t="s">
        <v>246</v>
      </c>
      <c r="F320" s="11" t="s">
        <v>26</v>
      </c>
      <c r="G320" s="11" t="s">
        <v>26</v>
      </c>
      <c r="H320" s="12" t="s">
        <v>4422</v>
      </c>
      <c r="I320" s="12" t="s">
        <v>27</v>
      </c>
      <c r="J320" s="12" t="s">
        <v>42</v>
      </c>
      <c r="K320" s="12" t="s">
        <v>43</v>
      </c>
      <c r="L320" s="13">
        <v>42.34</v>
      </c>
      <c r="M320" s="13">
        <v>25</v>
      </c>
      <c r="N320" s="13">
        <v>1.6936</v>
      </c>
      <c r="O320" s="13">
        <v>83</v>
      </c>
      <c r="P320" s="13" t="s">
        <v>30</v>
      </c>
      <c r="Q320" s="13">
        <v>0</v>
      </c>
      <c r="R320" s="14">
        <v>3514.2200000000003</v>
      </c>
      <c r="S320" s="15">
        <v>38</v>
      </c>
      <c r="T320" s="15">
        <v>1608.92</v>
      </c>
      <c r="U320" s="15">
        <v>1905.3000000000002</v>
      </c>
      <c r="V320" s="15">
        <v>1905.3000000000002</v>
      </c>
      <c r="W320" s="15">
        <v>0</v>
      </c>
      <c r="X320" s="15">
        <v>1566.5800000000002</v>
      </c>
      <c r="Y320" s="16">
        <v>42.339999999999918</v>
      </c>
      <c r="Z320" s="67" t="s">
        <v>41</v>
      </c>
      <c r="AA320" s="12" t="s">
        <v>78</v>
      </c>
    </row>
    <row r="321" spans="1:27" x14ac:dyDescent="0.25">
      <c r="A321" s="10">
        <v>45663</v>
      </c>
      <c r="B321" s="11" t="s">
        <v>1404</v>
      </c>
      <c r="C321" s="11" t="s">
        <v>1405</v>
      </c>
      <c r="D321" s="11" t="s">
        <v>26</v>
      </c>
      <c r="E321" s="11" t="s">
        <v>44</v>
      </c>
      <c r="F321" s="11" t="s">
        <v>26</v>
      </c>
      <c r="G321" s="11">
        <v>1490</v>
      </c>
      <c r="H321" s="12" t="s">
        <v>45</v>
      </c>
      <c r="I321" s="12" t="s">
        <v>27</v>
      </c>
      <c r="J321" s="12" t="s">
        <v>33</v>
      </c>
      <c r="K321" s="12" t="s">
        <v>34</v>
      </c>
      <c r="L321" s="13">
        <v>38.36</v>
      </c>
      <c r="M321" s="13">
        <v>25</v>
      </c>
      <c r="N321" s="13">
        <v>1.5344</v>
      </c>
      <c r="O321" s="13" t="s">
        <v>30</v>
      </c>
      <c r="P321" s="13">
        <v>58</v>
      </c>
      <c r="Q321" s="13">
        <v>0</v>
      </c>
      <c r="R321" s="14">
        <v>1450</v>
      </c>
      <c r="S321" s="15">
        <v>0</v>
      </c>
      <c r="T321" s="15">
        <v>0</v>
      </c>
      <c r="U321" s="15">
        <v>1450</v>
      </c>
      <c r="V321" s="15">
        <v>0</v>
      </c>
      <c r="W321" s="15">
        <v>1450</v>
      </c>
      <c r="X321" s="15">
        <v>0</v>
      </c>
      <c r="Y321" s="16">
        <v>0</v>
      </c>
      <c r="Z321" s="67" t="s">
        <v>26</v>
      </c>
      <c r="AA321" s="12" t="s">
        <v>31</v>
      </c>
    </row>
    <row r="322" spans="1:27" x14ac:dyDescent="0.25">
      <c r="A322" s="10">
        <v>45663</v>
      </c>
      <c r="B322" s="11" t="s">
        <v>1406</v>
      </c>
      <c r="C322" s="11" t="s">
        <v>1407</v>
      </c>
      <c r="D322" s="11" t="s">
        <v>26</v>
      </c>
      <c r="E322" s="11" t="s">
        <v>49</v>
      </c>
      <c r="F322" s="11" t="s">
        <v>26</v>
      </c>
      <c r="G322" s="11">
        <v>1480</v>
      </c>
      <c r="H322" s="12" t="s">
        <v>45</v>
      </c>
      <c r="I322" s="12" t="s">
        <v>27</v>
      </c>
      <c r="J322" s="12" t="s">
        <v>33</v>
      </c>
      <c r="K322" s="12" t="s">
        <v>34</v>
      </c>
      <c r="L322" s="13">
        <v>38.76</v>
      </c>
      <c r="M322" s="13">
        <v>25</v>
      </c>
      <c r="N322" s="13">
        <v>1.5504</v>
      </c>
      <c r="O322" s="13" t="s">
        <v>30</v>
      </c>
      <c r="P322" s="13">
        <v>58</v>
      </c>
      <c r="Q322" s="13">
        <v>0</v>
      </c>
      <c r="R322" s="14">
        <v>1450</v>
      </c>
      <c r="S322" s="15">
        <v>0</v>
      </c>
      <c r="T322" s="15">
        <v>0</v>
      </c>
      <c r="U322" s="15">
        <v>1450</v>
      </c>
      <c r="V322" s="15">
        <v>0</v>
      </c>
      <c r="W322" s="15">
        <v>1450</v>
      </c>
      <c r="X322" s="15">
        <v>0</v>
      </c>
      <c r="Y322" s="16">
        <v>0</v>
      </c>
      <c r="Z322" s="67" t="s">
        <v>26</v>
      </c>
      <c r="AA322" s="12" t="s">
        <v>31</v>
      </c>
    </row>
    <row r="323" spans="1:27" x14ac:dyDescent="0.25">
      <c r="A323" s="10">
        <v>45663</v>
      </c>
      <c r="B323" s="11" t="s">
        <v>1408</v>
      </c>
      <c r="C323" s="11" t="s">
        <v>1409</v>
      </c>
      <c r="D323" s="11" t="s">
        <v>26</v>
      </c>
      <c r="E323" s="11" t="s">
        <v>1200</v>
      </c>
      <c r="F323" s="11" t="s">
        <v>26</v>
      </c>
      <c r="G323" s="11">
        <v>965</v>
      </c>
      <c r="H323" s="12" t="s">
        <v>163</v>
      </c>
      <c r="I323" s="12" t="s">
        <v>27</v>
      </c>
      <c r="J323" s="12" t="s">
        <v>33</v>
      </c>
      <c r="K323" s="12" t="s">
        <v>34</v>
      </c>
      <c r="L323" s="13">
        <v>38.619999999999997</v>
      </c>
      <c r="M323" s="13">
        <v>25</v>
      </c>
      <c r="N323" s="13">
        <v>1.5448</v>
      </c>
      <c r="O323" s="13" t="s">
        <v>30</v>
      </c>
      <c r="P323" s="13">
        <v>58</v>
      </c>
      <c r="Q323" s="13">
        <v>0</v>
      </c>
      <c r="R323" s="15">
        <v>1450</v>
      </c>
      <c r="S323" s="15">
        <v>0</v>
      </c>
      <c r="T323" s="15">
        <v>0</v>
      </c>
      <c r="U323" s="15">
        <v>1450</v>
      </c>
      <c r="V323" s="15">
        <v>0</v>
      </c>
      <c r="W323" s="15">
        <v>1450</v>
      </c>
      <c r="X323" s="15">
        <v>0</v>
      </c>
      <c r="Y323" s="16">
        <v>0</v>
      </c>
      <c r="Z323" s="67" t="s">
        <v>26</v>
      </c>
      <c r="AA323" s="12" t="s">
        <v>31</v>
      </c>
    </row>
    <row r="324" spans="1:27" x14ac:dyDescent="0.25">
      <c r="A324" s="10">
        <v>45663</v>
      </c>
      <c r="B324" s="11" t="s">
        <v>1410</v>
      </c>
      <c r="C324" s="11" t="s">
        <v>1411</v>
      </c>
      <c r="D324" s="11" t="s">
        <v>26</v>
      </c>
      <c r="E324" s="11" t="s">
        <v>57</v>
      </c>
      <c r="F324" s="11" t="s">
        <v>26</v>
      </c>
      <c r="G324" s="11">
        <v>2718</v>
      </c>
      <c r="H324" s="12" t="s">
        <v>41</v>
      </c>
      <c r="I324" s="12" t="s">
        <v>37</v>
      </c>
      <c r="J324" s="12" t="s">
        <v>599</v>
      </c>
      <c r="K324" s="12" t="s">
        <v>82</v>
      </c>
      <c r="L324" s="13">
        <v>34.36</v>
      </c>
      <c r="M324" s="13">
        <v>25</v>
      </c>
      <c r="N324" s="13">
        <v>1.3744000000000001</v>
      </c>
      <c r="O324" s="13" t="s">
        <v>30</v>
      </c>
      <c r="P324" s="13">
        <v>43.5</v>
      </c>
      <c r="Q324" s="13">
        <v>0</v>
      </c>
      <c r="R324" s="15">
        <v>1087.5</v>
      </c>
      <c r="S324" s="15">
        <v>0</v>
      </c>
      <c r="T324" s="15">
        <v>0</v>
      </c>
      <c r="U324" s="15">
        <v>1087.5</v>
      </c>
      <c r="V324" s="15">
        <v>0</v>
      </c>
      <c r="W324" s="15">
        <v>1087.5</v>
      </c>
      <c r="X324" s="15">
        <v>0</v>
      </c>
      <c r="Y324" s="16">
        <v>0</v>
      </c>
      <c r="Z324" s="67" t="s">
        <v>26</v>
      </c>
      <c r="AA324" s="12" t="s">
        <v>31</v>
      </c>
    </row>
    <row r="325" spans="1:27" x14ac:dyDescent="0.25">
      <c r="A325" s="10">
        <v>45663</v>
      </c>
      <c r="B325" s="11" t="s">
        <v>1412</v>
      </c>
      <c r="C325" s="11" t="s">
        <v>1413</v>
      </c>
      <c r="D325" s="11" t="s">
        <v>26</v>
      </c>
      <c r="E325" s="11" t="s">
        <v>604</v>
      </c>
      <c r="F325" s="11" t="s">
        <v>26</v>
      </c>
      <c r="G325" s="11" t="s">
        <v>26</v>
      </c>
      <c r="H325" s="12" t="s">
        <v>4422</v>
      </c>
      <c r="I325" s="12" t="s">
        <v>27</v>
      </c>
      <c r="J325" s="12" t="s">
        <v>42</v>
      </c>
      <c r="K325" s="12" t="s">
        <v>43</v>
      </c>
      <c r="L325" s="13">
        <v>41.98</v>
      </c>
      <c r="M325" s="13">
        <v>25</v>
      </c>
      <c r="N325" s="13">
        <v>1.6792</v>
      </c>
      <c r="O325" s="13">
        <v>83</v>
      </c>
      <c r="P325" s="13" t="s">
        <v>30</v>
      </c>
      <c r="Q325" s="13">
        <v>0</v>
      </c>
      <c r="R325" s="15">
        <v>3484.3399999999997</v>
      </c>
      <c r="S325" s="15">
        <v>38</v>
      </c>
      <c r="T325" s="15">
        <v>1595.2399999999998</v>
      </c>
      <c r="U325" s="15">
        <v>1889.1</v>
      </c>
      <c r="V325" s="15">
        <v>1889.1</v>
      </c>
      <c r="W325" s="15">
        <v>0</v>
      </c>
      <c r="X325" s="15">
        <v>1511.28</v>
      </c>
      <c r="Y325" s="16">
        <v>83.959999999999809</v>
      </c>
      <c r="Z325" s="67" t="s">
        <v>141</v>
      </c>
      <c r="AA325" s="12" t="s">
        <v>78</v>
      </c>
    </row>
    <row r="326" spans="1:27" x14ac:dyDescent="0.25">
      <c r="A326" s="10">
        <v>45663</v>
      </c>
      <c r="B326" s="11" t="s">
        <v>1414</v>
      </c>
      <c r="C326" s="11" t="s">
        <v>1415</v>
      </c>
      <c r="D326" s="11" t="s">
        <v>26</v>
      </c>
      <c r="E326" s="11" t="s">
        <v>240</v>
      </c>
      <c r="F326" s="11" t="s">
        <v>26</v>
      </c>
      <c r="G326" s="11" t="s">
        <v>26</v>
      </c>
      <c r="H326" s="12" t="s">
        <v>4422</v>
      </c>
      <c r="I326" s="12" t="s">
        <v>27</v>
      </c>
      <c r="J326" s="12" t="s">
        <v>42</v>
      </c>
      <c r="K326" s="12" t="s">
        <v>43</v>
      </c>
      <c r="L326" s="13">
        <v>41.32</v>
      </c>
      <c r="M326" s="13">
        <v>25</v>
      </c>
      <c r="N326" s="13">
        <v>1.6528</v>
      </c>
      <c r="O326" s="13">
        <v>83</v>
      </c>
      <c r="P326" s="13" t="s">
        <v>30</v>
      </c>
      <c r="Q326" s="13">
        <v>0</v>
      </c>
      <c r="R326" s="14">
        <v>3429.56</v>
      </c>
      <c r="S326" s="15">
        <v>38</v>
      </c>
      <c r="T326" s="15">
        <v>1570.16</v>
      </c>
      <c r="U326" s="15">
        <v>1859.3999999999999</v>
      </c>
      <c r="V326" s="15">
        <v>1859.3999999999999</v>
      </c>
      <c r="W326" s="15">
        <v>0</v>
      </c>
      <c r="X326" s="15">
        <v>1528.84</v>
      </c>
      <c r="Y326" s="16">
        <v>41.320000000000164</v>
      </c>
      <c r="Z326" s="67" t="s">
        <v>41</v>
      </c>
      <c r="AA326" s="12" t="s">
        <v>78</v>
      </c>
    </row>
    <row r="327" spans="1:27" x14ac:dyDescent="0.25">
      <c r="A327" s="10">
        <v>45663</v>
      </c>
      <c r="B327" s="11" t="s">
        <v>683</v>
      </c>
      <c r="C327" s="11" t="s">
        <v>1416</v>
      </c>
      <c r="D327" s="11" t="s">
        <v>26</v>
      </c>
      <c r="E327" s="11" t="s">
        <v>658</v>
      </c>
      <c r="F327" s="11" t="s">
        <v>26</v>
      </c>
      <c r="G327" s="11" t="s">
        <v>26</v>
      </c>
      <c r="H327" s="12" t="s">
        <v>4422</v>
      </c>
      <c r="I327" s="12" t="s">
        <v>27</v>
      </c>
      <c r="J327" s="12" t="s">
        <v>42</v>
      </c>
      <c r="K327" s="12" t="s">
        <v>43</v>
      </c>
      <c r="L327" s="13">
        <v>41.44</v>
      </c>
      <c r="M327" s="13">
        <v>25</v>
      </c>
      <c r="N327" s="13">
        <v>1.6576</v>
      </c>
      <c r="O327" s="13">
        <v>83</v>
      </c>
      <c r="P327" s="13" t="s">
        <v>30</v>
      </c>
      <c r="Q327" s="13">
        <v>0</v>
      </c>
      <c r="R327" s="14">
        <v>3439.52</v>
      </c>
      <c r="S327" s="15">
        <v>38</v>
      </c>
      <c r="T327" s="15">
        <v>1574.7199999999998</v>
      </c>
      <c r="U327" s="15">
        <v>1864.8000000000002</v>
      </c>
      <c r="V327" s="15">
        <v>1864.8000000000002</v>
      </c>
      <c r="W327" s="15">
        <v>0</v>
      </c>
      <c r="X327" s="15">
        <v>1491.84</v>
      </c>
      <c r="Y327" s="16">
        <v>82.879999999999882</v>
      </c>
      <c r="Z327" s="67" t="s">
        <v>141</v>
      </c>
      <c r="AA327" s="12" t="s">
        <v>78</v>
      </c>
    </row>
    <row r="328" spans="1:27" x14ac:dyDescent="0.25">
      <c r="A328" s="10">
        <v>45663</v>
      </c>
      <c r="B328" s="11" t="s">
        <v>1417</v>
      </c>
      <c r="C328" s="11" t="s">
        <v>1418</v>
      </c>
      <c r="D328" s="11" t="s">
        <v>26</v>
      </c>
      <c r="E328" s="11" t="s">
        <v>241</v>
      </c>
      <c r="F328" s="11" t="s">
        <v>26</v>
      </c>
      <c r="G328" s="11">
        <v>74954</v>
      </c>
      <c r="H328" s="12" t="s">
        <v>4448</v>
      </c>
      <c r="I328" s="12" t="s">
        <v>27</v>
      </c>
      <c r="J328" s="12" t="s">
        <v>42</v>
      </c>
      <c r="K328" s="12" t="s">
        <v>43</v>
      </c>
      <c r="L328" s="13">
        <v>42.6</v>
      </c>
      <c r="M328" s="13">
        <v>25</v>
      </c>
      <c r="N328" s="13">
        <v>1.704</v>
      </c>
      <c r="O328" s="13">
        <v>42.5</v>
      </c>
      <c r="P328" s="13"/>
      <c r="Q328" s="13">
        <v>0</v>
      </c>
      <c r="R328" s="14">
        <v>1810.5</v>
      </c>
      <c r="S328" s="15">
        <v>0</v>
      </c>
      <c r="T328" s="15">
        <v>0</v>
      </c>
      <c r="U328" s="15">
        <v>1810.5</v>
      </c>
      <c r="V328" s="15">
        <v>1357.875</v>
      </c>
      <c r="W328" s="15">
        <v>452.625</v>
      </c>
      <c r="X328" s="15">
        <v>0</v>
      </c>
      <c r="Y328" s="16">
        <v>0</v>
      </c>
      <c r="Z328" s="67" t="s">
        <v>26</v>
      </c>
      <c r="AA328" s="12" t="s">
        <v>31</v>
      </c>
    </row>
    <row r="329" spans="1:27" x14ac:dyDescent="0.25">
      <c r="A329" s="10">
        <v>45663</v>
      </c>
      <c r="B329" s="11" t="s">
        <v>1419</v>
      </c>
      <c r="C329" s="11" t="s">
        <v>1420</v>
      </c>
      <c r="D329" s="11" t="s">
        <v>26</v>
      </c>
      <c r="E329" s="11" t="s">
        <v>97</v>
      </c>
      <c r="F329" s="11" t="s">
        <v>26</v>
      </c>
      <c r="G329" s="11">
        <v>5444</v>
      </c>
      <c r="H329" s="12" t="s">
        <v>4447</v>
      </c>
      <c r="I329" s="12" t="s">
        <v>27</v>
      </c>
      <c r="J329" s="12" t="s">
        <v>42</v>
      </c>
      <c r="K329" s="12" t="s">
        <v>43</v>
      </c>
      <c r="L329" s="13">
        <v>20.9</v>
      </c>
      <c r="M329" s="13">
        <v>13</v>
      </c>
      <c r="N329" s="13">
        <v>1.607692307692308</v>
      </c>
      <c r="O329" s="13" t="s">
        <v>30</v>
      </c>
      <c r="P329" s="13">
        <v>65.599999999999994</v>
      </c>
      <c r="Q329" s="13">
        <v>0</v>
      </c>
      <c r="R329" s="14">
        <v>852.8</v>
      </c>
      <c r="S329" s="15">
        <v>0</v>
      </c>
      <c r="T329" s="15">
        <v>0</v>
      </c>
      <c r="U329" s="15">
        <v>852.8</v>
      </c>
      <c r="V329" s="15">
        <v>852.8</v>
      </c>
      <c r="W329" s="15">
        <v>0</v>
      </c>
      <c r="X329" s="15">
        <v>0</v>
      </c>
      <c r="Y329" s="16">
        <v>0</v>
      </c>
      <c r="Z329" s="67" t="s">
        <v>26</v>
      </c>
      <c r="AA329" s="12" t="s">
        <v>31</v>
      </c>
    </row>
    <row r="330" spans="1:27" x14ac:dyDescent="0.25">
      <c r="A330" s="10">
        <v>45663</v>
      </c>
      <c r="B330" s="11" t="s">
        <v>1421</v>
      </c>
      <c r="C330" s="11" t="s">
        <v>1422</v>
      </c>
      <c r="D330" s="11" t="s">
        <v>26</v>
      </c>
      <c r="E330" s="11" t="s">
        <v>224</v>
      </c>
      <c r="F330" s="11" t="s">
        <v>26</v>
      </c>
      <c r="G330" s="11">
        <v>57832</v>
      </c>
      <c r="H330" s="12" t="s">
        <v>4423</v>
      </c>
      <c r="I330" s="12" t="s">
        <v>27</v>
      </c>
      <c r="J330" s="12" t="s">
        <v>33</v>
      </c>
      <c r="K330" s="12" t="s">
        <v>34</v>
      </c>
      <c r="L330" s="13">
        <v>35.22</v>
      </c>
      <c r="M330" s="13">
        <v>25</v>
      </c>
      <c r="N330" s="13">
        <v>1.4088000000000001</v>
      </c>
      <c r="O330" s="13">
        <v>45</v>
      </c>
      <c r="P330" s="13" t="s">
        <v>30</v>
      </c>
      <c r="Q330" s="13">
        <v>0</v>
      </c>
      <c r="R330" s="14">
        <v>1584.8999999999999</v>
      </c>
      <c r="S330" s="15">
        <v>0</v>
      </c>
      <c r="T330" s="15">
        <v>0</v>
      </c>
      <c r="U330" s="15">
        <v>1584.8999999999999</v>
      </c>
      <c r="V330" s="15">
        <v>1584.8999999999999</v>
      </c>
      <c r="W330" s="15">
        <v>0</v>
      </c>
      <c r="X330" s="15">
        <v>0</v>
      </c>
      <c r="Y330" s="16">
        <v>0</v>
      </c>
      <c r="Z330" s="67" t="s">
        <v>26</v>
      </c>
      <c r="AA330" s="12" t="s">
        <v>31</v>
      </c>
    </row>
    <row r="331" spans="1:27" x14ac:dyDescent="0.25">
      <c r="A331" s="10">
        <v>45663</v>
      </c>
      <c r="B331" s="11" t="s">
        <v>1423</v>
      </c>
      <c r="C331" s="11" t="s">
        <v>1424</v>
      </c>
      <c r="D331" s="11" t="s">
        <v>26</v>
      </c>
      <c r="E331" s="11" t="s">
        <v>573</v>
      </c>
      <c r="F331" s="11" t="s">
        <v>26</v>
      </c>
      <c r="G331" s="11">
        <v>112044</v>
      </c>
      <c r="H331" s="12" t="s">
        <v>4446</v>
      </c>
      <c r="I331" s="12" t="s">
        <v>27</v>
      </c>
      <c r="J331" s="12" t="s">
        <v>42</v>
      </c>
      <c r="K331" s="12" t="s">
        <v>43</v>
      </c>
      <c r="L331" s="13">
        <v>39.979999999999997</v>
      </c>
      <c r="M331" s="13">
        <v>25</v>
      </c>
      <c r="N331" s="13">
        <v>1.5992</v>
      </c>
      <c r="O331" s="13">
        <v>42</v>
      </c>
      <c r="P331" s="13" t="s">
        <v>30</v>
      </c>
      <c r="Q331" s="13">
        <v>0</v>
      </c>
      <c r="R331" s="14">
        <v>1679.1599999999999</v>
      </c>
      <c r="S331" s="15">
        <v>0</v>
      </c>
      <c r="T331" s="15">
        <v>0</v>
      </c>
      <c r="U331" s="15">
        <v>1679.1599999999999</v>
      </c>
      <c r="V331" s="15">
        <v>1679.1599999999999</v>
      </c>
      <c r="W331" s="15">
        <v>0</v>
      </c>
      <c r="X331" s="15">
        <v>0</v>
      </c>
      <c r="Y331" s="16">
        <v>0</v>
      </c>
      <c r="Z331" s="67" t="s">
        <v>26</v>
      </c>
      <c r="AA331" s="12" t="s">
        <v>31</v>
      </c>
    </row>
    <row r="332" spans="1:27" x14ac:dyDescent="0.25">
      <c r="A332" s="10">
        <v>45663</v>
      </c>
      <c r="B332" s="11" t="s">
        <v>419</v>
      </c>
      <c r="C332" s="11" t="s">
        <v>1425</v>
      </c>
      <c r="D332" s="11" t="s">
        <v>26</v>
      </c>
      <c r="E332" s="11" t="s">
        <v>525</v>
      </c>
      <c r="F332" s="11" t="s">
        <v>26</v>
      </c>
      <c r="G332" s="11">
        <v>76546</v>
      </c>
      <c r="H332" s="12" t="s">
        <v>4448</v>
      </c>
      <c r="I332" s="12" t="s">
        <v>27</v>
      </c>
      <c r="J332" s="12" t="s">
        <v>42</v>
      </c>
      <c r="K332" s="12" t="s">
        <v>43</v>
      </c>
      <c r="L332" s="13">
        <v>46.42</v>
      </c>
      <c r="M332" s="13">
        <v>29</v>
      </c>
      <c r="N332" s="13">
        <v>1.6006896551724139</v>
      </c>
      <c r="O332" s="13">
        <v>42.5</v>
      </c>
      <c r="P332" s="13"/>
      <c r="Q332" s="13">
        <v>0</v>
      </c>
      <c r="R332" s="14">
        <v>1972.8500000000001</v>
      </c>
      <c r="S332" s="15">
        <v>0</v>
      </c>
      <c r="T332" s="15">
        <v>0</v>
      </c>
      <c r="U332" s="15">
        <v>1972.8500000000001</v>
      </c>
      <c r="V332" s="15">
        <v>1479.6375</v>
      </c>
      <c r="W332" s="15">
        <v>493.21250000000009</v>
      </c>
      <c r="X332" s="15">
        <v>0</v>
      </c>
      <c r="Y332" s="16">
        <v>0</v>
      </c>
      <c r="Z332" s="67" t="s">
        <v>26</v>
      </c>
      <c r="AA332" s="12" t="s">
        <v>31</v>
      </c>
    </row>
    <row r="333" spans="1:27" x14ac:dyDescent="0.25">
      <c r="A333" s="10">
        <v>45663</v>
      </c>
      <c r="B333" s="11" t="s">
        <v>301</v>
      </c>
      <c r="C333" s="11" t="s">
        <v>1426</v>
      </c>
      <c r="D333" s="11" t="s">
        <v>26</v>
      </c>
      <c r="E333" s="11" t="s">
        <v>574</v>
      </c>
      <c r="F333" s="11" t="s">
        <v>26</v>
      </c>
      <c r="G333" s="11" t="s">
        <v>26</v>
      </c>
      <c r="H333" s="12" t="s">
        <v>4422</v>
      </c>
      <c r="I333" s="12" t="s">
        <v>27</v>
      </c>
      <c r="J333" s="12" t="s">
        <v>42</v>
      </c>
      <c r="K333" s="12" t="s">
        <v>43</v>
      </c>
      <c r="L333" s="13">
        <v>41.36</v>
      </c>
      <c r="M333" s="13">
        <v>25</v>
      </c>
      <c r="N333" s="13">
        <v>1.6544000000000001</v>
      </c>
      <c r="O333" s="13">
        <v>83</v>
      </c>
      <c r="P333" s="13" t="s">
        <v>30</v>
      </c>
      <c r="Q333" s="13">
        <v>0</v>
      </c>
      <c r="R333" s="14">
        <v>3432.88</v>
      </c>
      <c r="S333" s="15">
        <v>38</v>
      </c>
      <c r="T333" s="15">
        <v>1571.68</v>
      </c>
      <c r="U333" s="15">
        <v>1861.2</v>
      </c>
      <c r="V333" s="15">
        <v>1861.2</v>
      </c>
      <c r="W333" s="15">
        <v>0</v>
      </c>
      <c r="X333" s="15">
        <v>1488.96</v>
      </c>
      <c r="Y333" s="16">
        <v>82.720000000000027</v>
      </c>
      <c r="Z333" s="67" t="s">
        <v>141</v>
      </c>
      <c r="AA333" s="12" t="s">
        <v>78</v>
      </c>
    </row>
    <row r="334" spans="1:27" x14ac:dyDescent="0.25">
      <c r="A334" s="10">
        <v>45663</v>
      </c>
      <c r="B334" s="11" t="s">
        <v>1427</v>
      </c>
      <c r="C334" s="11" t="s">
        <v>1428</v>
      </c>
      <c r="D334" s="11" t="s">
        <v>26</v>
      </c>
      <c r="E334" s="11" t="s">
        <v>39</v>
      </c>
      <c r="F334" s="11" t="s">
        <v>26</v>
      </c>
      <c r="G334" s="11">
        <v>499</v>
      </c>
      <c r="H334" s="12" t="s">
        <v>141</v>
      </c>
      <c r="I334" s="12" t="s">
        <v>55</v>
      </c>
      <c r="J334" s="12" t="s">
        <v>55</v>
      </c>
      <c r="K334" s="12" t="s">
        <v>56</v>
      </c>
      <c r="L334" s="13">
        <v>35</v>
      </c>
      <c r="M334" s="13">
        <v>25</v>
      </c>
      <c r="N334" s="13">
        <v>1.4</v>
      </c>
      <c r="O334" s="13">
        <v>15</v>
      </c>
      <c r="P334" s="13" t="s">
        <v>30</v>
      </c>
      <c r="Q334" s="13">
        <v>0</v>
      </c>
      <c r="R334" s="14">
        <v>525</v>
      </c>
      <c r="S334" s="15">
        <v>0</v>
      </c>
      <c r="T334" s="15">
        <v>0</v>
      </c>
      <c r="U334" s="15">
        <v>525</v>
      </c>
      <c r="V334" s="15">
        <v>0</v>
      </c>
      <c r="W334" s="15">
        <v>525</v>
      </c>
      <c r="X334" s="15">
        <v>0</v>
      </c>
      <c r="Y334" s="16">
        <v>0</v>
      </c>
      <c r="Z334" s="67" t="s">
        <v>26</v>
      </c>
      <c r="AA334" s="12" t="s">
        <v>31</v>
      </c>
    </row>
    <row r="335" spans="1:27" x14ac:dyDescent="0.25">
      <c r="A335" s="10">
        <v>45663</v>
      </c>
      <c r="B335" s="11" t="s">
        <v>358</v>
      </c>
      <c r="C335" s="11" t="s">
        <v>1429</v>
      </c>
      <c r="D335" s="11" t="s">
        <v>26</v>
      </c>
      <c r="E335" s="11" t="s">
        <v>184</v>
      </c>
      <c r="F335" s="11" t="s">
        <v>26</v>
      </c>
      <c r="G335" s="11">
        <v>500</v>
      </c>
      <c r="H335" s="12" t="s">
        <v>141</v>
      </c>
      <c r="I335" s="12" t="s">
        <v>27</v>
      </c>
      <c r="J335" s="12" t="s">
        <v>42</v>
      </c>
      <c r="K335" s="12" t="s">
        <v>43</v>
      </c>
      <c r="L335" s="13">
        <v>40.92</v>
      </c>
      <c r="M335" s="13">
        <v>25</v>
      </c>
      <c r="N335" s="13">
        <v>1.6368</v>
      </c>
      <c r="O335" s="13">
        <v>40</v>
      </c>
      <c r="P335" s="13" t="s">
        <v>30</v>
      </c>
      <c r="Q335" s="13">
        <v>0</v>
      </c>
      <c r="R335" s="15">
        <v>1636.8000000000002</v>
      </c>
      <c r="S335" s="15">
        <v>0</v>
      </c>
      <c r="T335" s="15">
        <v>0</v>
      </c>
      <c r="U335" s="15">
        <v>1636.8000000000002</v>
      </c>
      <c r="V335" s="15">
        <v>0</v>
      </c>
      <c r="W335" s="15">
        <v>1636.8000000000002</v>
      </c>
      <c r="X335" s="15">
        <v>0</v>
      </c>
      <c r="Y335" s="16">
        <v>0</v>
      </c>
      <c r="Z335" s="67" t="s">
        <v>26</v>
      </c>
      <c r="AA335" s="12" t="s">
        <v>31</v>
      </c>
    </row>
    <row r="336" spans="1:27" x14ac:dyDescent="0.25">
      <c r="A336" s="10">
        <v>45663</v>
      </c>
      <c r="B336" s="11" t="s">
        <v>1430</v>
      </c>
      <c r="C336" s="11" t="s">
        <v>1431</v>
      </c>
      <c r="D336" s="11" t="s">
        <v>26</v>
      </c>
      <c r="E336" s="11" t="s">
        <v>81</v>
      </c>
      <c r="F336" s="11" t="s">
        <v>26</v>
      </c>
      <c r="G336" s="11">
        <v>601</v>
      </c>
      <c r="H336" s="12" t="s">
        <v>141</v>
      </c>
      <c r="I336" s="12" t="s">
        <v>27</v>
      </c>
      <c r="J336" s="12" t="s">
        <v>42</v>
      </c>
      <c r="K336" s="12" t="s">
        <v>43</v>
      </c>
      <c r="L336" s="13">
        <v>41.28</v>
      </c>
      <c r="M336" s="13">
        <v>25</v>
      </c>
      <c r="N336" s="13">
        <v>1.6512</v>
      </c>
      <c r="O336" s="13">
        <v>40</v>
      </c>
      <c r="P336" s="13" t="s">
        <v>30</v>
      </c>
      <c r="Q336" s="13">
        <v>0</v>
      </c>
      <c r="R336" s="14">
        <v>1651.2</v>
      </c>
      <c r="S336" s="15">
        <v>0</v>
      </c>
      <c r="T336" s="15">
        <v>0</v>
      </c>
      <c r="U336" s="15">
        <v>1651.2</v>
      </c>
      <c r="V336" s="15">
        <v>0</v>
      </c>
      <c r="W336" s="15">
        <v>1651.2</v>
      </c>
      <c r="X336" s="15">
        <v>0</v>
      </c>
      <c r="Y336" s="16">
        <v>0</v>
      </c>
      <c r="Z336" s="67" t="s">
        <v>26</v>
      </c>
      <c r="AA336" s="12" t="s">
        <v>31</v>
      </c>
    </row>
    <row r="337" spans="1:27" x14ac:dyDescent="0.25">
      <c r="A337" s="10">
        <v>45663</v>
      </c>
      <c r="B337" s="11" t="s">
        <v>1432</v>
      </c>
      <c r="C337" s="11" t="s">
        <v>1433</v>
      </c>
      <c r="D337" s="11" t="s">
        <v>26</v>
      </c>
      <c r="E337" s="11" t="s">
        <v>486</v>
      </c>
      <c r="F337" s="11" t="s">
        <v>26</v>
      </c>
      <c r="G337" s="11">
        <v>72864</v>
      </c>
      <c r="H337" s="12" t="s">
        <v>4448</v>
      </c>
      <c r="I337" s="12" t="s">
        <v>27</v>
      </c>
      <c r="J337" s="12" t="s">
        <v>42</v>
      </c>
      <c r="K337" s="12" t="s">
        <v>43</v>
      </c>
      <c r="L337" s="13">
        <v>42.26</v>
      </c>
      <c r="M337" s="13">
        <v>25</v>
      </c>
      <c r="N337" s="13">
        <v>1.6903999999999999</v>
      </c>
      <c r="O337" s="13">
        <v>42.5</v>
      </c>
      <c r="P337" s="13"/>
      <c r="Q337" s="13">
        <v>0</v>
      </c>
      <c r="R337" s="15">
        <v>1796.05</v>
      </c>
      <c r="S337" s="15">
        <v>0</v>
      </c>
      <c r="T337" s="15">
        <v>0</v>
      </c>
      <c r="U337" s="15">
        <v>1796.05</v>
      </c>
      <c r="V337" s="15">
        <v>1347.0374999999999</v>
      </c>
      <c r="W337" s="15">
        <v>449.01250000000005</v>
      </c>
      <c r="X337" s="15">
        <v>0</v>
      </c>
      <c r="Y337" s="16">
        <v>0</v>
      </c>
      <c r="Z337" s="67" t="s">
        <v>26</v>
      </c>
      <c r="AA337" s="12" t="s">
        <v>31</v>
      </c>
    </row>
    <row r="338" spans="1:27" x14ac:dyDescent="0.25">
      <c r="A338" s="10">
        <v>45663</v>
      </c>
      <c r="B338" s="11" t="s">
        <v>664</v>
      </c>
      <c r="C338" s="11" t="s">
        <v>1434</v>
      </c>
      <c r="D338" s="11" t="s">
        <v>26</v>
      </c>
      <c r="E338" s="11" t="s">
        <v>52</v>
      </c>
      <c r="F338" s="11" t="s">
        <v>26</v>
      </c>
      <c r="G338" s="11">
        <v>602</v>
      </c>
      <c r="H338" s="12" t="s">
        <v>141</v>
      </c>
      <c r="I338" s="12" t="s">
        <v>55</v>
      </c>
      <c r="J338" s="12" t="s">
        <v>55</v>
      </c>
      <c r="K338" s="12" t="s">
        <v>56</v>
      </c>
      <c r="L338" s="13">
        <v>38.6</v>
      </c>
      <c r="M338" s="13">
        <v>25</v>
      </c>
      <c r="N338" s="13">
        <v>1.544</v>
      </c>
      <c r="O338" s="13">
        <v>15</v>
      </c>
      <c r="P338" s="13" t="s">
        <v>30</v>
      </c>
      <c r="Q338" s="13">
        <v>0</v>
      </c>
      <c r="R338" s="15">
        <v>579</v>
      </c>
      <c r="S338" s="15">
        <v>0</v>
      </c>
      <c r="T338" s="15">
        <v>0</v>
      </c>
      <c r="U338" s="15">
        <v>579</v>
      </c>
      <c r="V338" s="15">
        <v>0</v>
      </c>
      <c r="W338" s="15">
        <v>579</v>
      </c>
      <c r="X338" s="15">
        <v>0</v>
      </c>
      <c r="Y338" s="16">
        <v>0</v>
      </c>
      <c r="Z338" s="67" t="s">
        <v>26</v>
      </c>
      <c r="AA338" s="12" t="s">
        <v>31</v>
      </c>
    </row>
    <row r="339" spans="1:27" x14ac:dyDescent="0.25">
      <c r="A339" s="10">
        <v>45663</v>
      </c>
      <c r="B339" s="11" t="s">
        <v>1435</v>
      </c>
      <c r="C339" s="11" t="s">
        <v>1436</v>
      </c>
      <c r="D339" s="11" t="s">
        <v>26</v>
      </c>
      <c r="E339" s="11" t="s">
        <v>177</v>
      </c>
      <c r="F339" s="11" t="s">
        <v>26</v>
      </c>
      <c r="G339" s="11">
        <v>603</v>
      </c>
      <c r="H339" s="12" t="s">
        <v>141</v>
      </c>
      <c r="I339" s="12" t="s">
        <v>55</v>
      </c>
      <c r="J339" s="12" t="s">
        <v>55</v>
      </c>
      <c r="K339" s="12" t="s">
        <v>56</v>
      </c>
      <c r="L339" s="13">
        <v>38.659999999999997</v>
      </c>
      <c r="M339" s="13">
        <v>25</v>
      </c>
      <c r="N339" s="13">
        <v>1.5464</v>
      </c>
      <c r="O339" s="13">
        <v>15</v>
      </c>
      <c r="P339" s="13" t="s">
        <v>30</v>
      </c>
      <c r="Q339" s="13">
        <v>0</v>
      </c>
      <c r="R339" s="15">
        <v>579.9</v>
      </c>
      <c r="S339" s="15">
        <v>0</v>
      </c>
      <c r="T339" s="15">
        <v>0</v>
      </c>
      <c r="U339" s="15">
        <v>579.9</v>
      </c>
      <c r="V339" s="15">
        <v>0</v>
      </c>
      <c r="W339" s="15">
        <v>579.9</v>
      </c>
      <c r="X339" s="15">
        <v>0</v>
      </c>
      <c r="Y339" s="16">
        <v>0</v>
      </c>
      <c r="Z339" s="67" t="s">
        <v>26</v>
      </c>
      <c r="AA339" s="12" t="s">
        <v>31</v>
      </c>
    </row>
    <row r="340" spans="1:27" x14ac:dyDescent="0.25">
      <c r="A340" s="10">
        <v>45663</v>
      </c>
      <c r="B340" s="11" t="s">
        <v>671</v>
      </c>
      <c r="C340" s="11" t="s">
        <v>1437</v>
      </c>
      <c r="D340" s="11" t="s">
        <v>26</v>
      </c>
      <c r="E340" s="11" t="s">
        <v>64</v>
      </c>
      <c r="F340" s="11" t="s">
        <v>26</v>
      </c>
      <c r="G340" s="11">
        <v>604</v>
      </c>
      <c r="H340" s="12" t="s">
        <v>141</v>
      </c>
      <c r="I340" s="12" t="s">
        <v>55</v>
      </c>
      <c r="J340" s="12" t="s">
        <v>55</v>
      </c>
      <c r="K340" s="12" t="s">
        <v>56</v>
      </c>
      <c r="L340" s="13">
        <v>37.6</v>
      </c>
      <c r="M340" s="13">
        <v>25</v>
      </c>
      <c r="N340" s="13">
        <v>1.504</v>
      </c>
      <c r="O340" s="13">
        <v>15</v>
      </c>
      <c r="P340" s="13" t="s">
        <v>30</v>
      </c>
      <c r="Q340" s="13">
        <v>0</v>
      </c>
      <c r="R340" s="14">
        <v>564</v>
      </c>
      <c r="S340" s="15">
        <v>0</v>
      </c>
      <c r="T340" s="15">
        <v>0</v>
      </c>
      <c r="U340" s="15">
        <v>564</v>
      </c>
      <c r="V340" s="15">
        <v>0</v>
      </c>
      <c r="W340" s="15">
        <v>564</v>
      </c>
      <c r="X340" s="15">
        <v>0</v>
      </c>
      <c r="Y340" s="16">
        <v>0</v>
      </c>
      <c r="Z340" s="67" t="s">
        <v>26</v>
      </c>
      <c r="AA340" s="12" t="s">
        <v>31</v>
      </c>
    </row>
    <row r="341" spans="1:27" x14ac:dyDescent="0.25">
      <c r="A341" s="10">
        <v>45663</v>
      </c>
      <c r="B341" s="11" t="s">
        <v>373</v>
      </c>
      <c r="C341" s="11" t="s">
        <v>1438</v>
      </c>
      <c r="D341" s="11" t="s">
        <v>26</v>
      </c>
      <c r="E341" s="11" t="s">
        <v>501</v>
      </c>
      <c r="F341" s="11" t="s">
        <v>26</v>
      </c>
      <c r="G341" s="11">
        <v>605</v>
      </c>
      <c r="H341" s="12" t="s">
        <v>141</v>
      </c>
      <c r="I341" s="12" t="s">
        <v>27</v>
      </c>
      <c r="J341" s="12" t="s">
        <v>42</v>
      </c>
      <c r="K341" s="12" t="s">
        <v>43</v>
      </c>
      <c r="L341" s="13">
        <v>41.68</v>
      </c>
      <c r="M341" s="13">
        <v>25</v>
      </c>
      <c r="N341" s="13">
        <v>1.6672</v>
      </c>
      <c r="O341" s="13">
        <v>40</v>
      </c>
      <c r="P341" s="13" t="s">
        <v>30</v>
      </c>
      <c r="Q341" s="13">
        <v>0</v>
      </c>
      <c r="R341" s="14">
        <v>1667.2</v>
      </c>
      <c r="S341" s="15">
        <v>0</v>
      </c>
      <c r="T341" s="15">
        <v>0</v>
      </c>
      <c r="U341" s="15">
        <v>1667.2</v>
      </c>
      <c r="V341" s="15">
        <v>0</v>
      </c>
      <c r="W341" s="15">
        <v>1667.2</v>
      </c>
      <c r="X341" s="15">
        <v>0</v>
      </c>
      <c r="Y341" s="16">
        <v>0</v>
      </c>
      <c r="Z341" s="67" t="s">
        <v>26</v>
      </c>
      <c r="AA341" s="12" t="s">
        <v>31</v>
      </c>
    </row>
    <row r="342" spans="1:27" x14ac:dyDescent="0.25">
      <c r="A342" s="10">
        <v>45663</v>
      </c>
      <c r="B342" s="11" t="s">
        <v>1439</v>
      </c>
      <c r="C342" s="11" t="s">
        <v>1440</v>
      </c>
      <c r="D342" s="11" t="s">
        <v>26</v>
      </c>
      <c r="E342" s="11" t="s">
        <v>605</v>
      </c>
      <c r="F342" s="11" t="s">
        <v>26</v>
      </c>
      <c r="G342" s="11">
        <v>606</v>
      </c>
      <c r="H342" s="12" t="s">
        <v>141</v>
      </c>
      <c r="I342" s="12" t="s">
        <v>55</v>
      </c>
      <c r="J342" s="12" t="s">
        <v>55</v>
      </c>
      <c r="K342" s="12" t="s">
        <v>56</v>
      </c>
      <c r="L342" s="13">
        <v>40.1</v>
      </c>
      <c r="M342" s="13">
        <v>25</v>
      </c>
      <c r="N342" s="13">
        <v>1.6040000000000001</v>
      </c>
      <c r="O342" s="13">
        <v>15</v>
      </c>
      <c r="P342" s="13" t="s">
        <v>30</v>
      </c>
      <c r="Q342" s="13">
        <v>0</v>
      </c>
      <c r="R342" s="15">
        <v>601.5</v>
      </c>
      <c r="S342" s="15">
        <v>0</v>
      </c>
      <c r="T342" s="15">
        <v>0</v>
      </c>
      <c r="U342" s="15">
        <v>601.5</v>
      </c>
      <c r="V342" s="15">
        <v>0</v>
      </c>
      <c r="W342" s="15">
        <v>601.5</v>
      </c>
      <c r="X342" s="15">
        <v>0</v>
      </c>
      <c r="Y342" s="16">
        <v>0</v>
      </c>
      <c r="Z342" s="67" t="s">
        <v>26</v>
      </c>
      <c r="AA342" s="12" t="s">
        <v>31</v>
      </c>
    </row>
    <row r="343" spans="1:27" x14ac:dyDescent="0.25">
      <c r="A343" s="10">
        <v>45663</v>
      </c>
      <c r="B343" s="11" t="s">
        <v>1441</v>
      </c>
      <c r="C343" s="11" t="s">
        <v>1442</v>
      </c>
      <c r="D343" s="11" t="s">
        <v>26</v>
      </c>
      <c r="E343" s="11" t="s">
        <v>509</v>
      </c>
      <c r="F343" s="11" t="s">
        <v>26</v>
      </c>
      <c r="G343" s="11">
        <v>607</v>
      </c>
      <c r="H343" s="12" t="s">
        <v>141</v>
      </c>
      <c r="I343" s="12" t="s">
        <v>27</v>
      </c>
      <c r="J343" s="12" t="s">
        <v>42</v>
      </c>
      <c r="K343" s="12" t="s">
        <v>43</v>
      </c>
      <c r="L343" s="13">
        <v>40.56</v>
      </c>
      <c r="M343" s="13">
        <v>25</v>
      </c>
      <c r="N343" s="13">
        <v>1.6224000000000001</v>
      </c>
      <c r="O343" s="13">
        <v>40</v>
      </c>
      <c r="P343" s="13" t="s">
        <v>30</v>
      </c>
      <c r="Q343" s="13">
        <v>0</v>
      </c>
      <c r="R343" s="14">
        <v>1622.4</v>
      </c>
      <c r="S343" s="15">
        <v>0</v>
      </c>
      <c r="T343" s="15">
        <v>0</v>
      </c>
      <c r="U343" s="15">
        <v>1622.4</v>
      </c>
      <c r="V343" s="15">
        <v>0</v>
      </c>
      <c r="W343" s="15">
        <v>1622.4</v>
      </c>
      <c r="X343" s="15">
        <v>0</v>
      </c>
      <c r="Y343" s="16">
        <v>0</v>
      </c>
      <c r="Z343" s="67" t="s">
        <v>26</v>
      </c>
      <c r="AA343" s="12" t="s">
        <v>31</v>
      </c>
    </row>
    <row r="344" spans="1:27" x14ac:dyDescent="0.25">
      <c r="A344" s="10">
        <v>45663</v>
      </c>
      <c r="B344" s="11" t="s">
        <v>1443</v>
      </c>
      <c r="C344" s="11" t="s">
        <v>1444</v>
      </c>
      <c r="D344" s="11" t="s">
        <v>26</v>
      </c>
      <c r="E344" s="11" t="s">
        <v>589</v>
      </c>
      <c r="F344" s="11" t="s">
        <v>26</v>
      </c>
      <c r="G344" s="11">
        <v>4563</v>
      </c>
      <c r="H344" s="12" t="s">
        <v>4423</v>
      </c>
      <c r="I344" s="12" t="s">
        <v>27</v>
      </c>
      <c r="J344" s="12" t="s">
        <v>33</v>
      </c>
      <c r="K344" s="12" t="s">
        <v>34</v>
      </c>
      <c r="L344" s="13">
        <v>33.42</v>
      </c>
      <c r="M344" s="13">
        <v>25</v>
      </c>
      <c r="N344" s="13">
        <v>1.3368</v>
      </c>
      <c r="O344" s="13">
        <v>45</v>
      </c>
      <c r="P344" s="13" t="s">
        <v>30</v>
      </c>
      <c r="Q344" s="13">
        <v>0</v>
      </c>
      <c r="R344" s="15">
        <v>1503.9</v>
      </c>
      <c r="S344" s="15">
        <v>0</v>
      </c>
      <c r="T344" s="15">
        <v>0</v>
      </c>
      <c r="U344" s="15">
        <v>1503.9</v>
      </c>
      <c r="V344" s="15">
        <v>1503.9</v>
      </c>
      <c r="W344" s="15">
        <v>0</v>
      </c>
      <c r="X344" s="15">
        <v>0</v>
      </c>
      <c r="Y344" s="16">
        <v>0</v>
      </c>
      <c r="Z344" s="67" t="s">
        <v>26</v>
      </c>
      <c r="AA344" s="12" t="s">
        <v>31</v>
      </c>
    </row>
    <row r="345" spans="1:27" x14ac:dyDescent="0.25">
      <c r="A345" s="10">
        <v>45663</v>
      </c>
      <c r="B345" s="11" t="s">
        <v>1445</v>
      </c>
      <c r="C345" s="11" t="s">
        <v>1446</v>
      </c>
      <c r="D345" s="11" t="s">
        <v>26</v>
      </c>
      <c r="E345" s="11" t="s">
        <v>593</v>
      </c>
      <c r="F345" s="11" t="s">
        <v>26</v>
      </c>
      <c r="G345" s="11">
        <v>59474</v>
      </c>
      <c r="H345" s="12" t="s">
        <v>4423</v>
      </c>
      <c r="I345" s="12" t="s">
        <v>27</v>
      </c>
      <c r="J345" s="12" t="s">
        <v>33</v>
      </c>
      <c r="K345" s="12" t="s">
        <v>34</v>
      </c>
      <c r="L345" s="13">
        <v>35.159999999999997</v>
      </c>
      <c r="M345" s="13">
        <v>25</v>
      </c>
      <c r="N345" s="13">
        <v>1.4064000000000001</v>
      </c>
      <c r="O345" s="13">
        <v>45</v>
      </c>
      <c r="P345" s="13" t="s">
        <v>30</v>
      </c>
      <c r="Q345" s="13">
        <v>0</v>
      </c>
      <c r="R345" s="14">
        <v>1582.1999999999998</v>
      </c>
      <c r="S345" s="15">
        <v>0</v>
      </c>
      <c r="T345" s="15">
        <v>0</v>
      </c>
      <c r="U345" s="15">
        <v>1582.1999999999998</v>
      </c>
      <c r="V345" s="15">
        <v>1582.1999999999998</v>
      </c>
      <c r="W345" s="15">
        <v>0</v>
      </c>
      <c r="X345" s="15">
        <v>0</v>
      </c>
      <c r="Y345" s="16">
        <v>0</v>
      </c>
      <c r="Z345" s="67" t="s">
        <v>26</v>
      </c>
      <c r="AA345" s="12" t="s">
        <v>31</v>
      </c>
    </row>
    <row r="346" spans="1:27" x14ac:dyDescent="0.25">
      <c r="A346" s="10">
        <v>45663</v>
      </c>
      <c r="B346" s="11" t="s">
        <v>686</v>
      </c>
      <c r="C346" s="11" t="s">
        <v>1447</v>
      </c>
      <c r="D346" s="11" t="s">
        <v>26</v>
      </c>
      <c r="E346" s="11" t="s">
        <v>68</v>
      </c>
      <c r="F346" s="11" t="s">
        <v>26</v>
      </c>
      <c r="G346" s="11">
        <v>3274</v>
      </c>
      <c r="H346" s="12" t="s">
        <v>4448</v>
      </c>
      <c r="I346" s="12" t="s">
        <v>27</v>
      </c>
      <c r="J346" s="12" t="s">
        <v>42</v>
      </c>
      <c r="K346" s="12" t="s">
        <v>43</v>
      </c>
      <c r="L346" s="13">
        <v>40.14</v>
      </c>
      <c r="M346" s="13">
        <v>25</v>
      </c>
      <c r="N346" s="13">
        <v>1.6055999999999999</v>
      </c>
      <c r="O346" s="13">
        <v>42.5</v>
      </c>
      <c r="P346" s="13"/>
      <c r="Q346" s="13">
        <v>0</v>
      </c>
      <c r="R346" s="14">
        <v>1705.95</v>
      </c>
      <c r="S346" s="15">
        <v>0</v>
      </c>
      <c r="T346" s="15">
        <v>0</v>
      </c>
      <c r="U346" s="15">
        <v>1705.95</v>
      </c>
      <c r="V346" s="15">
        <v>1279.4625000000001</v>
      </c>
      <c r="W346" s="15">
        <v>426.48749999999995</v>
      </c>
      <c r="X346" s="15">
        <v>0</v>
      </c>
      <c r="Y346" s="16">
        <v>0</v>
      </c>
      <c r="Z346" s="67" t="s">
        <v>26</v>
      </c>
      <c r="AA346" s="12" t="s">
        <v>31</v>
      </c>
    </row>
    <row r="347" spans="1:27" x14ac:dyDescent="0.25">
      <c r="A347" s="10">
        <v>45663</v>
      </c>
      <c r="B347" s="11" t="s">
        <v>348</v>
      </c>
      <c r="C347" s="11" t="s">
        <v>1448</v>
      </c>
      <c r="D347" s="11" t="s">
        <v>26</v>
      </c>
      <c r="E347" s="11" t="s">
        <v>59</v>
      </c>
      <c r="F347" s="11" t="s">
        <v>26</v>
      </c>
      <c r="G347" s="11">
        <v>111890</v>
      </c>
      <c r="H347" s="12" t="s">
        <v>4446</v>
      </c>
      <c r="I347" s="12" t="s">
        <v>27</v>
      </c>
      <c r="J347" s="12" t="s">
        <v>42</v>
      </c>
      <c r="K347" s="12" t="s">
        <v>43</v>
      </c>
      <c r="L347" s="13">
        <v>36.96</v>
      </c>
      <c r="M347" s="13">
        <v>25</v>
      </c>
      <c r="N347" s="13">
        <v>1.4783999999999999</v>
      </c>
      <c r="O347" s="13">
        <v>42</v>
      </c>
      <c r="P347" s="13" t="s">
        <v>30</v>
      </c>
      <c r="Q347" s="13">
        <v>0</v>
      </c>
      <c r="R347" s="14">
        <v>0</v>
      </c>
      <c r="S347" s="15">
        <v>0</v>
      </c>
      <c r="T347" s="15">
        <v>0</v>
      </c>
      <c r="U347" s="15">
        <v>0</v>
      </c>
      <c r="V347" s="15">
        <v>0</v>
      </c>
      <c r="W347" s="15">
        <v>0</v>
      </c>
      <c r="X347" s="15">
        <v>0</v>
      </c>
      <c r="Y347" s="16">
        <v>0</v>
      </c>
      <c r="Z347" s="67" t="s">
        <v>26</v>
      </c>
      <c r="AA347" s="12" t="s">
        <v>31</v>
      </c>
    </row>
    <row r="348" spans="1:27" x14ac:dyDescent="0.25">
      <c r="A348" s="10">
        <v>45663</v>
      </c>
      <c r="B348" s="11" t="s">
        <v>1449</v>
      </c>
      <c r="C348" s="11" t="s">
        <v>1450</v>
      </c>
      <c r="D348" s="11" t="s">
        <v>26</v>
      </c>
      <c r="E348" s="11" t="s">
        <v>1200</v>
      </c>
      <c r="F348" s="11" t="s">
        <v>26</v>
      </c>
      <c r="G348" s="11">
        <v>966</v>
      </c>
      <c r="H348" s="12" t="s">
        <v>163</v>
      </c>
      <c r="I348" s="12" t="s">
        <v>27</v>
      </c>
      <c r="J348" s="12" t="s">
        <v>42</v>
      </c>
      <c r="K348" s="12" t="s">
        <v>43</v>
      </c>
      <c r="L348" s="13">
        <v>42.66</v>
      </c>
      <c r="M348" s="13">
        <v>25</v>
      </c>
      <c r="N348" s="13">
        <v>1.7063999999999999</v>
      </c>
      <c r="O348" s="13" t="s">
        <v>30</v>
      </c>
      <c r="P348" s="13">
        <v>56</v>
      </c>
      <c r="Q348" s="13">
        <v>0</v>
      </c>
      <c r="R348" s="15">
        <v>1400</v>
      </c>
      <c r="S348" s="15">
        <v>0</v>
      </c>
      <c r="T348" s="15">
        <v>0</v>
      </c>
      <c r="U348" s="15">
        <v>1400</v>
      </c>
      <c r="V348" s="15">
        <v>0</v>
      </c>
      <c r="W348" s="15">
        <v>1400</v>
      </c>
      <c r="X348" s="15">
        <v>0</v>
      </c>
      <c r="Y348" s="16">
        <v>0</v>
      </c>
      <c r="Z348" s="67" t="s">
        <v>26</v>
      </c>
      <c r="AA348" s="12" t="s">
        <v>31</v>
      </c>
    </row>
    <row r="349" spans="1:27" x14ac:dyDescent="0.25">
      <c r="A349" s="10">
        <v>45663</v>
      </c>
      <c r="B349" s="11" t="s">
        <v>1451</v>
      </c>
      <c r="C349" s="11" t="s">
        <v>1452</v>
      </c>
      <c r="D349" s="11" t="s">
        <v>26</v>
      </c>
      <c r="E349" s="11" t="s">
        <v>241</v>
      </c>
      <c r="F349" s="11" t="s">
        <v>26</v>
      </c>
      <c r="G349" s="11">
        <v>74955</v>
      </c>
      <c r="H349" s="12" t="s">
        <v>4448</v>
      </c>
      <c r="I349" s="12" t="s">
        <v>27</v>
      </c>
      <c r="J349" s="12" t="s">
        <v>42</v>
      </c>
      <c r="K349" s="12" t="s">
        <v>43</v>
      </c>
      <c r="L349" s="13">
        <v>41.76</v>
      </c>
      <c r="M349" s="13">
        <v>25</v>
      </c>
      <c r="N349" s="13">
        <v>1.6704000000000001</v>
      </c>
      <c r="O349" s="13">
        <v>42.5</v>
      </c>
      <c r="P349" s="13"/>
      <c r="Q349" s="13">
        <v>0</v>
      </c>
      <c r="R349" s="14">
        <v>1774.8</v>
      </c>
      <c r="S349" s="15">
        <v>0</v>
      </c>
      <c r="T349" s="15">
        <v>0</v>
      </c>
      <c r="U349" s="15">
        <v>1774.8</v>
      </c>
      <c r="V349" s="15">
        <v>1331.1</v>
      </c>
      <c r="W349" s="15">
        <v>443.70000000000005</v>
      </c>
      <c r="X349" s="15">
        <v>0</v>
      </c>
      <c r="Y349" s="16">
        <v>0</v>
      </c>
      <c r="Z349" s="67" t="s">
        <v>26</v>
      </c>
      <c r="AA349" s="12" t="s">
        <v>31</v>
      </c>
    </row>
    <row r="350" spans="1:27" x14ac:dyDescent="0.25">
      <c r="A350" s="10">
        <v>45663</v>
      </c>
      <c r="B350" s="11" t="s">
        <v>704</v>
      </c>
      <c r="C350" s="11" t="s">
        <v>1453</v>
      </c>
      <c r="D350" s="11" t="s">
        <v>26</v>
      </c>
      <c r="E350" s="11" t="s">
        <v>97</v>
      </c>
      <c r="F350" s="11" t="s">
        <v>26</v>
      </c>
      <c r="G350" s="11">
        <v>5445</v>
      </c>
      <c r="H350" s="12" t="s">
        <v>4447</v>
      </c>
      <c r="I350" s="12" t="s">
        <v>27</v>
      </c>
      <c r="J350" s="12" t="s">
        <v>42</v>
      </c>
      <c r="K350" s="12" t="s">
        <v>43</v>
      </c>
      <c r="L350" s="13">
        <v>20.36</v>
      </c>
      <c r="M350" s="13">
        <v>13</v>
      </c>
      <c r="N350" s="13">
        <v>1.566153846153846</v>
      </c>
      <c r="O350" s="13" t="s">
        <v>30</v>
      </c>
      <c r="P350" s="13">
        <v>65.599999999999994</v>
      </c>
      <c r="Q350" s="13">
        <v>0</v>
      </c>
      <c r="R350" s="14">
        <v>852.8</v>
      </c>
      <c r="S350" s="15">
        <v>0</v>
      </c>
      <c r="T350" s="15">
        <v>0</v>
      </c>
      <c r="U350" s="15">
        <v>852.8</v>
      </c>
      <c r="V350" s="15">
        <v>852.8</v>
      </c>
      <c r="W350" s="15">
        <v>0</v>
      </c>
      <c r="X350" s="15">
        <v>0</v>
      </c>
      <c r="Y350" s="16">
        <v>0</v>
      </c>
      <c r="Z350" s="67" t="s">
        <v>26</v>
      </c>
      <c r="AA350" s="12" t="s">
        <v>31</v>
      </c>
    </row>
    <row r="351" spans="1:27" x14ac:dyDescent="0.25">
      <c r="A351" s="10">
        <v>45663</v>
      </c>
      <c r="B351" s="11" t="s">
        <v>1454</v>
      </c>
      <c r="C351" s="11" t="s">
        <v>1455</v>
      </c>
      <c r="D351" s="11" t="s">
        <v>26</v>
      </c>
      <c r="E351" s="11" t="s">
        <v>40</v>
      </c>
      <c r="F351" s="11" t="s">
        <v>26</v>
      </c>
      <c r="G351" s="11">
        <v>2433</v>
      </c>
      <c r="H351" s="12" t="s">
        <v>41</v>
      </c>
      <c r="I351" s="12" t="s">
        <v>27</v>
      </c>
      <c r="J351" s="12" t="s">
        <v>33</v>
      </c>
      <c r="K351" s="12" t="s">
        <v>34</v>
      </c>
      <c r="L351" s="13">
        <v>35.54</v>
      </c>
      <c r="M351" s="13">
        <v>25</v>
      </c>
      <c r="N351" s="13">
        <v>1.4216</v>
      </c>
      <c r="O351" s="13" t="s">
        <v>30</v>
      </c>
      <c r="P351" s="13">
        <v>60</v>
      </c>
      <c r="Q351" s="13">
        <v>0</v>
      </c>
      <c r="R351" s="15">
        <v>1500</v>
      </c>
      <c r="S351" s="15">
        <v>0</v>
      </c>
      <c r="T351" s="15">
        <v>0</v>
      </c>
      <c r="U351" s="15">
        <v>1500</v>
      </c>
      <c r="V351" s="15">
        <v>0</v>
      </c>
      <c r="W351" s="15">
        <v>1500</v>
      </c>
      <c r="X351" s="15">
        <v>0</v>
      </c>
      <c r="Y351" s="16">
        <v>0</v>
      </c>
      <c r="Z351" s="67" t="s">
        <v>26</v>
      </c>
      <c r="AA351" s="12" t="s">
        <v>31</v>
      </c>
    </row>
    <row r="352" spans="1:27" x14ac:dyDescent="0.25">
      <c r="A352" s="10">
        <v>45663</v>
      </c>
      <c r="B352" s="11" t="s">
        <v>1456</v>
      </c>
      <c r="C352" s="11" t="s">
        <v>1457</v>
      </c>
      <c r="D352" s="11" t="s">
        <v>26</v>
      </c>
      <c r="E352" s="11" t="s">
        <v>433</v>
      </c>
      <c r="F352" s="11" t="s">
        <v>26</v>
      </c>
      <c r="G352" s="11" t="s">
        <v>35</v>
      </c>
      <c r="H352" s="12" t="s">
        <v>36</v>
      </c>
      <c r="I352" s="12" t="s">
        <v>27</v>
      </c>
      <c r="J352" s="12" t="s">
        <v>206</v>
      </c>
      <c r="K352" s="12" t="s">
        <v>207</v>
      </c>
      <c r="L352" s="13">
        <v>17.059999999999999</v>
      </c>
      <c r="M352" s="13">
        <v>11</v>
      </c>
      <c r="N352" s="13">
        <v>1.550909090909091</v>
      </c>
      <c r="O352" s="13">
        <v>50</v>
      </c>
      <c r="P352" s="13" t="s">
        <v>30</v>
      </c>
      <c r="Q352" s="13">
        <v>0</v>
      </c>
      <c r="R352" s="15">
        <v>852.99999999999989</v>
      </c>
      <c r="S352" s="15">
        <v>0</v>
      </c>
      <c r="T352" s="15">
        <v>0</v>
      </c>
      <c r="U352" s="15">
        <v>852.99999999999989</v>
      </c>
      <c r="V352" s="15">
        <v>0</v>
      </c>
      <c r="W352" s="15">
        <v>852.99999999999989</v>
      </c>
      <c r="X352" s="15">
        <v>0</v>
      </c>
      <c r="Y352" s="16">
        <v>0</v>
      </c>
      <c r="Z352" s="67" t="s">
        <v>26</v>
      </c>
      <c r="AA352" s="12" t="s">
        <v>31</v>
      </c>
    </row>
    <row r="353" spans="1:27" x14ac:dyDescent="0.25">
      <c r="A353" s="10">
        <v>45663</v>
      </c>
      <c r="B353" s="11" t="s">
        <v>1458</v>
      </c>
      <c r="C353" s="11" t="s">
        <v>1459</v>
      </c>
      <c r="D353" s="11" t="s">
        <v>26</v>
      </c>
      <c r="E353" s="11" t="s">
        <v>240</v>
      </c>
      <c r="F353" s="11" t="s">
        <v>26</v>
      </c>
      <c r="G353" s="11">
        <v>2907</v>
      </c>
      <c r="H353" s="12" t="s">
        <v>41</v>
      </c>
      <c r="I353" s="12" t="s">
        <v>55</v>
      </c>
      <c r="J353" s="12" t="s">
        <v>566</v>
      </c>
      <c r="K353" s="12" t="s">
        <v>550</v>
      </c>
      <c r="L353" s="13">
        <v>40.32</v>
      </c>
      <c r="M353" s="13">
        <v>25</v>
      </c>
      <c r="N353" s="13">
        <v>1.6128</v>
      </c>
      <c r="O353" s="13">
        <v>25</v>
      </c>
      <c r="P353" s="13"/>
      <c r="Q353" s="13">
        <v>0</v>
      </c>
      <c r="R353" s="15">
        <v>1008</v>
      </c>
      <c r="S353" s="15">
        <v>0</v>
      </c>
      <c r="T353" s="15">
        <v>0</v>
      </c>
      <c r="U353" s="15">
        <v>1008</v>
      </c>
      <c r="V353" s="15">
        <v>0</v>
      </c>
      <c r="W353" s="15">
        <v>1008</v>
      </c>
      <c r="X353" s="15">
        <v>0</v>
      </c>
      <c r="Y353" s="16">
        <v>0</v>
      </c>
      <c r="Z353" s="67" t="s">
        <v>26</v>
      </c>
      <c r="AA353" s="12" t="s">
        <v>31</v>
      </c>
    </row>
    <row r="354" spans="1:27" x14ac:dyDescent="0.25">
      <c r="A354" s="10">
        <v>45663</v>
      </c>
      <c r="B354" s="11" t="s">
        <v>1460</v>
      </c>
      <c r="C354" s="11" t="s">
        <v>1461</v>
      </c>
      <c r="D354" s="11" t="s">
        <v>26</v>
      </c>
      <c r="E354" s="11" t="s">
        <v>76</v>
      </c>
      <c r="F354" s="11" t="s">
        <v>26</v>
      </c>
      <c r="G354" s="11" t="s">
        <v>26</v>
      </c>
      <c r="H354" s="12" t="s">
        <v>4422</v>
      </c>
      <c r="I354" s="12" t="s">
        <v>27</v>
      </c>
      <c r="J354" s="12" t="s">
        <v>47</v>
      </c>
      <c r="K354" s="12" t="s">
        <v>48</v>
      </c>
      <c r="L354" s="13">
        <v>41.6</v>
      </c>
      <c r="M354" s="13">
        <v>28</v>
      </c>
      <c r="N354" s="13">
        <v>1.485714285714286</v>
      </c>
      <c r="O354" s="13">
        <v>87</v>
      </c>
      <c r="P354" s="13" t="s">
        <v>30</v>
      </c>
      <c r="Q354" s="13">
        <v>0</v>
      </c>
      <c r="R354" s="14">
        <v>3619.2000000000003</v>
      </c>
      <c r="S354" s="15">
        <v>38</v>
      </c>
      <c r="T354" s="15">
        <v>1580.8</v>
      </c>
      <c r="U354" s="15">
        <v>2038.4000000000003</v>
      </c>
      <c r="V354" s="15">
        <v>2038.4000000000003</v>
      </c>
      <c r="W354" s="15">
        <v>0</v>
      </c>
      <c r="X354" s="15">
        <v>1539.2</v>
      </c>
      <c r="Y354" s="16">
        <v>41.599999999999909</v>
      </c>
      <c r="Z354" s="67" t="s">
        <v>41</v>
      </c>
      <c r="AA354" s="12" t="s">
        <v>78</v>
      </c>
    </row>
    <row r="355" spans="1:27" x14ac:dyDescent="0.25">
      <c r="A355" s="10">
        <v>45663</v>
      </c>
      <c r="B355" s="11" t="s">
        <v>1462</v>
      </c>
      <c r="C355" s="11" t="s">
        <v>1463</v>
      </c>
      <c r="D355" s="11" t="s">
        <v>26</v>
      </c>
      <c r="E355" s="11" t="s">
        <v>32</v>
      </c>
      <c r="F355" s="11" t="s">
        <v>26</v>
      </c>
      <c r="G355" s="11">
        <v>1502</v>
      </c>
      <c r="H355" s="12" t="s">
        <v>45</v>
      </c>
      <c r="I355" s="12" t="s">
        <v>27</v>
      </c>
      <c r="J355" s="12" t="s">
        <v>42</v>
      </c>
      <c r="K355" s="12" t="s">
        <v>43</v>
      </c>
      <c r="L355" s="13">
        <v>41.58</v>
      </c>
      <c r="M355" s="13">
        <v>25</v>
      </c>
      <c r="N355" s="13">
        <v>1.6632</v>
      </c>
      <c r="O355" s="13" t="s">
        <v>30</v>
      </c>
      <c r="P355" s="13">
        <v>62</v>
      </c>
      <c r="Q355" s="13">
        <v>0</v>
      </c>
      <c r="R355" s="15">
        <v>1550</v>
      </c>
      <c r="S355" s="15">
        <v>0</v>
      </c>
      <c r="T355" s="15">
        <v>0</v>
      </c>
      <c r="U355" s="15">
        <v>1550</v>
      </c>
      <c r="V355" s="15">
        <v>0</v>
      </c>
      <c r="W355" s="15">
        <v>1550</v>
      </c>
      <c r="X355" s="15">
        <v>0</v>
      </c>
      <c r="Y355" s="16">
        <v>0</v>
      </c>
      <c r="Z355" s="67" t="s">
        <v>26</v>
      </c>
      <c r="AA355" s="12" t="s">
        <v>31</v>
      </c>
    </row>
    <row r="356" spans="1:27" x14ac:dyDescent="0.25">
      <c r="A356" s="10">
        <v>45663</v>
      </c>
      <c r="B356" s="11" t="s">
        <v>1464</v>
      </c>
      <c r="C356" s="11" t="s">
        <v>1465</v>
      </c>
      <c r="D356" s="11" t="s">
        <v>26</v>
      </c>
      <c r="E356" s="11" t="s">
        <v>322</v>
      </c>
      <c r="F356" s="11" t="s">
        <v>26</v>
      </c>
      <c r="G356" s="11">
        <v>111888</v>
      </c>
      <c r="H356" s="12" t="s">
        <v>4446</v>
      </c>
      <c r="I356" s="12" t="s">
        <v>27</v>
      </c>
      <c r="J356" s="12" t="s">
        <v>33</v>
      </c>
      <c r="K356" s="12" t="s">
        <v>34</v>
      </c>
      <c r="L356" s="13">
        <v>35.840000000000003</v>
      </c>
      <c r="M356" s="13">
        <v>25</v>
      </c>
      <c r="N356" s="13">
        <v>1.4336</v>
      </c>
      <c r="O356" s="13">
        <v>44</v>
      </c>
      <c r="P356" s="13" t="s">
        <v>30</v>
      </c>
      <c r="Q356" s="13">
        <v>0</v>
      </c>
      <c r="R356" s="15">
        <v>1576.96</v>
      </c>
      <c r="S356" s="15">
        <v>0</v>
      </c>
      <c r="T356" s="15">
        <v>0</v>
      </c>
      <c r="U356" s="15">
        <v>1576.96</v>
      </c>
      <c r="V356" s="15">
        <v>1576.96</v>
      </c>
      <c r="W356" s="15">
        <v>0</v>
      </c>
      <c r="X356" s="15">
        <v>0</v>
      </c>
      <c r="Y356" s="16">
        <v>0</v>
      </c>
      <c r="Z356" s="67" t="s">
        <v>26</v>
      </c>
      <c r="AA356" s="12" t="s">
        <v>31</v>
      </c>
    </row>
    <row r="357" spans="1:27" x14ac:dyDescent="0.25">
      <c r="A357" s="10">
        <v>45663</v>
      </c>
      <c r="B357" s="11" t="s">
        <v>1466</v>
      </c>
      <c r="C357" s="11" t="s">
        <v>1467</v>
      </c>
      <c r="D357" s="11" t="s">
        <v>26</v>
      </c>
      <c r="E357" s="11" t="s">
        <v>53</v>
      </c>
      <c r="F357" s="11" t="s">
        <v>26</v>
      </c>
      <c r="G357" s="11">
        <v>2394</v>
      </c>
      <c r="H357" s="12" t="s">
        <v>41</v>
      </c>
      <c r="I357" s="12" t="s">
        <v>27</v>
      </c>
      <c r="J357" s="12" t="s">
        <v>33</v>
      </c>
      <c r="K357" s="12" t="s">
        <v>34</v>
      </c>
      <c r="L357" s="13">
        <v>35.24</v>
      </c>
      <c r="M357" s="13">
        <v>25</v>
      </c>
      <c r="N357" s="13">
        <v>1.4096</v>
      </c>
      <c r="O357" s="13" t="s">
        <v>30</v>
      </c>
      <c r="P357" s="13">
        <v>60</v>
      </c>
      <c r="Q357" s="13">
        <v>0</v>
      </c>
      <c r="R357" s="15">
        <v>1500</v>
      </c>
      <c r="S357" s="15">
        <v>0</v>
      </c>
      <c r="T357" s="15">
        <v>0</v>
      </c>
      <c r="U357" s="15">
        <v>1500</v>
      </c>
      <c r="V357" s="15">
        <v>0</v>
      </c>
      <c r="W357" s="15">
        <v>1500</v>
      </c>
      <c r="X357" s="15">
        <v>0</v>
      </c>
      <c r="Y357" s="16">
        <v>0</v>
      </c>
      <c r="Z357" s="67" t="s">
        <v>26</v>
      </c>
      <c r="AA357" s="12" t="s">
        <v>31</v>
      </c>
    </row>
    <row r="358" spans="1:27" x14ac:dyDescent="0.25">
      <c r="A358" s="10">
        <v>45663</v>
      </c>
      <c r="B358" s="11" t="s">
        <v>1468</v>
      </c>
      <c r="C358" s="11" t="s">
        <v>1469</v>
      </c>
      <c r="D358" s="11" t="s">
        <v>26</v>
      </c>
      <c r="E358" s="11" t="s">
        <v>506</v>
      </c>
      <c r="F358" s="11" t="s">
        <v>26</v>
      </c>
      <c r="G358" s="11">
        <v>1450</v>
      </c>
      <c r="H358" s="12" t="s">
        <v>45</v>
      </c>
      <c r="I358" s="12" t="s">
        <v>27</v>
      </c>
      <c r="J358" s="12" t="s">
        <v>42</v>
      </c>
      <c r="K358" s="12" t="s">
        <v>43</v>
      </c>
      <c r="L358" s="13">
        <v>36.119999999999997</v>
      </c>
      <c r="M358" s="13">
        <v>25</v>
      </c>
      <c r="N358" s="13">
        <v>1.4448000000000001</v>
      </c>
      <c r="O358" s="13" t="s">
        <v>30</v>
      </c>
      <c r="P358" s="13">
        <v>62</v>
      </c>
      <c r="Q358" s="13">
        <v>0</v>
      </c>
      <c r="R358" s="14">
        <v>1550</v>
      </c>
      <c r="S358" s="15">
        <v>0</v>
      </c>
      <c r="T358" s="15">
        <v>0</v>
      </c>
      <c r="U358" s="15">
        <v>1550</v>
      </c>
      <c r="V358" s="15">
        <v>0</v>
      </c>
      <c r="W358" s="15">
        <v>1550</v>
      </c>
      <c r="X358" s="15">
        <v>0</v>
      </c>
      <c r="Y358" s="16">
        <v>0</v>
      </c>
      <c r="Z358" s="67" t="s">
        <v>26</v>
      </c>
      <c r="AA358" s="12" t="s">
        <v>31</v>
      </c>
    </row>
    <row r="359" spans="1:27" x14ac:dyDescent="0.25">
      <c r="A359" s="10">
        <v>45663</v>
      </c>
      <c r="B359" s="11" t="s">
        <v>1470</v>
      </c>
      <c r="C359" s="11" t="s">
        <v>1471</v>
      </c>
      <c r="D359" s="11" t="s">
        <v>26</v>
      </c>
      <c r="E359" s="11" t="s">
        <v>97</v>
      </c>
      <c r="F359" s="11" t="s">
        <v>26</v>
      </c>
      <c r="G359" s="11">
        <v>5435</v>
      </c>
      <c r="H359" s="12" t="s">
        <v>4447</v>
      </c>
      <c r="I359" s="12" t="s">
        <v>27</v>
      </c>
      <c r="J359" s="12" t="s">
        <v>42</v>
      </c>
      <c r="K359" s="12" t="s">
        <v>43</v>
      </c>
      <c r="L359" s="13">
        <v>22.26</v>
      </c>
      <c r="M359" s="13">
        <v>13</v>
      </c>
      <c r="N359" s="13">
        <v>1.712307692307693</v>
      </c>
      <c r="O359" s="13" t="s">
        <v>30</v>
      </c>
      <c r="P359" s="13">
        <v>65.599999999999994</v>
      </c>
      <c r="Q359" s="13">
        <v>0</v>
      </c>
      <c r="R359" s="15">
        <v>852.8</v>
      </c>
      <c r="S359" s="15">
        <v>0</v>
      </c>
      <c r="T359" s="15">
        <v>0</v>
      </c>
      <c r="U359" s="15">
        <v>852.8</v>
      </c>
      <c r="V359" s="15">
        <v>852.8</v>
      </c>
      <c r="W359" s="15">
        <v>0</v>
      </c>
      <c r="X359" s="15">
        <v>0</v>
      </c>
      <c r="Y359" s="16">
        <v>0</v>
      </c>
      <c r="Z359" s="67" t="s">
        <v>26</v>
      </c>
      <c r="AA359" s="12" t="s">
        <v>31</v>
      </c>
    </row>
    <row r="360" spans="1:27" x14ac:dyDescent="0.25">
      <c r="A360" s="10">
        <v>45663</v>
      </c>
      <c r="B360" s="11" t="s">
        <v>1472</v>
      </c>
      <c r="C360" s="11" t="s">
        <v>1473</v>
      </c>
      <c r="D360" s="11" t="s">
        <v>26</v>
      </c>
      <c r="E360" s="11" t="s">
        <v>539</v>
      </c>
      <c r="F360" s="11" t="s">
        <v>26</v>
      </c>
      <c r="G360" s="11">
        <v>2293</v>
      </c>
      <c r="H360" s="12" t="s">
        <v>41</v>
      </c>
      <c r="I360" s="12" t="s">
        <v>27</v>
      </c>
      <c r="J360" s="12" t="s">
        <v>33</v>
      </c>
      <c r="K360" s="12" t="s">
        <v>34</v>
      </c>
      <c r="L360" s="13">
        <v>34.82</v>
      </c>
      <c r="M360" s="13">
        <v>25</v>
      </c>
      <c r="N360" s="13">
        <v>1.3928</v>
      </c>
      <c r="O360" s="13" t="s">
        <v>30</v>
      </c>
      <c r="P360" s="13">
        <v>60</v>
      </c>
      <c r="Q360" s="13">
        <v>0</v>
      </c>
      <c r="R360" s="14">
        <v>1500</v>
      </c>
      <c r="S360" s="15">
        <v>0</v>
      </c>
      <c r="T360" s="15">
        <v>0</v>
      </c>
      <c r="U360" s="15">
        <v>1500</v>
      </c>
      <c r="V360" s="15">
        <v>0</v>
      </c>
      <c r="W360" s="15">
        <v>1500</v>
      </c>
      <c r="X360" s="15">
        <v>0</v>
      </c>
      <c r="Y360" s="16">
        <v>0</v>
      </c>
      <c r="Z360" s="67" t="s">
        <v>26</v>
      </c>
      <c r="AA360" s="12" t="s">
        <v>31</v>
      </c>
    </row>
    <row r="361" spans="1:27" x14ac:dyDescent="0.25">
      <c r="A361" s="10">
        <v>45663</v>
      </c>
      <c r="B361" s="11" t="s">
        <v>477</v>
      </c>
      <c r="C361" s="11" t="s">
        <v>1474</v>
      </c>
      <c r="D361" s="11" t="s">
        <v>26</v>
      </c>
      <c r="E361" s="11" t="s">
        <v>561</v>
      </c>
      <c r="F361" s="11" t="s">
        <v>26</v>
      </c>
      <c r="G361" s="11">
        <v>111892</v>
      </c>
      <c r="H361" s="12" t="s">
        <v>4446</v>
      </c>
      <c r="I361" s="12" t="s">
        <v>27</v>
      </c>
      <c r="J361" s="12" t="s">
        <v>42</v>
      </c>
      <c r="K361" s="12" t="s">
        <v>43</v>
      </c>
      <c r="L361" s="13">
        <v>37.96</v>
      </c>
      <c r="M361" s="13">
        <v>24</v>
      </c>
      <c r="N361" s="13">
        <v>1.581666666666667</v>
      </c>
      <c r="O361" s="13">
        <v>42</v>
      </c>
      <c r="P361" s="13" t="s">
        <v>30</v>
      </c>
      <c r="Q361" s="13">
        <v>0</v>
      </c>
      <c r="R361" s="15">
        <v>1594.32</v>
      </c>
      <c r="S361" s="15">
        <v>0</v>
      </c>
      <c r="T361" s="15">
        <v>0</v>
      </c>
      <c r="U361" s="15">
        <v>1594.32</v>
      </c>
      <c r="V361" s="15">
        <v>1594.32</v>
      </c>
      <c r="W361" s="15">
        <v>0</v>
      </c>
      <c r="X361" s="15">
        <v>0</v>
      </c>
      <c r="Y361" s="16">
        <v>0</v>
      </c>
      <c r="Z361" s="67" t="s">
        <v>26</v>
      </c>
      <c r="AA361" s="12" t="s">
        <v>31</v>
      </c>
    </row>
    <row r="362" spans="1:27" x14ac:dyDescent="0.25">
      <c r="A362" s="10">
        <v>45663</v>
      </c>
      <c r="B362" s="11" t="s">
        <v>451</v>
      </c>
      <c r="C362" s="11" t="s">
        <v>1475</v>
      </c>
      <c r="D362" s="11" t="s">
        <v>26</v>
      </c>
      <c r="E362" s="11" t="s">
        <v>203</v>
      </c>
      <c r="F362" s="11" t="s">
        <v>26</v>
      </c>
      <c r="G362" s="11" t="s">
        <v>35</v>
      </c>
      <c r="H362" s="12" t="s">
        <v>36</v>
      </c>
      <c r="I362" s="12" t="s">
        <v>55</v>
      </c>
      <c r="J362" s="12" t="s">
        <v>55</v>
      </c>
      <c r="K362" s="12" t="s">
        <v>56</v>
      </c>
      <c r="L362" s="13">
        <v>12.14</v>
      </c>
      <c r="M362" s="13">
        <v>8</v>
      </c>
      <c r="N362" s="13">
        <v>1.5175000000000001</v>
      </c>
      <c r="O362" s="13">
        <v>20</v>
      </c>
      <c r="P362" s="13" t="s">
        <v>30</v>
      </c>
      <c r="Q362" s="13">
        <v>0</v>
      </c>
      <c r="R362" s="14">
        <v>242.8</v>
      </c>
      <c r="S362" s="15">
        <v>0</v>
      </c>
      <c r="T362" s="15">
        <v>0</v>
      </c>
      <c r="U362" s="15">
        <v>242.8</v>
      </c>
      <c r="V362" s="15">
        <v>0</v>
      </c>
      <c r="W362" s="15">
        <v>242.8</v>
      </c>
      <c r="X362" s="15">
        <v>0</v>
      </c>
      <c r="Y362" s="16">
        <v>0</v>
      </c>
      <c r="Z362" s="67" t="s">
        <v>26</v>
      </c>
      <c r="AA362" s="12" t="s">
        <v>31</v>
      </c>
    </row>
    <row r="363" spans="1:27" x14ac:dyDescent="0.25">
      <c r="A363" s="10">
        <v>45663</v>
      </c>
      <c r="B363" s="11" t="s">
        <v>1476</v>
      </c>
      <c r="C363" s="11" t="s">
        <v>1477</v>
      </c>
      <c r="D363" s="11" t="s">
        <v>26</v>
      </c>
      <c r="E363" s="11" t="s">
        <v>431</v>
      </c>
      <c r="F363" s="11" t="s">
        <v>26</v>
      </c>
      <c r="G363" s="11" t="s">
        <v>26</v>
      </c>
      <c r="H363" s="12" t="s">
        <v>4422</v>
      </c>
      <c r="I363" s="12" t="s">
        <v>27</v>
      </c>
      <c r="J363" s="12" t="s">
        <v>47</v>
      </c>
      <c r="K363" s="12" t="s">
        <v>48</v>
      </c>
      <c r="L363" s="13">
        <v>41.94</v>
      </c>
      <c r="M363" s="13">
        <v>28</v>
      </c>
      <c r="N363" s="13">
        <v>1.497857142857143</v>
      </c>
      <c r="O363" s="13">
        <v>87</v>
      </c>
      <c r="P363" s="13" t="s">
        <v>30</v>
      </c>
      <c r="Q363" s="13">
        <v>0</v>
      </c>
      <c r="R363" s="14">
        <v>3648.7799999999997</v>
      </c>
      <c r="S363" s="15">
        <v>38</v>
      </c>
      <c r="T363" s="15">
        <v>1593.7199999999998</v>
      </c>
      <c r="U363" s="15">
        <v>2055.06</v>
      </c>
      <c r="V363" s="15">
        <v>2055.06</v>
      </c>
      <c r="W363" s="15">
        <v>0</v>
      </c>
      <c r="X363" s="15">
        <v>1509.84</v>
      </c>
      <c r="Y363" s="16">
        <v>83.879999999999882</v>
      </c>
      <c r="Z363" s="67" t="s">
        <v>6328</v>
      </c>
      <c r="AA363" s="12" t="s">
        <v>78</v>
      </c>
    </row>
    <row r="364" spans="1:27" x14ac:dyDescent="0.25">
      <c r="A364" s="10">
        <v>45663</v>
      </c>
      <c r="B364" s="11" t="s">
        <v>1478</v>
      </c>
      <c r="C364" s="11" t="s">
        <v>1479</v>
      </c>
      <c r="D364" s="11" t="s">
        <v>26</v>
      </c>
      <c r="E364" s="11" t="s">
        <v>246</v>
      </c>
      <c r="F364" s="11" t="s">
        <v>26</v>
      </c>
      <c r="G364" s="11">
        <v>2035</v>
      </c>
      <c r="H364" s="12" t="s">
        <v>41</v>
      </c>
      <c r="I364" s="12" t="s">
        <v>27</v>
      </c>
      <c r="J364" s="12" t="s">
        <v>33</v>
      </c>
      <c r="K364" s="12" t="s">
        <v>34</v>
      </c>
      <c r="L364" s="13">
        <v>36.94</v>
      </c>
      <c r="M364" s="13">
        <v>25</v>
      </c>
      <c r="N364" s="13">
        <v>1.4776</v>
      </c>
      <c r="O364" s="13" t="s">
        <v>30</v>
      </c>
      <c r="P364" s="13">
        <v>60</v>
      </c>
      <c r="Q364" s="13">
        <v>0</v>
      </c>
      <c r="R364" s="15">
        <v>1500</v>
      </c>
      <c r="S364" s="15">
        <v>0</v>
      </c>
      <c r="T364" s="15">
        <v>0</v>
      </c>
      <c r="U364" s="15">
        <v>1500</v>
      </c>
      <c r="V364" s="15">
        <v>0</v>
      </c>
      <c r="W364" s="15">
        <v>1500</v>
      </c>
      <c r="X364" s="15">
        <v>0</v>
      </c>
      <c r="Y364" s="16">
        <v>0</v>
      </c>
      <c r="Z364" s="67" t="s">
        <v>26</v>
      </c>
      <c r="AA364" s="12" t="s">
        <v>31</v>
      </c>
    </row>
    <row r="365" spans="1:27" x14ac:dyDescent="0.25">
      <c r="A365" s="10">
        <v>45663</v>
      </c>
      <c r="B365" s="11" t="s">
        <v>1480</v>
      </c>
      <c r="C365" s="11" t="s">
        <v>1481</v>
      </c>
      <c r="D365" s="11" t="s">
        <v>26</v>
      </c>
      <c r="E365" s="11" t="s">
        <v>61</v>
      </c>
      <c r="F365" s="11" t="s">
        <v>26</v>
      </c>
      <c r="G365" s="11" t="s">
        <v>35</v>
      </c>
      <c r="H365" s="12" t="s">
        <v>36</v>
      </c>
      <c r="I365" s="12" t="s">
        <v>27</v>
      </c>
      <c r="J365" s="12" t="s">
        <v>33</v>
      </c>
      <c r="K365" s="12" t="s">
        <v>34</v>
      </c>
      <c r="L365" s="13">
        <v>10.16</v>
      </c>
      <c r="M365" s="13">
        <v>7</v>
      </c>
      <c r="N365" s="13">
        <v>1.451428571428572</v>
      </c>
      <c r="O365" s="13">
        <v>50</v>
      </c>
      <c r="P365" s="13" t="s">
        <v>30</v>
      </c>
      <c r="Q365" s="13">
        <v>0</v>
      </c>
      <c r="R365" s="15">
        <v>508</v>
      </c>
      <c r="S365" s="15">
        <v>0</v>
      </c>
      <c r="T365" s="15">
        <v>0</v>
      </c>
      <c r="U365" s="15">
        <v>508</v>
      </c>
      <c r="V365" s="15">
        <v>0</v>
      </c>
      <c r="W365" s="15">
        <v>508</v>
      </c>
      <c r="X365" s="15">
        <v>0</v>
      </c>
      <c r="Y365" s="16">
        <v>0</v>
      </c>
      <c r="Z365" s="67" t="s">
        <v>26</v>
      </c>
      <c r="AA365" s="12" t="s">
        <v>31</v>
      </c>
    </row>
    <row r="366" spans="1:27" x14ac:dyDescent="0.25">
      <c r="A366" s="10">
        <v>45663</v>
      </c>
      <c r="B366" s="11" t="s">
        <v>1482</v>
      </c>
      <c r="C366" s="11" t="s">
        <v>1483</v>
      </c>
      <c r="D366" s="11" t="s">
        <v>26</v>
      </c>
      <c r="E366" s="11" t="s">
        <v>32</v>
      </c>
      <c r="F366" s="11" t="s">
        <v>26</v>
      </c>
      <c r="G366" s="11">
        <v>1500</v>
      </c>
      <c r="H366" s="12" t="s">
        <v>45</v>
      </c>
      <c r="I366" s="12" t="s">
        <v>27</v>
      </c>
      <c r="J366" s="12" t="s">
        <v>42</v>
      </c>
      <c r="K366" s="12" t="s">
        <v>43</v>
      </c>
      <c r="L366" s="13">
        <v>42.3</v>
      </c>
      <c r="M366" s="13">
        <v>25</v>
      </c>
      <c r="N366" s="13">
        <v>1.6919999999999999</v>
      </c>
      <c r="O366" s="13" t="s">
        <v>30</v>
      </c>
      <c r="P366" s="13">
        <v>62</v>
      </c>
      <c r="Q366" s="13">
        <v>0</v>
      </c>
      <c r="R366" s="15">
        <v>1550</v>
      </c>
      <c r="S366" s="15">
        <v>0</v>
      </c>
      <c r="T366" s="15">
        <v>0</v>
      </c>
      <c r="U366" s="15">
        <v>1550</v>
      </c>
      <c r="V366" s="15">
        <v>0</v>
      </c>
      <c r="W366" s="15">
        <v>1550</v>
      </c>
      <c r="X366" s="15">
        <v>0</v>
      </c>
      <c r="Y366" s="16">
        <v>0</v>
      </c>
      <c r="Z366" s="67" t="s">
        <v>26</v>
      </c>
      <c r="AA366" s="12" t="s">
        <v>31</v>
      </c>
    </row>
    <row r="367" spans="1:27" x14ac:dyDescent="0.25">
      <c r="A367" s="10">
        <v>45663</v>
      </c>
      <c r="B367" s="11" t="s">
        <v>1484</v>
      </c>
      <c r="C367" s="11" t="s">
        <v>1485</v>
      </c>
      <c r="D367" s="11" t="s">
        <v>26</v>
      </c>
      <c r="E367" s="11" t="s">
        <v>75</v>
      </c>
      <c r="F367" s="11" t="s">
        <v>26</v>
      </c>
      <c r="G367" s="11">
        <v>42259</v>
      </c>
      <c r="H367" s="12" t="s">
        <v>565</v>
      </c>
      <c r="I367" s="12" t="s">
        <v>55</v>
      </c>
      <c r="J367" s="12" t="s">
        <v>566</v>
      </c>
      <c r="K367" s="12" t="s">
        <v>550</v>
      </c>
      <c r="L367" s="13">
        <v>40.76</v>
      </c>
      <c r="M367" s="13">
        <v>25</v>
      </c>
      <c r="N367" s="13">
        <v>1.6304000000000001</v>
      </c>
      <c r="O367" s="13">
        <v>25</v>
      </c>
      <c r="P367" s="13" t="s">
        <v>30</v>
      </c>
      <c r="Q367" s="13">
        <v>0</v>
      </c>
      <c r="R367" s="14">
        <v>1019</v>
      </c>
      <c r="S367" s="15">
        <v>0</v>
      </c>
      <c r="T367" s="15">
        <v>0</v>
      </c>
      <c r="U367" s="15">
        <v>1019</v>
      </c>
      <c r="V367" s="15">
        <v>0</v>
      </c>
      <c r="W367" s="15">
        <v>1019</v>
      </c>
      <c r="X367" s="15">
        <v>0</v>
      </c>
      <c r="Y367" s="16">
        <v>0</v>
      </c>
      <c r="Z367" s="67" t="s">
        <v>26</v>
      </c>
      <c r="AA367" s="12" t="s">
        <v>31</v>
      </c>
    </row>
    <row r="368" spans="1:27" x14ac:dyDescent="0.25">
      <c r="A368" s="10">
        <v>45663</v>
      </c>
      <c r="B368" s="11" t="s">
        <v>1486</v>
      </c>
      <c r="C368" s="11" t="s">
        <v>1487</v>
      </c>
      <c r="D368" s="11" t="s">
        <v>26</v>
      </c>
      <c r="E368" s="11" t="s">
        <v>230</v>
      </c>
      <c r="F368" s="11" t="s">
        <v>26</v>
      </c>
      <c r="G368" s="11">
        <v>23123</v>
      </c>
      <c r="H368" s="12" t="s">
        <v>565</v>
      </c>
      <c r="I368" s="12" t="s">
        <v>55</v>
      </c>
      <c r="J368" s="12" t="s">
        <v>566</v>
      </c>
      <c r="K368" s="12" t="s">
        <v>550</v>
      </c>
      <c r="L368" s="13">
        <v>40.5</v>
      </c>
      <c r="M368" s="13">
        <v>25</v>
      </c>
      <c r="N368" s="13">
        <v>1.62</v>
      </c>
      <c r="O368" s="13">
        <v>25</v>
      </c>
      <c r="P368" s="13" t="s">
        <v>30</v>
      </c>
      <c r="Q368" s="13">
        <v>0</v>
      </c>
      <c r="R368" s="14">
        <v>1012.5</v>
      </c>
      <c r="S368" s="15">
        <v>0</v>
      </c>
      <c r="T368" s="15">
        <v>0</v>
      </c>
      <c r="U368" s="15">
        <v>1012.5</v>
      </c>
      <c r="V368" s="15">
        <v>0</v>
      </c>
      <c r="W368" s="15">
        <v>1012.5</v>
      </c>
      <c r="X368" s="15">
        <v>0</v>
      </c>
      <c r="Y368" s="16">
        <v>0</v>
      </c>
      <c r="Z368" s="67" t="s">
        <v>26</v>
      </c>
      <c r="AA368" s="12" t="s">
        <v>31</v>
      </c>
    </row>
    <row r="369" spans="1:27" x14ac:dyDescent="0.25">
      <c r="A369" s="10">
        <v>45663</v>
      </c>
      <c r="B369" s="11" t="s">
        <v>1488</v>
      </c>
      <c r="C369" s="11" t="s">
        <v>1489</v>
      </c>
      <c r="D369" s="11" t="s">
        <v>26</v>
      </c>
      <c r="E369" s="11" t="s">
        <v>569</v>
      </c>
      <c r="F369" s="11" t="s">
        <v>26</v>
      </c>
      <c r="G369" s="11">
        <v>111738</v>
      </c>
      <c r="H369" s="12" t="s">
        <v>4446</v>
      </c>
      <c r="I369" s="12" t="s">
        <v>27</v>
      </c>
      <c r="J369" s="12" t="s">
        <v>557</v>
      </c>
      <c r="K369" s="12" t="s">
        <v>558</v>
      </c>
      <c r="L369" s="13">
        <v>37.78</v>
      </c>
      <c r="M369" s="13">
        <v>24</v>
      </c>
      <c r="N369" s="13">
        <v>1.5741666666666669</v>
      </c>
      <c r="O369" s="13">
        <v>45</v>
      </c>
      <c r="P369" s="13" t="s">
        <v>30</v>
      </c>
      <c r="Q369" s="13">
        <v>0</v>
      </c>
      <c r="R369" s="14">
        <v>1700.1000000000001</v>
      </c>
      <c r="S369" s="15">
        <v>0</v>
      </c>
      <c r="T369" s="15">
        <v>0</v>
      </c>
      <c r="U369" s="15">
        <v>1700.1000000000001</v>
      </c>
      <c r="V369" s="15">
        <v>1700.1000000000001</v>
      </c>
      <c r="W369" s="15">
        <v>0</v>
      </c>
      <c r="X369" s="15">
        <v>0</v>
      </c>
      <c r="Y369" s="16">
        <v>0</v>
      </c>
      <c r="Z369" s="67" t="s">
        <v>26</v>
      </c>
      <c r="AA369" s="12" t="s">
        <v>31</v>
      </c>
    </row>
    <row r="370" spans="1:27" x14ac:dyDescent="0.25">
      <c r="A370" s="10">
        <v>45663</v>
      </c>
      <c r="B370" s="11" t="s">
        <v>1490</v>
      </c>
      <c r="C370" s="11" t="s">
        <v>1491</v>
      </c>
      <c r="D370" s="11" t="s">
        <v>26</v>
      </c>
      <c r="E370" s="11" t="s">
        <v>509</v>
      </c>
      <c r="F370" s="11" t="s">
        <v>26</v>
      </c>
      <c r="G370" s="11" t="s">
        <v>26</v>
      </c>
      <c r="H370" s="12" t="s">
        <v>4422</v>
      </c>
      <c r="I370" s="12" t="s">
        <v>27</v>
      </c>
      <c r="J370" s="12" t="s">
        <v>33</v>
      </c>
      <c r="K370" s="12" t="s">
        <v>34</v>
      </c>
      <c r="L370" s="13">
        <v>41.52</v>
      </c>
      <c r="M370" s="13">
        <v>28</v>
      </c>
      <c r="N370" s="13">
        <v>1.4828571428571431</v>
      </c>
      <c r="O370" s="13">
        <v>85</v>
      </c>
      <c r="P370" s="13" t="s">
        <v>30</v>
      </c>
      <c r="Q370" s="13">
        <v>0</v>
      </c>
      <c r="R370" s="15">
        <v>3529.2000000000003</v>
      </c>
      <c r="S370" s="15">
        <v>38</v>
      </c>
      <c r="T370" s="15">
        <v>1577.7600000000002</v>
      </c>
      <c r="U370" s="15">
        <v>1951.44</v>
      </c>
      <c r="V370" s="15">
        <v>1951.44</v>
      </c>
      <c r="W370" s="15">
        <v>0</v>
      </c>
      <c r="X370" s="15">
        <v>1494.72</v>
      </c>
      <c r="Y370" s="16">
        <v>83.040000000000191</v>
      </c>
      <c r="Z370" s="67" t="s">
        <v>141</v>
      </c>
      <c r="AA370" s="12" t="s">
        <v>78</v>
      </c>
    </row>
    <row r="371" spans="1:27" x14ac:dyDescent="0.25">
      <c r="A371" s="10">
        <v>45663</v>
      </c>
      <c r="B371" s="11" t="s">
        <v>1492</v>
      </c>
      <c r="C371" s="11" t="s">
        <v>1493</v>
      </c>
      <c r="D371" s="11" t="s">
        <v>26</v>
      </c>
      <c r="E371" s="11" t="s">
        <v>574</v>
      </c>
      <c r="F371" s="11" t="s">
        <v>26</v>
      </c>
      <c r="G371" s="11" t="s">
        <v>26</v>
      </c>
      <c r="H371" s="12" t="s">
        <v>4422</v>
      </c>
      <c r="I371" s="12" t="s">
        <v>27</v>
      </c>
      <c r="J371" s="12" t="s">
        <v>47</v>
      </c>
      <c r="K371" s="12" t="s">
        <v>48</v>
      </c>
      <c r="L371" s="13">
        <v>40.54</v>
      </c>
      <c r="M371" s="13">
        <v>28</v>
      </c>
      <c r="N371" s="13">
        <v>1.447857142857143</v>
      </c>
      <c r="O371" s="13">
        <v>87</v>
      </c>
      <c r="P371" s="13" t="s">
        <v>30</v>
      </c>
      <c r="Q371" s="13">
        <v>0</v>
      </c>
      <c r="R371" s="14">
        <v>3526.98</v>
      </c>
      <c r="S371" s="15">
        <v>38</v>
      </c>
      <c r="T371" s="15">
        <v>1540.52</v>
      </c>
      <c r="U371" s="15">
        <v>1986.46</v>
      </c>
      <c r="V371" s="15">
        <v>1986.46</v>
      </c>
      <c r="W371" s="15">
        <v>0</v>
      </c>
      <c r="X371" s="15">
        <v>1459.44</v>
      </c>
      <c r="Y371" s="16">
        <v>81.079999999999927</v>
      </c>
      <c r="Z371" s="67" t="s">
        <v>141</v>
      </c>
      <c r="AA371" s="12" t="s">
        <v>78</v>
      </c>
    </row>
    <row r="372" spans="1:27" x14ac:dyDescent="0.25">
      <c r="A372" s="10">
        <v>45663</v>
      </c>
      <c r="B372" s="11" t="s">
        <v>106</v>
      </c>
      <c r="C372" s="11" t="s">
        <v>1494</v>
      </c>
      <c r="D372" s="11" t="s">
        <v>26</v>
      </c>
      <c r="E372" s="11" t="s">
        <v>76</v>
      </c>
      <c r="F372" s="11" t="s">
        <v>26</v>
      </c>
      <c r="G372" s="11" t="s">
        <v>26</v>
      </c>
      <c r="H372" s="12" t="s">
        <v>4422</v>
      </c>
      <c r="I372" s="12" t="s">
        <v>27</v>
      </c>
      <c r="J372" s="12" t="s">
        <v>47</v>
      </c>
      <c r="K372" s="12" t="s">
        <v>48</v>
      </c>
      <c r="L372" s="13">
        <v>43.8</v>
      </c>
      <c r="M372" s="13">
        <v>29</v>
      </c>
      <c r="N372" s="13">
        <v>1.510344827586207</v>
      </c>
      <c r="O372" s="13">
        <v>87</v>
      </c>
      <c r="P372" s="13" t="s">
        <v>30</v>
      </c>
      <c r="Q372" s="13">
        <v>0</v>
      </c>
      <c r="R372" s="14">
        <v>3810.6</v>
      </c>
      <c r="S372" s="15">
        <v>38</v>
      </c>
      <c r="T372" s="15">
        <v>1664.3999999999999</v>
      </c>
      <c r="U372" s="15">
        <v>2146.1999999999998</v>
      </c>
      <c r="V372" s="15">
        <v>2146.1999999999998</v>
      </c>
      <c r="W372" s="15">
        <v>0</v>
      </c>
      <c r="X372" s="15">
        <v>1620.6</v>
      </c>
      <c r="Y372" s="16">
        <v>43.799999999999955</v>
      </c>
      <c r="Z372" s="67" t="s">
        <v>41</v>
      </c>
      <c r="AA372" s="12" t="s">
        <v>78</v>
      </c>
    </row>
    <row r="373" spans="1:27" x14ac:dyDescent="0.25">
      <c r="A373" s="10">
        <v>45664</v>
      </c>
      <c r="B373" s="11" t="s">
        <v>1495</v>
      </c>
      <c r="C373" s="11" t="s">
        <v>1496</v>
      </c>
      <c r="D373" s="11" t="s">
        <v>26</v>
      </c>
      <c r="E373" s="11" t="s">
        <v>32</v>
      </c>
      <c r="F373" s="11" t="s">
        <v>26</v>
      </c>
      <c r="G373" s="11">
        <v>1501</v>
      </c>
      <c r="H373" s="12" t="s">
        <v>45</v>
      </c>
      <c r="I373" s="12" t="s">
        <v>27</v>
      </c>
      <c r="J373" s="12" t="s">
        <v>33</v>
      </c>
      <c r="K373" s="12" t="s">
        <v>34</v>
      </c>
      <c r="L373" s="13">
        <v>38.4</v>
      </c>
      <c r="M373" s="13">
        <v>25</v>
      </c>
      <c r="N373" s="13">
        <v>1.536</v>
      </c>
      <c r="O373" s="13" t="s">
        <v>30</v>
      </c>
      <c r="P373" s="13">
        <v>58</v>
      </c>
      <c r="Q373" s="13">
        <v>0</v>
      </c>
      <c r="R373" s="14">
        <v>1450</v>
      </c>
      <c r="S373" s="15">
        <v>0</v>
      </c>
      <c r="T373" s="15">
        <v>0</v>
      </c>
      <c r="U373" s="15">
        <v>1450</v>
      </c>
      <c r="V373" s="15">
        <v>0</v>
      </c>
      <c r="W373" s="15">
        <v>1450</v>
      </c>
      <c r="X373" s="15">
        <v>0</v>
      </c>
      <c r="Y373" s="16">
        <v>0</v>
      </c>
      <c r="Z373" s="67" t="s">
        <v>26</v>
      </c>
      <c r="AA373" s="12" t="s">
        <v>31</v>
      </c>
    </row>
    <row r="374" spans="1:27" x14ac:dyDescent="0.25">
      <c r="A374" s="10">
        <v>45664</v>
      </c>
      <c r="B374" s="11" t="s">
        <v>1358</v>
      </c>
      <c r="C374" s="11" t="s">
        <v>1497</v>
      </c>
      <c r="D374" s="11" t="s">
        <v>26</v>
      </c>
      <c r="E374" s="11" t="s">
        <v>53</v>
      </c>
      <c r="F374" s="11" t="s">
        <v>26</v>
      </c>
      <c r="G374" s="11">
        <v>2395</v>
      </c>
      <c r="H374" s="12" t="s">
        <v>41</v>
      </c>
      <c r="I374" s="12" t="s">
        <v>27</v>
      </c>
      <c r="J374" s="12" t="s">
        <v>33</v>
      </c>
      <c r="K374" s="12" t="s">
        <v>34</v>
      </c>
      <c r="L374" s="13">
        <v>37.44</v>
      </c>
      <c r="M374" s="13">
        <v>25</v>
      </c>
      <c r="N374" s="13">
        <v>1.4976</v>
      </c>
      <c r="O374" s="13" t="s">
        <v>30</v>
      </c>
      <c r="P374" s="13">
        <v>60</v>
      </c>
      <c r="Q374" s="13">
        <v>0</v>
      </c>
      <c r="R374" s="15">
        <v>1500</v>
      </c>
      <c r="S374" s="15">
        <v>0</v>
      </c>
      <c r="T374" s="15">
        <v>0</v>
      </c>
      <c r="U374" s="15">
        <v>1500</v>
      </c>
      <c r="V374" s="15">
        <v>0</v>
      </c>
      <c r="W374" s="15">
        <v>1500</v>
      </c>
      <c r="X374" s="15">
        <v>0</v>
      </c>
      <c r="Y374" s="16">
        <v>0</v>
      </c>
      <c r="Z374" s="67" t="s">
        <v>26</v>
      </c>
      <c r="AA374" s="12" t="s">
        <v>31</v>
      </c>
    </row>
    <row r="375" spans="1:27" x14ac:dyDescent="0.25">
      <c r="A375" s="10">
        <v>45664</v>
      </c>
      <c r="B375" s="11" t="s">
        <v>326</v>
      </c>
      <c r="C375" s="11" t="s">
        <v>1498</v>
      </c>
      <c r="D375" s="11" t="s">
        <v>26</v>
      </c>
      <c r="E375" s="11" t="s">
        <v>574</v>
      </c>
      <c r="F375" s="11" t="s">
        <v>26</v>
      </c>
      <c r="G375" s="11" t="s">
        <v>26</v>
      </c>
      <c r="H375" s="12" t="s">
        <v>4422</v>
      </c>
      <c r="I375" s="12" t="s">
        <v>27</v>
      </c>
      <c r="J375" s="12" t="s">
        <v>47</v>
      </c>
      <c r="K375" s="12" t="s">
        <v>48</v>
      </c>
      <c r="L375" s="13">
        <v>41.22</v>
      </c>
      <c r="M375" s="13">
        <v>28</v>
      </c>
      <c r="N375" s="13">
        <v>1.472142857142857</v>
      </c>
      <c r="O375" s="13">
        <v>87</v>
      </c>
      <c r="P375" s="13" t="s">
        <v>30</v>
      </c>
      <c r="Q375" s="13">
        <v>0</v>
      </c>
      <c r="R375" s="15">
        <v>3586.14</v>
      </c>
      <c r="S375" s="15">
        <v>38</v>
      </c>
      <c r="T375" s="15">
        <v>1566.36</v>
      </c>
      <c r="U375" s="15">
        <v>2019.78</v>
      </c>
      <c r="V375" s="15">
        <v>2019.78</v>
      </c>
      <c r="W375" s="15">
        <v>0</v>
      </c>
      <c r="X375" s="15">
        <v>1483.92</v>
      </c>
      <c r="Y375" s="16">
        <v>82.439999999999827</v>
      </c>
      <c r="Z375" s="67" t="s">
        <v>141</v>
      </c>
      <c r="AA375" s="12" t="s">
        <v>78</v>
      </c>
    </row>
    <row r="376" spans="1:27" x14ac:dyDescent="0.25">
      <c r="A376" s="10">
        <v>45664</v>
      </c>
      <c r="B376" s="11" t="s">
        <v>735</v>
      </c>
      <c r="C376" s="11" t="s">
        <v>1499</v>
      </c>
      <c r="D376" s="11" t="s">
        <v>26</v>
      </c>
      <c r="E376" s="11" t="s">
        <v>501</v>
      </c>
      <c r="F376" s="11" t="s">
        <v>26</v>
      </c>
      <c r="G376" s="11" t="s">
        <v>26</v>
      </c>
      <c r="H376" s="12" t="s">
        <v>4422</v>
      </c>
      <c r="I376" s="12" t="s">
        <v>27</v>
      </c>
      <c r="J376" s="12" t="s">
        <v>47</v>
      </c>
      <c r="K376" s="12" t="s">
        <v>48</v>
      </c>
      <c r="L376" s="13">
        <v>43.44</v>
      </c>
      <c r="M376" s="13">
        <v>30</v>
      </c>
      <c r="N376" s="13">
        <v>1.448</v>
      </c>
      <c r="O376" s="13">
        <v>87</v>
      </c>
      <c r="P376" s="13" t="s">
        <v>30</v>
      </c>
      <c r="Q376" s="13">
        <v>0</v>
      </c>
      <c r="R376" s="14">
        <v>3779.2799999999997</v>
      </c>
      <c r="S376" s="15">
        <v>38</v>
      </c>
      <c r="T376" s="15">
        <v>1650.7199999999998</v>
      </c>
      <c r="U376" s="15">
        <v>2128.56</v>
      </c>
      <c r="V376" s="15">
        <v>2128.56</v>
      </c>
      <c r="W376" s="15">
        <v>0</v>
      </c>
      <c r="X376" s="15">
        <v>1563.84</v>
      </c>
      <c r="Y376" s="16">
        <v>86.879999999999882</v>
      </c>
      <c r="Z376" s="67" t="s">
        <v>141</v>
      </c>
      <c r="AA376" s="12" t="s">
        <v>78</v>
      </c>
    </row>
    <row r="377" spans="1:27" x14ac:dyDescent="0.25">
      <c r="A377" s="10">
        <v>45664</v>
      </c>
      <c r="B377" s="11" t="s">
        <v>367</v>
      </c>
      <c r="C377" s="11" t="s">
        <v>1500</v>
      </c>
      <c r="D377" s="11" t="s">
        <v>26</v>
      </c>
      <c r="E377" s="11" t="s">
        <v>446</v>
      </c>
      <c r="F377" s="11" t="s">
        <v>26</v>
      </c>
      <c r="G377" s="11" t="s">
        <v>35</v>
      </c>
      <c r="H377" s="12" t="s">
        <v>36</v>
      </c>
      <c r="I377" s="12" t="s">
        <v>55</v>
      </c>
      <c r="J377" s="12" t="s">
        <v>55</v>
      </c>
      <c r="K377" s="12" t="s">
        <v>56</v>
      </c>
      <c r="L377" s="13">
        <v>30.52</v>
      </c>
      <c r="M377" s="13">
        <v>20</v>
      </c>
      <c r="N377" s="13">
        <v>1.526</v>
      </c>
      <c r="O377" s="13">
        <v>20</v>
      </c>
      <c r="P377" s="13" t="s">
        <v>30</v>
      </c>
      <c r="Q377" s="13">
        <v>0</v>
      </c>
      <c r="R377" s="15">
        <v>610.4</v>
      </c>
      <c r="S377" s="15">
        <v>0</v>
      </c>
      <c r="T377" s="15">
        <v>0</v>
      </c>
      <c r="U377" s="15">
        <v>610.4</v>
      </c>
      <c r="V377" s="15">
        <v>0</v>
      </c>
      <c r="W377" s="15">
        <v>610.4</v>
      </c>
      <c r="X377" s="15">
        <v>0</v>
      </c>
      <c r="Y377" s="16">
        <v>0</v>
      </c>
      <c r="Z377" s="67" t="s">
        <v>26</v>
      </c>
      <c r="AA377" s="12" t="s">
        <v>31</v>
      </c>
    </row>
    <row r="378" spans="1:27" x14ac:dyDescent="0.25">
      <c r="A378" s="10">
        <v>45664</v>
      </c>
      <c r="B378" s="11" t="s">
        <v>1501</v>
      </c>
      <c r="C378" s="11" t="s">
        <v>1502</v>
      </c>
      <c r="D378" s="11" t="s">
        <v>26</v>
      </c>
      <c r="E378" s="11" t="s">
        <v>241</v>
      </c>
      <c r="F378" s="11" t="s">
        <v>26</v>
      </c>
      <c r="G378" s="11">
        <v>74956</v>
      </c>
      <c r="H378" s="12" t="s">
        <v>4448</v>
      </c>
      <c r="I378" s="12" t="s">
        <v>27</v>
      </c>
      <c r="J378" s="12" t="s">
        <v>47</v>
      </c>
      <c r="K378" s="12" t="s">
        <v>48</v>
      </c>
      <c r="L378" s="13">
        <v>38.020000000000003</v>
      </c>
      <c r="M378" s="13">
        <v>25</v>
      </c>
      <c r="N378" s="13">
        <v>1.5207999999999999</v>
      </c>
      <c r="O378" s="13">
        <v>46.66</v>
      </c>
      <c r="P378" s="13" t="s">
        <v>30</v>
      </c>
      <c r="Q378" s="13">
        <v>0</v>
      </c>
      <c r="R378" s="15">
        <v>1774.0132000000001</v>
      </c>
      <c r="S378" s="15">
        <v>0</v>
      </c>
      <c r="T378" s="15">
        <v>0</v>
      </c>
      <c r="U378" s="15">
        <v>1774.0132000000001</v>
      </c>
      <c r="V378" s="15">
        <v>1330.5099</v>
      </c>
      <c r="W378" s="15">
        <v>443.50330000000008</v>
      </c>
      <c r="X378" s="15">
        <v>0</v>
      </c>
      <c r="Y378" s="16">
        <v>0</v>
      </c>
      <c r="Z378" s="67" t="s">
        <v>26</v>
      </c>
      <c r="AA378" s="12" t="s">
        <v>31</v>
      </c>
    </row>
    <row r="379" spans="1:27" x14ac:dyDescent="0.25">
      <c r="A379" s="10">
        <v>45664</v>
      </c>
      <c r="B379" s="11" t="s">
        <v>312</v>
      </c>
      <c r="C379" s="11" t="s">
        <v>1503</v>
      </c>
      <c r="D379" s="11" t="s">
        <v>26</v>
      </c>
      <c r="E379" s="11" t="s">
        <v>184</v>
      </c>
      <c r="F379" s="11" t="s">
        <v>26</v>
      </c>
      <c r="G379" s="11" t="s">
        <v>26</v>
      </c>
      <c r="H379" s="12" t="s">
        <v>4422</v>
      </c>
      <c r="I379" s="12" t="s">
        <v>27</v>
      </c>
      <c r="J379" s="12" t="s">
        <v>33</v>
      </c>
      <c r="K379" s="12" t="s">
        <v>34</v>
      </c>
      <c r="L379" s="13">
        <v>42.34</v>
      </c>
      <c r="M379" s="13">
        <v>29</v>
      </c>
      <c r="N379" s="13">
        <v>1.46</v>
      </c>
      <c r="O379" s="13">
        <v>85</v>
      </c>
      <c r="P379" s="13" t="s">
        <v>30</v>
      </c>
      <c r="Q379" s="13">
        <v>0</v>
      </c>
      <c r="R379" s="14">
        <v>3598.9</v>
      </c>
      <c r="S379" s="15">
        <v>38</v>
      </c>
      <c r="T379" s="15">
        <v>1608.92</v>
      </c>
      <c r="U379" s="15">
        <v>1989.98</v>
      </c>
      <c r="V379" s="15">
        <v>1989.98</v>
      </c>
      <c r="W379" s="15">
        <v>0</v>
      </c>
      <c r="X379" s="15">
        <v>1524.2400000000002</v>
      </c>
      <c r="Y379" s="16">
        <v>84.679999999999836</v>
      </c>
      <c r="Z379" s="67" t="s">
        <v>141</v>
      </c>
      <c r="AA379" s="12" t="s">
        <v>78</v>
      </c>
    </row>
    <row r="380" spans="1:27" x14ac:dyDescent="0.25">
      <c r="A380" s="10">
        <v>45664</v>
      </c>
      <c r="B380" s="11" t="s">
        <v>1504</v>
      </c>
      <c r="C380" s="11" t="s">
        <v>1505</v>
      </c>
      <c r="D380" s="11" t="s">
        <v>26</v>
      </c>
      <c r="E380" s="11" t="s">
        <v>81</v>
      </c>
      <c r="F380" s="11" t="s">
        <v>26</v>
      </c>
      <c r="G380" s="11" t="s">
        <v>26</v>
      </c>
      <c r="H380" s="12" t="s">
        <v>4422</v>
      </c>
      <c r="I380" s="12" t="s">
        <v>27</v>
      </c>
      <c r="J380" s="12" t="s">
        <v>42</v>
      </c>
      <c r="K380" s="12" t="s">
        <v>43</v>
      </c>
      <c r="L380" s="13">
        <v>42.64</v>
      </c>
      <c r="M380" s="13">
        <v>25</v>
      </c>
      <c r="N380" s="13">
        <v>1.7056</v>
      </c>
      <c r="O380" s="13">
        <v>83</v>
      </c>
      <c r="P380" s="13" t="s">
        <v>30</v>
      </c>
      <c r="Q380" s="13">
        <v>0</v>
      </c>
      <c r="R380" s="14">
        <v>3539.12</v>
      </c>
      <c r="S380" s="15">
        <v>38</v>
      </c>
      <c r="T380" s="15">
        <v>1620.32</v>
      </c>
      <c r="U380" s="15">
        <v>1918.8</v>
      </c>
      <c r="V380" s="15">
        <v>1918.8</v>
      </c>
      <c r="W380" s="15">
        <v>0</v>
      </c>
      <c r="X380" s="15">
        <v>1535.04</v>
      </c>
      <c r="Y380" s="16">
        <v>85.279999999999973</v>
      </c>
      <c r="Z380" s="67" t="s">
        <v>141</v>
      </c>
      <c r="AA380" s="12" t="s">
        <v>78</v>
      </c>
    </row>
    <row r="381" spans="1:27" x14ac:dyDescent="0.25">
      <c r="A381" s="10">
        <v>45664</v>
      </c>
      <c r="B381" s="11" t="s">
        <v>713</v>
      </c>
      <c r="C381" s="11" t="s">
        <v>1506</v>
      </c>
      <c r="D381" s="11" t="s">
        <v>26</v>
      </c>
      <c r="E381" s="11" t="s">
        <v>57</v>
      </c>
      <c r="F381" s="11" t="s">
        <v>26</v>
      </c>
      <c r="G381" s="11" t="s">
        <v>26</v>
      </c>
      <c r="H381" s="12" t="s">
        <v>4422</v>
      </c>
      <c r="I381" s="12" t="s">
        <v>27</v>
      </c>
      <c r="J381" s="12" t="s">
        <v>33</v>
      </c>
      <c r="K381" s="12" t="s">
        <v>34</v>
      </c>
      <c r="L381" s="13">
        <v>43.38</v>
      </c>
      <c r="M381" s="13">
        <v>30</v>
      </c>
      <c r="N381" s="13">
        <v>1.446</v>
      </c>
      <c r="O381" s="13">
        <v>85</v>
      </c>
      <c r="P381" s="13" t="s">
        <v>30</v>
      </c>
      <c r="Q381" s="13">
        <v>0</v>
      </c>
      <c r="R381" s="14">
        <v>3687.3</v>
      </c>
      <c r="S381" s="15">
        <v>38</v>
      </c>
      <c r="T381" s="15">
        <v>1648.44</v>
      </c>
      <c r="U381" s="15">
        <v>2038.8600000000001</v>
      </c>
      <c r="V381" s="15">
        <v>2038.8600000000001</v>
      </c>
      <c r="W381" s="15">
        <v>0</v>
      </c>
      <c r="X381" s="15">
        <v>1605.0600000000002</v>
      </c>
      <c r="Y381" s="16">
        <v>43.379999999999882</v>
      </c>
      <c r="Z381" s="67" t="s">
        <v>41</v>
      </c>
      <c r="AA381" s="12" t="s">
        <v>78</v>
      </c>
    </row>
    <row r="382" spans="1:27" x14ac:dyDescent="0.25">
      <c r="A382" s="10">
        <v>45664</v>
      </c>
      <c r="B382" s="11" t="s">
        <v>1507</v>
      </c>
      <c r="C382" s="11" t="s">
        <v>1508</v>
      </c>
      <c r="D382" s="11" t="s">
        <v>26</v>
      </c>
      <c r="E382" s="11" t="s">
        <v>65</v>
      </c>
      <c r="F382" s="11" t="s">
        <v>26</v>
      </c>
      <c r="G382" s="11">
        <v>1549</v>
      </c>
      <c r="H382" s="12" t="s">
        <v>66</v>
      </c>
      <c r="I382" s="12" t="s">
        <v>37</v>
      </c>
      <c r="J382" s="12" t="s">
        <v>85</v>
      </c>
      <c r="K382" s="12" t="s">
        <v>86</v>
      </c>
      <c r="L382" s="13">
        <v>38.24</v>
      </c>
      <c r="M382" s="13">
        <v>25</v>
      </c>
      <c r="N382" s="13">
        <v>1.5296000000000001</v>
      </c>
      <c r="O382" s="13" t="s">
        <v>30</v>
      </c>
      <c r="P382" s="13">
        <v>51</v>
      </c>
      <c r="Q382" s="13">
        <v>0</v>
      </c>
      <c r="R382" s="15">
        <v>1275</v>
      </c>
      <c r="S382" s="15">
        <v>0</v>
      </c>
      <c r="T382" s="15">
        <v>0</v>
      </c>
      <c r="U382" s="15">
        <v>1275</v>
      </c>
      <c r="V382" s="15">
        <v>1275</v>
      </c>
      <c r="W382" s="15">
        <v>0</v>
      </c>
      <c r="X382" s="15">
        <v>0</v>
      </c>
      <c r="Y382" s="16">
        <v>0</v>
      </c>
      <c r="Z382" s="67" t="s">
        <v>26</v>
      </c>
      <c r="AA382" s="12" t="s">
        <v>31</v>
      </c>
    </row>
    <row r="383" spans="1:27" x14ac:dyDescent="0.25">
      <c r="A383" s="10">
        <v>45664</v>
      </c>
      <c r="B383" s="11" t="s">
        <v>1509</v>
      </c>
      <c r="C383" s="11" t="s">
        <v>1510</v>
      </c>
      <c r="D383" s="11" t="s">
        <v>26</v>
      </c>
      <c r="E383" s="11" t="s">
        <v>570</v>
      </c>
      <c r="F383" s="11" t="s">
        <v>26</v>
      </c>
      <c r="G383" s="11">
        <v>10312</v>
      </c>
      <c r="H383" s="12" t="s">
        <v>140</v>
      </c>
      <c r="I383" s="12" t="s">
        <v>27</v>
      </c>
      <c r="J383" s="12" t="s">
        <v>33</v>
      </c>
      <c r="K383" s="12" t="s">
        <v>34</v>
      </c>
      <c r="L383" s="13">
        <v>42.72</v>
      </c>
      <c r="M383" s="13">
        <v>29</v>
      </c>
      <c r="N383" s="13">
        <v>1.473103448275862</v>
      </c>
      <c r="O383" s="13">
        <v>40</v>
      </c>
      <c r="P383" s="13"/>
      <c r="Q383" s="13">
        <v>0</v>
      </c>
      <c r="R383" s="14">
        <v>1708.8</v>
      </c>
      <c r="S383" s="15">
        <v>0</v>
      </c>
      <c r="T383" s="15">
        <v>0</v>
      </c>
      <c r="U383" s="15">
        <v>1708.8</v>
      </c>
      <c r="V383" s="15">
        <v>0</v>
      </c>
      <c r="W383" s="15">
        <v>1708.8</v>
      </c>
      <c r="X383" s="15">
        <v>0</v>
      </c>
      <c r="Y383" s="16">
        <v>0</v>
      </c>
      <c r="Z383" s="67" t="s">
        <v>26</v>
      </c>
      <c r="AA383" s="12" t="s">
        <v>31</v>
      </c>
    </row>
    <row r="384" spans="1:27" x14ac:dyDescent="0.25">
      <c r="A384" s="10">
        <v>45664</v>
      </c>
      <c r="B384" s="11" t="s">
        <v>1511</v>
      </c>
      <c r="C384" s="11" t="s">
        <v>1512</v>
      </c>
      <c r="D384" s="11" t="s">
        <v>26</v>
      </c>
      <c r="E384" s="11" t="s">
        <v>80</v>
      </c>
      <c r="F384" s="11" t="s">
        <v>26</v>
      </c>
      <c r="G384" s="11">
        <v>10279</v>
      </c>
      <c r="H384" s="12" t="s">
        <v>140</v>
      </c>
      <c r="I384" s="12" t="s">
        <v>27</v>
      </c>
      <c r="J384" s="12" t="s">
        <v>33</v>
      </c>
      <c r="K384" s="12" t="s">
        <v>34</v>
      </c>
      <c r="L384" s="13">
        <v>43.12</v>
      </c>
      <c r="M384" s="13">
        <v>30</v>
      </c>
      <c r="N384" s="13">
        <v>1.4373333333333329</v>
      </c>
      <c r="O384" s="13">
        <v>40</v>
      </c>
      <c r="P384" s="13"/>
      <c r="Q384" s="13">
        <v>0</v>
      </c>
      <c r="R384" s="15">
        <v>1724.8</v>
      </c>
      <c r="S384" s="15">
        <v>0</v>
      </c>
      <c r="T384" s="15">
        <v>0</v>
      </c>
      <c r="U384" s="15">
        <v>1724.8</v>
      </c>
      <c r="V384" s="15">
        <v>0</v>
      </c>
      <c r="W384" s="15">
        <v>1724.8</v>
      </c>
      <c r="X384" s="15">
        <v>0</v>
      </c>
      <c r="Y384" s="16">
        <v>0</v>
      </c>
      <c r="Z384" s="67" t="s">
        <v>26</v>
      </c>
      <c r="AA384" s="12" t="s">
        <v>31</v>
      </c>
    </row>
    <row r="385" spans="1:27" x14ac:dyDescent="0.25">
      <c r="A385" s="10">
        <v>45664</v>
      </c>
      <c r="B385" s="11" t="s">
        <v>1513</v>
      </c>
      <c r="C385" s="11" t="s">
        <v>1514</v>
      </c>
      <c r="D385" s="11" t="s">
        <v>26</v>
      </c>
      <c r="E385" s="11" t="s">
        <v>539</v>
      </c>
      <c r="F385" s="11" t="s">
        <v>26</v>
      </c>
      <c r="G385" s="11" t="s">
        <v>26</v>
      </c>
      <c r="H385" s="12" t="s">
        <v>4422</v>
      </c>
      <c r="I385" s="12" t="s">
        <v>27</v>
      </c>
      <c r="J385" s="12" t="s">
        <v>33</v>
      </c>
      <c r="K385" s="12" t="s">
        <v>34</v>
      </c>
      <c r="L385" s="13">
        <v>42.9</v>
      </c>
      <c r="M385" s="13">
        <v>29</v>
      </c>
      <c r="N385" s="13">
        <v>1.4793103448275859</v>
      </c>
      <c r="O385" s="13">
        <v>85</v>
      </c>
      <c r="P385" s="13" t="s">
        <v>30</v>
      </c>
      <c r="Q385" s="13">
        <v>0</v>
      </c>
      <c r="R385" s="14">
        <v>3646.5</v>
      </c>
      <c r="S385" s="15">
        <v>38</v>
      </c>
      <c r="T385" s="15">
        <v>1630.2</v>
      </c>
      <c r="U385" s="15">
        <v>2016.3</v>
      </c>
      <c r="V385" s="15">
        <v>2016.3</v>
      </c>
      <c r="W385" s="15">
        <v>0</v>
      </c>
      <c r="X385" s="15">
        <v>1587.3</v>
      </c>
      <c r="Y385" s="16">
        <v>42.900000000000091</v>
      </c>
      <c r="Z385" s="67" t="s">
        <v>41</v>
      </c>
      <c r="AA385" s="12" t="s">
        <v>78</v>
      </c>
    </row>
    <row r="386" spans="1:27" x14ac:dyDescent="0.25">
      <c r="A386" s="10">
        <v>45664</v>
      </c>
      <c r="B386" s="11" t="s">
        <v>1515</v>
      </c>
      <c r="C386" s="11" t="s">
        <v>1516</v>
      </c>
      <c r="D386" s="11" t="s">
        <v>26</v>
      </c>
      <c r="E386" s="11" t="s">
        <v>246</v>
      </c>
      <c r="F386" s="11" t="s">
        <v>26</v>
      </c>
      <c r="G386" s="11" t="s">
        <v>26</v>
      </c>
      <c r="H386" s="12" t="s">
        <v>4422</v>
      </c>
      <c r="I386" s="12" t="s">
        <v>27</v>
      </c>
      <c r="J386" s="12" t="s">
        <v>42</v>
      </c>
      <c r="K386" s="12" t="s">
        <v>43</v>
      </c>
      <c r="L386" s="13">
        <v>43.94</v>
      </c>
      <c r="M386" s="13">
        <v>25</v>
      </c>
      <c r="N386" s="13">
        <v>1.7576000000000001</v>
      </c>
      <c r="O386" s="13">
        <v>83</v>
      </c>
      <c r="P386" s="13" t="s">
        <v>30</v>
      </c>
      <c r="Q386" s="13">
        <v>0</v>
      </c>
      <c r="R386" s="15">
        <v>3647.02</v>
      </c>
      <c r="S386" s="15">
        <v>38</v>
      </c>
      <c r="T386" s="15">
        <v>1669.7199999999998</v>
      </c>
      <c r="U386" s="15">
        <v>1977.3000000000002</v>
      </c>
      <c r="V386" s="15">
        <v>1977.3000000000002</v>
      </c>
      <c r="W386" s="15">
        <v>0</v>
      </c>
      <c r="X386" s="15">
        <v>1625.78</v>
      </c>
      <c r="Y386" s="16">
        <v>43.939999999999827</v>
      </c>
      <c r="Z386" s="67" t="s">
        <v>41</v>
      </c>
      <c r="AA386" s="12" t="s">
        <v>78</v>
      </c>
    </row>
    <row r="387" spans="1:27" x14ac:dyDescent="0.25">
      <c r="A387" s="10">
        <v>45664</v>
      </c>
      <c r="B387" s="11" t="s">
        <v>1517</v>
      </c>
      <c r="C387" s="11" t="s">
        <v>1518</v>
      </c>
      <c r="D387" s="11" t="s">
        <v>26</v>
      </c>
      <c r="E387" s="11" t="s">
        <v>49</v>
      </c>
      <c r="F387" s="11" t="s">
        <v>26</v>
      </c>
      <c r="G387" s="11">
        <v>1488</v>
      </c>
      <c r="H387" s="12" t="s">
        <v>45</v>
      </c>
      <c r="I387" s="12" t="s">
        <v>27</v>
      </c>
      <c r="J387" s="12" t="s">
        <v>33</v>
      </c>
      <c r="K387" s="12" t="s">
        <v>34</v>
      </c>
      <c r="L387" s="13">
        <v>37.32</v>
      </c>
      <c r="M387" s="13">
        <v>25</v>
      </c>
      <c r="N387" s="13">
        <v>1.4927999999999999</v>
      </c>
      <c r="O387" s="13" t="s">
        <v>30</v>
      </c>
      <c r="P387" s="13">
        <v>58</v>
      </c>
      <c r="Q387" s="13">
        <v>0</v>
      </c>
      <c r="R387" s="14">
        <v>1450</v>
      </c>
      <c r="S387" s="15">
        <v>0</v>
      </c>
      <c r="T387" s="15">
        <v>0</v>
      </c>
      <c r="U387" s="15">
        <v>1450</v>
      </c>
      <c r="V387" s="15">
        <v>0</v>
      </c>
      <c r="W387" s="15">
        <v>1450</v>
      </c>
      <c r="X387" s="15">
        <v>0</v>
      </c>
      <c r="Y387" s="16">
        <v>0</v>
      </c>
      <c r="Z387" s="67" t="s">
        <v>26</v>
      </c>
      <c r="AA387" s="12" t="s">
        <v>31</v>
      </c>
    </row>
    <row r="388" spans="1:27" x14ac:dyDescent="0.25">
      <c r="A388" s="10">
        <v>45664</v>
      </c>
      <c r="B388" s="11" t="s">
        <v>1519</v>
      </c>
      <c r="C388" s="11" t="s">
        <v>1520</v>
      </c>
      <c r="D388" s="11" t="s">
        <v>26</v>
      </c>
      <c r="E388" s="11" t="s">
        <v>44</v>
      </c>
      <c r="F388" s="11" t="s">
        <v>26</v>
      </c>
      <c r="G388" s="11">
        <v>1491</v>
      </c>
      <c r="H388" s="12" t="s">
        <v>45</v>
      </c>
      <c r="I388" s="12" t="s">
        <v>27</v>
      </c>
      <c r="J388" s="12" t="s">
        <v>33</v>
      </c>
      <c r="K388" s="12" t="s">
        <v>34</v>
      </c>
      <c r="L388" s="13">
        <v>38.26</v>
      </c>
      <c r="M388" s="13">
        <v>25</v>
      </c>
      <c r="N388" s="13">
        <v>1.5304</v>
      </c>
      <c r="O388" s="13" t="s">
        <v>30</v>
      </c>
      <c r="P388" s="13">
        <v>58</v>
      </c>
      <c r="Q388" s="13">
        <v>0</v>
      </c>
      <c r="R388" s="14">
        <v>1450</v>
      </c>
      <c r="S388" s="15">
        <v>0</v>
      </c>
      <c r="T388" s="15">
        <v>0</v>
      </c>
      <c r="U388" s="15">
        <v>1450</v>
      </c>
      <c r="V388" s="15">
        <v>0</v>
      </c>
      <c r="W388" s="15">
        <v>1450</v>
      </c>
      <c r="X388" s="15">
        <v>0</v>
      </c>
      <c r="Y388" s="16">
        <v>0</v>
      </c>
      <c r="Z388" s="67" t="s">
        <v>26</v>
      </c>
      <c r="AA388" s="12" t="s">
        <v>31</v>
      </c>
    </row>
    <row r="389" spans="1:27" x14ac:dyDescent="0.25">
      <c r="A389" s="10">
        <v>45664</v>
      </c>
      <c r="B389" s="11" t="s">
        <v>1521</v>
      </c>
      <c r="C389" s="11" t="s">
        <v>1522</v>
      </c>
      <c r="D389" s="11" t="s">
        <v>26</v>
      </c>
      <c r="E389" s="11" t="s">
        <v>244</v>
      </c>
      <c r="F389" s="11" t="s">
        <v>26</v>
      </c>
      <c r="G389" s="11">
        <v>608</v>
      </c>
      <c r="H389" s="12" t="s">
        <v>141</v>
      </c>
      <c r="I389" s="12" t="s">
        <v>27</v>
      </c>
      <c r="J389" s="12" t="s">
        <v>33</v>
      </c>
      <c r="K389" s="12" t="s">
        <v>34</v>
      </c>
      <c r="L389" s="13">
        <v>41</v>
      </c>
      <c r="M389" s="13">
        <v>28</v>
      </c>
      <c r="N389" s="13">
        <v>1.464285714285714</v>
      </c>
      <c r="O389" s="13">
        <v>40</v>
      </c>
      <c r="P389" s="13" t="s">
        <v>30</v>
      </c>
      <c r="Q389" s="13">
        <v>0</v>
      </c>
      <c r="R389" s="15">
        <v>1640</v>
      </c>
      <c r="S389" s="15">
        <v>0</v>
      </c>
      <c r="T389" s="15">
        <v>0</v>
      </c>
      <c r="U389" s="15">
        <v>1640</v>
      </c>
      <c r="V389" s="15">
        <v>0</v>
      </c>
      <c r="W389" s="15">
        <v>1640</v>
      </c>
      <c r="X389" s="15">
        <v>0</v>
      </c>
      <c r="Y389" s="16">
        <v>0</v>
      </c>
      <c r="Z389" s="67" t="s">
        <v>26</v>
      </c>
      <c r="AA389" s="12" t="s">
        <v>31</v>
      </c>
    </row>
    <row r="390" spans="1:27" x14ac:dyDescent="0.25">
      <c r="A390" s="10">
        <v>45664</v>
      </c>
      <c r="B390" s="11" t="s">
        <v>740</v>
      </c>
      <c r="C390" s="11" t="s">
        <v>1523</v>
      </c>
      <c r="D390" s="11" t="s">
        <v>26</v>
      </c>
      <c r="E390" s="11" t="s">
        <v>224</v>
      </c>
      <c r="F390" s="11" t="s">
        <v>26</v>
      </c>
      <c r="G390" s="11">
        <v>57834</v>
      </c>
      <c r="H390" s="12" t="s">
        <v>4423</v>
      </c>
      <c r="I390" s="12" t="s">
        <v>27</v>
      </c>
      <c r="J390" s="12" t="s">
        <v>33</v>
      </c>
      <c r="K390" s="12" t="s">
        <v>34</v>
      </c>
      <c r="L390" s="13">
        <v>35.159999999999997</v>
      </c>
      <c r="M390" s="13">
        <v>25</v>
      </c>
      <c r="N390" s="13">
        <v>1.4064000000000001</v>
      </c>
      <c r="O390" s="13">
        <v>45</v>
      </c>
      <c r="P390" s="13" t="s">
        <v>30</v>
      </c>
      <c r="Q390" s="13">
        <v>0</v>
      </c>
      <c r="R390" s="15">
        <v>1582.1999999999998</v>
      </c>
      <c r="S390" s="15">
        <v>0</v>
      </c>
      <c r="T390" s="15">
        <v>0</v>
      </c>
      <c r="U390" s="15">
        <v>1582.1999999999998</v>
      </c>
      <c r="V390" s="15">
        <v>1582.1999999999998</v>
      </c>
      <c r="W390" s="15">
        <v>0</v>
      </c>
      <c r="X390" s="15">
        <v>0</v>
      </c>
      <c r="Y390" s="16">
        <v>0</v>
      </c>
      <c r="Z390" s="67" t="s">
        <v>26</v>
      </c>
      <c r="AA390" s="12" t="s">
        <v>31</v>
      </c>
    </row>
    <row r="391" spans="1:27" x14ac:dyDescent="0.25">
      <c r="A391" s="10">
        <v>45664</v>
      </c>
      <c r="B391" s="11" t="s">
        <v>372</v>
      </c>
      <c r="C391" s="11" t="s">
        <v>1524</v>
      </c>
      <c r="D391" s="11" t="s">
        <v>26</v>
      </c>
      <c r="E391" s="11" t="s">
        <v>567</v>
      </c>
      <c r="F391" s="11" t="s">
        <v>26</v>
      </c>
      <c r="G391" s="11">
        <v>111898</v>
      </c>
      <c r="H391" s="12" t="s">
        <v>4446</v>
      </c>
      <c r="I391" s="12" t="s">
        <v>27</v>
      </c>
      <c r="J391" s="12" t="s">
        <v>42</v>
      </c>
      <c r="K391" s="12" t="s">
        <v>43</v>
      </c>
      <c r="L391" s="13">
        <v>43.84</v>
      </c>
      <c r="M391" s="13">
        <v>25</v>
      </c>
      <c r="N391" s="13">
        <v>1.7536</v>
      </c>
      <c r="O391" s="13">
        <v>42</v>
      </c>
      <c r="P391" s="13" t="s">
        <v>30</v>
      </c>
      <c r="Q391" s="13">
        <v>0</v>
      </c>
      <c r="R391" s="15">
        <v>1841.2800000000002</v>
      </c>
      <c r="S391" s="15">
        <v>0</v>
      </c>
      <c r="T391" s="15">
        <v>0</v>
      </c>
      <c r="U391" s="15">
        <v>1841.2800000000002</v>
      </c>
      <c r="V391" s="15">
        <v>1841.2800000000002</v>
      </c>
      <c r="W391" s="15">
        <v>0</v>
      </c>
      <c r="X391" s="15">
        <v>0</v>
      </c>
      <c r="Y391" s="16">
        <v>0</v>
      </c>
      <c r="Z391" s="67" t="s">
        <v>26</v>
      </c>
      <c r="AA391" s="12" t="s">
        <v>31</v>
      </c>
    </row>
    <row r="392" spans="1:27" x14ac:dyDescent="0.25">
      <c r="A392" s="10">
        <v>45664</v>
      </c>
      <c r="B392" s="11" t="s">
        <v>1525</v>
      </c>
      <c r="C392" s="11" t="s">
        <v>1526</v>
      </c>
      <c r="D392" s="11" t="s">
        <v>26</v>
      </c>
      <c r="E392" s="11" t="s">
        <v>589</v>
      </c>
      <c r="F392" s="11" t="s">
        <v>26</v>
      </c>
      <c r="G392" s="11">
        <v>4564</v>
      </c>
      <c r="H392" s="12" t="s">
        <v>4423</v>
      </c>
      <c r="I392" s="12" t="s">
        <v>27</v>
      </c>
      <c r="J392" s="12" t="s">
        <v>33</v>
      </c>
      <c r="K392" s="12" t="s">
        <v>34</v>
      </c>
      <c r="L392" s="13">
        <v>36.299999999999997</v>
      </c>
      <c r="M392" s="13">
        <v>25</v>
      </c>
      <c r="N392" s="13">
        <v>1.452</v>
      </c>
      <c r="O392" s="13">
        <v>45</v>
      </c>
      <c r="P392" s="13" t="s">
        <v>30</v>
      </c>
      <c r="Q392" s="13">
        <v>0</v>
      </c>
      <c r="R392" s="14">
        <v>1633.4999999999998</v>
      </c>
      <c r="S392" s="15">
        <v>0</v>
      </c>
      <c r="T392" s="15">
        <v>0</v>
      </c>
      <c r="U392" s="15">
        <v>1633.4999999999998</v>
      </c>
      <c r="V392" s="15">
        <v>1633.4999999999998</v>
      </c>
      <c r="W392" s="15">
        <v>0</v>
      </c>
      <c r="X392" s="15">
        <v>0</v>
      </c>
      <c r="Y392" s="16">
        <v>0</v>
      </c>
      <c r="Z392" s="67" t="s">
        <v>26</v>
      </c>
      <c r="AA392" s="12" t="s">
        <v>31</v>
      </c>
    </row>
    <row r="393" spans="1:27" x14ac:dyDescent="0.25">
      <c r="A393" s="10">
        <v>45664</v>
      </c>
      <c r="B393" s="11" t="s">
        <v>703</v>
      </c>
      <c r="C393" s="11" t="s">
        <v>1527</v>
      </c>
      <c r="D393" s="11" t="s">
        <v>26</v>
      </c>
      <c r="E393" s="11" t="s">
        <v>75</v>
      </c>
      <c r="F393" s="11" t="s">
        <v>26</v>
      </c>
      <c r="G393" s="11">
        <v>42260</v>
      </c>
      <c r="H393" s="12" t="s">
        <v>565</v>
      </c>
      <c r="I393" s="12" t="s">
        <v>27</v>
      </c>
      <c r="J393" s="12" t="s">
        <v>42</v>
      </c>
      <c r="K393" s="12" t="s">
        <v>43</v>
      </c>
      <c r="L393" s="13">
        <v>43.2</v>
      </c>
      <c r="M393" s="13">
        <v>25</v>
      </c>
      <c r="N393" s="13">
        <v>1.728</v>
      </c>
      <c r="O393" s="13"/>
      <c r="P393" s="13">
        <v>64</v>
      </c>
      <c r="Q393" s="13">
        <v>0</v>
      </c>
      <c r="R393" s="15">
        <v>1600</v>
      </c>
      <c r="S393" s="15">
        <v>0</v>
      </c>
      <c r="T393" s="15">
        <v>0</v>
      </c>
      <c r="U393" s="15">
        <v>1600</v>
      </c>
      <c r="V393" s="15">
        <v>0</v>
      </c>
      <c r="W393" s="15">
        <v>1600</v>
      </c>
      <c r="X393" s="15">
        <v>0</v>
      </c>
      <c r="Y393" s="16">
        <v>0</v>
      </c>
      <c r="Z393" s="67" t="s">
        <v>26</v>
      </c>
      <c r="AA393" s="12" t="s">
        <v>31</v>
      </c>
    </row>
    <row r="394" spans="1:27" x14ac:dyDescent="0.25">
      <c r="A394" s="10">
        <v>45664</v>
      </c>
      <c r="B394" s="11" t="s">
        <v>614</v>
      </c>
      <c r="C394" s="11" t="s">
        <v>1528</v>
      </c>
      <c r="D394" s="11" t="s">
        <v>26</v>
      </c>
      <c r="E394" s="11" t="s">
        <v>59</v>
      </c>
      <c r="F394" s="11" t="s">
        <v>26</v>
      </c>
      <c r="G394" s="11">
        <v>111894</v>
      </c>
      <c r="H394" s="12" t="s">
        <v>4446</v>
      </c>
      <c r="I394" s="12" t="s">
        <v>27</v>
      </c>
      <c r="J394" s="12" t="s">
        <v>42</v>
      </c>
      <c r="K394" s="12" t="s">
        <v>43</v>
      </c>
      <c r="L394" s="13">
        <v>39.68</v>
      </c>
      <c r="M394" s="13">
        <v>25</v>
      </c>
      <c r="N394" s="13">
        <v>1.5871999999999999</v>
      </c>
      <c r="O394" s="13">
        <v>42</v>
      </c>
      <c r="P394" s="13" t="s">
        <v>30</v>
      </c>
      <c r="Q394" s="13">
        <v>0</v>
      </c>
      <c r="R394" s="14">
        <v>1666.56</v>
      </c>
      <c r="S394" s="15">
        <v>0</v>
      </c>
      <c r="T394" s="15">
        <v>0</v>
      </c>
      <c r="U394" s="15">
        <v>1666.56</v>
      </c>
      <c r="V394" s="15">
        <v>1666.56</v>
      </c>
      <c r="W394" s="15">
        <v>0</v>
      </c>
      <c r="X394" s="15">
        <v>0</v>
      </c>
      <c r="Y394" s="16">
        <v>0</v>
      </c>
      <c r="Z394" s="67" t="s">
        <v>26</v>
      </c>
      <c r="AA394" s="12" t="s">
        <v>31</v>
      </c>
    </row>
    <row r="395" spans="1:27" x14ac:dyDescent="0.25">
      <c r="A395" s="10">
        <v>45664</v>
      </c>
      <c r="B395" s="11" t="s">
        <v>1529</v>
      </c>
      <c r="C395" s="11" t="s">
        <v>1530</v>
      </c>
      <c r="D395" s="11" t="s">
        <v>26</v>
      </c>
      <c r="E395" s="11" t="s">
        <v>40</v>
      </c>
      <c r="F395" s="11" t="s">
        <v>26</v>
      </c>
      <c r="G395" s="11">
        <v>2434</v>
      </c>
      <c r="H395" s="12" t="s">
        <v>41</v>
      </c>
      <c r="I395" s="12" t="s">
        <v>27</v>
      </c>
      <c r="J395" s="12" t="s">
        <v>33</v>
      </c>
      <c r="K395" s="12" t="s">
        <v>34</v>
      </c>
      <c r="L395" s="13">
        <v>35.159999999999997</v>
      </c>
      <c r="M395" s="13">
        <v>25</v>
      </c>
      <c r="N395" s="13">
        <v>1.4064000000000001</v>
      </c>
      <c r="O395" s="13" t="s">
        <v>30</v>
      </c>
      <c r="P395" s="13">
        <v>60</v>
      </c>
      <c r="Q395" s="13">
        <v>0</v>
      </c>
      <c r="R395" s="15">
        <v>1500</v>
      </c>
      <c r="S395" s="15">
        <v>0</v>
      </c>
      <c r="T395" s="15">
        <v>0</v>
      </c>
      <c r="U395" s="15">
        <v>1500</v>
      </c>
      <c r="V395" s="15">
        <v>0</v>
      </c>
      <c r="W395" s="15">
        <v>1500</v>
      </c>
      <c r="X395" s="15">
        <v>0</v>
      </c>
      <c r="Y395" s="16">
        <v>0</v>
      </c>
      <c r="Z395" s="67" t="s">
        <v>26</v>
      </c>
      <c r="AA395" s="12" t="s">
        <v>31</v>
      </c>
    </row>
    <row r="396" spans="1:27" x14ac:dyDescent="0.25">
      <c r="A396" s="10">
        <v>45664</v>
      </c>
      <c r="B396" s="11" t="s">
        <v>1531</v>
      </c>
      <c r="C396" s="11" t="s">
        <v>1532</v>
      </c>
      <c r="D396" s="11" t="s">
        <v>26</v>
      </c>
      <c r="E396" s="11" t="s">
        <v>658</v>
      </c>
      <c r="F396" s="11" t="s">
        <v>26</v>
      </c>
      <c r="G396" s="11" t="s">
        <v>26</v>
      </c>
      <c r="H396" s="12" t="s">
        <v>146</v>
      </c>
      <c r="I396" s="12" t="s">
        <v>27</v>
      </c>
      <c r="J396" s="12" t="s">
        <v>47</v>
      </c>
      <c r="K396" s="12" t="s">
        <v>48</v>
      </c>
      <c r="L396" s="13">
        <v>41.54</v>
      </c>
      <c r="M396" s="13">
        <v>28</v>
      </c>
      <c r="N396" s="13">
        <v>1.483571428571429</v>
      </c>
      <c r="O396" s="13">
        <v>91</v>
      </c>
      <c r="P396" s="13" t="s">
        <v>30</v>
      </c>
      <c r="Q396" s="13">
        <v>0</v>
      </c>
      <c r="R396" s="15">
        <v>3780.14</v>
      </c>
      <c r="S396" s="15">
        <v>40</v>
      </c>
      <c r="T396" s="15">
        <v>1661.6</v>
      </c>
      <c r="U396" s="15">
        <v>2118.54</v>
      </c>
      <c r="V396" s="15">
        <v>2118.54</v>
      </c>
      <c r="W396" s="15">
        <v>0</v>
      </c>
      <c r="X396" s="15">
        <v>1495.44</v>
      </c>
      <c r="Y396" s="16">
        <v>166.15999999999985</v>
      </c>
      <c r="Z396" s="67" t="s">
        <v>141</v>
      </c>
      <c r="AA396" s="12" t="s">
        <v>79</v>
      </c>
    </row>
    <row r="397" spans="1:27" x14ac:dyDescent="0.25">
      <c r="A397" s="10">
        <v>45664</v>
      </c>
      <c r="B397" s="11" t="s">
        <v>1533</v>
      </c>
      <c r="C397" s="11" t="s">
        <v>1534</v>
      </c>
      <c r="D397" s="11" t="s">
        <v>26</v>
      </c>
      <c r="E397" s="11" t="s">
        <v>563</v>
      </c>
      <c r="F397" s="11" t="s">
        <v>26</v>
      </c>
      <c r="G397" s="11" t="s">
        <v>26</v>
      </c>
      <c r="H397" s="12" t="s">
        <v>4445</v>
      </c>
      <c r="I397" s="12" t="s">
        <v>55</v>
      </c>
      <c r="J397" s="12" t="s">
        <v>55</v>
      </c>
      <c r="K397" s="12" t="s">
        <v>56</v>
      </c>
      <c r="L397" s="13">
        <v>33.200000000000003</v>
      </c>
      <c r="M397" s="13">
        <v>20</v>
      </c>
      <c r="N397" s="13">
        <v>1.66</v>
      </c>
      <c r="O397" s="13" t="s">
        <v>30</v>
      </c>
      <c r="P397" s="13">
        <v>62</v>
      </c>
      <c r="Q397" s="13">
        <v>0</v>
      </c>
      <c r="R397" s="14">
        <v>1240</v>
      </c>
      <c r="S397" s="15">
        <v>37</v>
      </c>
      <c r="T397" s="15">
        <v>740</v>
      </c>
      <c r="U397" s="15">
        <v>500</v>
      </c>
      <c r="V397" s="15">
        <v>500</v>
      </c>
      <c r="W397" s="15">
        <v>0</v>
      </c>
      <c r="X397" s="15">
        <v>780</v>
      </c>
      <c r="Y397" s="16">
        <v>-40</v>
      </c>
      <c r="Z397" s="67" t="s">
        <v>141</v>
      </c>
      <c r="AA397" s="12" t="s">
        <v>445</v>
      </c>
    </row>
    <row r="398" spans="1:27" x14ac:dyDescent="0.25">
      <c r="A398" s="10">
        <v>45664</v>
      </c>
      <c r="B398" s="11" t="s">
        <v>1535</v>
      </c>
      <c r="C398" s="11" t="s">
        <v>1536</v>
      </c>
      <c r="D398" s="11" t="s">
        <v>26</v>
      </c>
      <c r="E398" s="11" t="s">
        <v>176</v>
      </c>
      <c r="F398" s="11" t="s">
        <v>26</v>
      </c>
      <c r="G398" s="11">
        <v>4393</v>
      </c>
      <c r="H398" s="12" t="s">
        <v>41</v>
      </c>
      <c r="I398" s="12" t="s">
        <v>55</v>
      </c>
      <c r="J398" s="12" t="s">
        <v>55</v>
      </c>
      <c r="K398" s="12" t="s">
        <v>56</v>
      </c>
      <c r="L398" s="13">
        <v>32.96</v>
      </c>
      <c r="M398" s="13">
        <v>20</v>
      </c>
      <c r="N398" s="13">
        <v>1.6479999999999999</v>
      </c>
      <c r="O398" s="13" t="s">
        <v>30</v>
      </c>
      <c r="P398" s="13">
        <v>24</v>
      </c>
      <c r="Q398" s="13">
        <v>0</v>
      </c>
      <c r="R398" s="15">
        <v>480</v>
      </c>
      <c r="S398" s="15">
        <v>0</v>
      </c>
      <c r="T398" s="15">
        <v>0</v>
      </c>
      <c r="U398" s="15">
        <v>480</v>
      </c>
      <c r="V398" s="15">
        <v>0</v>
      </c>
      <c r="W398" s="15">
        <v>480</v>
      </c>
      <c r="X398" s="15">
        <v>0</v>
      </c>
      <c r="Y398" s="16">
        <v>0</v>
      </c>
      <c r="Z398" s="67" t="s">
        <v>26</v>
      </c>
      <c r="AA398" s="12" t="s">
        <v>31</v>
      </c>
    </row>
    <row r="399" spans="1:27" x14ac:dyDescent="0.25">
      <c r="A399" s="10">
        <v>45664</v>
      </c>
      <c r="B399" s="11" t="s">
        <v>267</v>
      </c>
      <c r="C399" s="11" t="s">
        <v>1537</v>
      </c>
      <c r="D399" s="11" t="s">
        <v>26</v>
      </c>
      <c r="E399" s="11" t="s">
        <v>486</v>
      </c>
      <c r="F399" s="11" t="s">
        <v>26</v>
      </c>
      <c r="G399" s="11">
        <v>72866</v>
      </c>
      <c r="H399" s="12" t="s">
        <v>4448</v>
      </c>
      <c r="I399" s="12" t="s">
        <v>27</v>
      </c>
      <c r="J399" s="12" t="s">
        <v>42</v>
      </c>
      <c r="K399" s="12" t="s">
        <v>43</v>
      </c>
      <c r="L399" s="13">
        <v>41.02</v>
      </c>
      <c r="M399" s="13">
        <v>25</v>
      </c>
      <c r="N399" s="13">
        <v>1.6408</v>
      </c>
      <c r="O399" s="13">
        <v>42.5</v>
      </c>
      <c r="P399" s="13"/>
      <c r="Q399" s="13">
        <v>0</v>
      </c>
      <c r="R399" s="15">
        <v>1743.3500000000001</v>
      </c>
      <c r="S399" s="15">
        <v>0</v>
      </c>
      <c r="T399" s="15">
        <v>0</v>
      </c>
      <c r="U399" s="15">
        <v>1743.3500000000001</v>
      </c>
      <c r="V399" s="15">
        <v>1307.5125</v>
      </c>
      <c r="W399" s="15">
        <v>435.83750000000009</v>
      </c>
      <c r="X399" s="15">
        <v>0</v>
      </c>
      <c r="Y399" s="16">
        <v>0</v>
      </c>
      <c r="Z399" s="67" t="s">
        <v>26</v>
      </c>
      <c r="AA399" s="12" t="s">
        <v>31</v>
      </c>
    </row>
    <row r="400" spans="1:27" x14ac:dyDescent="0.25">
      <c r="A400" s="10">
        <v>45664</v>
      </c>
      <c r="B400" s="11" t="s">
        <v>1538</v>
      </c>
      <c r="C400" s="11" t="s">
        <v>1539</v>
      </c>
      <c r="D400" s="11" t="s">
        <v>26</v>
      </c>
      <c r="E400" s="11" t="s">
        <v>605</v>
      </c>
      <c r="F400" s="11" t="s">
        <v>26</v>
      </c>
      <c r="G400" s="11">
        <v>609</v>
      </c>
      <c r="H400" s="12" t="s">
        <v>141</v>
      </c>
      <c r="I400" s="12" t="s">
        <v>27</v>
      </c>
      <c r="J400" s="12" t="s">
        <v>33</v>
      </c>
      <c r="K400" s="12" t="s">
        <v>34</v>
      </c>
      <c r="L400" s="13">
        <v>39.56</v>
      </c>
      <c r="M400" s="13">
        <v>27</v>
      </c>
      <c r="N400" s="13">
        <v>1.4651851851851849</v>
      </c>
      <c r="O400" s="13">
        <v>40</v>
      </c>
      <c r="P400" s="13" t="s">
        <v>30</v>
      </c>
      <c r="Q400" s="13">
        <v>0</v>
      </c>
      <c r="R400" s="14">
        <v>1582.4</v>
      </c>
      <c r="S400" s="15">
        <v>0</v>
      </c>
      <c r="T400" s="15">
        <v>0</v>
      </c>
      <c r="U400" s="15">
        <v>1582.4</v>
      </c>
      <c r="V400" s="15">
        <v>0</v>
      </c>
      <c r="W400" s="15">
        <v>1582.4</v>
      </c>
      <c r="X400" s="15">
        <v>0</v>
      </c>
      <c r="Y400" s="16">
        <v>0</v>
      </c>
      <c r="Z400" s="67" t="s">
        <v>26</v>
      </c>
      <c r="AA400" s="12" t="s">
        <v>31</v>
      </c>
    </row>
    <row r="401" spans="1:27" x14ac:dyDescent="0.25">
      <c r="A401" s="10">
        <v>45664</v>
      </c>
      <c r="B401" s="11" t="s">
        <v>1540</v>
      </c>
      <c r="C401" s="11" t="s">
        <v>1541</v>
      </c>
      <c r="D401" s="11" t="s">
        <v>26</v>
      </c>
      <c r="E401" s="11" t="s">
        <v>1200</v>
      </c>
      <c r="F401" s="11" t="s">
        <v>26</v>
      </c>
      <c r="G401" s="11">
        <v>967</v>
      </c>
      <c r="H401" s="12" t="s">
        <v>163</v>
      </c>
      <c r="I401" s="12" t="s">
        <v>27</v>
      </c>
      <c r="J401" s="12" t="s">
        <v>33</v>
      </c>
      <c r="K401" s="12" t="s">
        <v>34</v>
      </c>
      <c r="L401" s="13">
        <v>37.46</v>
      </c>
      <c r="M401" s="13">
        <v>25</v>
      </c>
      <c r="N401" s="13">
        <v>1.4984</v>
      </c>
      <c r="O401" s="13" t="s">
        <v>30</v>
      </c>
      <c r="P401" s="13">
        <v>58</v>
      </c>
      <c r="Q401" s="13">
        <v>0</v>
      </c>
      <c r="R401" s="14">
        <v>1450</v>
      </c>
      <c r="S401" s="15">
        <v>0</v>
      </c>
      <c r="T401" s="15">
        <v>0</v>
      </c>
      <c r="U401" s="15">
        <v>1450</v>
      </c>
      <c r="V401" s="15">
        <v>0</v>
      </c>
      <c r="W401" s="15">
        <v>1450</v>
      </c>
      <c r="X401" s="15">
        <v>0</v>
      </c>
      <c r="Y401" s="16">
        <v>0</v>
      </c>
      <c r="Z401" s="67" t="s">
        <v>26</v>
      </c>
      <c r="AA401" s="12" t="s">
        <v>31</v>
      </c>
    </row>
    <row r="402" spans="1:27" x14ac:dyDescent="0.25">
      <c r="A402" s="10">
        <v>45664</v>
      </c>
      <c r="B402" s="11" t="s">
        <v>1542</v>
      </c>
      <c r="C402" s="11" t="s">
        <v>1543</v>
      </c>
      <c r="D402" s="11" t="s">
        <v>26</v>
      </c>
      <c r="E402" s="11" t="s">
        <v>525</v>
      </c>
      <c r="F402" s="11" t="s">
        <v>26</v>
      </c>
      <c r="G402" s="11">
        <v>76548</v>
      </c>
      <c r="H402" s="12" t="s">
        <v>4448</v>
      </c>
      <c r="I402" s="12" t="s">
        <v>27</v>
      </c>
      <c r="J402" s="12" t="s">
        <v>42</v>
      </c>
      <c r="K402" s="12" t="s">
        <v>43</v>
      </c>
      <c r="L402" s="13">
        <v>44.86</v>
      </c>
      <c r="M402" s="13">
        <v>25</v>
      </c>
      <c r="N402" s="13">
        <v>1.7944</v>
      </c>
      <c r="O402" s="13">
        <v>42.5</v>
      </c>
      <c r="P402" s="13"/>
      <c r="Q402" s="13">
        <v>0</v>
      </c>
      <c r="R402" s="14">
        <v>1906.55</v>
      </c>
      <c r="S402" s="15">
        <v>0</v>
      </c>
      <c r="T402" s="15">
        <v>0</v>
      </c>
      <c r="U402" s="15">
        <v>1906.55</v>
      </c>
      <c r="V402" s="15">
        <v>1429.9124999999999</v>
      </c>
      <c r="W402" s="15">
        <v>476.63750000000005</v>
      </c>
      <c r="X402" s="15">
        <v>0</v>
      </c>
      <c r="Y402" s="16">
        <v>0</v>
      </c>
      <c r="Z402" s="67" t="s">
        <v>26</v>
      </c>
      <c r="AA402" s="12" t="s">
        <v>31</v>
      </c>
    </row>
    <row r="403" spans="1:27" x14ac:dyDescent="0.25">
      <c r="A403" s="10">
        <v>45664</v>
      </c>
      <c r="B403" s="11" t="s">
        <v>1544</v>
      </c>
      <c r="C403" s="11" t="s">
        <v>1545</v>
      </c>
      <c r="D403" s="11" t="s">
        <v>26</v>
      </c>
      <c r="E403" s="11" t="s">
        <v>604</v>
      </c>
      <c r="F403" s="11" t="s">
        <v>26</v>
      </c>
      <c r="G403" s="11" t="s">
        <v>26</v>
      </c>
      <c r="H403" s="12" t="s">
        <v>146</v>
      </c>
      <c r="I403" s="12" t="s">
        <v>27</v>
      </c>
      <c r="J403" s="12" t="s">
        <v>47</v>
      </c>
      <c r="K403" s="12" t="s">
        <v>48</v>
      </c>
      <c r="L403" s="13">
        <v>39.119999999999997</v>
      </c>
      <c r="M403" s="13">
        <v>27</v>
      </c>
      <c r="N403" s="13">
        <v>1.4488888888888889</v>
      </c>
      <c r="O403" s="13">
        <v>91</v>
      </c>
      <c r="P403" s="13" t="s">
        <v>30</v>
      </c>
      <c r="Q403" s="13">
        <v>0</v>
      </c>
      <c r="R403" s="14">
        <v>3559.9199999999996</v>
      </c>
      <c r="S403" s="15">
        <v>40</v>
      </c>
      <c r="T403" s="15">
        <v>1564.8</v>
      </c>
      <c r="U403" s="15">
        <v>1995.1199999999997</v>
      </c>
      <c r="V403" s="15">
        <v>1995.1199999999997</v>
      </c>
      <c r="W403" s="15">
        <v>0</v>
      </c>
      <c r="X403" s="15">
        <v>1408.32</v>
      </c>
      <c r="Y403" s="16">
        <v>156.48000000000002</v>
      </c>
      <c r="Z403" s="67" t="s">
        <v>141</v>
      </c>
      <c r="AA403" s="12" t="s">
        <v>79</v>
      </c>
    </row>
    <row r="404" spans="1:27" x14ac:dyDescent="0.25">
      <c r="A404" s="10">
        <v>45664</v>
      </c>
      <c r="B404" s="11" t="s">
        <v>189</v>
      </c>
      <c r="C404" s="11" t="s">
        <v>1546</v>
      </c>
      <c r="D404" s="11" t="s">
        <v>26</v>
      </c>
      <c r="E404" s="11" t="s">
        <v>80</v>
      </c>
      <c r="F404" s="11" t="s">
        <v>26</v>
      </c>
      <c r="G404" s="11">
        <v>10280</v>
      </c>
      <c r="H404" s="12" t="s">
        <v>140</v>
      </c>
      <c r="I404" s="12" t="s">
        <v>27</v>
      </c>
      <c r="J404" s="12" t="s">
        <v>42</v>
      </c>
      <c r="K404" s="12" t="s">
        <v>43</v>
      </c>
      <c r="L404" s="13">
        <v>41.88</v>
      </c>
      <c r="M404" s="13">
        <v>25</v>
      </c>
      <c r="N404" s="13">
        <v>1.6752</v>
      </c>
      <c r="O404" s="13">
        <v>35</v>
      </c>
      <c r="P404" s="13"/>
      <c r="Q404" s="13">
        <v>0</v>
      </c>
      <c r="R404" s="15">
        <v>1465.8000000000002</v>
      </c>
      <c r="S404" s="15">
        <v>0</v>
      </c>
      <c r="T404" s="15">
        <v>0</v>
      </c>
      <c r="U404" s="15">
        <v>1465.8000000000002</v>
      </c>
      <c r="V404" s="15">
        <v>0</v>
      </c>
      <c r="W404" s="15">
        <v>1465.8000000000002</v>
      </c>
      <c r="X404" s="15">
        <v>0</v>
      </c>
      <c r="Y404" s="16">
        <v>0</v>
      </c>
      <c r="Z404" s="67" t="s">
        <v>26</v>
      </c>
      <c r="AA404" s="12" t="s">
        <v>31</v>
      </c>
    </row>
    <row r="405" spans="1:27" x14ac:dyDescent="0.25">
      <c r="A405" s="10">
        <v>45664</v>
      </c>
      <c r="B405" s="11" t="s">
        <v>1547</v>
      </c>
      <c r="C405" s="11" t="s">
        <v>1548</v>
      </c>
      <c r="D405" s="11" t="s">
        <v>26</v>
      </c>
      <c r="E405" s="11" t="s">
        <v>87</v>
      </c>
      <c r="F405" s="11" t="s">
        <v>26</v>
      </c>
      <c r="G405" s="11">
        <v>32355</v>
      </c>
      <c r="H405" s="12" t="s">
        <v>4423</v>
      </c>
      <c r="I405" s="12" t="s">
        <v>27</v>
      </c>
      <c r="J405" s="12" t="s">
        <v>33</v>
      </c>
      <c r="K405" s="12" t="s">
        <v>34</v>
      </c>
      <c r="L405" s="13">
        <v>34.74</v>
      </c>
      <c r="M405" s="13">
        <v>25</v>
      </c>
      <c r="N405" s="13">
        <v>1.3895999999999999</v>
      </c>
      <c r="O405" s="13">
        <v>45</v>
      </c>
      <c r="P405" s="13" t="s">
        <v>30</v>
      </c>
      <c r="Q405" s="13">
        <v>0</v>
      </c>
      <c r="R405" s="15">
        <v>1563.3000000000002</v>
      </c>
      <c r="S405" s="15">
        <v>0</v>
      </c>
      <c r="T405" s="15">
        <v>0</v>
      </c>
      <c r="U405" s="15">
        <v>1563.3000000000002</v>
      </c>
      <c r="V405" s="15">
        <v>1563.3000000000002</v>
      </c>
      <c r="W405" s="15">
        <v>0</v>
      </c>
      <c r="X405" s="15">
        <v>0</v>
      </c>
      <c r="Y405" s="16">
        <v>0</v>
      </c>
      <c r="Z405" s="67" t="s">
        <v>26</v>
      </c>
      <c r="AA405" s="12" t="s">
        <v>31</v>
      </c>
    </row>
    <row r="406" spans="1:27" x14ac:dyDescent="0.25">
      <c r="A406" s="10">
        <v>45664</v>
      </c>
      <c r="B406" s="11" t="s">
        <v>1549</v>
      </c>
      <c r="C406" s="11" t="s">
        <v>1550</v>
      </c>
      <c r="D406" s="11" t="s">
        <v>26</v>
      </c>
      <c r="E406" s="11" t="s">
        <v>230</v>
      </c>
      <c r="F406" s="11" t="s">
        <v>26</v>
      </c>
      <c r="G406" s="11">
        <v>23124</v>
      </c>
      <c r="H406" s="12" t="s">
        <v>565</v>
      </c>
      <c r="I406" s="12" t="s">
        <v>27</v>
      </c>
      <c r="J406" s="12" t="s">
        <v>33</v>
      </c>
      <c r="K406" s="12" t="s">
        <v>34</v>
      </c>
      <c r="L406" s="13">
        <v>40.840000000000003</v>
      </c>
      <c r="M406" s="13">
        <v>28</v>
      </c>
      <c r="N406" s="13">
        <v>1.4585714285714291</v>
      </c>
      <c r="O406" s="13"/>
      <c r="P406" s="13">
        <v>60</v>
      </c>
      <c r="Q406" s="13">
        <v>0</v>
      </c>
      <c r="R406" s="15">
        <v>1680</v>
      </c>
      <c r="S406" s="15">
        <v>0</v>
      </c>
      <c r="T406" s="15">
        <v>0</v>
      </c>
      <c r="U406" s="15">
        <v>1680</v>
      </c>
      <c r="V406" s="15">
        <v>0</v>
      </c>
      <c r="W406" s="15">
        <v>1680</v>
      </c>
      <c r="X406" s="15">
        <v>0</v>
      </c>
      <c r="Y406" s="16">
        <v>0</v>
      </c>
      <c r="Z406" s="67" t="s">
        <v>26</v>
      </c>
      <c r="AA406" s="12" t="s">
        <v>31</v>
      </c>
    </row>
    <row r="407" spans="1:27" x14ac:dyDescent="0.25">
      <c r="A407" s="10">
        <v>45664</v>
      </c>
      <c r="B407" s="11" t="s">
        <v>749</v>
      </c>
      <c r="C407" s="11" t="s">
        <v>1551</v>
      </c>
      <c r="D407" s="11" t="s">
        <v>26</v>
      </c>
      <c r="E407" s="11" t="s">
        <v>486</v>
      </c>
      <c r="F407" s="11" t="s">
        <v>26</v>
      </c>
      <c r="G407" s="11">
        <v>72867</v>
      </c>
      <c r="H407" s="12" t="s">
        <v>4448</v>
      </c>
      <c r="I407" s="12" t="s">
        <v>27</v>
      </c>
      <c r="J407" s="12" t="s">
        <v>42</v>
      </c>
      <c r="K407" s="12" t="s">
        <v>43</v>
      </c>
      <c r="L407" s="13">
        <v>42.32</v>
      </c>
      <c r="M407" s="13">
        <v>25</v>
      </c>
      <c r="N407" s="13">
        <v>1.6928000000000001</v>
      </c>
      <c r="O407" s="13">
        <v>42.5</v>
      </c>
      <c r="P407" s="13"/>
      <c r="Q407" s="13">
        <v>0</v>
      </c>
      <c r="R407" s="14">
        <v>1798.6</v>
      </c>
      <c r="S407" s="15">
        <v>0</v>
      </c>
      <c r="T407" s="15">
        <v>0</v>
      </c>
      <c r="U407" s="15">
        <v>1798.6</v>
      </c>
      <c r="V407" s="15">
        <v>1348.9499999999998</v>
      </c>
      <c r="W407" s="15">
        <v>449.65000000000009</v>
      </c>
      <c r="X407" s="15">
        <v>0</v>
      </c>
      <c r="Y407" s="16">
        <v>0</v>
      </c>
      <c r="Z407" s="67" t="s">
        <v>26</v>
      </c>
      <c r="AA407" s="12" t="s">
        <v>31</v>
      </c>
    </row>
    <row r="408" spans="1:27" x14ac:dyDescent="0.25">
      <c r="A408" s="10">
        <v>45664</v>
      </c>
      <c r="B408" s="11" t="s">
        <v>1552</v>
      </c>
      <c r="C408" s="11" t="s">
        <v>1553</v>
      </c>
      <c r="D408" s="11" t="s">
        <v>26</v>
      </c>
      <c r="E408" s="11" t="s">
        <v>57</v>
      </c>
      <c r="F408" s="11" t="s">
        <v>26</v>
      </c>
      <c r="G408" s="11" t="s">
        <v>26</v>
      </c>
      <c r="H408" s="12" t="s">
        <v>4422</v>
      </c>
      <c r="I408" s="12" t="s">
        <v>27</v>
      </c>
      <c r="J408" s="12" t="s">
        <v>47</v>
      </c>
      <c r="K408" s="12" t="s">
        <v>48</v>
      </c>
      <c r="L408" s="13">
        <v>40.4</v>
      </c>
      <c r="M408" s="13">
        <v>28</v>
      </c>
      <c r="N408" s="13">
        <v>1.4428571428571431</v>
      </c>
      <c r="O408" s="13">
        <v>87</v>
      </c>
      <c r="P408" s="13" t="s">
        <v>30</v>
      </c>
      <c r="Q408" s="13">
        <v>0</v>
      </c>
      <c r="R408" s="14">
        <v>3514.7999999999997</v>
      </c>
      <c r="S408" s="15">
        <v>38</v>
      </c>
      <c r="T408" s="15">
        <v>1535.2</v>
      </c>
      <c r="U408" s="15">
        <v>1979.5999999999997</v>
      </c>
      <c r="V408" s="15">
        <v>1979.5999999999997</v>
      </c>
      <c r="W408" s="15">
        <v>0</v>
      </c>
      <c r="X408" s="15">
        <v>1494.8</v>
      </c>
      <c r="Y408" s="16">
        <v>40.400000000000091</v>
      </c>
      <c r="Z408" s="67" t="s">
        <v>41</v>
      </c>
      <c r="AA408" s="12" t="s">
        <v>78</v>
      </c>
    </row>
    <row r="409" spans="1:27" x14ac:dyDescent="0.25">
      <c r="A409" s="10">
        <v>45664</v>
      </c>
      <c r="B409" s="11" t="s">
        <v>1554</v>
      </c>
      <c r="C409" s="11" t="s">
        <v>1555</v>
      </c>
      <c r="D409" s="11" t="s">
        <v>26</v>
      </c>
      <c r="E409" s="11" t="s">
        <v>539</v>
      </c>
      <c r="F409" s="11" t="s">
        <v>26</v>
      </c>
      <c r="G409" s="11">
        <v>2294</v>
      </c>
      <c r="H409" s="12" t="s">
        <v>41</v>
      </c>
      <c r="I409" s="12" t="s">
        <v>27</v>
      </c>
      <c r="J409" s="12" t="s">
        <v>33</v>
      </c>
      <c r="K409" s="12" t="s">
        <v>34</v>
      </c>
      <c r="L409" s="13">
        <v>37.24</v>
      </c>
      <c r="M409" s="13">
        <v>25</v>
      </c>
      <c r="N409" s="13">
        <v>1.4896</v>
      </c>
      <c r="O409" s="13" t="s">
        <v>30</v>
      </c>
      <c r="P409" s="13">
        <v>60</v>
      </c>
      <c r="Q409" s="13">
        <v>0</v>
      </c>
      <c r="R409" s="14">
        <v>1500</v>
      </c>
      <c r="S409" s="15">
        <v>0</v>
      </c>
      <c r="T409" s="15">
        <v>0</v>
      </c>
      <c r="U409" s="15">
        <v>1500</v>
      </c>
      <c r="V409" s="15">
        <v>0</v>
      </c>
      <c r="W409" s="15">
        <v>1500</v>
      </c>
      <c r="X409" s="15">
        <v>0</v>
      </c>
      <c r="Y409" s="16">
        <v>0</v>
      </c>
      <c r="Z409" s="67" t="s">
        <v>26</v>
      </c>
      <c r="AA409" s="12" t="s">
        <v>31</v>
      </c>
    </row>
    <row r="410" spans="1:27" x14ac:dyDescent="0.25">
      <c r="A410" s="10">
        <v>45664</v>
      </c>
      <c r="B410" s="11" t="s">
        <v>1556</v>
      </c>
      <c r="C410" s="11" t="s">
        <v>1557</v>
      </c>
      <c r="D410" s="11" t="s">
        <v>26</v>
      </c>
      <c r="E410" s="11" t="s">
        <v>65</v>
      </c>
      <c r="F410" s="11" t="s">
        <v>26</v>
      </c>
      <c r="G410" s="11">
        <v>1550</v>
      </c>
      <c r="H410" s="12" t="s">
        <v>66</v>
      </c>
      <c r="I410" s="12" t="s">
        <v>27</v>
      </c>
      <c r="J410" s="12" t="s">
        <v>33</v>
      </c>
      <c r="K410" s="12" t="s">
        <v>34</v>
      </c>
      <c r="L410" s="13">
        <v>37.42</v>
      </c>
      <c r="M410" s="13">
        <v>25</v>
      </c>
      <c r="N410" s="13">
        <v>1.4967999999999999</v>
      </c>
      <c r="O410" s="13" t="s">
        <v>30</v>
      </c>
      <c r="P410" s="13">
        <v>72</v>
      </c>
      <c r="Q410" s="13">
        <v>0</v>
      </c>
      <c r="R410" s="14">
        <v>1800</v>
      </c>
      <c r="S410" s="15">
        <v>0</v>
      </c>
      <c r="T410" s="15">
        <v>0</v>
      </c>
      <c r="U410" s="15">
        <v>1800</v>
      </c>
      <c r="V410" s="15">
        <v>1800</v>
      </c>
      <c r="W410" s="15">
        <v>0</v>
      </c>
      <c r="X410" s="15">
        <v>0</v>
      </c>
      <c r="Y410" s="16">
        <v>0</v>
      </c>
      <c r="Z410" s="67" t="s">
        <v>26</v>
      </c>
      <c r="AA410" s="12" t="s">
        <v>31</v>
      </c>
    </row>
    <row r="411" spans="1:27" x14ac:dyDescent="0.25">
      <c r="A411" s="10">
        <v>45664</v>
      </c>
      <c r="B411" s="11" t="s">
        <v>1558</v>
      </c>
      <c r="C411" s="11" t="s">
        <v>1559</v>
      </c>
      <c r="D411" s="11" t="s">
        <v>26</v>
      </c>
      <c r="E411" s="11" t="s">
        <v>98</v>
      </c>
      <c r="F411" s="11" t="s">
        <v>26</v>
      </c>
      <c r="G411" s="11">
        <v>10126</v>
      </c>
      <c r="H411" s="12" t="s">
        <v>140</v>
      </c>
      <c r="I411" s="12" t="s">
        <v>27</v>
      </c>
      <c r="J411" s="12" t="s">
        <v>42</v>
      </c>
      <c r="K411" s="12" t="s">
        <v>43</v>
      </c>
      <c r="L411" s="13">
        <v>42.2</v>
      </c>
      <c r="M411" s="13">
        <v>25</v>
      </c>
      <c r="N411" s="13">
        <v>1.6879999999999999</v>
      </c>
      <c r="O411" s="13">
        <v>35</v>
      </c>
      <c r="P411" s="13"/>
      <c r="Q411" s="13">
        <v>0</v>
      </c>
      <c r="R411" s="14">
        <v>1477</v>
      </c>
      <c r="S411" s="15">
        <v>0</v>
      </c>
      <c r="T411" s="15">
        <v>0</v>
      </c>
      <c r="U411" s="15">
        <v>1477</v>
      </c>
      <c r="V411" s="15">
        <v>0</v>
      </c>
      <c r="W411" s="15">
        <v>1477</v>
      </c>
      <c r="X411" s="15">
        <v>0</v>
      </c>
      <c r="Y411" s="16">
        <v>0</v>
      </c>
      <c r="Z411" s="67" t="s">
        <v>26</v>
      </c>
      <c r="AA411" s="12" t="s">
        <v>31</v>
      </c>
    </row>
    <row r="412" spans="1:27" x14ac:dyDescent="0.25">
      <c r="A412" s="10">
        <v>45664</v>
      </c>
      <c r="B412" s="11" t="s">
        <v>1560</v>
      </c>
      <c r="C412" s="11" t="s">
        <v>1561</v>
      </c>
      <c r="D412" s="11" t="s">
        <v>26</v>
      </c>
      <c r="E412" s="11" t="s">
        <v>246</v>
      </c>
      <c r="F412" s="11" t="s">
        <v>26</v>
      </c>
      <c r="G412" s="11">
        <v>2037</v>
      </c>
      <c r="H412" s="12" t="s">
        <v>41</v>
      </c>
      <c r="I412" s="12" t="s">
        <v>27</v>
      </c>
      <c r="J412" s="12" t="s">
        <v>33</v>
      </c>
      <c r="K412" s="12" t="s">
        <v>34</v>
      </c>
      <c r="L412" s="13">
        <v>36.020000000000003</v>
      </c>
      <c r="M412" s="13">
        <v>24</v>
      </c>
      <c r="N412" s="13">
        <v>1.500833333333333</v>
      </c>
      <c r="O412" s="13" t="s">
        <v>30</v>
      </c>
      <c r="P412" s="13">
        <v>60</v>
      </c>
      <c r="Q412" s="13">
        <v>0</v>
      </c>
      <c r="R412" s="14">
        <v>1440</v>
      </c>
      <c r="S412" s="15">
        <v>0</v>
      </c>
      <c r="T412" s="15">
        <v>0</v>
      </c>
      <c r="U412" s="15">
        <v>1440</v>
      </c>
      <c r="V412" s="15">
        <v>0</v>
      </c>
      <c r="W412" s="15">
        <v>1440</v>
      </c>
      <c r="X412" s="15">
        <v>0</v>
      </c>
      <c r="Y412" s="16">
        <v>0</v>
      </c>
      <c r="Z412" s="67" t="s">
        <v>26</v>
      </c>
      <c r="AA412" s="12" t="s">
        <v>31</v>
      </c>
    </row>
    <row r="413" spans="1:27" x14ac:dyDescent="0.25">
      <c r="A413" s="10">
        <v>45664</v>
      </c>
      <c r="B413" s="11" t="s">
        <v>1562</v>
      </c>
      <c r="C413" s="11" t="s">
        <v>1563</v>
      </c>
      <c r="D413" s="11" t="s">
        <v>26</v>
      </c>
      <c r="E413" s="11" t="s">
        <v>582</v>
      </c>
      <c r="F413" s="11" t="s">
        <v>26</v>
      </c>
      <c r="G413" s="11">
        <v>111900</v>
      </c>
      <c r="H413" s="12" t="s">
        <v>4446</v>
      </c>
      <c r="I413" s="12" t="s">
        <v>27</v>
      </c>
      <c r="J413" s="12" t="s">
        <v>33</v>
      </c>
      <c r="K413" s="12" t="s">
        <v>34</v>
      </c>
      <c r="L413" s="13">
        <v>38.18</v>
      </c>
      <c r="M413" s="13">
        <v>25</v>
      </c>
      <c r="N413" s="13">
        <v>1.5271999999999999</v>
      </c>
      <c r="O413" s="13">
        <v>44</v>
      </c>
      <c r="P413" s="13" t="s">
        <v>30</v>
      </c>
      <c r="Q413" s="13">
        <v>0</v>
      </c>
      <c r="R413" s="14">
        <v>1679.92</v>
      </c>
      <c r="S413" s="15">
        <v>0</v>
      </c>
      <c r="T413" s="15">
        <v>0</v>
      </c>
      <c r="U413" s="15">
        <v>1679.92</v>
      </c>
      <c r="V413" s="15">
        <v>1679.92</v>
      </c>
      <c r="W413" s="15">
        <v>0</v>
      </c>
      <c r="X413" s="15">
        <v>0</v>
      </c>
      <c r="Y413" s="16">
        <v>0</v>
      </c>
      <c r="Z413" s="67" t="s">
        <v>26</v>
      </c>
      <c r="AA413" s="12" t="s">
        <v>31</v>
      </c>
    </row>
    <row r="414" spans="1:27" x14ac:dyDescent="0.25">
      <c r="A414" s="10">
        <v>45664</v>
      </c>
      <c r="B414" s="11" t="s">
        <v>471</v>
      </c>
      <c r="C414" s="11" t="s">
        <v>1564</v>
      </c>
      <c r="D414" s="11" t="s">
        <v>26</v>
      </c>
      <c r="E414" s="11" t="s">
        <v>519</v>
      </c>
      <c r="F414" s="11" t="s">
        <v>26</v>
      </c>
      <c r="G414" s="11">
        <v>77392</v>
      </c>
      <c r="H414" s="12" t="s">
        <v>4448</v>
      </c>
      <c r="I414" s="12" t="s">
        <v>27</v>
      </c>
      <c r="J414" s="12" t="s">
        <v>42</v>
      </c>
      <c r="K414" s="12" t="s">
        <v>43</v>
      </c>
      <c r="L414" s="13">
        <v>41.86</v>
      </c>
      <c r="M414" s="13">
        <v>25</v>
      </c>
      <c r="N414" s="13">
        <v>1.6744000000000001</v>
      </c>
      <c r="O414" s="13">
        <v>42.5</v>
      </c>
      <c r="P414" s="13"/>
      <c r="Q414" s="13">
        <v>0</v>
      </c>
      <c r="R414" s="15">
        <v>1779.05</v>
      </c>
      <c r="S414" s="15">
        <v>0</v>
      </c>
      <c r="T414" s="15">
        <v>0</v>
      </c>
      <c r="U414" s="15">
        <v>1779.05</v>
      </c>
      <c r="V414" s="15">
        <v>1334.2874999999999</v>
      </c>
      <c r="W414" s="15">
        <v>444.76250000000005</v>
      </c>
      <c r="X414" s="15">
        <v>0</v>
      </c>
      <c r="Y414" s="16">
        <v>0</v>
      </c>
      <c r="Z414" s="67" t="s">
        <v>26</v>
      </c>
      <c r="AA414" s="12" t="s">
        <v>31</v>
      </c>
    </row>
    <row r="415" spans="1:27" x14ac:dyDescent="0.25">
      <c r="A415" s="10">
        <v>45664</v>
      </c>
      <c r="B415" s="11" t="s">
        <v>1565</v>
      </c>
      <c r="C415" s="11" t="s">
        <v>1566</v>
      </c>
      <c r="D415" s="11" t="s">
        <v>26</v>
      </c>
      <c r="E415" s="11" t="s">
        <v>501</v>
      </c>
      <c r="F415" s="11" t="s">
        <v>26</v>
      </c>
      <c r="G415" s="11">
        <v>610</v>
      </c>
      <c r="H415" s="12" t="s">
        <v>141</v>
      </c>
      <c r="I415" s="12" t="s">
        <v>27</v>
      </c>
      <c r="J415" s="12" t="s">
        <v>47</v>
      </c>
      <c r="K415" s="12" t="s">
        <v>48</v>
      </c>
      <c r="L415" s="13">
        <v>43.34</v>
      </c>
      <c r="M415" s="13">
        <v>30</v>
      </c>
      <c r="N415" s="13">
        <v>1.444666666666667</v>
      </c>
      <c r="O415" s="13">
        <v>40</v>
      </c>
      <c r="P415" s="13" t="s">
        <v>30</v>
      </c>
      <c r="Q415" s="13">
        <v>0</v>
      </c>
      <c r="R415" s="15">
        <v>1733.6000000000001</v>
      </c>
      <c r="S415" s="15">
        <v>0</v>
      </c>
      <c r="T415" s="15">
        <v>0</v>
      </c>
      <c r="U415" s="15">
        <v>1733.6000000000001</v>
      </c>
      <c r="V415" s="15">
        <v>0</v>
      </c>
      <c r="W415" s="15">
        <v>1733.6000000000001</v>
      </c>
      <c r="X415" s="15">
        <v>0</v>
      </c>
      <c r="Y415" s="16">
        <v>0</v>
      </c>
      <c r="Z415" s="67" t="s">
        <v>26</v>
      </c>
      <c r="AA415" s="12" t="s">
        <v>31</v>
      </c>
    </row>
    <row r="416" spans="1:27" x14ac:dyDescent="0.25">
      <c r="A416" s="10">
        <v>45664</v>
      </c>
      <c r="B416" s="11" t="s">
        <v>1567</v>
      </c>
      <c r="C416" s="11" t="s">
        <v>1568</v>
      </c>
      <c r="D416" s="11" t="s">
        <v>26</v>
      </c>
      <c r="E416" s="11" t="s">
        <v>563</v>
      </c>
      <c r="F416" s="11" t="s">
        <v>26</v>
      </c>
      <c r="G416" s="11">
        <v>611</v>
      </c>
      <c r="H416" s="12" t="s">
        <v>141</v>
      </c>
      <c r="I416" s="12" t="s">
        <v>27</v>
      </c>
      <c r="J416" s="12" t="s">
        <v>33</v>
      </c>
      <c r="K416" s="12" t="s">
        <v>34</v>
      </c>
      <c r="L416" s="13">
        <v>32.04</v>
      </c>
      <c r="M416" s="13">
        <v>22</v>
      </c>
      <c r="N416" s="13">
        <v>1.4563636363636361</v>
      </c>
      <c r="O416" s="13">
        <v>40</v>
      </c>
      <c r="P416" s="13" t="s">
        <v>30</v>
      </c>
      <c r="Q416" s="13">
        <v>0</v>
      </c>
      <c r="R416" s="15">
        <v>1281.5999999999999</v>
      </c>
      <c r="S416" s="15">
        <v>0</v>
      </c>
      <c r="T416" s="15">
        <v>0</v>
      </c>
      <c r="U416" s="15">
        <v>1281.5999999999999</v>
      </c>
      <c r="V416" s="15">
        <v>0</v>
      </c>
      <c r="W416" s="15">
        <v>1281.5999999999999</v>
      </c>
      <c r="X416" s="15">
        <v>0</v>
      </c>
      <c r="Y416" s="16">
        <v>0</v>
      </c>
      <c r="Z416" s="67" t="s">
        <v>26</v>
      </c>
      <c r="AA416" s="12" t="s">
        <v>31</v>
      </c>
    </row>
    <row r="417" spans="1:27" x14ac:dyDescent="0.25">
      <c r="A417" s="10">
        <v>45664</v>
      </c>
      <c r="B417" s="11" t="s">
        <v>448</v>
      </c>
      <c r="C417" s="11" t="s">
        <v>1569</v>
      </c>
      <c r="D417" s="11" t="s">
        <v>26</v>
      </c>
      <c r="E417" s="11" t="s">
        <v>1200</v>
      </c>
      <c r="F417" s="11" t="s">
        <v>26</v>
      </c>
      <c r="G417" s="11">
        <v>968</v>
      </c>
      <c r="H417" s="12" t="s">
        <v>163</v>
      </c>
      <c r="I417" s="12" t="s">
        <v>27</v>
      </c>
      <c r="J417" s="12" t="s">
        <v>42</v>
      </c>
      <c r="K417" s="12" t="s">
        <v>43</v>
      </c>
      <c r="L417" s="13">
        <v>41.68</v>
      </c>
      <c r="M417" s="13">
        <v>25</v>
      </c>
      <c r="N417" s="13">
        <v>1.6672</v>
      </c>
      <c r="O417" s="13" t="s">
        <v>30</v>
      </c>
      <c r="P417" s="13">
        <v>56</v>
      </c>
      <c r="Q417" s="13">
        <v>0</v>
      </c>
      <c r="R417" s="15">
        <v>1400</v>
      </c>
      <c r="S417" s="15">
        <v>0</v>
      </c>
      <c r="T417" s="15">
        <v>0</v>
      </c>
      <c r="U417" s="15">
        <v>1400</v>
      </c>
      <c r="V417" s="15">
        <v>0</v>
      </c>
      <c r="W417" s="15">
        <v>1400</v>
      </c>
      <c r="X417" s="15">
        <v>0</v>
      </c>
      <c r="Y417" s="16">
        <v>0</v>
      </c>
      <c r="Z417" s="67" t="s">
        <v>26</v>
      </c>
      <c r="AA417" s="12" t="s">
        <v>31</v>
      </c>
    </row>
    <row r="418" spans="1:27" x14ac:dyDescent="0.25">
      <c r="A418" s="10">
        <v>45664</v>
      </c>
      <c r="B418" s="11" t="s">
        <v>1570</v>
      </c>
      <c r="C418" s="11" t="s">
        <v>1571</v>
      </c>
      <c r="D418" s="11" t="s">
        <v>26</v>
      </c>
      <c r="E418" s="11" t="s">
        <v>224</v>
      </c>
      <c r="F418" s="11" t="s">
        <v>26</v>
      </c>
      <c r="G418" s="11">
        <v>57835</v>
      </c>
      <c r="H418" s="12" t="s">
        <v>4423</v>
      </c>
      <c r="I418" s="12" t="s">
        <v>27</v>
      </c>
      <c r="J418" s="12" t="s">
        <v>33</v>
      </c>
      <c r="K418" s="12" t="s">
        <v>34</v>
      </c>
      <c r="L418" s="13">
        <v>34.56</v>
      </c>
      <c r="M418" s="13">
        <v>25</v>
      </c>
      <c r="N418" s="13">
        <v>1.3824000000000001</v>
      </c>
      <c r="O418" s="13">
        <v>45</v>
      </c>
      <c r="P418" s="13" t="s">
        <v>30</v>
      </c>
      <c r="Q418" s="13">
        <v>0</v>
      </c>
      <c r="R418" s="14">
        <v>1555.2</v>
      </c>
      <c r="S418" s="15">
        <v>0</v>
      </c>
      <c r="T418" s="15">
        <v>0</v>
      </c>
      <c r="U418" s="15">
        <v>1555.2</v>
      </c>
      <c r="V418" s="15">
        <v>1555.2</v>
      </c>
      <c r="W418" s="15">
        <v>0</v>
      </c>
      <c r="X418" s="15">
        <v>0</v>
      </c>
      <c r="Y418" s="16">
        <v>0</v>
      </c>
      <c r="Z418" s="67" t="s">
        <v>26</v>
      </c>
      <c r="AA418" s="12" t="s">
        <v>31</v>
      </c>
    </row>
    <row r="419" spans="1:27" x14ac:dyDescent="0.25">
      <c r="A419" s="10">
        <v>45664</v>
      </c>
      <c r="B419" s="11" t="s">
        <v>1572</v>
      </c>
      <c r="C419" s="11" t="s">
        <v>1573</v>
      </c>
      <c r="D419" s="11" t="s">
        <v>26</v>
      </c>
      <c r="E419" s="11" t="s">
        <v>589</v>
      </c>
      <c r="F419" s="11" t="s">
        <v>26</v>
      </c>
      <c r="G419" s="11">
        <v>4565</v>
      </c>
      <c r="H419" s="12" t="s">
        <v>4423</v>
      </c>
      <c r="I419" s="12" t="s">
        <v>27</v>
      </c>
      <c r="J419" s="12" t="s">
        <v>33</v>
      </c>
      <c r="K419" s="12" t="s">
        <v>34</v>
      </c>
      <c r="L419" s="13">
        <v>34.479999999999997</v>
      </c>
      <c r="M419" s="13">
        <v>25</v>
      </c>
      <c r="N419" s="13">
        <v>1.3792</v>
      </c>
      <c r="O419" s="13">
        <v>45</v>
      </c>
      <c r="P419" s="13" t="s">
        <v>30</v>
      </c>
      <c r="Q419" s="13">
        <v>0</v>
      </c>
      <c r="R419" s="15">
        <v>1551.6</v>
      </c>
      <c r="S419" s="15">
        <v>0</v>
      </c>
      <c r="T419" s="15">
        <v>0</v>
      </c>
      <c r="U419" s="15">
        <v>1551.6</v>
      </c>
      <c r="V419" s="15">
        <v>1551.6</v>
      </c>
      <c r="W419" s="15">
        <v>0</v>
      </c>
      <c r="X419" s="15">
        <v>0</v>
      </c>
      <c r="Y419" s="16">
        <v>0</v>
      </c>
      <c r="Z419" s="67" t="s">
        <v>26</v>
      </c>
      <c r="AA419" s="12" t="s">
        <v>31</v>
      </c>
    </row>
    <row r="420" spans="1:27" x14ac:dyDescent="0.25">
      <c r="A420" s="10">
        <v>45664</v>
      </c>
      <c r="B420" s="11" t="s">
        <v>1574</v>
      </c>
      <c r="C420" s="11" t="s">
        <v>1575</v>
      </c>
      <c r="D420" s="11" t="s">
        <v>26</v>
      </c>
      <c r="E420" s="11" t="s">
        <v>570</v>
      </c>
      <c r="F420" s="11" t="s">
        <v>26</v>
      </c>
      <c r="G420" s="11">
        <v>10313</v>
      </c>
      <c r="H420" s="12" t="s">
        <v>140</v>
      </c>
      <c r="I420" s="12" t="s">
        <v>27</v>
      </c>
      <c r="J420" s="12" t="s">
        <v>47</v>
      </c>
      <c r="K420" s="12" t="s">
        <v>48</v>
      </c>
      <c r="L420" s="13">
        <v>43.12</v>
      </c>
      <c r="M420" s="13">
        <v>30</v>
      </c>
      <c r="N420" s="13">
        <v>1.4373333333333329</v>
      </c>
      <c r="O420" s="13">
        <v>40</v>
      </c>
      <c r="P420" s="13"/>
      <c r="Q420" s="13">
        <v>0</v>
      </c>
      <c r="R420" s="15">
        <v>1724.8</v>
      </c>
      <c r="S420" s="15">
        <v>0</v>
      </c>
      <c r="T420" s="15">
        <v>0</v>
      </c>
      <c r="U420" s="15">
        <v>1724.8</v>
      </c>
      <c r="V420" s="15">
        <v>0</v>
      </c>
      <c r="W420" s="15">
        <v>1724.8</v>
      </c>
      <c r="X420" s="15">
        <v>0</v>
      </c>
      <c r="Y420" s="16">
        <v>0</v>
      </c>
      <c r="Z420" s="67" t="s">
        <v>26</v>
      </c>
      <c r="AA420" s="12" t="s">
        <v>31</v>
      </c>
    </row>
    <row r="421" spans="1:27" x14ac:dyDescent="0.25">
      <c r="A421" s="10">
        <v>45664</v>
      </c>
      <c r="B421" s="11" t="s">
        <v>1576</v>
      </c>
      <c r="C421" s="11" t="s">
        <v>1577</v>
      </c>
      <c r="D421" s="11" t="s">
        <v>26</v>
      </c>
      <c r="E421" s="11" t="s">
        <v>658</v>
      </c>
      <c r="F421" s="11" t="s">
        <v>26</v>
      </c>
      <c r="G421" s="11">
        <v>612</v>
      </c>
      <c r="H421" s="12" t="s">
        <v>141</v>
      </c>
      <c r="I421" s="12" t="s">
        <v>27</v>
      </c>
      <c r="J421" s="12" t="s">
        <v>33</v>
      </c>
      <c r="K421" s="12" t="s">
        <v>34</v>
      </c>
      <c r="L421" s="13">
        <v>39.72</v>
      </c>
      <c r="M421" s="13">
        <v>27</v>
      </c>
      <c r="N421" s="13">
        <v>1.471111111111111</v>
      </c>
      <c r="O421" s="13">
        <v>40</v>
      </c>
      <c r="P421" s="13" t="s">
        <v>30</v>
      </c>
      <c r="Q421" s="13">
        <v>0</v>
      </c>
      <c r="R421" s="15">
        <v>1588.8</v>
      </c>
      <c r="S421" s="15">
        <v>0</v>
      </c>
      <c r="T421" s="15">
        <v>0</v>
      </c>
      <c r="U421" s="15">
        <v>1588.8</v>
      </c>
      <c r="V421" s="15">
        <v>0</v>
      </c>
      <c r="W421" s="15">
        <v>1588.8</v>
      </c>
      <c r="X421" s="15">
        <v>0</v>
      </c>
      <c r="Y421" s="16">
        <v>0</v>
      </c>
      <c r="Z421" s="67" t="s">
        <v>26</v>
      </c>
      <c r="AA421" s="12" t="s">
        <v>31</v>
      </c>
    </row>
    <row r="422" spans="1:27" x14ac:dyDescent="0.25">
      <c r="A422" s="10">
        <v>45664</v>
      </c>
      <c r="B422" s="11" t="s">
        <v>635</v>
      </c>
      <c r="C422" s="11" t="s">
        <v>1578</v>
      </c>
      <c r="D422" s="11" t="s">
        <v>26</v>
      </c>
      <c r="E422" s="11" t="s">
        <v>230</v>
      </c>
      <c r="F422" s="11" t="s">
        <v>26</v>
      </c>
      <c r="G422" s="11">
        <v>23125</v>
      </c>
      <c r="H422" s="12" t="s">
        <v>565</v>
      </c>
      <c r="I422" s="12" t="s">
        <v>55</v>
      </c>
      <c r="J422" s="12" t="s">
        <v>566</v>
      </c>
      <c r="K422" s="12" t="s">
        <v>550</v>
      </c>
      <c r="L422" s="13">
        <v>44.8</v>
      </c>
      <c r="M422" s="13">
        <v>25</v>
      </c>
      <c r="N422" s="13">
        <v>1.792</v>
      </c>
      <c r="O422" s="13">
        <v>25</v>
      </c>
      <c r="P422" s="13" t="s">
        <v>30</v>
      </c>
      <c r="Q422" s="13">
        <v>0</v>
      </c>
      <c r="R422" s="15">
        <v>1120</v>
      </c>
      <c r="S422" s="15">
        <v>0</v>
      </c>
      <c r="T422" s="15">
        <v>0</v>
      </c>
      <c r="U422" s="15">
        <v>1120</v>
      </c>
      <c r="V422" s="15">
        <v>0</v>
      </c>
      <c r="W422" s="15">
        <v>1120</v>
      </c>
      <c r="X422" s="15">
        <v>0</v>
      </c>
      <c r="Y422" s="16">
        <v>0</v>
      </c>
      <c r="Z422" s="67" t="s">
        <v>26</v>
      </c>
      <c r="AA422" s="12" t="s">
        <v>31</v>
      </c>
    </row>
    <row r="423" spans="1:27" x14ac:dyDescent="0.25">
      <c r="A423" s="10">
        <v>45664</v>
      </c>
      <c r="B423" s="11" t="s">
        <v>1579</v>
      </c>
      <c r="C423" s="11" t="s">
        <v>1580</v>
      </c>
      <c r="D423" s="11" t="s">
        <v>26</v>
      </c>
      <c r="E423" s="11" t="s">
        <v>527</v>
      </c>
      <c r="F423" s="11" t="s">
        <v>26</v>
      </c>
      <c r="G423" s="11">
        <v>970</v>
      </c>
      <c r="H423" s="12" t="s">
        <v>163</v>
      </c>
      <c r="I423" s="12" t="s">
        <v>27</v>
      </c>
      <c r="J423" s="12" t="s">
        <v>42</v>
      </c>
      <c r="K423" s="12" t="s">
        <v>43</v>
      </c>
      <c r="L423" s="13">
        <v>41.82</v>
      </c>
      <c r="M423" s="13">
        <v>25</v>
      </c>
      <c r="N423" s="13">
        <v>1.6728000000000001</v>
      </c>
      <c r="O423" s="13" t="s">
        <v>30</v>
      </c>
      <c r="P423" s="13">
        <v>56</v>
      </c>
      <c r="Q423" s="13">
        <v>0</v>
      </c>
      <c r="R423" s="14">
        <v>1400</v>
      </c>
      <c r="S423" s="15">
        <v>0</v>
      </c>
      <c r="T423" s="15">
        <v>0</v>
      </c>
      <c r="U423" s="15">
        <v>1400</v>
      </c>
      <c r="V423" s="15">
        <v>0</v>
      </c>
      <c r="W423" s="15">
        <v>1400</v>
      </c>
      <c r="X423" s="15">
        <v>0</v>
      </c>
      <c r="Y423" s="16">
        <v>0</v>
      </c>
      <c r="Z423" s="67" t="s">
        <v>26</v>
      </c>
      <c r="AA423" s="12" t="s">
        <v>31</v>
      </c>
    </row>
    <row r="424" spans="1:27" x14ac:dyDescent="0.25">
      <c r="A424" s="10">
        <v>45664</v>
      </c>
      <c r="B424" s="11" t="s">
        <v>1198</v>
      </c>
      <c r="C424" s="11" t="s">
        <v>1581</v>
      </c>
      <c r="D424" s="11" t="s">
        <v>26</v>
      </c>
      <c r="E424" s="11" t="s">
        <v>65</v>
      </c>
      <c r="F424" s="11" t="s">
        <v>26</v>
      </c>
      <c r="G424" s="11">
        <v>1551</v>
      </c>
      <c r="H424" s="12" t="s">
        <v>66</v>
      </c>
      <c r="I424" s="12" t="s">
        <v>37</v>
      </c>
      <c r="J424" s="12" t="s">
        <v>85</v>
      </c>
      <c r="K424" s="12" t="s">
        <v>86</v>
      </c>
      <c r="L424" s="13">
        <v>37.46</v>
      </c>
      <c r="M424" s="13">
        <v>25</v>
      </c>
      <c r="N424" s="13">
        <v>1.4984</v>
      </c>
      <c r="O424" s="13" t="s">
        <v>30</v>
      </c>
      <c r="P424" s="13">
        <v>51</v>
      </c>
      <c r="Q424" s="13">
        <v>0</v>
      </c>
      <c r="R424" s="14">
        <v>1275</v>
      </c>
      <c r="S424" s="15">
        <v>0</v>
      </c>
      <c r="T424" s="15">
        <v>0</v>
      </c>
      <c r="U424" s="15">
        <v>1275</v>
      </c>
      <c r="V424" s="15">
        <v>1275</v>
      </c>
      <c r="W424" s="15">
        <v>0</v>
      </c>
      <c r="X424" s="15">
        <v>0</v>
      </c>
      <c r="Y424" s="16">
        <v>0</v>
      </c>
      <c r="Z424" s="67" t="s">
        <v>26</v>
      </c>
      <c r="AA424" s="12" t="s">
        <v>31</v>
      </c>
    </row>
    <row r="425" spans="1:27" x14ac:dyDescent="0.25">
      <c r="A425" s="10">
        <v>45664</v>
      </c>
      <c r="B425" s="11" t="s">
        <v>1582</v>
      </c>
      <c r="C425" s="11" t="s">
        <v>1583</v>
      </c>
      <c r="D425" s="11" t="s">
        <v>26</v>
      </c>
      <c r="E425" s="11" t="s">
        <v>604</v>
      </c>
      <c r="F425" s="11" t="s">
        <v>26</v>
      </c>
      <c r="G425" s="11">
        <v>613</v>
      </c>
      <c r="H425" s="12" t="s">
        <v>141</v>
      </c>
      <c r="I425" s="12" t="s">
        <v>27</v>
      </c>
      <c r="J425" s="12" t="s">
        <v>33</v>
      </c>
      <c r="K425" s="12" t="s">
        <v>34</v>
      </c>
      <c r="L425" s="13">
        <v>39.5</v>
      </c>
      <c r="M425" s="13">
        <v>27</v>
      </c>
      <c r="N425" s="13">
        <v>1.462962962962963</v>
      </c>
      <c r="O425" s="13">
        <v>40</v>
      </c>
      <c r="P425" s="13" t="s">
        <v>30</v>
      </c>
      <c r="Q425" s="13">
        <v>0</v>
      </c>
      <c r="R425" s="14">
        <v>1580</v>
      </c>
      <c r="S425" s="15">
        <v>0</v>
      </c>
      <c r="T425" s="15">
        <v>0</v>
      </c>
      <c r="U425" s="15">
        <v>1580</v>
      </c>
      <c r="V425" s="15">
        <v>0</v>
      </c>
      <c r="W425" s="15">
        <v>1580</v>
      </c>
      <c r="X425" s="15">
        <v>0</v>
      </c>
      <c r="Y425" s="16">
        <v>0</v>
      </c>
      <c r="Z425" s="67" t="s">
        <v>26</v>
      </c>
      <c r="AA425" s="12" t="s">
        <v>31</v>
      </c>
    </row>
    <row r="426" spans="1:27" x14ac:dyDescent="0.25">
      <c r="A426" s="10">
        <v>45664</v>
      </c>
      <c r="B426" s="11" t="s">
        <v>649</v>
      </c>
      <c r="C426" s="11" t="s">
        <v>1584</v>
      </c>
      <c r="D426" s="11" t="s">
        <v>26</v>
      </c>
      <c r="E426" s="11" t="s">
        <v>552</v>
      </c>
      <c r="F426" s="11" t="s">
        <v>26</v>
      </c>
      <c r="G426" s="11">
        <v>57545</v>
      </c>
      <c r="H426" s="12" t="s">
        <v>4423</v>
      </c>
      <c r="I426" s="12" t="s">
        <v>27</v>
      </c>
      <c r="J426" s="12" t="s">
        <v>42</v>
      </c>
      <c r="K426" s="12" t="s">
        <v>43</v>
      </c>
      <c r="L426" s="13">
        <v>31.28</v>
      </c>
      <c r="M426" s="13">
        <v>25</v>
      </c>
      <c r="N426" s="13">
        <v>1.2512000000000001</v>
      </c>
      <c r="O426" s="13">
        <v>42</v>
      </c>
      <c r="P426" s="13" t="s">
        <v>30</v>
      </c>
      <c r="Q426" s="13">
        <v>0</v>
      </c>
      <c r="R426" s="15">
        <v>1313.76</v>
      </c>
      <c r="S426" s="15">
        <v>0</v>
      </c>
      <c r="T426" s="15">
        <v>0</v>
      </c>
      <c r="U426" s="15">
        <v>1313.76</v>
      </c>
      <c r="V426" s="15">
        <v>1313.76</v>
      </c>
      <c r="W426" s="15">
        <v>0</v>
      </c>
      <c r="X426" s="15">
        <v>0</v>
      </c>
      <c r="Y426" s="16">
        <v>0</v>
      </c>
      <c r="Z426" s="67" t="s">
        <v>26</v>
      </c>
      <c r="AA426" s="12" t="s">
        <v>31</v>
      </c>
    </row>
    <row r="427" spans="1:27" x14ac:dyDescent="0.25">
      <c r="A427" s="10">
        <v>45664</v>
      </c>
      <c r="B427" s="11" t="s">
        <v>1585</v>
      </c>
      <c r="C427" s="11" t="s">
        <v>1586</v>
      </c>
      <c r="D427" s="11" t="s">
        <v>26</v>
      </c>
      <c r="E427" s="11" t="s">
        <v>227</v>
      </c>
      <c r="F427" s="11" t="s">
        <v>26</v>
      </c>
      <c r="G427" s="11">
        <v>969</v>
      </c>
      <c r="H427" s="12" t="s">
        <v>163</v>
      </c>
      <c r="I427" s="12" t="s">
        <v>27</v>
      </c>
      <c r="J427" s="12" t="s">
        <v>33</v>
      </c>
      <c r="K427" s="12" t="s">
        <v>34</v>
      </c>
      <c r="L427" s="13">
        <v>38.46</v>
      </c>
      <c r="M427" s="13">
        <v>25</v>
      </c>
      <c r="N427" s="13">
        <v>1.5384</v>
      </c>
      <c r="O427" s="13" t="s">
        <v>30</v>
      </c>
      <c r="P427" s="13">
        <v>58</v>
      </c>
      <c r="Q427" s="13">
        <v>0</v>
      </c>
      <c r="R427" s="14">
        <v>1450</v>
      </c>
      <c r="S427" s="15">
        <v>0</v>
      </c>
      <c r="T427" s="15">
        <v>0</v>
      </c>
      <c r="U427" s="15">
        <v>1450</v>
      </c>
      <c r="V427" s="15">
        <v>0</v>
      </c>
      <c r="W427" s="15">
        <v>1450</v>
      </c>
      <c r="X427" s="15">
        <v>0</v>
      </c>
      <c r="Y427" s="16">
        <v>0</v>
      </c>
      <c r="Z427" s="67" t="s">
        <v>26</v>
      </c>
      <c r="AA427" s="12" t="s">
        <v>31</v>
      </c>
    </row>
    <row r="428" spans="1:27" x14ac:dyDescent="0.25">
      <c r="A428" s="10">
        <v>45664</v>
      </c>
      <c r="B428" s="11" t="s">
        <v>1587</v>
      </c>
      <c r="C428" s="11" t="s">
        <v>1588</v>
      </c>
      <c r="D428" s="11" t="s">
        <v>26</v>
      </c>
      <c r="E428" s="11" t="s">
        <v>605</v>
      </c>
      <c r="F428" s="11" t="s">
        <v>26</v>
      </c>
      <c r="G428" s="11">
        <v>614</v>
      </c>
      <c r="H428" s="12" t="s">
        <v>141</v>
      </c>
      <c r="I428" s="12" t="s">
        <v>27</v>
      </c>
      <c r="J428" s="12" t="s">
        <v>42</v>
      </c>
      <c r="K428" s="12" t="s">
        <v>43</v>
      </c>
      <c r="L428" s="13">
        <v>42.54</v>
      </c>
      <c r="M428" s="13">
        <v>25</v>
      </c>
      <c r="N428" s="13">
        <v>1.7016</v>
      </c>
      <c r="O428" s="13">
        <v>40</v>
      </c>
      <c r="P428" s="13" t="s">
        <v>30</v>
      </c>
      <c r="Q428" s="13">
        <v>0</v>
      </c>
      <c r="R428" s="14">
        <v>1701.6</v>
      </c>
      <c r="S428" s="15">
        <v>0</v>
      </c>
      <c r="T428" s="15">
        <v>0</v>
      </c>
      <c r="U428" s="15">
        <v>1701.6</v>
      </c>
      <c r="V428" s="15">
        <v>0</v>
      </c>
      <c r="W428" s="15">
        <v>1701.6</v>
      </c>
      <c r="X428" s="15">
        <v>0</v>
      </c>
      <c r="Y428" s="16">
        <v>0</v>
      </c>
      <c r="Z428" s="67" t="s">
        <v>26</v>
      </c>
      <c r="AA428" s="12" t="s">
        <v>31</v>
      </c>
    </row>
    <row r="429" spans="1:27" x14ac:dyDescent="0.25">
      <c r="A429" s="10">
        <v>45664</v>
      </c>
      <c r="B429" s="11" t="s">
        <v>1589</v>
      </c>
      <c r="C429" s="11" t="s">
        <v>1590</v>
      </c>
      <c r="D429" s="11" t="s">
        <v>26</v>
      </c>
      <c r="E429" s="11" t="s">
        <v>556</v>
      </c>
      <c r="F429" s="11" t="s">
        <v>26</v>
      </c>
      <c r="G429" s="11">
        <v>10281</v>
      </c>
      <c r="H429" s="12" t="s">
        <v>140</v>
      </c>
      <c r="I429" s="12" t="s">
        <v>27</v>
      </c>
      <c r="J429" s="12" t="s">
        <v>47</v>
      </c>
      <c r="K429" s="12" t="s">
        <v>48</v>
      </c>
      <c r="L429" s="13">
        <v>40.26</v>
      </c>
      <c r="M429" s="13">
        <v>28</v>
      </c>
      <c r="N429" s="13">
        <v>1.4378571428571429</v>
      </c>
      <c r="O429" s="13">
        <v>40</v>
      </c>
      <c r="P429" s="13"/>
      <c r="Q429" s="13">
        <v>0</v>
      </c>
      <c r="R429" s="14">
        <v>1610.3999999999999</v>
      </c>
      <c r="S429" s="15">
        <v>0</v>
      </c>
      <c r="T429" s="15">
        <v>0</v>
      </c>
      <c r="U429" s="15">
        <v>1610.3999999999999</v>
      </c>
      <c r="V429" s="15">
        <v>0</v>
      </c>
      <c r="W429" s="15">
        <v>1610.3999999999999</v>
      </c>
      <c r="X429" s="15">
        <v>0</v>
      </c>
      <c r="Y429" s="16">
        <v>0</v>
      </c>
      <c r="Z429" s="67" t="s">
        <v>26</v>
      </c>
      <c r="AA429" s="12" t="s">
        <v>31</v>
      </c>
    </row>
    <row r="430" spans="1:27" x14ac:dyDescent="0.25">
      <c r="A430" s="10">
        <v>45665</v>
      </c>
      <c r="B430" s="11" t="s">
        <v>1591</v>
      </c>
      <c r="C430" s="11" t="s">
        <v>1592</v>
      </c>
      <c r="D430" s="11" t="s">
        <v>26</v>
      </c>
      <c r="E430" s="11" t="s">
        <v>241</v>
      </c>
      <c r="F430" s="11" t="s">
        <v>26</v>
      </c>
      <c r="G430" s="11">
        <v>74959</v>
      </c>
      <c r="H430" s="12" t="s">
        <v>4448</v>
      </c>
      <c r="I430" s="12" t="s">
        <v>27</v>
      </c>
      <c r="J430" s="12" t="s">
        <v>47</v>
      </c>
      <c r="K430" s="12" t="s">
        <v>48</v>
      </c>
      <c r="L430" s="13">
        <v>37.96</v>
      </c>
      <c r="M430" s="13">
        <v>25</v>
      </c>
      <c r="N430" s="13">
        <v>1.5184</v>
      </c>
      <c r="O430" s="13">
        <v>46.66</v>
      </c>
      <c r="P430" s="13" t="s">
        <v>30</v>
      </c>
      <c r="Q430" s="13">
        <v>0</v>
      </c>
      <c r="R430" s="15">
        <v>1771.2135999999998</v>
      </c>
      <c r="S430" s="15">
        <v>0</v>
      </c>
      <c r="T430" s="15">
        <v>0</v>
      </c>
      <c r="U430" s="15">
        <v>1771.2135999999998</v>
      </c>
      <c r="V430" s="15">
        <v>1328.4101999999998</v>
      </c>
      <c r="W430" s="15">
        <v>442.80340000000001</v>
      </c>
      <c r="X430" s="15">
        <v>0</v>
      </c>
      <c r="Y430" s="16">
        <v>0</v>
      </c>
      <c r="Z430" s="67" t="s">
        <v>26</v>
      </c>
      <c r="AA430" s="12" t="s">
        <v>31</v>
      </c>
    </row>
    <row r="431" spans="1:27" x14ac:dyDescent="0.25">
      <c r="A431" s="10">
        <v>45665</v>
      </c>
      <c r="B431" s="11" t="s">
        <v>394</v>
      </c>
      <c r="C431" s="11" t="s">
        <v>1593</v>
      </c>
      <c r="D431" s="11" t="s">
        <v>26</v>
      </c>
      <c r="E431" s="11" t="s">
        <v>53</v>
      </c>
      <c r="F431" s="11" t="s">
        <v>26</v>
      </c>
      <c r="G431" s="11" t="s">
        <v>26</v>
      </c>
      <c r="H431" s="12" t="s">
        <v>4422</v>
      </c>
      <c r="I431" s="12" t="s">
        <v>27</v>
      </c>
      <c r="J431" s="12" t="s">
        <v>47</v>
      </c>
      <c r="K431" s="12" t="s">
        <v>48</v>
      </c>
      <c r="L431" s="13">
        <v>40.700000000000003</v>
      </c>
      <c r="M431" s="13">
        <v>28</v>
      </c>
      <c r="N431" s="13">
        <v>1.453571428571429</v>
      </c>
      <c r="O431" s="13">
        <v>87</v>
      </c>
      <c r="P431" s="13" t="s">
        <v>30</v>
      </c>
      <c r="Q431" s="13">
        <v>0</v>
      </c>
      <c r="R431" s="15">
        <v>3540.9</v>
      </c>
      <c r="S431" s="15">
        <v>38</v>
      </c>
      <c r="T431" s="15">
        <v>1546.6000000000001</v>
      </c>
      <c r="U431" s="15">
        <v>1994.3</v>
      </c>
      <c r="V431" s="15">
        <v>1994.3</v>
      </c>
      <c r="W431" s="15">
        <v>0</v>
      </c>
      <c r="X431" s="15">
        <v>1505.9</v>
      </c>
      <c r="Y431" s="16">
        <v>40.700000000000045</v>
      </c>
      <c r="Z431" s="67" t="s">
        <v>41</v>
      </c>
      <c r="AA431" s="12" t="s">
        <v>78</v>
      </c>
    </row>
    <row r="432" spans="1:27" x14ac:dyDescent="0.25">
      <c r="A432" s="10">
        <v>45665</v>
      </c>
      <c r="B432" s="11" t="s">
        <v>264</v>
      </c>
      <c r="C432" s="11" t="s">
        <v>1594</v>
      </c>
      <c r="D432" s="11" t="s">
        <v>26</v>
      </c>
      <c r="E432" s="11" t="s">
        <v>184</v>
      </c>
      <c r="F432" s="11" t="s">
        <v>26</v>
      </c>
      <c r="G432" s="11" t="s">
        <v>26</v>
      </c>
      <c r="H432" s="12" t="s">
        <v>4422</v>
      </c>
      <c r="I432" s="12" t="s">
        <v>27</v>
      </c>
      <c r="J432" s="12" t="s">
        <v>47</v>
      </c>
      <c r="K432" s="12" t="s">
        <v>48</v>
      </c>
      <c r="L432" s="13">
        <v>40.659999999999997</v>
      </c>
      <c r="M432" s="13">
        <v>28</v>
      </c>
      <c r="N432" s="13">
        <v>1.452142857142857</v>
      </c>
      <c r="O432" s="13">
        <v>87</v>
      </c>
      <c r="P432" s="13" t="s">
        <v>30</v>
      </c>
      <c r="Q432" s="13">
        <v>0</v>
      </c>
      <c r="R432" s="15">
        <v>3537.4199999999996</v>
      </c>
      <c r="S432" s="15">
        <v>38</v>
      </c>
      <c r="T432" s="15">
        <v>1545.08</v>
      </c>
      <c r="U432" s="15">
        <v>1992.3399999999997</v>
      </c>
      <c r="V432" s="15">
        <v>1992.3399999999997</v>
      </c>
      <c r="W432" s="15">
        <v>0</v>
      </c>
      <c r="X432" s="15">
        <v>1463.7599999999998</v>
      </c>
      <c r="Y432" s="16">
        <v>81.320000000000164</v>
      </c>
      <c r="Z432" s="67" t="s">
        <v>141</v>
      </c>
      <c r="AA432" s="12" t="s">
        <v>78</v>
      </c>
    </row>
    <row r="433" spans="1:27" x14ac:dyDescent="0.25">
      <c r="A433" s="10">
        <v>45665</v>
      </c>
      <c r="B433" s="11" t="s">
        <v>1595</v>
      </c>
      <c r="C433" s="11" t="s">
        <v>1596</v>
      </c>
      <c r="D433" s="11" t="s">
        <v>26</v>
      </c>
      <c r="E433" s="11" t="s">
        <v>582</v>
      </c>
      <c r="F433" s="11" t="s">
        <v>26</v>
      </c>
      <c r="G433" s="11">
        <v>111956</v>
      </c>
      <c r="H433" s="12" t="s">
        <v>4446</v>
      </c>
      <c r="I433" s="12" t="s">
        <v>27</v>
      </c>
      <c r="J433" s="12" t="s">
        <v>33</v>
      </c>
      <c r="K433" s="12" t="s">
        <v>34</v>
      </c>
      <c r="L433" s="13">
        <v>38.06</v>
      </c>
      <c r="M433" s="13">
        <v>25</v>
      </c>
      <c r="N433" s="13">
        <v>1.5224</v>
      </c>
      <c r="O433" s="13">
        <v>44</v>
      </c>
      <c r="P433" s="13" t="s">
        <v>30</v>
      </c>
      <c r="Q433" s="13">
        <v>0</v>
      </c>
      <c r="R433" s="15">
        <v>1674.64</v>
      </c>
      <c r="S433" s="15">
        <v>0</v>
      </c>
      <c r="T433" s="15">
        <v>0</v>
      </c>
      <c r="U433" s="15">
        <v>1674.64</v>
      </c>
      <c r="V433" s="15">
        <v>1674.64</v>
      </c>
      <c r="W433" s="15">
        <v>0</v>
      </c>
      <c r="X433" s="15">
        <v>0</v>
      </c>
      <c r="Y433" s="16">
        <v>0</v>
      </c>
      <c r="Z433" s="67" t="s">
        <v>26</v>
      </c>
      <c r="AA433" s="12" t="s">
        <v>31</v>
      </c>
    </row>
    <row r="434" spans="1:27" x14ac:dyDescent="0.25">
      <c r="A434" s="10">
        <v>45665</v>
      </c>
      <c r="B434" s="11" t="s">
        <v>1597</v>
      </c>
      <c r="C434" s="11" t="s">
        <v>1598</v>
      </c>
      <c r="D434" s="11" t="s">
        <v>26</v>
      </c>
      <c r="E434" s="11" t="s">
        <v>552</v>
      </c>
      <c r="F434" s="11" t="s">
        <v>26</v>
      </c>
      <c r="G434" s="11">
        <v>57546</v>
      </c>
      <c r="H434" s="12" t="s">
        <v>4423</v>
      </c>
      <c r="I434" s="12" t="s">
        <v>27</v>
      </c>
      <c r="J434" s="12" t="s">
        <v>33</v>
      </c>
      <c r="K434" s="12" t="s">
        <v>34</v>
      </c>
      <c r="L434" s="13">
        <v>34.76</v>
      </c>
      <c r="M434" s="13">
        <v>25</v>
      </c>
      <c r="N434" s="13">
        <v>1.3904000000000001</v>
      </c>
      <c r="O434" s="13">
        <v>45</v>
      </c>
      <c r="P434" s="13" t="s">
        <v>30</v>
      </c>
      <c r="Q434" s="13">
        <v>0</v>
      </c>
      <c r="R434" s="15">
        <v>1564.1999999999998</v>
      </c>
      <c r="S434" s="15">
        <v>0</v>
      </c>
      <c r="T434" s="15">
        <v>0</v>
      </c>
      <c r="U434" s="15">
        <v>1564.1999999999998</v>
      </c>
      <c r="V434" s="15">
        <v>1564.1999999999998</v>
      </c>
      <c r="W434" s="15">
        <v>0</v>
      </c>
      <c r="X434" s="15">
        <v>0</v>
      </c>
      <c r="Y434" s="16">
        <v>0</v>
      </c>
      <c r="Z434" s="67" t="s">
        <v>26</v>
      </c>
      <c r="AA434" s="12" t="s">
        <v>31</v>
      </c>
    </row>
    <row r="435" spans="1:27" x14ac:dyDescent="0.25">
      <c r="A435" s="10">
        <v>45665</v>
      </c>
      <c r="B435" s="11" t="s">
        <v>457</v>
      </c>
      <c r="C435" s="11" t="s">
        <v>1599</v>
      </c>
      <c r="D435" s="11" t="s">
        <v>26</v>
      </c>
      <c r="E435" s="11" t="s">
        <v>501</v>
      </c>
      <c r="F435" s="11" t="s">
        <v>26</v>
      </c>
      <c r="G435" s="11" t="s">
        <v>26</v>
      </c>
      <c r="H435" s="12" t="s">
        <v>4422</v>
      </c>
      <c r="I435" s="12" t="s">
        <v>27</v>
      </c>
      <c r="J435" s="12" t="s">
        <v>33</v>
      </c>
      <c r="K435" s="12" t="s">
        <v>34</v>
      </c>
      <c r="L435" s="13">
        <v>44.6</v>
      </c>
      <c r="M435" s="13">
        <v>30</v>
      </c>
      <c r="N435" s="13">
        <v>1.486666666666667</v>
      </c>
      <c r="O435" s="13">
        <v>85</v>
      </c>
      <c r="P435" s="13" t="s">
        <v>30</v>
      </c>
      <c r="Q435" s="13">
        <v>0</v>
      </c>
      <c r="R435" s="14">
        <v>3791</v>
      </c>
      <c r="S435" s="15">
        <v>38</v>
      </c>
      <c r="T435" s="15">
        <v>1694.8</v>
      </c>
      <c r="U435" s="15">
        <v>2096.1999999999998</v>
      </c>
      <c r="V435" s="15">
        <v>2096.1999999999998</v>
      </c>
      <c r="W435" s="15">
        <v>0</v>
      </c>
      <c r="X435" s="15">
        <v>1605.6000000000001</v>
      </c>
      <c r="Y435" s="16">
        <v>89.199999999999818</v>
      </c>
      <c r="Z435" s="67" t="s">
        <v>141</v>
      </c>
      <c r="AA435" s="12" t="s">
        <v>78</v>
      </c>
    </row>
    <row r="436" spans="1:27" x14ac:dyDescent="0.25">
      <c r="A436" s="10">
        <v>45665</v>
      </c>
      <c r="B436" s="11">
        <v>-0.20508101851851859</v>
      </c>
      <c r="C436" s="11" t="s">
        <v>1600</v>
      </c>
      <c r="D436" s="11" t="s">
        <v>26</v>
      </c>
      <c r="E436" s="11" t="s">
        <v>322</v>
      </c>
      <c r="F436" s="11" t="s">
        <v>26</v>
      </c>
      <c r="G436" s="11">
        <v>111205</v>
      </c>
      <c r="H436" s="12" t="s">
        <v>4446</v>
      </c>
      <c r="I436" s="12" t="s">
        <v>27</v>
      </c>
      <c r="J436" s="12" t="s">
        <v>33</v>
      </c>
      <c r="K436" s="12" t="s">
        <v>34</v>
      </c>
      <c r="L436" s="13">
        <v>36.299999999999997</v>
      </c>
      <c r="M436" s="13">
        <v>25</v>
      </c>
      <c r="N436" s="13">
        <v>1.452</v>
      </c>
      <c r="O436" s="13">
        <v>44</v>
      </c>
      <c r="P436" s="13" t="s">
        <v>30</v>
      </c>
      <c r="Q436" s="13">
        <v>0</v>
      </c>
      <c r="R436" s="14">
        <v>1597.1999999999998</v>
      </c>
      <c r="S436" s="15">
        <v>0</v>
      </c>
      <c r="T436" s="15">
        <v>0</v>
      </c>
      <c r="U436" s="15">
        <v>1597.1999999999998</v>
      </c>
      <c r="V436" s="15">
        <v>1597.1999999999998</v>
      </c>
      <c r="W436" s="15">
        <v>0</v>
      </c>
      <c r="X436" s="15">
        <v>0</v>
      </c>
      <c r="Y436" s="16">
        <v>0</v>
      </c>
      <c r="Z436" s="67" t="s">
        <v>26</v>
      </c>
      <c r="AA436" s="12" t="s">
        <v>31</v>
      </c>
    </row>
    <row r="437" spans="1:27" x14ac:dyDescent="0.25">
      <c r="A437" s="10">
        <v>45665</v>
      </c>
      <c r="B437" s="11" t="s">
        <v>1601</v>
      </c>
      <c r="C437" s="11" t="s">
        <v>1602</v>
      </c>
      <c r="D437" s="11" t="s">
        <v>26</v>
      </c>
      <c r="E437" s="11" t="s">
        <v>81</v>
      </c>
      <c r="F437" s="11" t="s">
        <v>26</v>
      </c>
      <c r="G437" s="11" t="s">
        <v>26</v>
      </c>
      <c r="H437" s="12" t="s">
        <v>4422</v>
      </c>
      <c r="I437" s="12" t="s">
        <v>27</v>
      </c>
      <c r="J437" s="12" t="s">
        <v>42</v>
      </c>
      <c r="K437" s="12" t="s">
        <v>43</v>
      </c>
      <c r="L437" s="13">
        <v>41.46</v>
      </c>
      <c r="M437" s="13">
        <v>25</v>
      </c>
      <c r="N437" s="13">
        <v>1.6584000000000001</v>
      </c>
      <c r="O437" s="13">
        <v>83</v>
      </c>
      <c r="P437" s="13" t="s">
        <v>30</v>
      </c>
      <c r="Q437" s="13">
        <v>0</v>
      </c>
      <c r="R437" s="15">
        <v>3441.1800000000003</v>
      </c>
      <c r="S437" s="15">
        <v>38</v>
      </c>
      <c r="T437" s="15">
        <v>1575.48</v>
      </c>
      <c r="U437" s="15">
        <v>1865.7000000000003</v>
      </c>
      <c r="V437" s="15">
        <v>1865.7000000000003</v>
      </c>
      <c r="W437" s="15">
        <v>0</v>
      </c>
      <c r="X437" s="15">
        <v>1492.56</v>
      </c>
      <c r="Y437" s="16">
        <v>82.920000000000073</v>
      </c>
      <c r="Z437" s="67" t="s">
        <v>141</v>
      </c>
      <c r="AA437" s="12" t="s">
        <v>78</v>
      </c>
    </row>
    <row r="438" spans="1:27" x14ac:dyDescent="0.25">
      <c r="A438" s="10">
        <v>45665</v>
      </c>
      <c r="B438" s="11" t="s">
        <v>1603</v>
      </c>
      <c r="C438" s="11" t="s">
        <v>1604</v>
      </c>
      <c r="D438" s="11" t="s">
        <v>26</v>
      </c>
      <c r="E438" s="11" t="s">
        <v>574</v>
      </c>
      <c r="F438" s="11" t="s">
        <v>26</v>
      </c>
      <c r="G438" s="11" t="s">
        <v>26</v>
      </c>
      <c r="H438" s="12" t="s">
        <v>4422</v>
      </c>
      <c r="I438" s="12" t="s">
        <v>27</v>
      </c>
      <c r="J438" s="12" t="s">
        <v>42</v>
      </c>
      <c r="K438" s="12" t="s">
        <v>43</v>
      </c>
      <c r="L438" s="13">
        <v>42.06</v>
      </c>
      <c r="M438" s="13">
        <v>25</v>
      </c>
      <c r="N438" s="13">
        <v>1.6823999999999999</v>
      </c>
      <c r="O438" s="13">
        <v>83</v>
      </c>
      <c r="P438" s="13" t="s">
        <v>30</v>
      </c>
      <c r="Q438" s="13">
        <v>0</v>
      </c>
      <c r="R438" s="15">
        <v>3490.98</v>
      </c>
      <c r="S438" s="15">
        <v>38</v>
      </c>
      <c r="T438" s="15">
        <v>1598.2800000000002</v>
      </c>
      <c r="U438" s="15">
        <v>1892.6999999999998</v>
      </c>
      <c r="V438" s="15">
        <v>1892.6999999999998</v>
      </c>
      <c r="W438" s="15">
        <v>0</v>
      </c>
      <c r="X438" s="15">
        <v>1514.16</v>
      </c>
      <c r="Y438" s="16">
        <v>84.120000000000118</v>
      </c>
      <c r="Z438" s="67" t="s">
        <v>141</v>
      </c>
      <c r="AA438" s="12" t="s">
        <v>78</v>
      </c>
    </row>
    <row r="439" spans="1:27" x14ac:dyDescent="0.25">
      <c r="A439" s="10">
        <v>45665</v>
      </c>
      <c r="B439" s="11" t="s">
        <v>1605</v>
      </c>
      <c r="C439" s="11" t="s">
        <v>1606</v>
      </c>
      <c r="D439" s="11" t="s">
        <v>26</v>
      </c>
      <c r="E439" s="11" t="s">
        <v>570</v>
      </c>
      <c r="F439" s="11" t="s">
        <v>26</v>
      </c>
      <c r="G439" s="11">
        <v>10314</v>
      </c>
      <c r="H439" s="12" t="s">
        <v>140</v>
      </c>
      <c r="I439" s="12" t="s">
        <v>27</v>
      </c>
      <c r="J439" s="12" t="s">
        <v>33</v>
      </c>
      <c r="K439" s="12" t="s">
        <v>34</v>
      </c>
      <c r="L439" s="13">
        <v>42.2</v>
      </c>
      <c r="M439" s="13">
        <v>29</v>
      </c>
      <c r="N439" s="13">
        <v>1.455172413793103</v>
      </c>
      <c r="O439" s="13">
        <v>40</v>
      </c>
      <c r="P439" s="13"/>
      <c r="Q439" s="13">
        <v>0</v>
      </c>
      <c r="R439" s="14">
        <v>1688</v>
      </c>
      <c r="S439" s="15">
        <v>0</v>
      </c>
      <c r="T439" s="15">
        <v>0</v>
      </c>
      <c r="U439" s="15">
        <v>1688</v>
      </c>
      <c r="V439" s="15">
        <v>0</v>
      </c>
      <c r="W439" s="15">
        <v>1688</v>
      </c>
      <c r="X439" s="15">
        <v>0</v>
      </c>
      <c r="Y439" s="16">
        <v>0</v>
      </c>
      <c r="Z439" s="67" t="s">
        <v>26</v>
      </c>
      <c r="AA439" s="12" t="s">
        <v>31</v>
      </c>
    </row>
    <row r="440" spans="1:27" x14ac:dyDescent="0.25">
      <c r="A440" s="10">
        <v>45665</v>
      </c>
      <c r="B440" s="11" t="s">
        <v>1607</v>
      </c>
      <c r="C440" s="11" t="s">
        <v>1608</v>
      </c>
      <c r="D440" s="11" t="s">
        <v>26</v>
      </c>
      <c r="E440" s="11" t="s">
        <v>605</v>
      </c>
      <c r="F440" s="11" t="s">
        <v>26</v>
      </c>
      <c r="G440" s="11">
        <v>615</v>
      </c>
      <c r="H440" s="12" t="s">
        <v>141</v>
      </c>
      <c r="I440" s="12" t="s">
        <v>27</v>
      </c>
      <c r="J440" s="12" t="s">
        <v>33</v>
      </c>
      <c r="K440" s="12" t="s">
        <v>34</v>
      </c>
      <c r="L440" s="13">
        <v>39.200000000000003</v>
      </c>
      <c r="M440" s="13">
        <v>27</v>
      </c>
      <c r="N440" s="13">
        <v>1.4518518518518519</v>
      </c>
      <c r="O440" s="13">
        <v>40</v>
      </c>
      <c r="P440" s="13" t="s">
        <v>30</v>
      </c>
      <c r="Q440" s="13">
        <v>0</v>
      </c>
      <c r="R440" s="15">
        <v>1568</v>
      </c>
      <c r="S440" s="15">
        <v>0</v>
      </c>
      <c r="T440" s="15">
        <v>0</v>
      </c>
      <c r="U440" s="15">
        <v>1568</v>
      </c>
      <c r="V440" s="15">
        <v>0</v>
      </c>
      <c r="W440" s="15">
        <v>1568</v>
      </c>
      <c r="X440" s="15">
        <v>0</v>
      </c>
      <c r="Y440" s="16">
        <v>0</v>
      </c>
      <c r="Z440" s="67" t="s">
        <v>26</v>
      </c>
      <c r="AA440" s="12" t="s">
        <v>31</v>
      </c>
    </row>
    <row r="441" spans="1:27" x14ac:dyDescent="0.25">
      <c r="A441" s="10">
        <v>45665</v>
      </c>
      <c r="B441" s="11" t="s">
        <v>1609</v>
      </c>
      <c r="C441" s="11" t="s">
        <v>1610</v>
      </c>
      <c r="D441" s="11" t="s">
        <v>26</v>
      </c>
      <c r="E441" s="11" t="s">
        <v>539</v>
      </c>
      <c r="F441" s="11" t="s">
        <v>26</v>
      </c>
      <c r="G441" s="11" t="s">
        <v>26</v>
      </c>
      <c r="H441" s="12" t="s">
        <v>146</v>
      </c>
      <c r="I441" s="12" t="s">
        <v>27</v>
      </c>
      <c r="J441" s="12" t="s">
        <v>33</v>
      </c>
      <c r="K441" s="12" t="s">
        <v>34</v>
      </c>
      <c r="L441" s="13">
        <v>44.04</v>
      </c>
      <c r="M441" s="13">
        <v>30</v>
      </c>
      <c r="N441" s="13">
        <v>1.468</v>
      </c>
      <c r="O441" s="13">
        <v>91</v>
      </c>
      <c r="P441" s="13" t="s">
        <v>30</v>
      </c>
      <c r="Q441" s="13">
        <v>0</v>
      </c>
      <c r="R441" s="15">
        <v>4007.64</v>
      </c>
      <c r="S441" s="15">
        <v>40</v>
      </c>
      <c r="T441" s="15">
        <v>1761.6</v>
      </c>
      <c r="U441" s="15">
        <v>2246.04</v>
      </c>
      <c r="V441" s="15">
        <v>2246.04</v>
      </c>
      <c r="W441" s="15">
        <v>0</v>
      </c>
      <c r="X441" s="15">
        <v>1629.48</v>
      </c>
      <c r="Y441" s="16">
        <v>132.11999999999989</v>
      </c>
      <c r="Z441" s="67" t="s">
        <v>41</v>
      </c>
      <c r="AA441" s="12" t="s">
        <v>79</v>
      </c>
    </row>
    <row r="442" spans="1:27" x14ac:dyDescent="0.25">
      <c r="A442" s="10">
        <v>45665</v>
      </c>
      <c r="B442" s="11" t="s">
        <v>1611</v>
      </c>
      <c r="C442" s="11" t="s">
        <v>1612</v>
      </c>
      <c r="D442" s="11" t="s">
        <v>26</v>
      </c>
      <c r="E442" s="11" t="s">
        <v>44</v>
      </c>
      <c r="F442" s="11" t="s">
        <v>26</v>
      </c>
      <c r="G442" s="11">
        <v>1499</v>
      </c>
      <c r="H442" s="12" t="s">
        <v>45</v>
      </c>
      <c r="I442" s="12" t="s">
        <v>27</v>
      </c>
      <c r="J442" s="12" t="s">
        <v>42</v>
      </c>
      <c r="K442" s="12" t="s">
        <v>43</v>
      </c>
      <c r="L442" s="13">
        <v>43.8</v>
      </c>
      <c r="M442" s="13">
        <v>25</v>
      </c>
      <c r="N442" s="13">
        <v>1.752</v>
      </c>
      <c r="O442" s="13" t="s">
        <v>30</v>
      </c>
      <c r="P442" s="13">
        <v>62</v>
      </c>
      <c r="Q442" s="13">
        <v>0</v>
      </c>
      <c r="R442" s="15">
        <v>1550</v>
      </c>
      <c r="S442" s="15">
        <v>0</v>
      </c>
      <c r="T442" s="15">
        <v>0</v>
      </c>
      <c r="U442" s="15">
        <v>1550</v>
      </c>
      <c r="V442" s="15">
        <v>0</v>
      </c>
      <c r="W442" s="15">
        <v>1550</v>
      </c>
      <c r="X442" s="15">
        <v>0</v>
      </c>
      <c r="Y442" s="16">
        <v>0</v>
      </c>
      <c r="Z442" s="67" t="s">
        <v>26</v>
      </c>
      <c r="AA442" s="12" t="s">
        <v>31</v>
      </c>
    </row>
    <row r="443" spans="1:27" x14ac:dyDescent="0.25">
      <c r="A443" s="10">
        <v>45665</v>
      </c>
      <c r="B443" s="11" t="s">
        <v>1613</v>
      </c>
      <c r="C443" s="11" t="s">
        <v>1614</v>
      </c>
      <c r="D443" s="11" t="s">
        <v>26</v>
      </c>
      <c r="E443" s="11" t="s">
        <v>49</v>
      </c>
      <c r="F443" s="11" t="s">
        <v>26</v>
      </c>
      <c r="G443" s="11">
        <v>1492</v>
      </c>
      <c r="H443" s="12" t="s">
        <v>45</v>
      </c>
      <c r="I443" s="12" t="s">
        <v>27</v>
      </c>
      <c r="J443" s="12" t="s">
        <v>42</v>
      </c>
      <c r="K443" s="12" t="s">
        <v>43</v>
      </c>
      <c r="L443" s="13">
        <v>42.02</v>
      </c>
      <c r="M443" s="13">
        <v>25</v>
      </c>
      <c r="N443" s="13">
        <v>1.6808000000000001</v>
      </c>
      <c r="O443" s="13" t="s">
        <v>30</v>
      </c>
      <c r="P443" s="13">
        <v>62</v>
      </c>
      <c r="Q443" s="13">
        <v>0</v>
      </c>
      <c r="R443" s="14">
        <v>1550</v>
      </c>
      <c r="S443" s="15">
        <v>0</v>
      </c>
      <c r="T443" s="15">
        <v>0</v>
      </c>
      <c r="U443" s="15">
        <v>1550</v>
      </c>
      <c r="V443" s="15">
        <v>0</v>
      </c>
      <c r="W443" s="15">
        <v>1550</v>
      </c>
      <c r="X443" s="16">
        <v>0</v>
      </c>
      <c r="Y443" s="16">
        <v>0</v>
      </c>
      <c r="Z443" s="67" t="s">
        <v>26</v>
      </c>
      <c r="AA443" s="12" t="s">
        <v>31</v>
      </c>
    </row>
    <row r="444" spans="1:27" x14ac:dyDescent="0.25">
      <c r="A444" s="10">
        <v>45665</v>
      </c>
      <c r="B444" s="11" t="s">
        <v>1615</v>
      </c>
      <c r="C444" s="11" t="s">
        <v>1616</v>
      </c>
      <c r="D444" s="11" t="s">
        <v>26</v>
      </c>
      <c r="E444" s="11" t="s">
        <v>240</v>
      </c>
      <c r="F444" s="11" t="s">
        <v>26</v>
      </c>
      <c r="G444" s="11">
        <v>2908</v>
      </c>
      <c r="H444" s="12" t="s">
        <v>41</v>
      </c>
      <c r="I444" s="12" t="s">
        <v>27</v>
      </c>
      <c r="J444" s="12" t="s">
        <v>28</v>
      </c>
      <c r="K444" s="12" t="s">
        <v>29</v>
      </c>
      <c r="L444" s="13">
        <v>38.6</v>
      </c>
      <c r="M444" s="13">
        <v>25</v>
      </c>
      <c r="N444" s="13">
        <v>1.544</v>
      </c>
      <c r="O444" s="13" t="s">
        <v>30</v>
      </c>
      <c r="P444" s="13">
        <v>40.5</v>
      </c>
      <c r="Q444" s="13">
        <v>0</v>
      </c>
      <c r="R444" s="14">
        <v>1012.5</v>
      </c>
      <c r="S444" s="15">
        <v>0</v>
      </c>
      <c r="T444" s="15">
        <v>0</v>
      </c>
      <c r="U444" s="15">
        <v>1012.5</v>
      </c>
      <c r="V444" s="15">
        <v>0</v>
      </c>
      <c r="W444" s="15">
        <v>1012.5</v>
      </c>
      <c r="X444" s="16">
        <v>0</v>
      </c>
      <c r="Y444" s="16">
        <v>0</v>
      </c>
      <c r="Z444" s="67" t="s">
        <v>26</v>
      </c>
      <c r="AA444" s="12" t="s">
        <v>31</v>
      </c>
    </row>
    <row r="445" spans="1:27" x14ac:dyDescent="0.25">
      <c r="A445" s="10">
        <v>45665</v>
      </c>
      <c r="B445" s="11" t="s">
        <v>1617</v>
      </c>
      <c r="C445" s="11" t="s">
        <v>1618</v>
      </c>
      <c r="D445" s="11" t="s">
        <v>26</v>
      </c>
      <c r="E445" s="11" t="s">
        <v>604</v>
      </c>
      <c r="F445" s="11" t="s">
        <v>26</v>
      </c>
      <c r="G445" s="11">
        <v>616</v>
      </c>
      <c r="H445" s="12" t="s">
        <v>141</v>
      </c>
      <c r="I445" s="12" t="s">
        <v>37</v>
      </c>
      <c r="J445" s="12" t="s">
        <v>85</v>
      </c>
      <c r="K445" s="12" t="s">
        <v>86</v>
      </c>
      <c r="L445" s="13">
        <v>38.46</v>
      </c>
      <c r="M445" s="13">
        <v>25</v>
      </c>
      <c r="N445" s="13">
        <v>1.5384</v>
      </c>
      <c r="O445" s="13">
        <v>29</v>
      </c>
      <c r="P445" s="13" t="s">
        <v>30</v>
      </c>
      <c r="Q445" s="13">
        <v>0</v>
      </c>
      <c r="R445" s="14">
        <v>1115.3399999999999</v>
      </c>
      <c r="S445" s="15">
        <v>0</v>
      </c>
      <c r="T445" s="15">
        <v>0</v>
      </c>
      <c r="U445" s="15">
        <v>1115.3399999999999</v>
      </c>
      <c r="V445" s="15">
        <v>0</v>
      </c>
      <c r="W445" s="15">
        <v>1115.3399999999999</v>
      </c>
      <c r="X445" s="16">
        <v>0</v>
      </c>
      <c r="Y445" s="16">
        <v>0</v>
      </c>
      <c r="Z445" s="67" t="s">
        <v>26</v>
      </c>
      <c r="AA445" s="12" t="s">
        <v>31</v>
      </c>
    </row>
    <row r="446" spans="1:27" x14ac:dyDescent="0.25">
      <c r="A446" s="10">
        <v>45665</v>
      </c>
      <c r="B446" s="11" t="s">
        <v>1619</v>
      </c>
      <c r="C446" s="11" t="s">
        <v>1620</v>
      </c>
      <c r="D446" s="11" t="s">
        <v>26</v>
      </c>
      <c r="E446" s="11" t="s">
        <v>658</v>
      </c>
      <c r="F446" s="11" t="s">
        <v>26</v>
      </c>
      <c r="G446" s="11">
        <v>617</v>
      </c>
      <c r="H446" s="12" t="s">
        <v>141</v>
      </c>
      <c r="I446" s="12" t="s">
        <v>37</v>
      </c>
      <c r="J446" s="12" t="s">
        <v>85</v>
      </c>
      <c r="K446" s="12" t="s">
        <v>86</v>
      </c>
      <c r="L446" s="13">
        <v>38.64</v>
      </c>
      <c r="M446" s="13">
        <v>25</v>
      </c>
      <c r="N446" s="13">
        <v>1.5456000000000001</v>
      </c>
      <c r="O446" s="13">
        <v>29</v>
      </c>
      <c r="P446" s="13" t="s">
        <v>30</v>
      </c>
      <c r="Q446" s="13">
        <v>0</v>
      </c>
      <c r="R446" s="15">
        <v>1120.56</v>
      </c>
      <c r="S446" s="15">
        <v>0</v>
      </c>
      <c r="T446" s="15">
        <v>0</v>
      </c>
      <c r="U446" s="15">
        <v>1120.56</v>
      </c>
      <c r="V446" s="15">
        <v>0</v>
      </c>
      <c r="W446" s="15">
        <v>1120.56</v>
      </c>
      <c r="X446" s="15">
        <v>0</v>
      </c>
      <c r="Y446" s="16">
        <v>0</v>
      </c>
      <c r="Z446" s="67" t="s">
        <v>26</v>
      </c>
      <c r="AA446" s="12" t="s">
        <v>31</v>
      </c>
    </row>
    <row r="447" spans="1:27" x14ac:dyDescent="0.25">
      <c r="A447" s="10">
        <v>45665</v>
      </c>
      <c r="B447" s="11" t="s">
        <v>1621</v>
      </c>
      <c r="C447" s="11" t="s">
        <v>1622</v>
      </c>
      <c r="D447" s="11" t="s">
        <v>26</v>
      </c>
      <c r="E447" s="11" t="s">
        <v>431</v>
      </c>
      <c r="F447" s="11" t="s">
        <v>26</v>
      </c>
      <c r="G447" s="11">
        <v>132</v>
      </c>
      <c r="H447" s="12" t="s">
        <v>6328</v>
      </c>
      <c r="I447" s="12" t="s">
        <v>55</v>
      </c>
      <c r="J447" s="12" t="s">
        <v>55</v>
      </c>
      <c r="K447" s="12" t="s">
        <v>56</v>
      </c>
      <c r="L447" s="13">
        <v>36.340000000000003</v>
      </c>
      <c r="M447" s="13">
        <v>25</v>
      </c>
      <c r="N447" s="13">
        <v>1.4536</v>
      </c>
      <c r="O447" s="13">
        <v>15</v>
      </c>
      <c r="P447" s="13"/>
      <c r="Q447" s="13">
        <v>0</v>
      </c>
      <c r="R447" s="15">
        <v>545.1</v>
      </c>
      <c r="S447" s="15">
        <v>0</v>
      </c>
      <c r="T447" s="15">
        <v>0</v>
      </c>
      <c r="U447" s="15">
        <v>545.1</v>
      </c>
      <c r="V447" s="15">
        <v>0</v>
      </c>
      <c r="W447" s="15">
        <v>545.1</v>
      </c>
      <c r="X447" s="15">
        <v>0</v>
      </c>
      <c r="Y447" s="16">
        <v>0</v>
      </c>
      <c r="Z447" s="67" t="s">
        <v>26</v>
      </c>
      <c r="AA447" s="12" t="s">
        <v>31</v>
      </c>
    </row>
    <row r="448" spans="1:27" x14ac:dyDescent="0.25">
      <c r="A448" s="10">
        <v>45665</v>
      </c>
      <c r="B448" s="11" t="s">
        <v>1623</v>
      </c>
      <c r="C448" s="11" t="s">
        <v>1624</v>
      </c>
      <c r="D448" s="11" t="s">
        <v>26</v>
      </c>
      <c r="E448" s="11" t="s">
        <v>75</v>
      </c>
      <c r="F448" s="11" t="s">
        <v>26</v>
      </c>
      <c r="G448" s="11" t="s">
        <v>26</v>
      </c>
      <c r="H448" s="12" t="s">
        <v>4422</v>
      </c>
      <c r="I448" s="12" t="s">
        <v>27</v>
      </c>
      <c r="J448" s="12" t="s">
        <v>42</v>
      </c>
      <c r="K448" s="12" t="s">
        <v>43</v>
      </c>
      <c r="L448" s="13">
        <v>41.34</v>
      </c>
      <c r="M448" s="13">
        <v>25</v>
      </c>
      <c r="N448" s="13">
        <v>1.6536</v>
      </c>
      <c r="O448" s="13">
        <v>83</v>
      </c>
      <c r="P448" s="13" t="s">
        <v>30</v>
      </c>
      <c r="Q448" s="13">
        <v>0</v>
      </c>
      <c r="R448" s="15">
        <v>3431.2200000000003</v>
      </c>
      <c r="S448" s="15">
        <v>38</v>
      </c>
      <c r="T448" s="15">
        <v>1570.92</v>
      </c>
      <c r="U448" s="15">
        <v>1860.3000000000002</v>
      </c>
      <c r="V448" s="15">
        <v>1860.3000000000002</v>
      </c>
      <c r="W448" s="15">
        <v>0</v>
      </c>
      <c r="X448" s="15">
        <v>1488.2400000000002</v>
      </c>
      <c r="Y448" s="16">
        <v>82.679999999999836</v>
      </c>
      <c r="Z448" s="67" t="s">
        <v>565</v>
      </c>
      <c r="AA448" s="12" t="s">
        <v>78</v>
      </c>
    </row>
    <row r="449" spans="1:27" x14ac:dyDescent="0.25">
      <c r="A449" s="10">
        <v>45665</v>
      </c>
      <c r="B449" s="11" t="s">
        <v>1625</v>
      </c>
      <c r="C449" s="11" t="s">
        <v>1626</v>
      </c>
      <c r="D449" s="11" t="s">
        <v>26</v>
      </c>
      <c r="E449" s="11" t="s">
        <v>98</v>
      </c>
      <c r="F449" s="11" t="s">
        <v>26</v>
      </c>
      <c r="G449" s="11">
        <v>10128</v>
      </c>
      <c r="H449" s="12" t="s">
        <v>140</v>
      </c>
      <c r="I449" s="12" t="s">
        <v>27</v>
      </c>
      <c r="J449" s="12" t="s">
        <v>42</v>
      </c>
      <c r="K449" s="12" t="s">
        <v>43</v>
      </c>
      <c r="L449" s="13">
        <v>42.66</v>
      </c>
      <c r="M449" s="13">
        <v>25</v>
      </c>
      <c r="N449" s="13">
        <v>1.7063999999999999</v>
      </c>
      <c r="O449" s="13">
        <v>35</v>
      </c>
      <c r="P449" s="13"/>
      <c r="Q449" s="13">
        <v>0</v>
      </c>
      <c r="R449" s="15">
        <v>1493.1</v>
      </c>
      <c r="S449" s="15">
        <v>0</v>
      </c>
      <c r="T449" s="15">
        <v>0</v>
      </c>
      <c r="U449" s="15">
        <v>1493.1</v>
      </c>
      <c r="V449" s="15">
        <v>0</v>
      </c>
      <c r="W449" s="15">
        <v>1493.1</v>
      </c>
      <c r="X449" s="15">
        <v>0</v>
      </c>
      <c r="Y449" s="16">
        <v>0</v>
      </c>
      <c r="Z449" s="67" t="s">
        <v>26</v>
      </c>
      <c r="AA449" s="12" t="s">
        <v>31</v>
      </c>
    </row>
    <row r="450" spans="1:27" x14ac:dyDescent="0.25">
      <c r="A450" s="10">
        <v>45665</v>
      </c>
      <c r="B450" s="11" t="s">
        <v>1627</v>
      </c>
      <c r="C450" s="11" t="s">
        <v>1628</v>
      </c>
      <c r="D450" s="11" t="s">
        <v>26</v>
      </c>
      <c r="E450" s="11" t="s">
        <v>246</v>
      </c>
      <c r="F450" s="11" t="s">
        <v>26</v>
      </c>
      <c r="G450" s="11" t="s">
        <v>26</v>
      </c>
      <c r="H450" s="12" t="s">
        <v>146</v>
      </c>
      <c r="I450" s="12" t="s">
        <v>27</v>
      </c>
      <c r="J450" s="12" t="s">
        <v>33</v>
      </c>
      <c r="K450" s="12" t="s">
        <v>34</v>
      </c>
      <c r="L450" s="13">
        <v>43.54</v>
      </c>
      <c r="M450" s="13">
        <v>30</v>
      </c>
      <c r="N450" s="13">
        <v>1.4513333333333329</v>
      </c>
      <c r="O450" s="13">
        <v>91</v>
      </c>
      <c r="P450" s="13" t="s">
        <v>30</v>
      </c>
      <c r="Q450" s="13">
        <v>0</v>
      </c>
      <c r="R450" s="14">
        <v>3962.14</v>
      </c>
      <c r="S450" s="15">
        <v>40</v>
      </c>
      <c r="T450" s="15">
        <v>1741.6</v>
      </c>
      <c r="U450" s="15">
        <v>2220.54</v>
      </c>
      <c r="V450" s="15">
        <v>2220.54</v>
      </c>
      <c r="W450" s="15">
        <v>0</v>
      </c>
      <c r="X450" s="15">
        <v>1610.98</v>
      </c>
      <c r="Y450" s="16">
        <v>130.61999999999989</v>
      </c>
      <c r="Z450" s="67" t="s">
        <v>41</v>
      </c>
      <c r="AA450" s="12" t="s">
        <v>79</v>
      </c>
    </row>
    <row r="451" spans="1:27" x14ac:dyDescent="0.25">
      <c r="A451" s="10">
        <v>45665</v>
      </c>
      <c r="B451" s="11" t="s">
        <v>1629</v>
      </c>
      <c r="C451" s="11" t="s">
        <v>1630</v>
      </c>
      <c r="D451" s="11" t="s">
        <v>26</v>
      </c>
      <c r="E451" s="11" t="s">
        <v>1200</v>
      </c>
      <c r="F451" s="11" t="s">
        <v>26</v>
      </c>
      <c r="G451" s="11">
        <v>971</v>
      </c>
      <c r="H451" s="12" t="s">
        <v>163</v>
      </c>
      <c r="I451" s="12" t="s">
        <v>27</v>
      </c>
      <c r="J451" s="12" t="s">
        <v>33</v>
      </c>
      <c r="K451" s="12" t="s">
        <v>34</v>
      </c>
      <c r="L451" s="13">
        <v>38.020000000000003</v>
      </c>
      <c r="M451" s="13">
        <v>25</v>
      </c>
      <c r="N451" s="13">
        <v>1.5207999999999999</v>
      </c>
      <c r="O451" s="13" t="s">
        <v>30</v>
      </c>
      <c r="P451" s="13">
        <v>58</v>
      </c>
      <c r="Q451" s="13">
        <v>0</v>
      </c>
      <c r="R451" s="15">
        <v>1450</v>
      </c>
      <c r="S451" s="15">
        <v>0</v>
      </c>
      <c r="T451" s="15">
        <v>0</v>
      </c>
      <c r="U451" s="15">
        <v>1450</v>
      </c>
      <c r="V451" s="15">
        <v>0</v>
      </c>
      <c r="W451" s="15">
        <v>1450</v>
      </c>
      <c r="X451" s="15">
        <v>0</v>
      </c>
      <c r="Y451" s="16">
        <v>0</v>
      </c>
      <c r="Z451" s="67" t="s">
        <v>26</v>
      </c>
      <c r="AA451" s="12" t="s">
        <v>31</v>
      </c>
    </row>
    <row r="452" spans="1:27" x14ac:dyDescent="0.25">
      <c r="A452" s="10">
        <v>45665</v>
      </c>
      <c r="B452" s="11" t="s">
        <v>1631</v>
      </c>
      <c r="C452" s="11" t="s">
        <v>1632</v>
      </c>
      <c r="D452" s="11" t="s">
        <v>26</v>
      </c>
      <c r="E452" s="11" t="s">
        <v>241</v>
      </c>
      <c r="F452" s="11" t="s">
        <v>26</v>
      </c>
      <c r="G452" s="11">
        <v>71094</v>
      </c>
      <c r="H452" s="12" t="s">
        <v>4448</v>
      </c>
      <c r="I452" s="12" t="s">
        <v>27</v>
      </c>
      <c r="J452" s="12" t="s">
        <v>42</v>
      </c>
      <c r="K452" s="12" t="s">
        <v>43</v>
      </c>
      <c r="L452" s="13">
        <v>43.1</v>
      </c>
      <c r="M452" s="13">
        <v>25</v>
      </c>
      <c r="N452" s="13">
        <v>1.724</v>
      </c>
      <c r="O452" s="13">
        <v>42.5</v>
      </c>
      <c r="P452" s="13"/>
      <c r="Q452" s="13">
        <v>0</v>
      </c>
      <c r="R452" s="15">
        <v>1831.75</v>
      </c>
      <c r="S452" s="15">
        <v>0</v>
      </c>
      <c r="T452" s="15">
        <v>0</v>
      </c>
      <c r="U452" s="15">
        <v>1831.75</v>
      </c>
      <c r="V452" s="15">
        <v>1373.8125</v>
      </c>
      <c r="W452" s="15">
        <v>457.9375</v>
      </c>
      <c r="X452" s="15">
        <v>0</v>
      </c>
      <c r="Y452" s="16">
        <v>0</v>
      </c>
      <c r="Z452" s="67" t="s">
        <v>26</v>
      </c>
      <c r="AA452" s="12" t="s">
        <v>31</v>
      </c>
    </row>
    <row r="453" spans="1:27" x14ac:dyDescent="0.25">
      <c r="A453" s="10">
        <v>45665</v>
      </c>
      <c r="B453" s="11" t="s">
        <v>1633</v>
      </c>
      <c r="C453" s="11" t="s">
        <v>1634</v>
      </c>
      <c r="D453" s="11" t="s">
        <v>26</v>
      </c>
      <c r="E453" s="11" t="s">
        <v>224</v>
      </c>
      <c r="F453" s="11" t="s">
        <v>26</v>
      </c>
      <c r="G453" s="11">
        <v>57836</v>
      </c>
      <c r="H453" s="12" t="s">
        <v>4423</v>
      </c>
      <c r="I453" s="12" t="s">
        <v>27</v>
      </c>
      <c r="J453" s="12" t="s">
        <v>47</v>
      </c>
      <c r="K453" s="12" t="s">
        <v>48</v>
      </c>
      <c r="L453" s="13">
        <v>34.4</v>
      </c>
      <c r="M453" s="13">
        <v>25</v>
      </c>
      <c r="N453" s="13">
        <v>1.3759999999999999</v>
      </c>
      <c r="O453" s="13">
        <v>46</v>
      </c>
      <c r="P453" s="13" t="s">
        <v>30</v>
      </c>
      <c r="Q453" s="13">
        <v>0</v>
      </c>
      <c r="R453" s="15">
        <v>1582.3999999999999</v>
      </c>
      <c r="S453" s="15">
        <v>0</v>
      </c>
      <c r="T453" s="15">
        <v>0</v>
      </c>
      <c r="U453" s="15">
        <v>1582.3999999999999</v>
      </c>
      <c r="V453" s="15">
        <v>1582.3999999999999</v>
      </c>
      <c r="W453" s="15">
        <v>0</v>
      </c>
      <c r="X453" s="15">
        <v>0</v>
      </c>
      <c r="Y453" s="16">
        <v>0</v>
      </c>
      <c r="Z453" s="67" t="s">
        <v>26</v>
      </c>
      <c r="AA453" s="12" t="s">
        <v>31</v>
      </c>
    </row>
    <row r="454" spans="1:27" x14ac:dyDescent="0.25">
      <c r="A454" s="10">
        <v>45665</v>
      </c>
      <c r="B454" s="11" t="s">
        <v>1635</v>
      </c>
      <c r="C454" s="11" t="s">
        <v>1636</v>
      </c>
      <c r="D454" s="11" t="s">
        <v>26</v>
      </c>
      <c r="E454" s="11" t="s">
        <v>589</v>
      </c>
      <c r="F454" s="11" t="s">
        <v>26</v>
      </c>
      <c r="G454" s="11">
        <v>4566</v>
      </c>
      <c r="H454" s="12" t="s">
        <v>4423</v>
      </c>
      <c r="I454" s="12" t="s">
        <v>27</v>
      </c>
      <c r="J454" s="12" t="s">
        <v>33</v>
      </c>
      <c r="K454" s="12" t="s">
        <v>34</v>
      </c>
      <c r="L454" s="13">
        <v>32.44</v>
      </c>
      <c r="M454" s="13">
        <v>25</v>
      </c>
      <c r="N454" s="13">
        <v>1.2976000000000001</v>
      </c>
      <c r="O454" s="13">
        <v>45</v>
      </c>
      <c r="P454" s="13" t="s">
        <v>30</v>
      </c>
      <c r="Q454" s="13">
        <v>0</v>
      </c>
      <c r="R454" s="15">
        <v>1459.8</v>
      </c>
      <c r="S454" s="15">
        <v>0</v>
      </c>
      <c r="T454" s="15">
        <v>0</v>
      </c>
      <c r="U454" s="15">
        <v>1459.8</v>
      </c>
      <c r="V454" s="15">
        <v>1459.8</v>
      </c>
      <c r="W454" s="15">
        <v>0</v>
      </c>
      <c r="X454" s="15">
        <v>0</v>
      </c>
      <c r="Y454" s="16">
        <v>0</v>
      </c>
      <c r="Z454" s="67" t="s">
        <v>26</v>
      </c>
      <c r="AA454" s="12" t="s">
        <v>31</v>
      </c>
    </row>
    <row r="455" spans="1:27" x14ac:dyDescent="0.25">
      <c r="A455" s="10">
        <v>45665</v>
      </c>
      <c r="B455" s="11" t="s">
        <v>368</v>
      </c>
      <c r="C455" s="11" t="s">
        <v>1637</v>
      </c>
      <c r="D455" s="11" t="s">
        <v>26</v>
      </c>
      <c r="E455" s="11" t="s">
        <v>520</v>
      </c>
      <c r="F455" s="11" t="s">
        <v>26</v>
      </c>
      <c r="G455" s="11">
        <v>4365</v>
      </c>
      <c r="H455" s="12" t="s">
        <v>140</v>
      </c>
      <c r="I455" s="12" t="s">
        <v>27</v>
      </c>
      <c r="J455" s="12" t="s">
        <v>42</v>
      </c>
      <c r="K455" s="12" t="s">
        <v>43</v>
      </c>
      <c r="L455" s="13">
        <v>42.86</v>
      </c>
      <c r="M455" s="13">
        <v>25</v>
      </c>
      <c r="N455" s="13">
        <v>1.7143999999999999</v>
      </c>
      <c r="O455" s="13">
        <v>35</v>
      </c>
      <c r="P455" s="13"/>
      <c r="Q455" s="13">
        <v>0</v>
      </c>
      <c r="R455" s="15">
        <v>1500.1</v>
      </c>
      <c r="S455" s="15">
        <v>0</v>
      </c>
      <c r="T455" s="15">
        <v>0</v>
      </c>
      <c r="U455" s="15">
        <v>1500.1</v>
      </c>
      <c r="V455" s="15">
        <v>0</v>
      </c>
      <c r="W455" s="15">
        <v>1500.1</v>
      </c>
      <c r="X455" s="15">
        <v>0</v>
      </c>
      <c r="Y455" s="16">
        <v>0</v>
      </c>
      <c r="Z455" s="67" t="s">
        <v>26</v>
      </c>
      <c r="AA455" s="12" t="s">
        <v>31</v>
      </c>
    </row>
    <row r="456" spans="1:27" x14ac:dyDescent="0.25">
      <c r="A456" s="10">
        <v>45665</v>
      </c>
      <c r="B456" s="11" t="s">
        <v>1638</v>
      </c>
      <c r="C456" s="11" t="s">
        <v>1639</v>
      </c>
      <c r="D456" s="11" t="s">
        <v>26</v>
      </c>
      <c r="E456" s="11" t="s">
        <v>230</v>
      </c>
      <c r="F456" s="11" t="s">
        <v>26</v>
      </c>
      <c r="G456" s="11" t="s">
        <v>26</v>
      </c>
      <c r="H456" s="12" t="s">
        <v>4422</v>
      </c>
      <c r="I456" s="12" t="s">
        <v>27</v>
      </c>
      <c r="J456" s="12" t="s">
        <v>33</v>
      </c>
      <c r="K456" s="12" t="s">
        <v>34</v>
      </c>
      <c r="L456" s="13">
        <v>42.72</v>
      </c>
      <c r="M456" s="13">
        <v>29</v>
      </c>
      <c r="N456" s="13">
        <v>1.473103448275862</v>
      </c>
      <c r="O456" s="13">
        <v>85</v>
      </c>
      <c r="P456" s="13" t="s">
        <v>30</v>
      </c>
      <c r="Q456" s="13">
        <v>0</v>
      </c>
      <c r="R456" s="15">
        <v>3631.2</v>
      </c>
      <c r="S456" s="15">
        <v>38</v>
      </c>
      <c r="T456" s="15">
        <v>1623.36</v>
      </c>
      <c r="U456" s="15">
        <v>2007.84</v>
      </c>
      <c r="V456" s="15">
        <v>2007.84</v>
      </c>
      <c r="W456" s="15">
        <v>0</v>
      </c>
      <c r="X456" s="15">
        <v>1537.92</v>
      </c>
      <c r="Y456" s="16">
        <v>85.439999999999827</v>
      </c>
      <c r="Z456" s="67" t="s">
        <v>565</v>
      </c>
      <c r="AA456" s="12" t="s">
        <v>78</v>
      </c>
    </row>
    <row r="457" spans="1:27" x14ac:dyDescent="0.25">
      <c r="A457" s="10">
        <v>45665</v>
      </c>
      <c r="B457" s="11" t="s">
        <v>1640</v>
      </c>
      <c r="C457" s="11" t="s">
        <v>1641</v>
      </c>
      <c r="D457" s="11" t="s">
        <v>26</v>
      </c>
      <c r="E457" s="11" t="s">
        <v>74</v>
      </c>
      <c r="F457" s="11" t="s">
        <v>26</v>
      </c>
      <c r="G457" s="11">
        <v>1310</v>
      </c>
      <c r="H457" s="12" t="s">
        <v>70</v>
      </c>
      <c r="I457" s="12" t="s">
        <v>27</v>
      </c>
      <c r="J457" s="12" t="s">
        <v>42</v>
      </c>
      <c r="K457" s="12" t="s">
        <v>43</v>
      </c>
      <c r="L457" s="13">
        <v>40.200000000000003</v>
      </c>
      <c r="M457" s="13">
        <v>25</v>
      </c>
      <c r="N457" s="13">
        <v>1.6080000000000001</v>
      </c>
      <c r="O457" s="13" t="s">
        <v>30</v>
      </c>
      <c r="P457" s="13">
        <v>64</v>
      </c>
      <c r="Q457" s="13">
        <v>0</v>
      </c>
      <c r="R457" s="15">
        <v>1600</v>
      </c>
      <c r="S457" s="15">
        <v>0</v>
      </c>
      <c r="T457" s="15">
        <v>0</v>
      </c>
      <c r="U457" s="15">
        <v>1600</v>
      </c>
      <c r="V457" s="15">
        <v>0</v>
      </c>
      <c r="W457" s="15">
        <v>1600</v>
      </c>
      <c r="X457" s="15">
        <v>0</v>
      </c>
      <c r="Y457" s="16">
        <v>0</v>
      </c>
      <c r="Z457" s="67" t="s">
        <v>26</v>
      </c>
      <c r="AA457" s="12" t="s">
        <v>31</v>
      </c>
    </row>
    <row r="458" spans="1:27" x14ac:dyDescent="0.25">
      <c r="A458" s="10">
        <v>45665</v>
      </c>
      <c r="B458" s="11" t="s">
        <v>1642</v>
      </c>
      <c r="C458" s="11" t="s">
        <v>1643</v>
      </c>
      <c r="D458" s="11" t="s">
        <v>26</v>
      </c>
      <c r="E458" s="11" t="s">
        <v>461</v>
      </c>
      <c r="F458" s="11" t="s">
        <v>26</v>
      </c>
      <c r="G458" s="11">
        <v>33</v>
      </c>
      <c r="H458" s="12" t="s">
        <v>4444</v>
      </c>
      <c r="I458" s="12" t="s">
        <v>37</v>
      </c>
      <c r="J458" s="12" t="s">
        <v>85</v>
      </c>
      <c r="K458" s="12" t="s">
        <v>86</v>
      </c>
      <c r="L458" s="13">
        <v>29.1</v>
      </c>
      <c r="M458" s="13">
        <v>20</v>
      </c>
      <c r="N458" s="13">
        <v>1.4550000000000001</v>
      </c>
      <c r="O458" s="13">
        <v>30</v>
      </c>
      <c r="P458" s="13" t="s">
        <v>30</v>
      </c>
      <c r="Q458" s="13">
        <v>0</v>
      </c>
      <c r="R458" s="14">
        <v>873</v>
      </c>
      <c r="S458" s="15">
        <v>0</v>
      </c>
      <c r="T458" s="15">
        <v>0</v>
      </c>
      <c r="U458" s="15">
        <v>873</v>
      </c>
      <c r="V458" s="15">
        <v>0</v>
      </c>
      <c r="W458" s="15">
        <v>873</v>
      </c>
      <c r="X458" s="16">
        <v>0</v>
      </c>
      <c r="Y458" s="16">
        <v>0</v>
      </c>
      <c r="Z458" s="67" t="s">
        <v>26</v>
      </c>
      <c r="AA458" s="12" t="s">
        <v>31</v>
      </c>
    </row>
    <row r="459" spans="1:27" x14ac:dyDescent="0.25">
      <c r="A459" s="10">
        <v>45665</v>
      </c>
      <c r="B459" s="11" t="s">
        <v>350</v>
      </c>
      <c r="C459" s="11" t="s">
        <v>1644</v>
      </c>
      <c r="D459" s="11" t="s">
        <v>26</v>
      </c>
      <c r="E459" s="11" t="s">
        <v>69</v>
      </c>
      <c r="F459" s="11" t="s">
        <v>26</v>
      </c>
      <c r="G459" s="11">
        <v>4678</v>
      </c>
      <c r="H459" s="12" t="s">
        <v>70</v>
      </c>
      <c r="I459" s="12" t="s">
        <v>27</v>
      </c>
      <c r="J459" s="12" t="s">
        <v>42</v>
      </c>
      <c r="K459" s="12" t="s">
        <v>43</v>
      </c>
      <c r="L459" s="13">
        <v>43.7</v>
      </c>
      <c r="M459" s="13">
        <v>25</v>
      </c>
      <c r="N459" s="13">
        <v>1.748</v>
      </c>
      <c r="O459" s="13" t="s">
        <v>30</v>
      </c>
      <c r="P459" s="13">
        <v>64</v>
      </c>
      <c r="Q459" s="13">
        <v>0</v>
      </c>
      <c r="R459" s="14">
        <v>1600</v>
      </c>
      <c r="S459" s="15">
        <v>0</v>
      </c>
      <c r="T459" s="15">
        <v>0</v>
      </c>
      <c r="U459" s="15">
        <v>1600</v>
      </c>
      <c r="V459" s="15">
        <v>0</v>
      </c>
      <c r="W459" s="15">
        <v>1600</v>
      </c>
      <c r="X459" s="16">
        <v>0</v>
      </c>
      <c r="Y459" s="16">
        <v>0</v>
      </c>
      <c r="Z459" s="67" t="s">
        <v>26</v>
      </c>
      <c r="AA459" s="12" t="s">
        <v>31</v>
      </c>
    </row>
    <row r="460" spans="1:27" x14ac:dyDescent="0.25">
      <c r="A460" s="10">
        <v>45665</v>
      </c>
      <c r="B460" s="11" t="s">
        <v>1645</v>
      </c>
      <c r="C460" s="11" t="s">
        <v>1646</v>
      </c>
      <c r="D460" s="11" t="s">
        <v>26</v>
      </c>
      <c r="E460" s="11" t="s">
        <v>53</v>
      </c>
      <c r="F460" s="11" t="s">
        <v>26</v>
      </c>
      <c r="G460" s="11" t="s">
        <v>26</v>
      </c>
      <c r="H460" s="12" t="s">
        <v>146</v>
      </c>
      <c r="I460" s="12" t="s">
        <v>27</v>
      </c>
      <c r="J460" s="12" t="s">
        <v>47</v>
      </c>
      <c r="K460" s="12" t="s">
        <v>48</v>
      </c>
      <c r="L460" s="13">
        <v>44.74</v>
      </c>
      <c r="M460" s="13">
        <v>30</v>
      </c>
      <c r="N460" s="13">
        <v>1.491333333333333</v>
      </c>
      <c r="O460" s="13">
        <v>91</v>
      </c>
      <c r="P460" s="13" t="s">
        <v>30</v>
      </c>
      <c r="Q460" s="13">
        <v>0</v>
      </c>
      <c r="R460" s="15">
        <v>4071.34</v>
      </c>
      <c r="S460" s="15">
        <v>40</v>
      </c>
      <c r="T460" s="15">
        <v>1789.6000000000001</v>
      </c>
      <c r="U460" s="15">
        <v>2281.7399999999998</v>
      </c>
      <c r="V460" s="15">
        <v>2281.7399999999998</v>
      </c>
      <c r="W460" s="15">
        <v>0</v>
      </c>
      <c r="X460" s="15">
        <v>1655.38</v>
      </c>
      <c r="Y460" s="16">
        <v>134.22000000000003</v>
      </c>
      <c r="Z460" s="67" t="s">
        <v>41</v>
      </c>
      <c r="AA460" s="12" t="s">
        <v>79</v>
      </c>
    </row>
    <row r="461" spans="1:27" x14ac:dyDescent="0.25">
      <c r="A461" s="10">
        <v>45665</v>
      </c>
      <c r="B461" s="11" t="s">
        <v>1647</v>
      </c>
      <c r="C461" s="11" t="s">
        <v>1648</v>
      </c>
      <c r="D461" s="11" t="s">
        <v>26</v>
      </c>
      <c r="E461" s="11" t="s">
        <v>553</v>
      </c>
      <c r="F461" s="11" t="s">
        <v>26</v>
      </c>
      <c r="G461" s="11">
        <v>44127</v>
      </c>
      <c r="H461" s="12" t="s">
        <v>4423</v>
      </c>
      <c r="I461" s="12" t="s">
        <v>27</v>
      </c>
      <c r="J461" s="12" t="s">
        <v>33</v>
      </c>
      <c r="K461" s="12" t="s">
        <v>34</v>
      </c>
      <c r="L461" s="13">
        <v>36.74</v>
      </c>
      <c r="M461" s="13">
        <v>25</v>
      </c>
      <c r="N461" s="13">
        <v>1.4696</v>
      </c>
      <c r="O461" s="13">
        <v>45</v>
      </c>
      <c r="P461" s="13" t="s">
        <v>30</v>
      </c>
      <c r="Q461" s="13">
        <v>0</v>
      </c>
      <c r="R461" s="14">
        <v>1653.3000000000002</v>
      </c>
      <c r="S461" s="15">
        <v>0</v>
      </c>
      <c r="T461" s="15">
        <v>0</v>
      </c>
      <c r="U461" s="15">
        <v>1653.3000000000002</v>
      </c>
      <c r="V461" s="15">
        <v>1653.3000000000002</v>
      </c>
      <c r="W461" s="15">
        <v>0</v>
      </c>
      <c r="X461" s="15">
        <v>0</v>
      </c>
      <c r="Y461" s="16">
        <v>0</v>
      </c>
      <c r="Z461" s="67" t="s">
        <v>26</v>
      </c>
      <c r="AA461" s="12" t="s">
        <v>31</v>
      </c>
    </row>
    <row r="462" spans="1:27" x14ac:dyDescent="0.25">
      <c r="A462" s="10">
        <v>45665</v>
      </c>
      <c r="B462" s="11" t="s">
        <v>1649</v>
      </c>
      <c r="C462" s="11" t="s">
        <v>1650</v>
      </c>
      <c r="D462" s="11" t="s">
        <v>26</v>
      </c>
      <c r="E462" s="11" t="s">
        <v>1651</v>
      </c>
      <c r="F462" s="11" t="s">
        <v>26</v>
      </c>
      <c r="G462" s="11">
        <v>42261</v>
      </c>
      <c r="H462" s="12" t="s">
        <v>565</v>
      </c>
      <c r="I462" s="12" t="s">
        <v>27</v>
      </c>
      <c r="J462" s="12" t="s">
        <v>33</v>
      </c>
      <c r="K462" s="12" t="s">
        <v>34</v>
      </c>
      <c r="L462" s="13">
        <v>35.82</v>
      </c>
      <c r="M462" s="13">
        <v>25</v>
      </c>
      <c r="N462" s="13">
        <v>1.4328000000000001</v>
      </c>
      <c r="O462" s="13"/>
      <c r="P462" s="13">
        <v>60</v>
      </c>
      <c r="Q462" s="13">
        <v>0</v>
      </c>
      <c r="R462" s="14">
        <v>1500</v>
      </c>
      <c r="S462" s="15">
        <v>0</v>
      </c>
      <c r="T462" s="15">
        <v>0</v>
      </c>
      <c r="U462" s="15">
        <v>1500</v>
      </c>
      <c r="V462" s="15">
        <v>0</v>
      </c>
      <c r="W462" s="15">
        <v>1500</v>
      </c>
      <c r="X462" s="15">
        <v>0</v>
      </c>
      <c r="Y462" s="16">
        <v>0</v>
      </c>
      <c r="Z462" s="67" t="s">
        <v>26</v>
      </c>
      <c r="AA462" s="12" t="s">
        <v>31</v>
      </c>
    </row>
    <row r="463" spans="1:27" x14ac:dyDescent="0.25">
      <c r="A463" s="10">
        <v>45665</v>
      </c>
      <c r="B463" s="11" t="s">
        <v>732</v>
      </c>
      <c r="C463" s="11" t="s">
        <v>1652</v>
      </c>
      <c r="D463" s="11" t="s">
        <v>26</v>
      </c>
      <c r="E463" s="11" t="s">
        <v>461</v>
      </c>
      <c r="F463" s="11" t="s">
        <v>26</v>
      </c>
      <c r="G463" s="11">
        <v>31</v>
      </c>
      <c r="H463" s="12" t="s">
        <v>4444</v>
      </c>
      <c r="I463" s="12" t="s">
        <v>37</v>
      </c>
      <c r="J463" s="12" t="s">
        <v>85</v>
      </c>
      <c r="K463" s="12" t="s">
        <v>86</v>
      </c>
      <c r="L463" s="13">
        <v>28.56</v>
      </c>
      <c r="M463" s="13">
        <v>20</v>
      </c>
      <c r="N463" s="13">
        <v>1.4279999999999999</v>
      </c>
      <c r="O463" s="13">
        <v>30</v>
      </c>
      <c r="P463" s="13" t="s">
        <v>30</v>
      </c>
      <c r="Q463" s="13">
        <v>0</v>
      </c>
      <c r="R463" s="14">
        <v>856.8</v>
      </c>
      <c r="S463" s="15">
        <v>0</v>
      </c>
      <c r="T463" s="15">
        <v>0</v>
      </c>
      <c r="U463" s="15">
        <v>856.8</v>
      </c>
      <c r="V463" s="15">
        <v>0</v>
      </c>
      <c r="W463" s="15">
        <v>856.8</v>
      </c>
      <c r="X463" s="15">
        <v>0</v>
      </c>
      <c r="Y463" s="16">
        <v>0</v>
      </c>
      <c r="Z463" s="67" t="s">
        <v>26</v>
      </c>
      <c r="AA463" s="12" t="s">
        <v>31</v>
      </c>
    </row>
    <row r="464" spans="1:27" x14ac:dyDescent="0.25">
      <c r="A464" s="10">
        <v>45665</v>
      </c>
      <c r="B464" s="11" t="s">
        <v>186</v>
      </c>
      <c r="C464" s="11" t="s">
        <v>1653</v>
      </c>
      <c r="D464" s="11" t="s">
        <v>26</v>
      </c>
      <c r="E464" s="11" t="s">
        <v>604</v>
      </c>
      <c r="F464" s="11" t="s">
        <v>26</v>
      </c>
      <c r="G464" s="11">
        <v>618</v>
      </c>
      <c r="H464" s="12" t="s">
        <v>141</v>
      </c>
      <c r="I464" s="12" t="s">
        <v>37</v>
      </c>
      <c r="J464" s="12" t="s">
        <v>85</v>
      </c>
      <c r="K464" s="12" t="s">
        <v>86</v>
      </c>
      <c r="L464" s="13">
        <v>38.840000000000003</v>
      </c>
      <c r="M464" s="13">
        <v>25</v>
      </c>
      <c r="N464" s="13">
        <v>1.5536000000000001</v>
      </c>
      <c r="O464" s="13">
        <v>29</v>
      </c>
      <c r="P464" s="13" t="s">
        <v>30</v>
      </c>
      <c r="Q464" s="13">
        <v>0</v>
      </c>
      <c r="R464" s="14">
        <v>1126.3600000000001</v>
      </c>
      <c r="S464" s="15">
        <v>0</v>
      </c>
      <c r="T464" s="15">
        <v>0</v>
      </c>
      <c r="U464" s="15">
        <v>1126.3600000000001</v>
      </c>
      <c r="V464" s="15">
        <v>0</v>
      </c>
      <c r="W464" s="15">
        <v>1126.3600000000001</v>
      </c>
      <c r="X464" s="15">
        <v>0</v>
      </c>
      <c r="Y464" s="16">
        <v>0</v>
      </c>
      <c r="Z464" s="67" t="s">
        <v>26</v>
      </c>
      <c r="AA464" s="12" t="s">
        <v>31</v>
      </c>
    </row>
    <row r="465" spans="1:27" x14ac:dyDescent="0.25">
      <c r="A465" s="10">
        <v>45665</v>
      </c>
      <c r="B465" s="11" t="s">
        <v>1654</v>
      </c>
      <c r="C465" s="11" t="s">
        <v>1655</v>
      </c>
      <c r="D465" s="11" t="s">
        <v>26</v>
      </c>
      <c r="E465" s="11" t="s">
        <v>80</v>
      </c>
      <c r="F465" s="11" t="s">
        <v>26</v>
      </c>
      <c r="G465" s="11">
        <v>10282</v>
      </c>
      <c r="H465" s="12" t="s">
        <v>140</v>
      </c>
      <c r="I465" s="12" t="s">
        <v>27</v>
      </c>
      <c r="J465" s="12" t="s">
        <v>33</v>
      </c>
      <c r="K465" s="12" t="s">
        <v>34</v>
      </c>
      <c r="L465" s="13">
        <v>41.2</v>
      </c>
      <c r="M465" s="13">
        <v>28</v>
      </c>
      <c r="N465" s="13">
        <v>1.471428571428572</v>
      </c>
      <c r="O465" s="13">
        <v>40</v>
      </c>
      <c r="P465" s="13"/>
      <c r="Q465" s="13">
        <v>0</v>
      </c>
      <c r="R465" s="14">
        <v>1648</v>
      </c>
      <c r="S465" s="15">
        <v>0</v>
      </c>
      <c r="T465" s="15">
        <v>0</v>
      </c>
      <c r="U465" s="15">
        <v>1648</v>
      </c>
      <c r="V465" s="15">
        <v>0</v>
      </c>
      <c r="W465" s="15">
        <v>1648</v>
      </c>
      <c r="X465" s="15">
        <v>0</v>
      </c>
      <c r="Y465" s="16">
        <v>0</v>
      </c>
      <c r="Z465" s="67" t="s">
        <v>26</v>
      </c>
      <c r="AA465" s="12" t="s">
        <v>31</v>
      </c>
    </row>
    <row r="466" spans="1:27" x14ac:dyDescent="0.25">
      <c r="A466" s="10">
        <v>45665</v>
      </c>
      <c r="B466" s="11" t="s">
        <v>342</v>
      </c>
      <c r="C466" s="11" t="s">
        <v>1656</v>
      </c>
      <c r="D466" s="11" t="s">
        <v>26</v>
      </c>
      <c r="E466" s="11" t="s">
        <v>461</v>
      </c>
      <c r="F466" s="11" t="s">
        <v>26</v>
      </c>
      <c r="G466" s="11">
        <v>32</v>
      </c>
      <c r="H466" s="12" t="s">
        <v>4444</v>
      </c>
      <c r="I466" s="12" t="s">
        <v>37</v>
      </c>
      <c r="J466" s="12" t="s">
        <v>85</v>
      </c>
      <c r="K466" s="12" t="s">
        <v>86</v>
      </c>
      <c r="L466" s="13">
        <v>28.96</v>
      </c>
      <c r="M466" s="13">
        <v>20</v>
      </c>
      <c r="N466" s="13">
        <v>1.448</v>
      </c>
      <c r="O466" s="13">
        <v>30</v>
      </c>
      <c r="P466" s="13" t="s">
        <v>30</v>
      </c>
      <c r="Q466" s="13">
        <v>0</v>
      </c>
      <c r="R466" s="15">
        <v>868.80000000000007</v>
      </c>
      <c r="S466" s="15">
        <v>0</v>
      </c>
      <c r="T466" s="15">
        <v>0</v>
      </c>
      <c r="U466" s="15">
        <v>868.80000000000007</v>
      </c>
      <c r="V466" s="15">
        <v>0</v>
      </c>
      <c r="W466" s="15">
        <v>868.80000000000007</v>
      </c>
      <c r="X466" s="15">
        <v>0</v>
      </c>
      <c r="Y466" s="16">
        <v>0</v>
      </c>
      <c r="Z466" s="67" t="s">
        <v>26</v>
      </c>
      <c r="AA466" s="12" t="s">
        <v>31</v>
      </c>
    </row>
    <row r="467" spans="1:27" x14ac:dyDescent="0.25">
      <c r="A467" s="10">
        <v>45665</v>
      </c>
      <c r="B467" s="11" t="s">
        <v>337</v>
      </c>
      <c r="C467" s="11" t="s">
        <v>1657</v>
      </c>
      <c r="D467" s="11" t="s">
        <v>26</v>
      </c>
      <c r="E467" s="11" t="s">
        <v>241</v>
      </c>
      <c r="F467" s="11" t="s">
        <v>26</v>
      </c>
      <c r="G467" s="11">
        <v>71095</v>
      </c>
      <c r="H467" s="12" t="s">
        <v>4448</v>
      </c>
      <c r="I467" s="12" t="s">
        <v>27</v>
      </c>
      <c r="J467" s="12" t="s">
        <v>42</v>
      </c>
      <c r="K467" s="12" t="s">
        <v>43</v>
      </c>
      <c r="L467" s="13">
        <v>43.78</v>
      </c>
      <c r="M467" s="13">
        <v>25</v>
      </c>
      <c r="N467" s="13">
        <v>1.7512000000000001</v>
      </c>
      <c r="O467" s="13">
        <v>42.5</v>
      </c>
      <c r="P467" s="13"/>
      <c r="Q467" s="13">
        <v>0</v>
      </c>
      <c r="R467" s="14">
        <v>1860.65</v>
      </c>
      <c r="S467" s="15">
        <v>0</v>
      </c>
      <c r="T467" s="15">
        <v>0</v>
      </c>
      <c r="U467" s="15">
        <v>1860.65</v>
      </c>
      <c r="V467" s="15">
        <v>1395.4875000000002</v>
      </c>
      <c r="W467" s="15">
        <v>465.16249999999991</v>
      </c>
      <c r="X467" s="15">
        <v>0</v>
      </c>
      <c r="Y467" s="16">
        <v>0</v>
      </c>
      <c r="Z467" s="67" t="s">
        <v>26</v>
      </c>
      <c r="AA467" s="12" t="s">
        <v>31</v>
      </c>
    </row>
    <row r="468" spans="1:27" x14ac:dyDescent="0.25">
      <c r="A468" s="10">
        <v>45665</v>
      </c>
      <c r="B468" s="11" t="s">
        <v>1658</v>
      </c>
      <c r="C468" s="11" t="s">
        <v>1659</v>
      </c>
      <c r="D468" s="11" t="s">
        <v>26</v>
      </c>
      <c r="E468" s="11" t="s">
        <v>1660</v>
      </c>
      <c r="F468" s="11" t="s">
        <v>26</v>
      </c>
      <c r="G468" s="11">
        <v>42262</v>
      </c>
      <c r="H468" s="12" t="s">
        <v>565</v>
      </c>
      <c r="I468" s="12" t="s">
        <v>27</v>
      </c>
      <c r="J468" s="12" t="s">
        <v>33</v>
      </c>
      <c r="K468" s="12" t="s">
        <v>34</v>
      </c>
      <c r="L468" s="13">
        <v>33.56</v>
      </c>
      <c r="M468" s="13">
        <v>23</v>
      </c>
      <c r="N468" s="13">
        <v>1.4591304347826091</v>
      </c>
      <c r="O468" s="13"/>
      <c r="P468" s="13">
        <v>60</v>
      </c>
      <c r="Q468" s="13">
        <v>0</v>
      </c>
      <c r="R468" s="15">
        <v>1380</v>
      </c>
      <c r="S468" s="15">
        <v>0</v>
      </c>
      <c r="T468" s="15">
        <v>0</v>
      </c>
      <c r="U468" s="15">
        <v>1380</v>
      </c>
      <c r="V468" s="15">
        <v>0</v>
      </c>
      <c r="W468" s="15">
        <v>1380</v>
      </c>
      <c r="X468" s="15">
        <v>0</v>
      </c>
      <c r="Y468" s="16">
        <v>0</v>
      </c>
      <c r="Z468" s="67" t="s">
        <v>26</v>
      </c>
      <c r="AA468" s="12" t="s">
        <v>31</v>
      </c>
    </row>
    <row r="469" spans="1:27" x14ac:dyDescent="0.25">
      <c r="A469" s="10">
        <v>45665</v>
      </c>
      <c r="B469" s="11" t="s">
        <v>720</v>
      </c>
      <c r="C469" s="11" t="s">
        <v>1661</v>
      </c>
      <c r="D469" s="11" t="s">
        <v>26</v>
      </c>
      <c r="E469" s="11" t="s">
        <v>1200</v>
      </c>
      <c r="F469" s="11" t="s">
        <v>26</v>
      </c>
      <c r="G469" s="11">
        <v>972</v>
      </c>
      <c r="H469" s="12" t="s">
        <v>163</v>
      </c>
      <c r="I469" s="12" t="s">
        <v>27</v>
      </c>
      <c r="J469" s="12" t="s">
        <v>42</v>
      </c>
      <c r="K469" s="12" t="s">
        <v>43</v>
      </c>
      <c r="L469" s="13">
        <v>43.38</v>
      </c>
      <c r="M469" s="13">
        <v>25</v>
      </c>
      <c r="N469" s="13">
        <v>1.7352000000000001</v>
      </c>
      <c r="O469" s="13" t="s">
        <v>30</v>
      </c>
      <c r="P469" s="13">
        <v>56</v>
      </c>
      <c r="Q469" s="13">
        <v>0</v>
      </c>
      <c r="R469" s="15">
        <v>1400</v>
      </c>
      <c r="S469" s="15">
        <v>0</v>
      </c>
      <c r="T469" s="15">
        <v>0</v>
      </c>
      <c r="U469" s="15">
        <v>1400</v>
      </c>
      <c r="V469" s="15">
        <v>0</v>
      </c>
      <c r="W469" s="15">
        <v>1400</v>
      </c>
      <c r="X469" s="15">
        <v>0</v>
      </c>
      <c r="Y469" s="16">
        <v>0</v>
      </c>
      <c r="Z469" s="67" t="s">
        <v>26</v>
      </c>
      <c r="AA469" s="12" t="s">
        <v>31</v>
      </c>
    </row>
    <row r="470" spans="1:27" x14ac:dyDescent="0.25">
      <c r="A470" s="10">
        <v>45665</v>
      </c>
      <c r="B470" s="11" t="s">
        <v>1662</v>
      </c>
      <c r="C470" s="11" t="s">
        <v>1663</v>
      </c>
      <c r="D470" s="11" t="s">
        <v>26</v>
      </c>
      <c r="E470" s="11" t="s">
        <v>435</v>
      </c>
      <c r="F470" s="11" t="s">
        <v>26</v>
      </c>
      <c r="G470" s="11">
        <v>894</v>
      </c>
      <c r="H470" s="12" t="s">
        <v>41</v>
      </c>
      <c r="I470" s="12" t="s">
        <v>27</v>
      </c>
      <c r="J470" s="12" t="s">
        <v>47</v>
      </c>
      <c r="K470" s="12" t="s">
        <v>48</v>
      </c>
      <c r="L470" s="13">
        <v>35.520000000000003</v>
      </c>
      <c r="M470" s="13">
        <v>25</v>
      </c>
      <c r="N470" s="13">
        <v>1.4208000000000001</v>
      </c>
      <c r="O470" s="13" t="s">
        <v>30</v>
      </c>
      <c r="P470" s="13">
        <v>60</v>
      </c>
      <c r="Q470" s="13">
        <v>0</v>
      </c>
      <c r="R470" s="15">
        <v>1500</v>
      </c>
      <c r="S470" s="15">
        <v>0</v>
      </c>
      <c r="T470" s="15">
        <v>0</v>
      </c>
      <c r="U470" s="15">
        <v>1500</v>
      </c>
      <c r="V470" s="15">
        <v>0</v>
      </c>
      <c r="W470" s="15">
        <v>1500</v>
      </c>
      <c r="X470" s="15">
        <v>0</v>
      </c>
      <c r="Y470" s="16">
        <v>0</v>
      </c>
      <c r="Z470" s="67" t="s">
        <v>26</v>
      </c>
      <c r="AA470" s="12" t="s">
        <v>31</v>
      </c>
    </row>
    <row r="471" spans="1:27" x14ac:dyDescent="0.25">
      <c r="A471" s="10">
        <v>45665</v>
      </c>
      <c r="B471" s="11" t="s">
        <v>1664</v>
      </c>
      <c r="C471" s="11" t="s">
        <v>1665</v>
      </c>
      <c r="D471" s="11" t="s">
        <v>26</v>
      </c>
      <c r="E471" s="11" t="s">
        <v>69</v>
      </c>
      <c r="F471" s="11" t="s">
        <v>26</v>
      </c>
      <c r="G471" s="11">
        <v>4679</v>
      </c>
      <c r="H471" s="12" t="s">
        <v>70</v>
      </c>
      <c r="I471" s="12" t="s">
        <v>27</v>
      </c>
      <c r="J471" s="12" t="s">
        <v>42</v>
      </c>
      <c r="K471" s="12" t="s">
        <v>43</v>
      </c>
      <c r="L471" s="13">
        <v>44.7</v>
      </c>
      <c r="M471" s="13">
        <v>25</v>
      </c>
      <c r="N471" s="13">
        <v>1.788</v>
      </c>
      <c r="O471" s="13" t="s">
        <v>30</v>
      </c>
      <c r="P471" s="13">
        <v>64</v>
      </c>
      <c r="Q471" s="13">
        <v>0</v>
      </c>
      <c r="R471" s="15">
        <v>1600</v>
      </c>
      <c r="S471" s="15">
        <v>0</v>
      </c>
      <c r="T471" s="15">
        <v>0</v>
      </c>
      <c r="U471" s="15">
        <v>1600</v>
      </c>
      <c r="V471" s="15">
        <v>0</v>
      </c>
      <c r="W471" s="15">
        <v>1600</v>
      </c>
      <c r="X471" s="15">
        <v>0</v>
      </c>
      <c r="Y471" s="16">
        <v>0</v>
      </c>
      <c r="Z471" s="67" t="s">
        <v>26</v>
      </c>
      <c r="AA471" s="12" t="s">
        <v>31</v>
      </c>
    </row>
    <row r="472" spans="1:27" x14ac:dyDescent="0.25">
      <c r="A472" s="10">
        <v>45665</v>
      </c>
      <c r="B472" s="11" t="s">
        <v>1666</v>
      </c>
      <c r="C472" s="11" t="s">
        <v>1667</v>
      </c>
      <c r="D472" s="11" t="s">
        <v>26</v>
      </c>
      <c r="E472" s="11" t="s">
        <v>506</v>
      </c>
      <c r="F472" s="11" t="s">
        <v>26</v>
      </c>
      <c r="G472" s="11">
        <v>1448</v>
      </c>
      <c r="H472" s="12" t="s">
        <v>45</v>
      </c>
      <c r="I472" s="12" t="s">
        <v>27</v>
      </c>
      <c r="J472" s="12" t="s">
        <v>33</v>
      </c>
      <c r="K472" s="12" t="s">
        <v>34</v>
      </c>
      <c r="L472" s="13">
        <v>38.4</v>
      </c>
      <c r="M472" s="13">
        <v>25</v>
      </c>
      <c r="N472" s="13">
        <v>1.536</v>
      </c>
      <c r="O472" s="13" t="s">
        <v>30</v>
      </c>
      <c r="P472" s="13">
        <v>58</v>
      </c>
      <c r="Q472" s="13">
        <v>0</v>
      </c>
      <c r="R472" s="14">
        <v>1450</v>
      </c>
      <c r="S472" s="15">
        <v>0</v>
      </c>
      <c r="T472" s="15">
        <v>0</v>
      </c>
      <c r="U472" s="15">
        <v>1450</v>
      </c>
      <c r="V472" s="15">
        <v>0</v>
      </c>
      <c r="W472" s="15">
        <v>1450</v>
      </c>
      <c r="X472" s="15">
        <v>0</v>
      </c>
      <c r="Y472" s="16">
        <v>0</v>
      </c>
      <c r="Z472" s="67" t="s">
        <v>26</v>
      </c>
      <c r="AA472" s="12" t="s">
        <v>31</v>
      </c>
    </row>
    <row r="473" spans="1:27" x14ac:dyDescent="0.25">
      <c r="A473" s="10">
        <v>45665</v>
      </c>
      <c r="B473" s="11" t="s">
        <v>1668</v>
      </c>
      <c r="C473" s="11" t="s">
        <v>1669</v>
      </c>
      <c r="D473" s="11" t="s">
        <v>26</v>
      </c>
      <c r="E473" s="11" t="s">
        <v>461</v>
      </c>
      <c r="F473" s="11" t="s">
        <v>26</v>
      </c>
      <c r="G473" s="11">
        <v>189</v>
      </c>
      <c r="H473" s="12" t="s">
        <v>4444</v>
      </c>
      <c r="I473" s="12" t="s">
        <v>37</v>
      </c>
      <c r="J473" s="12" t="s">
        <v>85</v>
      </c>
      <c r="K473" s="12" t="s">
        <v>86</v>
      </c>
      <c r="L473" s="13">
        <v>31.36</v>
      </c>
      <c r="M473" s="13">
        <v>20</v>
      </c>
      <c r="N473" s="13">
        <v>1.5680000000000001</v>
      </c>
      <c r="O473" s="13">
        <v>30</v>
      </c>
      <c r="P473" s="13" t="s">
        <v>30</v>
      </c>
      <c r="Q473" s="13">
        <v>0</v>
      </c>
      <c r="R473" s="15">
        <v>940.8</v>
      </c>
      <c r="S473" s="15">
        <v>0</v>
      </c>
      <c r="T473" s="15">
        <v>0</v>
      </c>
      <c r="U473" s="15">
        <v>940.8</v>
      </c>
      <c r="V473" s="15">
        <v>0</v>
      </c>
      <c r="W473" s="15">
        <v>940.8</v>
      </c>
      <c r="X473" s="15">
        <v>0</v>
      </c>
      <c r="Y473" s="16">
        <v>0</v>
      </c>
      <c r="Z473" s="67" t="s">
        <v>26</v>
      </c>
      <c r="AA473" s="12" t="s">
        <v>31</v>
      </c>
    </row>
    <row r="474" spans="1:27" x14ac:dyDescent="0.25">
      <c r="A474" s="10">
        <v>45665</v>
      </c>
      <c r="B474" s="11" t="s">
        <v>1670</v>
      </c>
      <c r="C474" s="11" t="s">
        <v>1671</v>
      </c>
      <c r="D474" s="11" t="s">
        <v>26</v>
      </c>
      <c r="E474" s="11" t="s">
        <v>60</v>
      </c>
      <c r="F474" s="11" t="s">
        <v>26</v>
      </c>
      <c r="G474" s="11" t="s">
        <v>35</v>
      </c>
      <c r="H474" s="12" t="s">
        <v>36</v>
      </c>
      <c r="I474" s="12" t="s">
        <v>27</v>
      </c>
      <c r="J474" s="12" t="s">
        <v>42</v>
      </c>
      <c r="K474" s="12" t="s">
        <v>43</v>
      </c>
      <c r="L474" s="13">
        <v>9.56</v>
      </c>
      <c r="M474" s="13">
        <v>6</v>
      </c>
      <c r="N474" s="13">
        <v>1.593333333333333</v>
      </c>
      <c r="O474" s="13">
        <v>45</v>
      </c>
      <c r="P474" s="13" t="s">
        <v>30</v>
      </c>
      <c r="Q474" s="13">
        <v>0</v>
      </c>
      <c r="R474" s="14">
        <v>430.20000000000005</v>
      </c>
      <c r="S474" s="15">
        <v>0</v>
      </c>
      <c r="T474" s="15">
        <v>0</v>
      </c>
      <c r="U474" s="15">
        <v>430.20000000000005</v>
      </c>
      <c r="V474" s="15">
        <v>0</v>
      </c>
      <c r="W474" s="15">
        <v>430.20000000000005</v>
      </c>
      <c r="X474" s="15">
        <v>0</v>
      </c>
      <c r="Y474" s="16">
        <v>0</v>
      </c>
      <c r="Z474" s="67" t="s">
        <v>26</v>
      </c>
      <c r="AA474" s="12" t="s">
        <v>31</v>
      </c>
    </row>
    <row r="475" spans="1:27" x14ac:dyDescent="0.25">
      <c r="A475" s="10">
        <v>45665</v>
      </c>
      <c r="B475" s="11" t="s">
        <v>1672</v>
      </c>
      <c r="C475" s="11" t="s">
        <v>1673</v>
      </c>
      <c r="D475" s="11" t="s">
        <v>26</v>
      </c>
      <c r="E475" s="11" t="s">
        <v>658</v>
      </c>
      <c r="F475" s="11" t="s">
        <v>26</v>
      </c>
      <c r="G475" s="11">
        <v>619</v>
      </c>
      <c r="H475" s="12" t="s">
        <v>141</v>
      </c>
      <c r="I475" s="12" t="s">
        <v>37</v>
      </c>
      <c r="J475" s="12" t="s">
        <v>85</v>
      </c>
      <c r="K475" s="12" t="s">
        <v>86</v>
      </c>
      <c r="L475" s="13">
        <v>38.36</v>
      </c>
      <c r="M475" s="13">
        <v>25</v>
      </c>
      <c r="N475" s="13">
        <v>1.5344</v>
      </c>
      <c r="O475" s="13">
        <v>29</v>
      </c>
      <c r="P475" s="13" t="s">
        <v>30</v>
      </c>
      <c r="Q475" s="13">
        <v>0</v>
      </c>
      <c r="R475" s="14">
        <v>1112.44</v>
      </c>
      <c r="S475" s="15">
        <v>0</v>
      </c>
      <c r="T475" s="15">
        <v>0</v>
      </c>
      <c r="U475" s="15">
        <v>1112.44</v>
      </c>
      <c r="V475" s="15">
        <v>0</v>
      </c>
      <c r="W475" s="15">
        <v>1112.44</v>
      </c>
      <c r="X475" s="15">
        <v>0</v>
      </c>
      <c r="Y475" s="16">
        <v>0</v>
      </c>
      <c r="Z475" s="67" t="s">
        <v>26</v>
      </c>
      <c r="AA475" s="12" t="s">
        <v>31</v>
      </c>
    </row>
    <row r="476" spans="1:27" x14ac:dyDescent="0.25">
      <c r="A476" s="10">
        <v>45665</v>
      </c>
      <c r="B476" s="11" t="s">
        <v>1674</v>
      </c>
      <c r="C476" s="11" t="s">
        <v>1675</v>
      </c>
      <c r="D476" s="11" t="s">
        <v>26</v>
      </c>
      <c r="E476" s="11" t="s">
        <v>74</v>
      </c>
      <c r="F476" s="11" t="s">
        <v>26</v>
      </c>
      <c r="G476" s="11">
        <v>1311</v>
      </c>
      <c r="H476" s="12" t="s">
        <v>70</v>
      </c>
      <c r="I476" s="12" t="s">
        <v>27</v>
      </c>
      <c r="J476" s="12" t="s">
        <v>33</v>
      </c>
      <c r="K476" s="12" t="s">
        <v>34</v>
      </c>
      <c r="L476" s="13">
        <v>37.840000000000003</v>
      </c>
      <c r="M476" s="13">
        <v>25</v>
      </c>
      <c r="N476" s="13">
        <v>1.5136000000000001</v>
      </c>
      <c r="O476" s="13" t="s">
        <v>30</v>
      </c>
      <c r="P476" s="13">
        <v>60</v>
      </c>
      <c r="Q476" s="13">
        <v>0</v>
      </c>
      <c r="R476" s="15">
        <v>1500</v>
      </c>
      <c r="S476" s="15">
        <v>0</v>
      </c>
      <c r="T476" s="15">
        <v>0</v>
      </c>
      <c r="U476" s="15">
        <v>1500</v>
      </c>
      <c r="V476" s="15">
        <v>0</v>
      </c>
      <c r="W476" s="15">
        <v>1500</v>
      </c>
      <c r="X476" s="15">
        <v>0</v>
      </c>
      <c r="Y476" s="16">
        <v>0</v>
      </c>
      <c r="Z476" s="67" t="s">
        <v>26</v>
      </c>
      <c r="AA476" s="12" t="s">
        <v>31</v>
      </c>
    </row>
    <row r="477" spans="1:27" x14ac:dyDescent="0.25">
      <c r="A477" s="10">
        <v>45665</v>
      </c>
      <c r="B477" s="11" t="s">
        <v>1676</v>
      </c>
      <c r="C477" s="11" t="s">
        <v>1677</v>
      </c>
      <c r="D477" s="11" t="s">
        <v>26</v>
      </c>
      <c r="E477" s="11" t="s">
        <v>431</v>
      </c>
      <c r="F477" s="11" t="s">
        <v>26</v>
      </c>
      <c r="G477" s="11">
        <v>133</v>
      </c>
      <c r="H477" s="12" t="s">
        <v>6328</v>
      </c>
      <c r="I477" s="12" t="s">
        <v>55</v>
      </c>
      <c r="J477" s="12" t="s">
        <v>55</v>
      </c>
      <c r="K477" s="12" t="s">
        <v>56</v>
      </c>
      <c r="L477" s="13">
        <v>37.24</v>
      </c>
      <c r="M477" s="13">
        <v>25</v>
      </c>
      <c r="N477" s="13">
        <v>1.4896</v>
      </c>
      <c r="O477" s="13">
        <v>15</v>
      </c>
      <c r="P477" s="13"/>
      <c r="Q477" s="13">
        <v>0</v>
      </c>
      <c r="R477" s="14">
        <v>558.6</v>
      </c>
      <c r="S477" s="15">
        <v>0</v>
      </c>
      <c r="T477" s="15">
        <v>0</v>
      </c>
      <c r="U477" s="15">
        <v>558.6</v>
      </c>
      <c r="V477" s="15">
        <v>0</v>
      </c>
      <c r="W477" s="15">
        <v>558.6</v>
      </c>
      <c r="X477" s="15">
        <v>0</v>
      </c>
      <c r="Y477" s="16">
        <v>0</v>
      </c>
      <c r="Z477" s="67" t="s">
        <v>26</v>
      </c>
      <c r="AA477" s="12" t="s">
        <v>31</v>
      </c>
    </row>
    <row r="478" spans="1:27" x14ac:dyDescent="0.25">
      <c r="A478" s="10">
        <v>45665</v>
      </c>
      <c r="B478" s="11" t="s">
        <v>667</v>
      </c>
      <c r="C478" s="11" t="s">
        <v>1678</v>
      </c>
      <c r="D478" s="11" t="s">
        <v>26</v>
      </c>
      <c r="E478" s="11" t="s">
        <v>461</v>
      </c>
      <c r="F478" s="11" t="s">
        <v>26</v>
      </c>
      <c r="G478" s="11">
        <v>35</v>
      </c>
      <c r="H478" s="12" t="s">
        <v>4444</v>
      </c>
      <c r="I478" s="12" t="s">
        <v>37</v>
      </c>
      <c r="J478" s="12" t="s">
        <v>85</v>
      </c>
      <c r="K478" s="12" t="s">
        <v>86</v>
      </c>
      <c r="L478" s="13">
        <v>32.380000000000003</v>
      </c>
      <c r="M478" s="13">
        <v>20</v>
      </c>
      <c r="N478" s="13">
        <v>1.619</v>
      </c>
      <c r="O478" s="13">
        <v>30</v>
      </c>
      <c r="P478" s="13" t="s">
        <v>30</v>
      </c>
      <c r="Q478" s="13">
        <v>0</v>
      </c>
      <c r="R478" s="14">
        <v>971.40000000000009</v>
      </c>
      <c r="S478" s="15">
        <v>0</v>
      </c>
      <c r="T478" s="15">
        <v>0</v>
      </c>
      <c r="U478" s="15">
        <v>971.40000000000009</v>
      </c>
      <c r="V478" s="15">
        <v>0</v>
      </c>
      <c r="W478" s="15">
        <v>971.40000000000009</v>
      </c>
      <c r="X478" s="15">
        <v>0</v>
      </c>
      <c r="Y478" s="16">
        <v>0</v>
      </c>
      <c r="Z478" s="67" t="s">
        <v>26</v>
      </c>
      <c r="AA478" s="12" t="s">
        <v>31</v>
      </c>
    </row>
    <row r="479" spans="1:27" x14ac:dyDescent="0.25">
      <c r="A479" s="10">
        <v>45665</v>
      </c>
      <c r="B479" s="11" t="s">
        <v>1679</v>
      </c>
      <c r="C479" s="11" t="s">
        <v>1680</v>
      </c>
      <c r="D479" s="11" t="s">
        <v>26</v>
      </c>
      <c r="E479" s="11" t="s">
        <v>604</v>
      </c>
      <c r="F479" s="11" t="s">
        <v>26</v>
      </c>
      <c r="G479" s="11">
        <v>620</v>
      </c>
      <c r="H479" s="12" t="s">
        <v>141</v>
      </c>
      <c r="I479" s="12" t="s">
        <v>55</v>
      </c>
      <c r="J479" s="12" t="s">
        <v>55</v>
      </c>
      <c r="K479" s="12" t="s">
        <v>56</v>
      </c>
      <c r="L479" s="13">
        <v>38.92</v>
      </c>
      <c r="M479" s="13">
        <v>25</v>
      </c>
      <c r="N479" s="13">
        <v>1.5568</v>
      </c>
      <c r="O479" s="13">
        <v>15</v>
      </c>
      <c r="P479" s="13" t="s">
        <v>30</v>
      </c>
      <c r="Q479" s="13">
        <v>0</v>
      </c>
      <c r="R479" s="14">
        <v>583.80000000000007</v>
      </c>
      <c r="S479" s="15">
        <v>0</v>
      </c>
      <c r="T479" s="15">
        <v>0</v>
      </c>
      <c r="U479" s="15">
        <v>583.80000000000007</v>
      </c>
      <c r="V479" s="15">
        <v>0</v>
      </c>
      <c r="W479" s="15">
        <v>583.80000000000007</v>
      </c>
      <c r="X479" s="15">
        <v>0</v>
      </c>
      <c r="Y479" s="16">
        <v>0</v>
      </c>
      <c r="Z479" s="67" t="s">
        <v>26</v>
      </c>
      <c r="AA479" s="12" t="s">
        <v>31</v>
      </c>
    </row>
    <row r="480" spans="1:27" x14ac:dyDescent="0.25">
      <c r="A480" s="10">
        <v>45665</v>
      </c>
      <c r="B480" s="11" t="s">
        <v>1681</v>
      </c>
      <c r="C480" s="11" t="s">
        <v>1682</v>
      </c>
      <c r="D480" s="11" t="s">
        <v>26</v>
      </c>
      <c r="E480" s="11" t="s">
        <v>509</v>
      </c>
      <c r="F480" s="11" t="s">
        <v>26</v>
      </c>
      <c r="G480" s="11" t="s">
        <v>26</v>
      </c>
      <c r="H480" s="12" t="s">
        <v>4422</v>
      </c>
      <c r="I480" s="12" t="s">
        <v>27</v>
      </c>
      <c r="J480" s="12" t="s">
        <v>47</v>
      </c>
      <c r="K480" s="12" t="s">
        <v>48</v>
      </c>
      <c r="L480" s="13">
        <v>43</v>
      </c>
      <c r="M480" s="13">
        <v>29</v>
      </c>
      <c r="N480" s="13">
        <v>1.482758620689655</v>
      </c>
      <c r="O480" s="13">
        <v>87</v>
      </c>
      <c r="P480" s="13" t="s">
        <v>30</v>
      </c>
      <c r="Q480" s="13">
        <v>0</v>
      </c>
      <c r="R480" s="15">
        <v>3741</v>
      </c>
      <c r="S480" s="15">
        <v>38</v>
      </c>
      <c r="T480" s="15">
        <v>1634</v>
      </c>
      <c r="U480" s="15">
        <v>2107</v>
      </c>
      <c r="V480" s="15">
        <v>2107</v>
      </c>
      <c r="W480" s="15">
        <v>0</v>
      </c>
      <c r="X480" s="15">
        <v>1548</v>
      </c>
      <c r="Y480" s="16">
        <v>86</v>
      </c>
      <c r="Z480" s="67" t="s">
        <v>141</v>
      </c>
      <c r="AA480" s="12" t="s">
        <v>78</v>
      </c>
    </row>
    <row r="481" spans="1:27" x14ac:dyDescent="0.25">
      <c r="A481" s="10">
        <v>45665</v>
      </c>
      <c r="B481" s="11" t="s">
        <v>1683</v>
      </c>
      <c r="C481" s="11" t="s">
        <v>1684</v>
      </c>
      <c r="D481" s="11" t="s">
        <v>26</v>
      </c>
      <c r="E481" s="11" t="s">
        <v>75</v>
      </c>
      <c r="F481" s="11" t="s">
        <v>26</v>
      </c>
      <c r="G481" s="11">
        <v>42264</v>
      </c>
      <c r="H481" s="12" t="s">
        <v>565</v>
      </c>
      <c r="I481" s="12" t="s">
        <v>27</v>
      </c>
      <c r="J481" s="12" t="s">
        <v>33</v>
      </c>
      <c r="K481" s="12" t="s">
        <v>34</v>
      </c>
      <c r="L481" s="13">
        <v>42.2</v>
      </c>
      <c r="M481" s="13">
        <v>29</v>
      </c>
      <c r="N481" s="13">
        <v>1.455172413793103</v>
      </c>
      <c r="O481" s="13"/>
      <c r="P481" s="13">
        <v>60</v>
      </c>
      <c r="Q481" s="13">
        <v>0</v>
      </c>
      <c r="R481" s="15">
        <v>1740</v>
      </c>
      <c r="S481" s="15">
        <v>0</v>
      </c>
      <c r="T481" s="15">
        <v>0</v>
      </c>
      <c r="U481" s="15">
        <v>1740</v>
      </c>
      <c r="V481" s="15">
        <v>0</v>
      </c>
      <c r="W481" s="15">
        <v>1740</v>
      </c>
      <c r="X481" s="15">
        <v>0</v>
      </c>
      <c r="Y481" s="16">
        <v>0</v>
      </c>
      <c r="Z481" s="67" t="s">
        <v>26</v>
      </c>
      <c r="AA481" s="12" t="s">
        <v>31</v>
      </c>
    </row>
    <row r="482" spans="1:27" x14ac:dyDescent="0.25">
      <c r="A482" s="10">
        <v>45665</v>
      </c>
      <c r="B482" s="11" t="s">
        <v>1685</v>
      </c>
      <c r="C482" s="11" t="s">
        <v>1686</v>
      </c>
      <c r="D482" s="11" t="s">
        <v>26</v>
      </c>
      <c r="E482" s="11" t="s">
        <v>582</v>
      </c>
      <c r="F482" s="11" t="s">
        <v>26</v>
      </c>
      <c r="G482" s="11">
        <v>111966</v>
      </c>
      <c r="H482" s="12" t="s">
        <v>4446</v>
      </c>
      <c r="I482" s="12" t="s">
        <v>27</v>
      </c>
      <c r="J482" s="12" t="s">
        <v>33</v>
      </c>
      <c r="K482" s="12" t="s">
        <v>34</v>
      </c>
      <c r="L482" s="13">
        <v>37.520000000000003</v>
      </c>
      <c r="M482" s="13">
        <v>25</v>
      </c>
      <c r="N482" s="13">
        <v>1.5007999999999999</v>
      </c>
      <c r="O482" s="13">
        <v>44</v>
      </c>
      <c r="P482" s="13" t="s">
        <v>30</v>
      </c>
      <c r="Q482" s="13">
        <v>0</v>
      </c>
      <c r="R482" s="15">
        <v>1650.88</v>
      </c>
      <c r="S482" s="15">
        <v>0</v>
      </c>
      <c r="T482" s="15">
        <v>0</v>
      </c>
      <c r="U482" s="15">
        <v>1650.88</v>
      </c>
      <c r="V482" s="15">
        <v>1650.88</v>
      </c>
      <c r="W482" s="15">
        <v>0</v>
      </c>
      <c r="X482" s="15">
        <v>0</v>
      </c>
      <c r="Y482" s="16">
        <v>0</v>
      </c>
      <c r="Z482" s="67" t="s">
        <v>26</v>
      </c>
      <c r="AA482" s="12" t="s">
        <v>31</v>
      </c>
    </row>
    <row r="483" spans="1:27" x14ac:dyDescent="0.25">
      <c r="A483" s="10">
        <v>45665</v>
      </c>
      <c r="B483" s="11" t="s">
        <v>1687</v>
      </c>
      <c r="C483" s="11" t="s">
        <v>1688</v>
      </c>
      <c r="D483" s="11" t="s">
        <v>26</v>
      </c>
      <c r="E483" s="11" t="s">
        <v>69</v>
      </c>
      <c r="F483" s="11" t="s">
        <v>26</v>
      </c>
      <c r="G483" s="11">
        <v>4680</v>
      </c>
      <c r="H483" s="12" t="s">
        <v>70</v>
      </c>
      <c r="I483" s="12" t="s">
        <v>27</v>
      </c>
      <c r="J483" s="12" t="s">
        <v>42</v>
      </c>
      <c r="K483" s="12" t="s">
        <v>43</v>
      </c>
      <c r="L483" s="13">
        <v>43.28</v>
      </c>
      <c r="M483" s="13">
        <v>25</v>
      </c>
      <c r="N483" s="13">
        <v>1.7312000000000001</v>
      </c>
      <c r="O483" s="13" t="s">
        <v>30</v>
      </c>
      <c r="P483" s="13">
        <v>64</v>
      </c>
      <c r="Q483" s="13">
        <v>0</v>
      </c>
      <c r="R483" s="14">
        <v>1600</v>
      </c>
      <c r="S483" s="15">
        <v>0</v>
      </c>
      <c r="T483" s="15">
        <v>0</v>
      </c>
      <c r="U483" s="15">
        <v>1600</v>
      </c>
      <c r="V483" s="15">
        <v>0</v>
      </c>
      <c r="W483" s="15">
        <v>1600</v>
      </c>
      <c r="X483" s="15">
        <v>0</v>
      </c>
      <c r="Y483" s="16">
        <v>0</v>
      </c>
      <c r="Z483" s="67" t="s">
        <v>26</v>
      </c>
      <c r="AA483" s="12" t="s">
        <v>31</v>
      </c>
    </row>
    <row r="484" spans="1:27" x14ac:dyDescent="0.25">
      <c r="A484" s="10">
        <v>45665</v>
      </c>
      <c r="B484" s="11" t="s">
        <v>334</v>
      </c>
      <c r="C484" s="11" t="s">
        <v>1689</v>
      </c>
      <c r="D484" s="11" t="s">
        <v>26</v>
      </c>
      <c r="E484" s="11" t="s">
        <v>1200</v>
      </c>
      <c r="F484" s="11" t="s">
        <v>26</v>
      </c>
      <c r="G484" s="11">
        <v>973</v>
      </c>
      <c r="H484" s="12" t="s">
        <v>163</v>
      </c>
      <c r="I484" s="12" t="s">
        <v>27</v>
      </c>
      <c r="J484" s="12" t="s">
        <v>42</v>
      </c>
      <c r="K484" s="12" t="s">
        <v>43</v>
      </c>
      <c r="L484" s="13">
        <v>43.06</v>
      </c>
      <c r="M484" s="13">
        <v>25</v>
      </c>
      <c r="N484" s="13">
        <v>1.7223999999999999</v>
      </c>
      <c r="O484" s="13" t="s">
        <v>30</v>
      </c>
      <c r="P484" s="13">
        <v>56</v>
      </c>
      <c r="Q484" s="13">
        <v>0</v>
      </c>
      <c r="R484" s="15">
        <v>1400</v>
      </c>
      <c r="S484" s="15">
        <v>0</v>
      </c>
      <c r="T484" s="15">
        <v>0</v>
      </c>
      <c r="U484" s="15">
        <v>1400</v>
      </c>
      <c r="V484" s="15">
        <v>0</v>
      </c>
      <c r="W484" s="15">
        <v>1400</v>
      </c>
      <c r="X484" s="15">
        <v>0</v>
      </c>
      <c r="Y484" s="16">
        <v>0</v>
      </c>
      <c r="Z484" s="67" t="s">
        <v>26</v>
      </c>
      <c r="AA484" s="12" t="s">
        <v>31</v>
      </c>
    </row>
    <row r="485" spans="1:27" x14ac:dyDescent="0.25">
      <c r="A485" s="10">
        <v>45665</v>
      </c>
      <c r="B485" s="11" t="s">
        <v>1690</v>
      </c>
      <c r="C485" s="11" t="s">
        <v>1691</v>
      </c>
      <c r="D485" s="11" t="s">
        <v>26</v>
      </c>
      <c r="E485" s="11" t="s">
        <v>53</v>
      </c>
      <c r="F485" s="11" t="s">
        <v>26</v>
      </c>
      <c r="G485" s="11">
        <v>2393</v>
      </c>
      <c r="H485" s="12" t="s">
        <v>41</v>
      </c>
      <c r="I485" s="12" t="s">
        <v>27</v>
      </c>
      <c r="J485" s="12" t="s">
        <v>33</v>
      </c>
      <c r="K485" s="12" t="s">
        <v>34</v>
      </c>
      <c r="L485" s="13">
        <v>38.4</v>
      </c>
      <c r="M485" s="13">
        <v>25</v>
      </c>
      <c r="N485" s="13">
        <v>1.536</v>
      </c>
      <c r="O485" s="13" t="s">
        <v>30</v>
      </c>
      <c r="P485" s="13">
        <v>60</v>
      </c>
      <c r="Q485" s="13">
        <v>0</v>
      </c>
      <c r="R485" s="14">
        <v>1500</v>
      </c>
      <c r="S485" s="15">
        <v>0</v>
      </c>
      <c r="T485" s="15">
        <v>0</v>
      </c>
      <c r="U485" s="15">
        <v>1500</v>
      </c>
      <c r="V485" s="15">
        <v>0</v>
      </c>
      <c r="W485" s="15">
        <v>1500</v>
      </c>
      <c r="X485" s="15">
        <v>0</v>
      </c>
      <c r="Y485" s="16">
        <v>0</v>
      </c>
      <c r="Z485" s="67" t="s">
        <v>26</v>
      </c>
      <c r="AA485" s="12" t="s">
        <v>31</v>
      </c>
    </row>
    <row r="486" spans="1:27" x14ac:dyDescent="0.25">
      <c r="A486" s="10">
        <v>45665</v>
      </c>
      <c r="B486" s="11" t="s">
        <v>1692</v>
      </c>
      <c r="C486" s="11" t="s">
        <v>1693</v>
      </c>
      <c r="D486" s="11" t="s">
        <v>26</v>
      </c>
      <c r="E486" s="11" t="s">
        <v>50</v>
      </c>
      <c r="F486" s="11" t="s">
        <v>26</v>
      </c>
      <c r="G486" s="11">
        <v>612</v>
      </c>
      <c r="H486" s="12" t="s">
        <v>163</v>
      </c>
      <c r="I486" s="12" t="s">
        <v>27</v>
      </c>
      <c r="J486" s="12" t="s">
        <v>42</v>
      </c>
      <c r="K486" s="12" t="s">
        <v>43</v>
      </c>
      <c r="L486" s="13">
        <v>42.8</v>
      </c>
      <c r="M486" s="13">
        <v>25</v>
      </c>
      <c r="N486" s="13">
        <v>1.712</v>
      </c>
      <c r="O486" s="13" t="s">
        <v>30</v>
      </c>
      <c r="P486" s="13">
        <v>56</v>
      </c>
      <c r="Q486" s="13">
        <v>0</v>
      </c>
      <c r="R486" s="14">
        <v>1400</v>
      </c>
      <c r="S486" s="15">
        <v>0</v>
      </c>
      <c r="T486" s="15">
        <v>0</v>
      </c>
      <c r="U486" s="15">
        <v>1400</v>
      </c>
      <c r="V486" s="15">
        <v>0</v>
      </c>
      <c r="W486" s="15">
        <v>1400</v>
      </c>
      <c r="X486" s="15">
        <v>0</v>
      </c>
      <c r="Y486" s="16">
        <v>0</v>
      </c>
      <c r="Z486" s="67" t="s">
        <v>26</v>
      </c>
      <c r="AA486" s="12" t="s">
        <v>31</v>
      </c>
    </row>
    <row r="487" spans="1:27" x14ac:dyDescent="0.25">
      <c r="A487" s="10">
        <v>45665</v>
      </c>
      <c r="B487" s="11" t="s">
        <v>1694</v>
      </c>
      <c r="C487" s="11" t="s">
        <v>1695</v>
      </c>
      <c r="D487" s="11" t="s">
        <v>26</v>
      </c>
      <c r="E487" s="11" t="s">
        <v>658</v>
      </c>
      <c r="F487" s="11" t="s">
        <v>26</v>
      </c>
      <c r="G487" s="11">
        <v>621</v>
      </c>
      <c r="H487" s="12" t="s">
        <v>141</v>
      </c>
      <c r="I487" s="12" t="s">
        <v>55</v>
      </c>
      <c r="J487" s="12" t="s">
        <v>55</v>
      </c>
      <c r="K487" s="12" t="s">
        <v>56</v>
      </c>
      <c r="L487" s="13">
        <v>37.74</v>
      </c>
      <c r="M487" s="13">
        <v>25</v>
      </c>
      <c r="N487" s="13">
        <v>1.5096000000000001</v>
      </c>
      <c r="O487" s="13">
        <v>15</v>
      </c>
      <c r="P487" s="13" t="s">
        <v>30</v>
      </c>
      <c r="Q487" s="13">
        <v>0</v>
      </c>
      <c r="R487" s="15">
        <v>566.1</v>
      </c>
      <c r="S487" s="15">
        <v>0</v>
      </c>
      <c r="T487" s="15">
        <v>0</v>
      </c>
      <c r="U487" s="15">
        <v>566.1</v>
      </c>
      <c r="V487" s="15">
        <v>0</v>
      </c>
      <c r="W487" s="15">
        <v>566.1</v>
      </c>
      <c r="X487" s="15">
        <v>0</v>
      </c>
      <c r="Y487" s="16">
        <v>0</v>
      </c>
      <c r="Z487" s="67" t="s">
        <v>26</v>
      </c>
      <c r="AA487" s="12" t="s">
        <v>31</v>
      </c>
    </row>
    <row r="488" spans="1:27" x14ac:dyDescent="0.25">
      <c r="A488" s="10">
        <v>45665</v>
      </c>
      <c r="B488" s="11" t="s">
        <v>1696</v>
      </c>
      <c r="C488" s="11" t="s">
        <v>1697</v>
      </c>
      <c r="D488" s="11" t="s">
        <v>26</v>
      </c>
      <c r="E488" s="11" t="s">
        <v>1651</v>
      </c>
      <c r="F488" s="11" t="s">
        <v>26</v>
      </c>
      <c r="G488" s="11">
        <v>42263</v>
      </c>
      <c r="H488" s="12" t="s">
        <v>565</v>
      </c>
      <c r="I488" s="12" t="s">
        <v>27</v>
      </c>
      <c r="J488" s="12" t="s">
        <v>47</v>
      </c>
      <c r="K488" s="12" t="s">
        <v>48</v>
      </c>
      <c r="L488" s="13">
        <v>35.78</v>
      </c>
      <c r="M488" s="13">
        <v>24</v>
      </c>
      <c r="N488" s="13">
        <v>1.490833333333333</v>
      </c>
      <c r="O488" s="13"/>
      <c r="P488" s="13">
        <v>60</v>
      </c>
      <c r="Q488" s="13">
        <v>0</v>
      </c>
      <c r="R488" s="14">
        <v>1440</v>
      </c>
      <c r="S488" s="15">
        <v>0</v>
      </c>
      <c r="T488" s="15">
        <v>0</v>
      </c>
      <c r="U488" s="15">
        <v>1440</v>
      </c>
      <c r="V488" s="15">
        <v>0</v>
      </c>
      <c r="W488" s="15">
        <v>1440</v>
      </c>
      <c r="X488" s="15">
        <v>0</v>
      </c>
      <c r="Y488" s="16">
        <v>0</v>
      </c>
      <c r="Z488" s="67" t="s">
        <v>26</v>
      </c>
      <c r="AA488" s="12" t="s">
        <v>31</v>
      </c>
    </row>
    <row r="489" spans="1:27" x14ac:dyDescent="0.25">
      <c r="A489" s="10">
        <v>45665</v>
      </c>
      <c r="B489" s="11" t="s">
        <v>1698</v>
      </c>
      <c r="C489" s="11" t="s">
        <v>1699</v>
      </c>
      <c r="D489" s="11" t="s">
        <v>26</v>
      </c>
      <c r="E489" s="11" t="s">
        <v>80</v>
      </c>
      <c r="F489" s="11" t="s">
        <v>26</v>
      </c>
      <c r="G489" s="11">
        <v>10283</v>
      </c>
      <c r="H489" s="12" t="s">
        <v>140</v>
      </c>
      <c r="I489" s="12" t="s">
        <v>27</v>
      </c>
      <c r="J489" s="12" t="s">
        <v>42</v>
      </c>
      <c r="K489" s="12" t="s">
        <v>43</v>
      </c>
      <c r="L489" s="13">
        <v>42.96</v>
      </c>
      <c r="M489" s="13">
        <v>25</v>
      </c>
      <c r="N489" s="13">
        <v>1.7183999999999999</v>
      </c>
      <c r="O489" s="13">
        <v>35</v>
      </c>
      <c r="P489" s="13"/>
      <c r="Q489" s="13">
        <v>0</v>
      </c>
      <c r="R489" s="15">
        <v>1503.6000000000001</v>
      </c>
      <c r="S489" s="15">
        <v>0</v>
      </c>
      <c r="T489" s="15">
        <v>0</v>
      </c>
      <c r="U489" s="15">
        <v>1503.6000000000001</v>
      </c>
      <c r="V489" s="15">
        <v>0</v>
      </c>
      <c r="W489" s="15">
        <v>1503.6000000000001</v>
      </c>
      <c r="X489" s="15">
        <v>0</v>
      </c>
      <c r="Y489" s="16">
        <v>0</v>
      </c>
      <c r="Z489" s="67" t="s">
        <v>26</v>
      </c>
      <c r="AA489" s="12" t="s">
        <v>31</v>
      </c>
    </row>
    <row r="490" spans="1:27" x14ac:dyDescent="0.25">
      <c r="A490" s="10">
        <v>45665</v>
      </c>
      <c r="B490" s="11" t="s">
        <v>1700</v>
      </c>
      <c r="C490" s="11" t="s">
        <v>1701</v>
      </c>
      <c r="D490" s="11" t="s">
        <v>26</v>
      </c>
      <c r="E490" s="11" t="s">
        <v>230</v>
      </c>
      <c r="F490" s="11" t="s">
        <v>26</v>
      </c>
      <c r="G490" s="11">
        <v>23126</v>
      </c>
      <c r="H490" s="12" t="s">
        <v>565</v>
      </c>
      <c r="I490" s="12" t="s">
        <v>27</v>
      </c>
      <c r="J490" s="12" t="s">
        <v>33</v>
      </c>
      <c r="K490" s="12" t="s">
        <v>34</v>
      </c>
      <c r="L490" s="13">
        <v>41.26</v>
      </c>
      <c r="M490" s="13">
        <v>28</v>
      </c>
      <c r="N490" s="13">
        <v>1.473571428571429</v>
      </c>
      <c r="O490" s="13"/>
      <c r="P490" s="13">
        <v>60</v>
      </c>
      <c r="Q490" s="13">
        <v>0</v>
      </c>
      <c r="R490" s="15">
        <v>1680</v>
      </c>
      <c r="S490" s="15">
        <v>0</v>
      </c>
      <c r="T490" s="15">
        <v>0</v>
      </c>
      <c r="U490" s="15">
        <v>1680</v>
      </c>
      <c r="V490" s="15">
        <v>0</v>
      </c>
      <c r="W490" s="15">
        <v>1680</v>
      </c>
      <c r="X490" s="15">
        <v>0</v>
      </c>
      <c r="Y490" s="16">
        <v>0</v>
      </c>
      <c r="Z490" s="67" t="s">
        <v>26</v>
      </c>
      <c r="AA490" s="12" t="s">
        <v>31</v>
      </c>
    </row>
    <row r="491" spans="1:27" x14ac:dyDescent="0.25">
      <c r="A491" s="10">
        <v>45666</v>
      </c>
      <c r="B491" s="11" t="s">
        <v>1702</v>
      </c>
      <c r="C491" s="11" t="s">
        <v>1703</v>
      </c>
      <c r="D491" s="11" t="s">
        <v>26</v>
      </c>
      <c r="E491" s="11" t="s">
        <v>32</v>
      </c>
      <c r="F491" s="11" t="s">
        <v>26</v>
      </c>
      <c r="G491" s="11">
        <v>75034</v>
      </c>
      <c r="H491" s="12" t="s">
        <v>4448</v>
      </c>
      <c r="I491" s="12" t="s">
        <v>27</v>
      </c>
      <c r="J491" s="12" t="s">
        <v>47</v>
      </c>
      <c r="K491" s="12" t="s">
        <v>48</v>
      </c>
      <c r="L491" s="13">
        <v>37.08</v>
      </c>
      <c r="M491" s="13">
        <v>25</v>
      </c>
      <c r="N491" s="13">
        <v>1.4832000000000001</v>
      </c>
      <c r="O491" s="13">
        <v>46.66</v>
      </c>
      <c r="P491" s="13" t="s">
        <v>30</v>
      </c>
      <c r="Q491" s="13">
        <v>0</v>
      </c>
      <c r="R491" s="15">
        <v>1730.1527999999998</v>
      </c>
      <c r="S491" s="15">
        <v>0</v>
      </c>
      <c r="T491" s="15">
        <v>0</v>
      </c>
      <c r="U491" s="15">
        <v>1730.1527999999998</v>
      </c>
      <c r="V491" s="15">
        <v>1297.6145999999999</v>
      </c>
      <c r="W491" s="15">
        <v>432.53819999999996</v>
      </c>
      <c r="X491" s="15">
        <v>0</v>
      </c>
      <c r="Y491" s="16">
        <v>0</v>
      </c>
      <c r="Z491" s="67" t="s">
        <v>26</v>
      </c>
      <c r="AA491" s="12" t="s">
        <v>31</v>
      </c>
    </row>
    <row r="492" spans="1:27" x14ac:dyDescent="0.25">
      <c r="A492" s="10">
        <v>45666</v>
      </c>
      <c r="B492" s="11" t="s">
        <v>1136</v>
      </c>
      <c r="C492" s="11" t="s">
        <v>1704</v>
      </c>
      <c r="D492" s="11" t="s">
        <v>26</v>
      </c>
      <c r="E492" s="11" t="s">
        <v>501</v>
      </c>
      <c r="F492" s="11" t="s">
        <v>26</v>
      </c>
      <c r="G492" s="11" t="s">
        <v>26</v>
      </c>
      <c r="H492" s="12" t="s">
        <v>4422</v>
      </c>
      <c r="I492" s="12" t="s">
        <v>27</v>
      </c>
      <c r="J492" s="12" t="s">
        <v>33</v>
      </c>
      <c r="K492" s="12" t="s">
        <v>34</v>
      </c>
      <c r="L492" s="13">
        <v>43.64</v>
      </c>
      <c r="M492" s="13">
        <v>30</v>
      </c>
      <c r="N492" s="13">
        <v>1.454666666666667</v>
      </c>
      <c r="O492" s="13">
        <v>85</v>
      </c>
      <c r="P492" s="13" t="s">
        <v>30</v>
      </c>
      <c r="Q492" s="13">
        <v>0</v>
      </c>
      <c r="R492" s="14">
        <v>3709.4</v>
      </c>
      <c r="S492" s="15">
        <v>38</v>
      </c>
      <c r="T492" s="15">
        <v>1658.32</v>
      </c>
      <c r="U492" s="15">
        <v>2051.08</v>
      </c>
      <c r="V492" s="15">
        <v>2051.08</v>
      </c>
      <c r="W492" s="15">
        <v>0</v>
      </c>
      <c r="X492" s="15">
        <v>1571.04</v>
      </c>
      <c r="Y492" s="16">
        <v>87.279999999999973</v>
      </c>
      <c r="Z492" s="67" t="s">
        <v>141</v>
      </c>
      <c r="AA492" s="12" t="s">
        <v>78</v>
      </c>
    </row>
    <row r="493" spans="1:27" x14ac:dyDescent="0.25">
      <c r="A493" s="10">
        <v>45666</v>
      </c>
      <c r="B493" s="11" t="s">
        <v>1705</v>
      </c>
      <c r="C493" s="11" t="s">
        <v>1706</v>
      </c>
      <c r="D493" s="11" t="s">
        <v>26</v>
      </c>
      <c r="E493" s="11" t="s">
        <v>241</v>
      </c>
      <c r="F493" s="11" t="s">
        <v>26</v>
      </c>
      <c r="G493" s="11">
        <v>71096</v>
      </c>
      <c r="H493" s="12" t="s">
        <v>4448</v>
      </c>
      <c r="I493" s="12" t="s">
        <v>27</v>
      </c>
      <c r="J493" s="12" t="s">
        <v>47</v>
      </c>
      <c r="K493" s="12" t="s">
        <v>48</v>
      </c>
      <c r="L493" s="13">
        <v>36.799999999999997</v>
      </c>
      <c r="M493" s="13">
        <v>25</v>
      </c>
      <c r="N493" s="13">
        <v>1.472</v>
      </c>
      <c r="O493" s="13">
        <v>46.66</v>
      </c>
      <c r="P493" s="13" t="s">
        <v>30</v>
      </c>
      <c r="Q493" s="13">
        <v>0</v>
      </c>
      <c r="R493" s="14">
        <v>1717.0879999999997</v>
      </c>
      <c r="S493" s="15">
        <v>0</v>
      </c>
      <c r="T493" s="15">
        <v>0</v>
      </c>
      <c r="U493" s="15">
        <v>1717.0879999999997</v>
      </c>
      <c r="V493" s="15">
        <v>1287.8159999999998</v>
      </c>
      <c r="W493" s="15">
        <v>429.27199999999993</v>
      </c>
      <c r="X493" s="15">
        <v>0</v>
      </c>
      <c r="Y493" s="16">
        <v>0</v>
      </c>
      <c r="Z493" s="67" t="s">
        <v>26</v>
      </c>
      <c r="AA493" s="12" t="s">
        <v>31</v>
      </c>
    </row>
    <row r="494" spans="1:27" x14ac:dyDescent="0.25">
      <c r="A494" s="10">
        <v>45666</v>
      </c>
      <c r="B494" s="11" t="s">
        <v>272</v>
      </c>
      <c r="C494" s="11" t="s">
        <v>1707</v>
      </c>
      <c r="D494" s="11" t="s">
        <v>26</v>
      </c>
      <c r="E494" s="11" t="s">
        <v>582</v>
      </c>
      <c r="F494" s="11" t="s">
        <v>26</v>
      </c>
      <c r="G494" s="11">
        <v>111969</v>
      </c>
      <c r="H494" s="12" t="s">
        <v>4446</v>
      </c>
      <c r="I494" s="12" t="s">
        <v>27</v>
      </c>
      <c r="J494" s="12" t="s">
        <v>33</v>
      </c>
      <c r="K494" s="12" t="s">
        <v>34</v>
      </c>
      <c r="L494" s="13">
        <v>37.82</v>
      </c>
      <c r="M494" s="13">
        <v>25</v>
      </c>
      <c r="N494" s="13">
        <v>1.5127999999999999</v>
      </c>
      <c r="O494" s="13">
        <v>44</v>
      </c>
      <c r="P494" s="13" t="s">
        <v>30</v>
      </c>
      <c r="Q494" s="13">
        <v>0</v>
      </c>
      <c r="R494" s="14">
        <v>1664.08</v>
      </c>
      <c r="S494" s="15">
        <v>0</v>
      </c>
      <c r="T494" s="15">
        <v>0</v>
      </c>
      <c r="U494" s="15">
        <v>1664.08</v>
      </c>
      <c r="V494" s="15">
        <v>1664.08</v>
      </c>
      <c r="W494" s="15">
        <v>0</v>
      </c>
      <c r="X494" s="15">
        <v>0</v>
      </c>
      <c r="Y494" s="16">
        <v>0</v>
      </c>
      <c r="Z494" s="67" t="s">
        <v>26</v>
      </c>
      <c r="AA494" s="12" t="s">
        <v>31</v>
      </c>
    </row>
    <row r="495" spans="1:27" x14ac:dyDescent="0.25">
      <c r="A495" s="10">
        <v>45666</v>
      </c>
      <c r="B495" s="11" t="s">
        <v>372</v>
      </c>
      <c r="C495" s="11" t="s">
        <v>1708</v>
      </c>
      <c r="D495" s="11" t="s">
        <v>26</v>
      </c>
      <c r="E495" s="11" t="s">
        <v>574</v>
      </c>
      <c r="F495" s="11" t="s">
        <v>26</v>
      </c>
      <c r="G495" s="11" t="s">
        <v>26</v>
      </c>
      <c r="H495" s="12" t="s">
        <v>4422</v>
      </c>
      <c r="I495" s="12" t="s">
        <v>27</v>
      </c>
      <c r="J495" s="12" t="s">
        <v>47</v>
      </c>
      <c r="K495" s="12" t="s">
        <v>48</v>
      </c>
      <c r="L495" s="13">
        <v>40.6</v>
      </c>
      <c r="M495" s="13">
        <v>28</v>
      </c>
      <c r="N495" s="13">
        <v>1.45</v>
      </c>
      <c r="O495" s="13">
        <v>87</v>
      </c>
      <c r="P495" s="13" t="s">
        <v>30</v>
      </c>
      <c r="Q495" s="13">
        <v>0</v>
      </c>
      <c r="R495" s="15">
        <v>3532.2000000000003</v>
      </c>
      <c r="S495" s="15">
        <v>38</v>
      </c>
      <c r="T495" s="15">
        <v>1542.8</v>
      </c>
      <c r="U495" s="15">
        <v>1989.4000000000003</v>
      </c>
      <c r="V495" s="15">
        <v>1989.4000000000003</v>
      </c>
      <c r="W495" s="15">
        <v>0</v>
      </c>
      <c r="X495" s="15">
        <v>1461.6000000000001</v>
      </c>
      <c r="Y495" s="16">
        <v>81.199999999999818</v>
      </c>
      <c r="Z495" s="67" t="s">
        <v>141</v>
      </c>
      <c r="AA495" s="12" t="s">
        <v>78</v>
      </c>
    </row>
    <row r="496" spans="1:27" x14ac:dyDescent="0.25">
      <c r="A496" s="10">
        <v>45666</v>
      </c>
      <c r="B496" s="11" t="s">
        <v>260</v>
      </c>
      <c r="C496" s="11" t="s">
        <v>1709</v>
      </c>
      <c r="D496" s="11" t="s">
        <v>26</v>
      </c>
      <c r="E496" s="11" t="s">
        <v>81</v>
      </c>
      <c r="F496" s="11" t="s">
        <v>26</v>
      </c>
      <c r="G496" s="11" t="s">
        <v>26</v>
      </c>
      <c r="H496" s="12" t="s">
        <v>4422</v>
      </c>
      <c r="I496" s="12" t="s">
        <v>27</v>
      </c>
      <c r="J496" s="12" t="s">
        <v>33</v>
      </c>
      <c r="K496" s="12" t="s">
        <v>34</v>
      </c>
      <c r="L496" s="13">
        <v>41.34</v>
      </c>
      <c r="M496" s="13">
        <v>28</v>
      </c>
      <c r="N496" s="13">
        <v>1.4764285714285721</v>
      </c>
      <c r="O496" s="13">
        <v>85</v>
      </c>
      <c r="P496" s="13" t="s">
        <v>30</v>
      </c>
      <c r="Q496" s="13">
        <v>0</v>
      </c>
      <c r="R496" s="15">
        <v>3513.9</v>
      </c>
      <c r="S496" s="15">
        <v>38</v>
      </c>
      <c r="T496" s="15">
        <v>1570.92</v>
      </c>
      <c r="U496" s="15">
        <v>1942.98</v>
      </c>
      <c r="V496" s="15">
        <v>1942.98</v>
      </c>
      <c r="W496" s="15">
        <v>0</v>
      </c>
      <c r="X496" s="15">
        <v>1488.2400000000002</v>
      </c>
      <c r="Y496" s="16">
        <v>82.679999999999836</v>
      </c>
      <c r="Z496" s="67" t="s">
        <v>141</v>
      </c>
      <c r="AA496" s="12" t="s">
        <v>78</v>
      </c>
    </row>
    <row r="497" spans="1:27" x14ac:dyDescent="0.25">
      <c r="A497" s="10">
        <v>45666</v>
      </c>
      <c r="B497" s="11" t="s">
        <v>1710</v>
      </c>
      <c r="C497" s="11" t="s">
        <v>1711</v>
      </c>
      <c r="D497" s="11" t="s">
        <v>26</v>
      </c>
      <c r="E497" s="11" t="s">
        <v>224</v>
      </c>
      <c r="F497" s="11" t="s">
        <v>26</v>
      </c>
      <c r="G497" s="11">
        <v>57838</v>
      </c>
      <c r="H497" s="12" t="s">
        <v>4423</v>
      </c>
      <c r="I497" s="12" t="s">
        <v>27</v>
      </c>
      <c r="J497" s="12" t="s">
        <v>47</v>
      </c>
      <c r="K497" s="12" t="s">
        <v>48</v>
      </c>
      <c r="L497" s="13">
        <v>35.82</v>
      </c>
      <c r="M497" s="13">
        <v>25</v>
      </c>
      <c r="N497" s="13">
        <v>1.4328000000000001</v>
      </c>
      <c r="O497" s="13">
        <v>46</v>
      </c>
      <c r="P497" s="13" t="s">
        <v>30</v>
      </c>
      <c r="Q497" s="13">
        <v>0</v>
      </c>
      <c r="R497" s="15">
        <v>1647.72</v>
      </c>
      <c r="S497" s="15">
        <v>0</v>
      </c>
      <c r="T497" s="15">
        <v>0</v>
      </c>
      <c r="U497" s="15">
        <v>1647.72</v>
      </c>
      <c r="V497" s="15">
        <v>1647.72</v>
      </c>
      <c r="W497" s="15">
        <v>0</v>
      </c>
      <c r="X497" s="15">
        <v>0</v>
      </c>
      <c r="Y497" s="16">
        <v>0</v>
      </c>
      <c r="Z497" s="67" t="s">
        <v>26</v>
      </c>
      <c r="AA497" s="12" t="s">
        <v>31</v>
      </c>
    </row>
    <row r="498" spans="1:27" x14ac:dyDescent="0.25">
      <c r="A498" s="10">
        <v>45666</v>
      </c>
      <c r="B498" s="11" t="s">
        <v>104</v>
      </c>
      <c r="C498" s="11" t="s">
        <v>1712</v>
      </c>
      <c r="D498" s="11" t="s">
        <v>26</v>
      </c>
      <c r="E498" s="11" t="s">
        <v>431</v>
      </c>
      <c r="F498" s="11" t="s">
        <v>26</v>
      </c>
      <c r="G498" s="11">
        <v>134</v>
      </c>
      <c r="H498" s="12" t="s">
        <v>6328</v>
      </c>
      <c r="I498" s="12" t="s">
        <v>55</v>
      </c>
      <c r="J498" s="12" t="s">
        <v>55</v>
      </c>
      <c r="K498" s="12" t="s">
        <v>56</v>
      </c>
      <c r="L498" s="13">
        <v>36.56</v>
      </c>
      <c r="M498" s="13">
        <v>25</v>
      </c>
      <c r="N498" s="13">
        <v>1.4623999999999999</v>
      </c>
      <c r="O498" s="13">
        <v>15</v>
      </c>
      <c r="P498" s="13"/>
      <c r="Q498" s="13">
        <v>0</v>
      </c>
      <c r="R498" s="15">
        <v>548.40000000000009</v>
      </c>
      <c r="S498" s="15">
        <v>0</v>
      </c>
      <c r="T498" s="15">
        <v>0</v>
      </c>
      <c r="U498" s="15">
        <v>548.40000000000009</v>
      </c>
      <c r="V498" s="15">
        <v>0</v>
      </c>
      <c r="W498" s="15">
        <v>548.40000000000009</v>
      </c>
      <c r="X498" s="15">
        <v>0</v>
      </c>
      <c r="Y498" s="16">
        <v>0</v>
      </c>
      <c r="Z498" s="67" t="s">
        <v>26</v>
      </c>
      <c r="AA498" s="12" t="s">
        <v>31</v>
      </c>
    </row>
    <row r="499" spans="1:27" x14ac:dyDescent="0.25">
      <c r="A499" s="10">
        <v>45666</v>
      </c>
      <c r="B499" s="11" t="s">
        <v>1713</v>
      </c>
      <c r="C499" s="11" t="s">
        <v>1714</v>
      </c>
      <c r="D499" s="11" t="s">
        <v>26</v>
      </c>
      <c r="E499" s="11" t="s">
        <v>552</v>
      </c>
      <c r="F499" s="11" t="s">
        <v>26</v>
      </c>
      <c r="G499" s="11">
        <v>57549</v>
      </c>
      <c r="H499" s="12" t="s">
        <v>4423</v>
      </c>
      <c r="I499" s="12" t="s">
        <v>27</v>
      </c>
      <c r="J499" s="12" t="s">
        <v>33</v>
      </c>
      <c r="K499" s="12" t="s">
        <v>34</v>
      </c>
      <c r="L499" s="13">
        <v>36.44</v>
      </c>
      <c r="M499" s="13">
        <v>25</v>
      </c>
      <c r="N499" s="13">
        <v>1.4576</v>
      </c>
      <c r="O499" s="13">
        <v>45</v>
      </c>
      <c r="P499" s="13" t="s">
        <v>30</v>
      </c>
      <c r="Q499" s="13">
        <v>0</v>
      </c>
      <c r="R499" s="15">
        <v>1639.8</v>
      </c>
      <c r="S499" s="15">
        <v>0</v>
      </c>
      <c r="T499" s="15">
        <v>0</v>
      </c>
      <c r="U499" s="15">
        <v>1639.8</v>
      </c>
      <c r="V499" s="15">
        <v>1639.8</v>
      </c>
      <c r="W499" s="15">
        <v>0</v>
      </c>
      <c r="X499" s="15">
        <v>0</v>
      </c>
      <c r="Y499" s="16">
        <v>0</v>
      </c>
      <c r="Z499" s="67" t="s">
        <v>26</v>
      </c>
      <c r="AA499" s="12" t="s">
        <v>31</v>
      </c>
    </row>
    <row r="500" spans="1:27" x14ac:dyDescent="0.25">
      <c r="A500" s="10">
        <v>45666</v>
      </c>
      <c r="B500" s="11" t="s">
        <v>1715</v>
      </c>
      <c r="C500" s="11" t="s">
        <v>1716</v>
      </c>
      <c r="D500" s="11" t="s">
        <v>26</v>
      </c>
      <c r="E500" s="11" t="s">
        <v>184</v>
      </c>
      <c r="F500" s="11" t="s">
        <v>26</v>
      </c>
      <c r="G500" s="11" t="s">
        <v>26</v>
      </c>
      <c r="H500" s="12" t="s">
        <v>4422</v>
      </c>
      <c r="I500" s="12" t="s">
        <v>27</v>
      </c>
      <c r="J500" s="12" t="s">
        <v>42</v>
      </c>
      <c r="K500" s="12" t="s">
        <v>43</v>
      </c>
      <c r="L500" s="13">
        <v>44</v>
      </c>
      <c r="M500" s="13">
        <v>25</v>
      </c>
      <c r="N500" s="13">
        <v>1.76</v>
      </c>
      <c r="O500" s="13">
        <v>83</v>
      </c>
      <c r="P500" s="13" t="s">
        <v>30</v>
      </c>
      <c r="Q500" s="13">
        <v>0</v>
      </c>
      <c r="R500" s="15">
        <v>3652</v>
      </c>
      <c r="S500" s="15">
        <v>38</v>
      </c>
      <c r="T500" s="15">
        <v>1672</v>
      </c>
      <c r="U500" s="15">
        <v>1980</v>
      </c>
      <c r="V500" s="15">
        <v>1980</v>
      </c>
      <c r="W500" s="15">
        <v>0</v>
      </c>
      <c r="X500" s="15">
        <v>1584</v>
      </c>
      <c r="Y500" s="16">
        <v>88</v>
      </c>
      <c r="Z500" s="67" t="s">
        <v>141</v>
      </c>
      <c r="AA500" s="12" t="s">
        <v>78</v>
      </c>
    </row>
    <row r="501" spans="1:27" x14ac:dyDescent="0.25">
      <c r="A501" s="10">
        <v>45666</v>
      </c>
      <c r="B501" s="11" t="s">
        <v>699</v>
      </c>
      <c r="C501" s="11" t="s">
        <v>1717</v>
      </c>
      <c r="D501" s="11" t="s">
        <v>26</v>
      </c>
      <c r="E501" s="11" t="s">
        <v>461</v>
      </c>
      <c r="F501" s="11" t="s">
        <v>26</v>
      </c>
      <c r="G501" s="11">
        <v>34</v>
      </c>
      <c r="H501" s="12" t="s">
        <v>4444</v>
      </c>
      <c r="I501" s="12" t="s">
        <v>37</v>
      </c>
      <c r="J501" s="12" t="s">
        <v>85</v>
      </c>
      <c r="K501" s="12" t="s">
        <v>86</v>
      </c>
      <c r="L501" s="13">
        <v>33.26</v>
      </c>
      <c r="M501" s="13">
        <v>20</v>
      </c>
      <c r="N501" s="13">
        <v>1.663</v>
      </c>
      <c r="O501" s="13">
        <v>30</v>
      </c>
      <c r="P501" s="13" t="s">
        <v>30</v>
      </c>
      <c r="Q501" s="13">
        <v>0</v>
      </c>
      <c r="R501" s="15">
        <v>997.8</v>
      </c>
      <c r="S501" s="15">
        <v>0</v>
      </c>
      <c r="T501" s="15">
        <v>0</v>
      </c>
      <c r="U501" s="15">
        <v>997.8</v>
      </c>
      <c r="V501" s="15">
        <v>0</v>
      </c>
      <c r="W501" s="15">
        <v>997.8</v>
      </c>
      <c r="X501" s="15">
        <v>0</v>
      </c>
      <c r="Y501" s="16">
        <v>0</v>
      </c>
      <c r="Z501" s="67" t="s">
        <v>26</v>
      </c>
      <c r="AA501" s="12" t="s">
        <v>31</v>
      </c>
    </row>
    <row r="502" spans="1:27" x14ac:dyDescent="0.25">
      <c r="A502" s="10">
        <v>45666</v>
      </c>
      <c r="B502" s="11" t="s">
        <v>1718</v>
      </c>
      <c r="C502" s="11" t="s">
        <v>1719</v>
      </c>
      <c r="D502" s="11" t="s">
        <v>26</v>
      </c>
      <c r="E502" s="11" t="s">
        <v>322</v>
      </c>
      <c r="F502" s="11" t="s">
        <v>26</v>
      </c>
      <c r="G502" s="11">
        <v>111964</v>
      </c>
      <c r="H502" s="12" t="s">
        <v>4446</v>
      </c>
      <c r="I502" s="12" t="s">
        <v>27</v>
      </c>
      <c r="J502" s="12" t="s">
        <v>33</v>
      </c>
      <c r="K502" s="12" t="s">
        <v>34</v>
      </c>
      <c r="L502" s="13">
        <v>35.659999999999997</v>
      </c>
      <c r="M502" s="13">
        <v>25</v>
      </c>
      <c r="N502" s="13">
        <v>1.4263999999999999</v>
      </c>
      <c r="O502" s="13">
        <v>44</v>
      </c>
      <c r="P502" s="13" t="s">
        <v>30</v>
      </c>
      <c r="Q502" s="13">
        <v>0</v>
      </c>
      <c r="R502" s="15">
        <v>1569.04</v>
      </c>
      <c r="S502" s="15">
        <v>0</v>
      </c>
      <c r="T502" s="15">
        <v>0</v>
      </c>
      <c r="U502" s="15">
        <v>1569.04</v>
      </c>
      <c r="V502" s="15">
        <v>1569.04</v>
      </c>
      <c r="W502" s="15">
        <v>0</v>
      </c>
      <c r="X502" s="15">
        <v>0</v>
      </c>
      <c r="Y502" s="16">
        <v>0</v>
      </c>
      <c r="Z502" s="67" t="s">
        <v>26</v>
      </c>
      <c r="AA502" s="12" t="s">
        <v>31</v>
      </c>
    </row>
    <row r="503" spans="1:27" x14ac:dyDescent="0.25">
      <c r="A503" s="10">
        <v>45666</v>
      </c>
      <c r="B503" s="11" t="s">
        <v>1720</v>
      </c>
      <c r="C503" s="11" t="s">
        <v>1721</v>
      </c>
      <c r="D503" s="11" t="s">
        <v>26</v>
      </c>
      <c r="E503" s="11" t="s">
        <v>605</v>
      </c>
      <c r="F503" s="11" t="s">
        <v>26</v>
      </c>
      <c r="G503" s="11" t="s">
        <v>26</v>
      </c>
      <c r="H503" s="12" t="s">
        <v>4422</v>
      </c>
      <c r="I503" s="12" t="s">
        <v>27</v>
      </c>
      <c r="J503" s="12" t="s">
        <v>42</v>
      </c>
      <c r="K503" s="12" t="s">
        <v>43</v>
      </c>
      <c r="L503" s="13">
        <v>43.66</v>
      </c>
      <c r="M503" s="13">
        <v>25</v>
      </c>
      <c r="N503" s="13">
        <v>1.7464</v>
      </c>
      <c r="O503" s="13">
        <v>83</v>
      </c>
      <c r="P503" s="13" t="s">
        <v>30</v>
      </c>
      <c r="Q503" s="13">
        <v>0</v>
      </c>
      <c r="R503" s="14">
        <v>3623.7799999999997</v>
      </c>
      <c r="S503" s="15">
        <v>38</v>
      </c>
      <c r="T503" s="15">
        <v>1659.08</v>
      </c>
      <c r="U503" s="15">
        <v>1964.6999999999998</v>
      </c>
      <c r="V503" s="15">
        <v>1964.6999999999998</v>
      </c>
      <c r="W503" s="15">
        <v>0</v>
      </c>
      <c r="X503" s="15">
        <v>1571.7599999999998</v>
      </c>
      <c r="Y503" s="16">
        <v>87.320000000000164</v>
      </c>
      <c r="Z503" s="67" t="s">
        <v>141</v>
      </c>
      <c r="AA503" s="12" t="s">
        <v>78</v>
      </c>
    </row>
    <row r="504" spans="1:27" x14ac:dyDescent="0.25">
      <c r="A504" s="10">
        <v>45666</v>
      </c>
      <c r="B504" s="11" t="s">
        <v>1722</v>
      </c>
      <c r="C504" s="11" t="s">
        <v>1723</v>
      </c>
      <c r="D504" s="11" t="s">
        <v>26</v>
      </c>
      <c r="E504" s="11" t="s">
        <v>570</v>
      </c>
      <c r="F504" s="11" t="s">
        <v>26</v>
      </c>
      <c r="G504" s="11">
        <v>10315</v>
      </c>
      <c r="H504" s="12" t="s">
        <v>140</v>
      </c>
      <c r="I504" s="12" t="s">
        <v>27</v>
      </c>
      <c r="J504" s="12" t="s">
        <v>33</v>
      </c>
      <c r="K504" s="12" t="s">
        <v>34</v>
      </c>
      <c r="L504" s="13">
        <v>43.8</v>
      </c>
      <c r="M504" s="13">
        <v>30</v>
      </c>
      <c r="N504" s="13">
        <v>1.46</v>
      </c>
      <c r="O504" s="13">
        <v>40</v>
      </c>
      <c r="P504" s="13"/>
      <c r="Q504" s="13">
        <v>0</v>
      </c>
      <c r="R504" s="15">
        <v>1752</v>
      </c>
      <c r="S504" s="15">
        <v>0</v>
      </c>
      <c r="T504" s="15">
        <v>0</v>
      </c>
      <c r="U504" s="15">
        <v>1752</v>
      </c>
      <c r="V504" s="15">
        <v>0</v>
      </c>
      <c r="W504" s="15">
        <v>1752</v>
      </c>
      <c r="X504" s="15">
        <v>0</v>
      </c>
      <c r="Y504" s="16">
        <v>0</v>
      </c>
      <c r="Z504" s="67" t="s">
        <v>26</v>
      </c>
      <c r="AA504" s="12" t="s">
        <v>31</v>
      </c>
    </row>
    <row r="505" spans="1:27" x14ac:dyDescent="0.25">
      <c r="A505" s="10">
        <v>45666</v>
      </c>
      <c r="B505" s="11" t="s">
        <v>676</v>
      </c>
      <c r="C505" s="11" t="s">
        <v>1724</v>
      </c>
      <c r="D505" s="11" t="s">
        <v>26</v>
      </c>
      <c r="E505" s="11" t="s">
        <v>1725</v>
      </c>
      <c r="F505" s="11" t="s">
        <v>26</v>
      </c>
      <c r="G505" s="11">
        <v>3279</v>
      </c>
      <c r="H505" s="12" t="s">
        <v>4448</v>
      </c>
      <c r="I505" s="12" t="s">
        <v>55</v>
      </c>
      <c r="J505" s="12" t="s">
        <v>55</v>
      </c>
      <c r="K505" s="12" t="s">
        <v>56</v>
      </c>
      <c r="L505" s="13">
        <v>35.94</v>
      </c>
      <c r="M505" s="13">
        <v>25</v>
      </c>
      <c r="N505" s="13">
        <v>1.4376</v>
      </c>
      <c r="O505" s="13">
        <v>15</v>
      </c>
      <c r="P505" s="13" t="s">
        <v>30</v>
      </c>
      <c r="Q505" s="14">
        <v>0</v>
      </c>
      <c r="R505" s="15">
        <v>539.09999999999991</v>
      </c>
      <c r="S505" s="15">
        <v>0</v>
      </c>
      <c r="T505" s="15">
        <v>0</v>
      </c>
      <c r="U505" s="15">
        <v>539.09999999999991</v>
      </c>
      <c r="V505" s="15">
        <v>404.32499999999993</v>
      </c>
      <c r="W505" s="15">
        <v>134.77499999999998</v>
      </c>
      <c r="X505" s="15">
        <v>0</v>
      </c>
      <c r="Y505" s="16">
        <v>0</v>
      </c>
      <c r="Z505" s="67" t="s">
        <v>26</v>
      </c>
      <c r="AA505" s="12" t="s">
        <v>31</v>
      </c>
    </row>
    <row r="506" spans="1:27" x14ac:dyDescent="0.25">
      <c r="A506" s="10">
        <v>45666</v>
      </c>
      <c r="B506" s="11" t="s">
        <v>1726</v>
      </c>
      <c r="C506" s="11" t="s">
        <v>1727</v>
      </c>
      <c r="D506" s="11" t="s">
        <v>26</v>
      </c>
      <c r="E506" s="11" t="s">
        <v>50</v>
      </c>
      <c r="F506" s="11" t="s">
        <v>26</v>
      </c>
      <c r="G506" s="11">
        <v>613</v>
      </c>
      <c r="H506" s="12" t="s">
        <v>163</v>
      </c>
      <c r="I506" s="12" t="s">
        <v>27</v>
      </c>
      <c r="J506" s="12" t="s">
        <v>33</v>
      </c>
      <c r="K506" s="12" t="s">
        <v>34</v>
      </c>
      <c r="L506" s="13">
        <v>38.4</v>
      </c>
      <c r="M506" s="13">
        <v>25</v>
      </c>
      <c r="N506" s="13">
        <v>1.536</v>
      </c>
      <c r="O506" s="13" t="s">
        <v>30</v>
      </c>
      <c r="P506" s="13">
        <v>58</v>
      </c>
      <c r="Q506" s="13">
        <v>0</v>
      </c>
      <c r="R506" s="15">
        <v>1450</v>
      </c>
      <c r="S506" s="15">
        <v>0</v>
      </c>
      <c r="T506" s="15">
        <v>0</v>
      </c>
      <c r="U506" s="15">
        <v>1450</v>
      </c>
      <c r="V506" s="15">
        <v>0</v>
      </c>
      <c r="W506" s="15">
        <v>1450</v>
      </c>
      <c r="X506" s="15">
        <v>0</v>
      </c>
      <c r="Y506" s="16">
        <v>0</v>
      </c>
      <c r="Z506" s="67" t="s">
        <v>26</v>
      </c>
      <c r="AA506" s="12" t="s">
        <v>31</v>
      </c>
    </row>
    <row r="507" spans="1:27" x14ac:dyDescent="0.25">
      <c r="A507" s="10">
        <v>45666</v>
      </c>
      <c r="B507" s="11" t="s">
        <v>358</v>
      </c>
      <c r="C507" s="11" t="s">
        <v>1728</v>
      </c>
      <c r="D507" s="11" t="s">
        <v>26</v>
      </c>
      <c r="E507" s="11" t="s">
        <v>658</v>
      </c>
      <c r="F507" s="11" t="s">
        <v>26</v>
      </c>
      <c r="G507" s="11">
        <v>622</v>
      </c>
      <c r="H507" s="12" t="s">
        <v>141</v>
      </c>
      <c r="I507" s="12" t="s">
        <v>55</v>
      </c>
      <c r="J507" s="12" t="s">
        <v>55</v>
      </c>
      <c r="K507" s="12" t="s">
        <v>56</v>
      </c>
      <c r="L507" s="13">
        <v>39.6</v>
      </c>
      <c r="M507" s="13">
        <v>25</v>
      </c>
      <c r="N507" s="13">
        <v>1.5840000000000001</v>
      </c>
      <c r="O507" s="13">
        <v>15</v>
      </c>
      <c r="P507" s="13" t="s">
        <v>30</v>
      </c>
      <c r="Q507" s="13">
        <v>0</v>
      </c>
      <c r="R507" s="15">
        <v>594</v>
      </c>
      <c r="S507" s="15">
        <v>0</v>
      </c>
      <c r="T507" s="15">
        <v>0</v>
      </c>
      <c r="U507" s="15">
        <v>594</v>
      </c>
      <c r="V507" s="15">
        <v>0</v>
      </c>
      <c r="W507" s="15">
        <v>594</v>
      </c>
      <c r="X507" s="15">
        <v>0</v>
      </c>
      <c r="Y507" s="16">
        <v>0</v>
      </c>
      <c r="Z507" s="67" t="s">
        <v>26</v>
      </c>
      <c r="AA507" s="12" t="s">
        <v>31</v>
      </c>
    </row>
    <row r="508" spans="1:27" x14ac:dyDescent="0.25">
      <c r="A508" s="10">
        <v>45666</v>
      </c>
      <c r="B508" s="11" t="s">
        <v>1729</v>
      </c>
      <c r="C508" s="11" t="s">
        <v>1730</v>
      </c>
      <c r="D508" s="11" t="s">
        <v>26</v>
      </c>
      <c r="E508" s="11" t="s">
        <v>80</v>
      </c>
      <c r="F508" s="11" t="s">
        <v>26</v>
      </c>
      <c r="G508" s="11">
        <v>10284</v>
      </c>
      <c r="H508" s="12" t="s">
        <v>140</v>
      </c>
      <c r="I508" s="12" t="s">
        <v>27</v>
      </c>
      <c r="J508" s="12" t="s">
        <v>33</v>
      </c>
      <c r="K508" s="12" t="s">
        <v>34</v>
      </c>
      <c r="L508" s="13">
        <v>42.9</v>
      </c>
      <c r="M508" s="13">
        <v>29</v>
      </c>
      <c r="N508" s="13">
        <v>1.4793103448275859</v>
      </c>
      <c r="O508" s="13">
        <v>40</v>
      </c>
      <c r="P508" s="13"/>
      <c r="Q508" s="13">
        <v>0</v>
      </c>
      <c r="R508" s="15">
        <v>1716</v>
      </c>
      <c r="S508" s="15">
        <v>0</v>
      </c>
      <c r="T508" s="15">
        <v>0</v>
      </c>
      <c r="U508" s="15">
        <v>1716</v>
      </c>
      <c r="V508" s="15">
        <v>0</v>
      </c>
      <c r="W508" s="15">
        <v>1716</v>
      </c>
      <c r="X508" s="15">
        <v>0</v>
      </c>
      <c r="Y508" s="16">
        <v>0</v>
      </c>
      <c r="Z508" s="67" t="s">
        <v>26</v>
      </c>
      <c r="AA508" s="12" t="s">
        <v>31</v>
      </c>
    </row>
    <row r="509" spans="1:27" x14ac:dyDescent="0.25">
      <c r="A509" s="10">
        <v>45666</v>
      </c>
      <c r="B509" s="11" t="s">
        <v>1731</v>
      </c>
      <c r="C509" s="11" t="s">
        <v>1732</v>
      </c>
      <c r="D509" s="11" t="s">
        <v>26</v>
      </c>
      <c r="E509" s="11" t="s">
        <v>520</v>
      </c>
      <c r="F509" s="11" t="s">
        <v>26</v>
      </c>
      <c r="G509" s="11" t="s">
        <v>26</v>
      </c>
      <c r="H509" s="12" t="s">
        <v>4422</v>
      </c>
      <c r="I509" s="12" t="s">
        <v>27</v>
      </c>
      <c r="J509" s="12" t="s">
        <v>42</v>
      </c>
      <c r="K509" s="12" t="s">
        <v>43</v>
      </c>
      <c r="L509" s="13">
        <v>43.8</v>
      </c>
      <c r="M509" s="13">
        <v>25</v>
      </c>
      <c r="N509" s="13">
        <v>1.752</v>
      </c>
      <c r="O509" s="13">
        <v>83</v>
      </c>
      <c r="P509" s="13" t="s">
        <v>30</v>
      </c>
      <c r="Q509" s="13">
        <v>0</v>
      </c>
      <c r="R509" s="14">
        <v>3635.3999999999996</v>
      </c>
      <c r="S509" s="15">
        <v>38</v>
      </c>
      <c r="T509" s="15">
        <v>1664.3999999999999</v>
      </c>
      <c r="U509" s="15">
        <v>1970.9999999999998</v>
      </c>
      <c r="V509" s="15">
        <v>1970.9999999999998</v>
      </c>
      <c r="W509" s="15">
        <v>0</v>
      </c>
      <c r="X509" s="15">
        <v>1576.8</v>
      </c>
      <c r="Y509" s="16">
        <v>87.599999999999909</v>
      </c>
      <c r="Z509" s="67" t="s">
        <v>140</v>
      </c>
      <c r="AA509" s="12" t="s">
        <v>78</v>
      </c>
    </row>
    <row r="510" spans="1:27" x14ac:dyDescent="0.25">
      <c r="A510" s="10">
        <v>45666</v>
      </c>
      <c r="B510" s="11" t="s">
        <v>1733</v>
      </c>
      <c r="C510" s="11" t="s">
        <v>1734</v>
      </c>
      <c r="D510" s="11" t="s">
        <v>26</v>
      </c>
      <c r="E510" s="11" t="s">
        <v>1200</v>
      </c>
      <c r="F510" s="11" t="s">
        <v>26</v>
      </c>
      <c r="G510" s="11">
        <v>974</v>
      </c>
      <c r="H510" s="12" t="s">
        <v>163</v>
      </c>
      <c r="I510" s="12" t="s">
        <v>27</v>
      </c>
      <c r="J510" s="12" t="s">
        <v>33</v>
      </c>
      <c r="K510" s="12" t="s">
        <v>34</v>
      </c>
      <c r="L510" s="13">
        <v>38.9</v>
      </c>
      <c r="M510" s="13">
        <v>25</v>
      </c>
      <c r="N510" s="13">
        <v>1.556</v>
      </c>
      <c r="O510" s="13" t="s">
        <v>30</v>
      </c>
      <c r="P510" s="13">
        <v>58</v>
      </c>
      <c r="Q510" s="13">
        <v>0</v>
      </c>
      <c r="R510" s="14">
        <v>1450</v>
      </c>
      <c r="S510" s="15">
        <v>0</v>
      </c>
      <c r="T510" s="15">
        <v>0</v>
      </c>
      <c r="U510" s="15">
        <v>1450</v>
      </c>
      <c r="V510" s="15">
        <v>0</v>
      </c>
      <c r="W510" s="15">
        <v>1450</v>
      </c>
      <c r="X510" s="16">
        <v>0</v>
      </c>
      <c r="Y510" s="16">
        <v>0</v>
      </c>
      <c r="Z510" s="67" t="s">
        <v>26</v>
      </c>
      <c r="AA510" s="12" t="s">
        <v>31</v>
      </c>
    </row>
    <row r="511" spans="1:27" x14ac:dyDescent="0.25">
      <c r="A511" s="10">
        <v>45666</v>
      </c>
      <c r="B511" s="11" t="s">
        <v>1449</v>
      </c>
      <c r="C511" s="11" t="s">
        <v>1735</v>
      </c>
      <c r="D511" s="11" t="s">
        <v>26</v>
      </c>
      <c r="E511" s="11" t="s">
        <v>509</v>
      </c>
      <c r="F511" s="11" t="s">
        <v>26</v>
      </c>
      <c r="G511" s="11">
        <v>623</v>
      </c>
      <c r="H511" s="12" t="s">
        <v>141</v>
      </c>
      <c r="I511" s="12" t="s">
        <v>55</v>
      </c>
      <c r="J511" s="12" t="s">
        <v>55</v>
      </c>
      <c r="K511" s="12" t="s">
        <v>56</v>
      </c>
      <c r="L511" s="13">
        <v>38.86</v>
      </c>
      <c r="M511" s="13">
        <v>25</v>
      </c>
      <c r="N511" s="13">
        <v>1.5544</v>
      </c>
      <c r="O511" s="13">
        <v>15</v>
      </c>
      <c r="P511" s="13" t="s">
        <v>30</v>
      </c>
      <c r="Q511" s="13">
        <v>0</v>
      </c>
      <c r="R511" s="15">
        <v>582.9</v>
      </c>
      <c r="S511" s="15">
        <v>0</v>
      </c>
      <c r="T511" s="15">
        <v>0</v>
      </c>
      <c r="U511" s="15">
        <v>582.9</v>
      </c>
      <c r="V511" s="15">
        <v>0</v>
      </c>
      <c r="W511" s="15">
        <v>582.9</v>
      </c>
      <c r="X511" s="15">
        <v>0</v>
      </c>
      <c r="Y511" s="16">
        <v>0</v>
      </c>
      <c r="Z511" s="67" t="s">
        <v>26</v>
      </c>
      <c r="AA511" s="12" t="s">
        <v>31</v>
      </c>
    </row>
    <row r="512" spans="1:27" x14ac:dyDescent="0.25">
      <c r="A512" s="10">
        <v>45666</v>
      </c>
      <c r="B512" s="11" t="s">
        <v>396</v>
      </c>
      <c r="C512" s="11" t="s">
        <v>1736</v>
      </c>
      <c r="D512" s="11" t="s">
        <v>26</v>
      </c>
      <c r="E512" s="11" t="s">
        <v>54</v>
      </c>
      <c r="F512" s="11" t="s">
        <v>26</v>
      </c>
      <c r="G512" s="11" t="s">
        <v>35</v>
      </c>
      <c r="H512" s="12" t="s">
        <v>36</v>
      </c>
      <c r="I512" s="12" t="s">
        <v>27</v>
      </c>
      <c r="J512" s="12" t="s">
        <v>28</v>
      </c>
      <c r="K512" s="12" t="s">
        <v>29</v>
      </c>
      <c r="L512" s="13">
        <v>40.520000000000003</v>
      </c>
      <c r="M512" s="13">
        <v>25</v>
      </c>
      <c r="N512" s="13">
        <v>1.6208</v>
      </c>
      <c r="O512" s="13">
        <v>32</v>
      </c>
      <c r="P512" s="13" t="s">
        <v>30</v>
      </c>
      <c r="Q512" s="13">
        <v>0</v>
      </c>
      <c r="R512" s="14">
        <v>1296.6400000000001</v>
      </c>
      <c r="S512" s="15">
        <v>0</v>
      </c>
      <c r="T512" s="15">
        <v>0</v>
      </c>
      <c r="U512" s="15">
        <v>1296.6400000000001</v>
      </c>
      <c r="V512" s="15">
        <v>0</v>
      </c>
      <c r="W512" s="15">
        <v>1296.6400000000001</v>
      </c>
      <c r="X512" s="15">
        <v>0</v>
      </c>
      <c r="Y512" s="16">
        <v>0</v>
      </c>
      <c r="Z512" s="67" t="s">
        <v>26</v>
      </c>
      <c r="AA512" s="12" t="s">
        <v>31</v>
      </c>
    </row>
    <row r="513" spans="1:27" x14ac:dyDescent="0.25">
      <c r="A513" s="10">
        <v>45666</v>
      </c>
      <c r="B513" s="11" t="s">
        <v>424</v>
      </c>
      <c r="C513" s="11" t="s">
        <v>1737</v>
      </c>
      <c r="D513" s="11" t="s">
        <v>26</v>
      </c>
      <c r="E513" s="11" t="s">
        <v>68</v>
      </c>
      <c r="F513" s="11" t="s">
        <v>26</v>
      </c>
      <c r="G513" s="11">
        <v>1427</v>
      </c>
      <c r="H513" s="12" t="s">
        <v>45</v>
      </c>
      <c r="I513" s="12" t="s">
        <v>27</v>
      </c>
      <c r="J513" s="12" t="s">
        <v>42</v>
      </c>
      <c r="K513" s="12" t="s">
        <v>43</v>
      </c>
      <c r="L513" s="13">
        <v>39.78</v>
      </c>
      <c r="M513" s="13">
        <v>25</v>
      </c>
      <c r="N513" s="13">
        <v>1.5911999999999999</v>
      </c>
      <c r="O513" s="13" t="s">
        <v>30</v>
      </c>
      <c r="P513" s="13">
        <v>62</v>
      </c>
      <c r="Q513" s="13">
        <v>0</v>
      </c>
      <c r="R513" s="14">
        <v>1550</v>
      </c>
      <c r="S513" s="15">
        <v>0</v>
      </c>
      <c r="T513" s="15">
        <v>0</v>
      </c>
      <c r="U513" s="15">
        <v>1550</v>
      </c>
      <c r="V513" s="15">
        <v>0</v>
      </c>
      <c r="W513" s="15">
        <v>1550</v>
      </c>
      <c r="X513" s="15">
        <v>0</v>
      </c>
      <c r="Y513" s="16">
        <v>0</v>
      </c>
      <c r="Z513" s="67" t="s">
        <v>26</v>
      </c>
      <c r="AA513" s="12" t="s">
        <v>31</v>
      </c>
    </row>
    <row r="514" spans="1:27" x14ac:dyDescent="0.25">
      <c r="A514" s="10">
        <v>45666</v>
      </c>
      <c r="B514" s="11" t="s">
        <v>1507</v>
      </c>
      <c r="C514" s="11" t="s">
        <v>1738</v>
      </c>
      <c r="D514" s="11" t="s">
        <v>26</v>
      </c>
      <c r="E514" s="11" t="s">
        <v>461</v>
      </c>
      <c r="F514" s="11" t="s">
        <v>26</v>
      </c>
      <c r="G514" s="11">
        <v>38</v>
      </c>
      <c r="H514" s="12" t="s">
        <v>4444</v>
      </c>
      <c r="I514" s="12" t="s">
        <v>37</v>
      </c>
      <c r="J514" s="12" t="s">
        <v>85</v>
      </c>
      <c r="K514" s="12" t="s">
        <v>86</v>
      </c>
      <c r="L514" s="13">
        <v>30.06</v>
      </c>
      <c r="M514" s="13">
        <v>20</v>
      </c>
      <c r="N514" s="13">
        <v>1.5029999999999999</v>
      </c>
      <c r="O514" s="13">
        <v>30</v>
      </c>
      <c r="P514" s="13" t="s">
        <v>30</v>
      </c>
      <c r="Q514" s="13">
        <v>0</v>
      </c>
      <c r="R514" s="14">
        <v>901.8</v>
      </c>
      <c r="S514" s="15">
        <v>0</v>
      </c>
      <c r="T514" s="15">
        <v>0</v>
      </c>
      <c r="U514" s="15">
        <v>901.8</v>
      </c>
      <c r="V514" s="15">
        <v>0</v>
      </c>
      <c r="W514" s="15">
        <v>901.8</v>
      </c>
      <c r="X514" s="15">
        <v>0</v>
      </c>
      <c r="Y514" s="16">
        <v>0</v>
      </c>
      <c r="Z514" s="67" t="s">
        <v>26</v>
      </c>
      <c r="AA514" s="12" t="s">
        <v>31</v>
      </c>
    </row>
    <row r="515" spans="1:27" x14ac:dyDescent="0.25">
      <c r="A515" s="10">
        <v>45666</v>
      </c>
      <c r="B515" s="11" t="s">
        <v>1739</v>
      </c>
      <c r="C515" s="11" t="s">
        <v>1740</v>
      </c>
      <c r="D515" s="11" t="s">
        <v>26</v>
      </c>
      <c r="E515" s="11" t="s">
        <v>604</v>
      </c>
      <c r="F515" s="11" t="s">
        <v>26</v>
      </c>
      <c r="G515" s="11">
        <v>624</v>
      </c>
      <c r="H515" s="12" t="s">
        <v>141</v>
      </c>
      <c r="I515" s="12" t="s">
        <v>37</v>
      </c>
      <c r="J515" s="12" t="s">
        <v>599</v>
      </c>
      <c r="K515" s="12" t="s">
        <v>82</v>
      </c>
      <c r="L515" s="13">
        <v>40.119999999999997</v>
      </c>
      <c r="M515" s="13">
        <v>25</v>
      </c>
      <c r="N515" s="13">
        <v>1.6048</v>
      </c>
      <c r="O515" s="13">
        <v>29</v>
      </c>
      <c r="P515" s="13" t="s">
        <v>30</v>
      </c>
      <c r="Q515" s="13">
        <v>0</v>
      </c>
      <c r="R515" s="15">
        <v>1163.48</v>
      </c>
      <c r="S515" s="15">
        <v>0</v>
      </c>
      <c r="T515" s="15">
        <v>0</v>
      </c>
      <c r="U515" s="15">
        <v>1163.48</v>
      </c>
      <c r="V515" s="15">
        <v>0</v>
      </c>
      <c r="W515" s="15">
        <v>1163.48</v>
      </c>
      <c r="X515" s="15">
        <v>0</v>
      </c>
      <c r="Y515" s="16">
        <v>0</v>
      </c>
      <c r="Z515" s="67" t="s">
        <v>26</v>
      </c>
      <c r="AA515" s="12" t="s">
        <v>31</v>
      </c>
    </row>
    <row r="516" spans="1:27" x14ac:dyDescent="0.25">
      <c r="A516" s="10">
        <v>45666</v>
      </c>
      <c r="B516" s="11" t="s">
        <v>1741</v>
      </c>
      <c r="C516" s="11" t="s">
        <v>1742</v>
      </c>
      <c r="D516" s="11" t="s">
        <v>26</v>
      </c>
      <c r="E516" s="11" t="s">
        <v>230</v>
      </c>
      <c r="F516" s="11" t="s">
        <v>26</v>
      </c>
      <c r="G516" s="11" t="s">
        <v>26</v>
      </c>
      <c r="H516" s="12" t="s">
        <v>4422</v>
      </c>
      <c r="I516" s="12" t="s">
        <v>27</v>
      </c>
      <c r="J516" s="12" t="s">
        <v>42</v>
      </c>
      <c r="K516" s="12" t="s">
        <v>43</v>
      </c>
      <c r="L516" s="13">
        <v>43.68</v>
      </c>
      <c r="M516" s="13">
        <v>25</v>
      </c>
      <c r="N516" s="13">
        <v>1.7472000000000001</v>
      </c>
      <c r="O516" s="13">
        <v>83</v>
      </c>
      <c r="P516" s="13" t="s">
        <v>30</v>
      </c>
      <c r="Q516" s="13">
        <v>0</v>
      </c>
      <c r="R516" s="15">
        <v>3625.44</v>
      </c>
      <c r="S516" s="15">
        <v>38</v>
      </c>
      <c r="T516" s="15">
        <v>1659.84</v>
      </c>
      <c r="U516" s="15">
        <v>1965.6000000000001</v>
      </c>
      <c r="V516" s="15">
        <v>1965.6000000000001</v>
      </c>
      <c r="W516" s="15">
        <v>0</v>
      </c>
      <c r="X516" s="15">
        <v>1572.48</v>
      </c>
      <c r="Y516" s="16">
        <v>87.3599999999999</v>
      </c>
      <c r="Z516" s="67" t="s">
        <v>565</v>
      </c>
      <c r="AA516" s="12" t="s">
        <v>78</v>
      </c>
    </row>
    <row r="517" spans="1:27" x14ac:dyDescent="0.25">
      <c r="A517" s="10">
        <v>45666</v>
      </c>
      <c r="B517" s="11" t="s">
        <v>318</v>
      </c>
      <c r="C517" s="11" t="s">
        <v>1743</v>
      </c>
      <c r="D517" s="11" t="s">
        <v>26</v>
      </c>
      <c r="E517" s="11" t="s">
        <v>63</v>
      </c>
      <c r="F517" s="11" t="s">
        <v>26</v>
      </c>
      <c r="G517" s="11" t="s">
        <v>26</v>
      </c>
      <c r="H517" s="12" t="s">
        <v>4422</v>
      </c>
      <c r="I517" s="12" t="s">
        <v>27</v>
      </c>
      <c r="J517" s="12" t="s">
        <v>33</v>
      </c>
      <c r="K517" s="12" t="s">
        <v>34</v>
      </c>
      <c r="L517" s="13">
        <v>42.42</v>
      </c>
      <c r="M517" s="13">
        <v>29</v>
      </c>
      <c r="N517" s="13">
        <v>1.462758620689655</v>
      </c>
      <c r="O517" s="13">
        <v>85</v>
      </c>
      <c r="P517" s="13" t="s">
        <v>30</v>
      </c>
      <c r="Q517" s="13">
        <v>0</v>
      </c>
      <c r="R517" s="15">
        <v>3605.7000000000003</v>
      </c>
      <c r="S517" s="15">
        <v>38</v>
      </c>
      <c r="T517" s="15">
        <v>1611.96</v>
      </c>
      <c r="U517" s="15">
        <v>1993.7400000000002</v>
      </c>
      <c r="V517" s="15">
        <v>1993.7400000000002</v>
      </c>
      <c r="W517" s="15">
        <v>0</v>
      </c>
      <c r="X517" s="15">
        <v>1527.1200000000001</v>
      </c>
      <c r="Y517" s="16">
        <v>84.839999999999918</v>
      </c>
      <c r="Z517" s="67" t="s">
        <v>140</v>
      </c>
      <c r="AA517" s="12" t="s">
        <v>78</v>
      </c>
    </row>
    <row r="518" spans="1:27" x14ac:dyDescent="0.25">
      <c r="A518" s="10">
        <v>45666</v>
      </c>
      <c r="B518" s="11" t="s">
        <v>1744</v>
      </c>
      <c r="C518" s="11" t="s">
        <v>1745</v>
      </c>
      <c r="D518" s="11" t="s">
        <v>26</v>
      </c>
      <c r="E518" s="11" t="s">
        <v>53</v>
      </c>
      <c r="F518" s="11" t="s">
        <v>26</v>
      </c>
      <c r="G518" s="11" t="s">
        <v>26</v>
      </c>
      <c r="H518" s="12" t="s">
        <v>146</v>
      </c>
      <c r="I518" s="12" t="s">
        <v>27</v>
      </c>
      <c r="J518" s="12" t="s">
        <v>47</v>
      </c>
      <c r="K518" s="12" t="s">
        <v>48</v>
      </c>
      <c r="L518" s="13">
        <v>44.02</v>
      </c>
      <c r="M518" s="13">
        <v>30</v>
      </c>
      <c r="N518" s="13">
        <v>1.4673333333333329</v>
      </c>
      <c r="O518" s="13">
        <v>91</v>
      </c>
      <c r="P518" s="13" t="s">
        <v>30</v>
      </c>
      <c r="Q518" s="13">
        <v>0</v>
      </c>
      <c r="R518" s="15">
        <v>4005.82</v>
      </c>
      <c r="S518" s="15">
        <v>40</v>
      </c>
      <c r="T518" s="15">
        <v>1760.8000000000002</v>
      </c>
      <c r="U518" s="15">
        <v>2245.02</v>
      </c>
      <c r="V518" s="15">
        <v>2245.02</v>
      </c>
      <c r="W518" s="15">
        <v>0</v>
      </c>
      <c r="X518" s="15">
        <v>1628.74</v>
      </c>
      <c r="Y518" s="16">
        <v>132.06000000000017</v>
      </c>
      <c r="Z518" s="67" t="s">
        <v>41</v>
      </c>
      <c r="AA518" s="12" t="s">
        <v>79</v>
      </c>
    </row>
    <row r="519" spans="1:27" x14ac:dyDescent="0.25">
      <c r="A519" s="10">
        <v>45666</v>
      </c>
      <c r="B519" s="11" t="s">
        <v>1746</v>
      </c>
      <c r="C519" s="11" t="s">
        <v>1747</v>
      </c>
      <c r="D519" s="11" t="s">
        <v>26</v>
      </c>
      <c r="E519" s="11" t="s">
        <v>241</v>
      </c>
      <c r="F519" s="11" t="s">
        <v>26</v>
      </c>
      <c r="G519" s="11">
        <v>71097</v>
      </c>
      <c r="H519" s="12" t="s">
        <v>4448</v>
      </c>
      <c r="I519" s="12" t="s">
        <v>27</v>
      </c>
      <c r="J519" s="12" t="s">
        <v>42</v>
      </c>
      <c r="K519" s="12" t="s">
        <v>43</v>
      </c>
      <c r="L519" s="13">
        <v>43.02</v>
      </c>
      <c r="M519" s="13">
        <v>25</v>
      </c>
      <c r="N519" s="13">
        <v>1.7208000000000001</v>
      </c>
      <c r="O519" s="13">
        <v>42.5</v>
      </c>
      <c r="P519" s="13"/>
      <c r="Q519" s="13">
        <v>0</v>
      </c>
      <c r="R519" s="14">
        <v>1828.3500000000001</v>
      </c>
      <c r="S519" s="15">
        <v>0</v>
      </c>
      <c r="T519" s="15">
        <v>0</v>
      </c>
      <c r="U519" s="15">
        <v>1828.3500000000001</v>
      </c>
      <c r="V519" s="15">
        <v>1371.2625</v>
      </c>
      <c r="W519" s="15">
        <v>457.08750000000009</v>
      </c>
      <c r="X519" s="15">
        <v>0</v>
      </c>
      <c r="Y519" s="16">
        <v>0</v>
      </c>
      <c r="Z519" s="67" t="s">
        <v>26</v>
      </c>
      <c r="AA519" s="12" t="s">
        <v>31</v>
      </c>
    </row>
    <row r="520" spans="1:27" x14ac:dyDescent="0.25">
      <c r="A520" s="10">
        <v>45666</v>
      </c>
      <c r="B520" s="11" t="s">
        <v>1748</v>
      </c>
      <c r="C520" s="11" t="s">
        <v>1749</v>
      </c>
      <c r="D520" s="11" t="s">
        <v>26</v>
      </c>
      <c r="E520" s="11" t="s">
        <v>68</v>
      </c>
      <c r="F520" s="11" t="s">
        <v>26</v>
      </c>
      <c r="G520" s="11">
        <v>1443</v>
      </c>
      <c r="H520" s="12" t="s">
        <v>45</v>
      </c>
      <c r="I520" s="12" t="s">
        <v>27</v>
      </c>
      <c r="J520" s="12" t="s">
        <v>42</v>
      </c>
      <c r="K520" s="12" t="s">
        <v>43</v>
      </c>
      <c r="L520" s="13">
        <v>43.54</v>
      </c>
      <c r="M520" s="13">
        <v>25</v>
      </c>
      <c r="N520" s="13">
        <v>1.7416</v>
      </c>
      <c r="O520" s="13" t="s">
        <v>30</v>
      </c>
      <c r="P520" s="13">
        <v>62</v>
      </c>
      <c r="Q520" s="13">
        <v>0</v>
      </c>
      <c r="R520" s="15">
        <v>1550</v>
      </c>
      <c r="S520" s="15">
        <v>0</v>
      </c>
      <c r="T520" s="15">
        <v>0</v>
      </c>
      <c r="U520" s="15">
        <v>1550</v>
      </c>
      <c r="V520" s="15">
        <v>0</v>
      </c>
      <c r="W520" s="15">
        <v>1550</v>
      </c>
      <c r="X520" s="15">
        <v>0</v>
      </c>
      <c r="Y520" s="16">
        <v>0</v>
      </c>
      <c r="Z520" s="67" t="s">
        <v>26</v>
      </c>
      <c r="AA520" s="12" t="s">
        <v>31</v>
      </c>
    </row>
    <row r="521" spans="1:27" x14ac:dyDescent="0.25">
      <c r="A521" s="10">
        <v>45666</v>
      </c>
      <c r="B521" s="11" t="s">
        <v>1750</v>
      </c>
      <c r="C521" s="11" t="s">
        <v>1751</v>
      </c>
      <c r="D521" s="11" t="s">
        <v>26</v>
      </c>
      <c r="E521" s="11" t="s">
        <v>57</v>
      </c>
      <c r="F521" s="11" t="s">
        <v>26</v>
      </c>
      <c r="G521" s="11" t="s">
        <v>26</v>
      </c>
      <c r="H521" s="12" t="s">
        <v>146</v>
      </c>
      <c r="I521" s="12" t="s">
        <v>27</v>
      </c>
      <c r="J521" s="12" t="s">
        <v>47</v>
      </c>
      <c r="K521" s="12" t="s">
        <v>48</v>
      </c>
      <c r="L521" s="13">
        <v>43.18</v>
      </c>
      <c r="M521" s="13">
        <v>30</v>
      </c>
      <c r="N521" s="13">
        <v>1.4393333333333329</v>
      </c>
      <c r="O521" s="13">
        <v>91</v>
      </c>
      <c r="P521" s="13" t="s">
        <v>30</v>
      </c>
      <c r="Q521" s="13">
        <v>0</v>
      </c>
      <c r="R521" s="15">
        <v>3929.38</v>
      </c>
      <c r="S521" s="15">
        <v>40</v>
      </c>
      <c r="T521" s="15">
        <v>1727.2</v>
      </c>
      <c r="U521" s="15">
        <v>2202.1800000000003</v>
      </c>
      <c r="V521" s="15">
        <v>2202.1800000000003</v>
      </c>
      <c r="W521" s="15">
        <v>0</v>
      </c>
      <c r="X521" s="15">
        <v>1597.66</v>
      </c>
      <c r="Y521" s="16">
        <v>129.53999999999996</v>
      </c>
      <c r="Z521" s="67" t="s">
        <v>41</v>
      </c>
      <c r="AA521" s="12" t="s">
        <v>79</v>
      </c>
    </row>
    <row r="522" spans="1:27" x14ac:dyDescent="0.25">
      <c r="A522" s="10">
        <v>45666</v>
      </c>
      <c r="B522" s="11" t="s">
        <v>379</v>
      </c>
      <c r="C522" s="11" t="s">
        <v>1752</v>
      </c>
      <c r="D522" s="11" t="s">
        <v>26</v>
      </c>
      <c r="E522" s="11" t="s">
        <v>605</v>
      </c>
      <c r="F522" s="11" t="s">
        <v>26</v>
      </c>
      <c r="G522" s="11">
        <v>625</v>
      </c>
      <c r="H522" s="12" t="s">
        <v>141</v>
      </c>
      <c r="I522" s="12" t="s">
        <v>37</v>
      </c>
      <c r="J522" s="12" t="s">
        <v>85</v>
      </c>
      <c r="K522" s="12" t="s">
        <v>86</v>
      </c>
      <c r="L522" s="13">
        <v>40.44</v>
      </c>
      <c r="M522" s="13">
        <v>25</v>
      </c>
      <c r="N522" s="13">
        <v>1.6175999999999999</v>
      </c>
      <c r="O522" s="13">
        <v>29</v>
      </c>
      <c r="P522" s="13" t="s">
        <v>30</v>
      </c>
      <c r="Q522" s="13">
        <v>0</v>
      </c>
      <c r="R522" s="15">
        <v>1172.76</v>
      </c>
      <c r="S522" s="15">
        <v>0</v>
      </c>
      <c r="T522" s="15">
        <v>0</v>
      </c>
      <c r="U522" s="15">
        <v>1172.76</v>
      </c>
      <c r="V522" s="15">
        <v>0</v>
      </c>
      <c r="W522" s="15">
        <v>1172.76</v>
      </c>
      <c r="X522" s="15">
        <v>0</v>
      </c>
      <c r="Y522" s="16">
        <v>0</v>
      </c>
      <c r="Z522" s="67" t="s">
        <v>26</v>
      </c>
      <c r="AA522" s="12" t="s">
        <v>31</v>
      </c>
    </row>
    <row r="523" spans="1:27" x14ac:dyDescent="0.25">
      <c r="A523" s="10">
        <v>45666</v>
      </c>
      <c r="B523" s="11" t="s">
        <v>265</v>
      </c>
      <c r="C523" s="11" t="s">
        <v>1753</v>
      </c>
      <c r="D523" s="11" t="s">
        <v>26</v>
      </c>
      <c r="E523" s="11" t="s">
        <v>552</v>
      </c>
      <c r="F523" s="11" t="s">
        <v>26</v>
      </c>
      <c r="G523" s="11">
        <v>57550</v>
      </c>
      <c r="H523" s="12" t="s">
        <v>4423</v>
      </c>
      <c r="I523" s="12" t="s">
        <v>27</v>
      </c>
      <c r="J523" s="12" t="s">
        <v>33</v>
      </c>
      <c r="K523" s="12" t="s">
        <v>34</v>
      </c>
      <c r="L523" s="13">
        <v>34.92</v>
      </c>
      <c r="M523" s="13">
        <v>25</v>
      </c>
      <c r="N523" s="13">
        <v>1.3968</v>
      </c>
      <c r="O523" s="13">
        <v>45</v>
      </c>
      <c r="P523" s="13" t="s">
        <v>30</v>
      </c>
      <c r="Q523" s="13">
        <v>0</v>
      </c>
      <c r="R523" s="14">
        <v>1571.4</v>
      </c>
      <c r="S523" s="15">
        <v>0</v>
      </c>
      <c r="T523" s="15">
        <v>0</v>
      </c>
      <c r="U523" s="15">
        <v>1571.4</v>
      </c>
      <c r="V523" s="15">
        <v>1571.4</v>
      </c>
      <c r="W523" s="15">
        <v>0</v>
      </c>
      <c r="X523" s="15">
        <v>0</v>
      </c>
      <c r="Y523" s="16">
        <v>0</v>
      </c>
      <c r="Z523" s="67" t="s">
        <v>26</v>
      </c>
      <c r="AA523" s="12" t="s">
        <v>31</v>
      </c>
    </row>
    <row r="524" spans="1:27" x14ac:dyDescent="0.25">
      <c r="A524" s="10">
        <v>45666</v>
      </c>
      <c r="B524" s="11" t="s">
        <v>1754</v>
      </c>
      <c r="C524" s="11" t="s">
        <v>1755</v>
      </c>
      <c r="D524" s="11" t="s">
        <v>26</v>
      </c>
      <c r="E524" s="11" t="s">
        <v>582</v>
      </c>
      <c r="F524" s="11" t="s">
        <v>26</v>
      </c>
      <c r="G524" s="11">
        <v>111972</v>
      </c>
      <c r="H524" s="12" t="s">
        <v>4446</v>
      </c>
      <c r="I524" s="12" t="s">
        <v>27</v>
      </c>
      <c r="J524" s="12" t="s">
        <v>33</v>
      </c>
      <c r="K524" s="12" t="s">
        <v>34</v>
      </c>
      <c r="L524" s="13">
        <v>36.24</v>
      </c>
      <c r="M524" s="13">
        <v>25</v>
      </c>
      <c r="N524" s="13">
        <v>1.4496</v>
      </c>
      <c r="O524" s="13">
        <v>44</v>
      </c>
      <c r="P524" s="13" t="s">
        <v>30</v>
      </c>
      <c r="Q524" s="13">
        <v>0</v>
      </c>
      <c r="R524" s="15">
        <v>1594.5600000000002</v>
      </c>
      <c r="S524" s="15">
        <v>0</v>
      </c>
      <c r="T524" s="15">
        <v>0</v>
      </c>
      <c r="U524" s="15">
        <v>1594.5600000000002</v>
      </c>
      <c r="V524" s="15">
        <v>1594.5600000000002</v>
      </c>
      <c r="W524" s="15">
        <v>0</v>
      </c>
      <c r="X524" s="15">
        <v>0</v>
      </c>
      <c r="Y524" s="16">
        <v>0</v>
      </c>
      <c r="Z524" s="67" t="s">
        <v>26</v>
      </c>
      <c r="AA524" s="12" t="s">
        <v>31</v>
      </c>
    </row>
    <row r="525" spans="1:27" x14ac:dyDescent="0.25">
      <c r="A525" s="10">
        <v>45666</v>
      </c>
      <c r="B525" s="11" t="s">
        <v>314</v>
      </c>
      <c r="C525" s="11" t="s">
        <v>1756</v>
      </c>
      <c r="D525" s="11" t="s">
        <v>26</v>
      </c>
      <c r="E525" s="11" t="s">
        <v>98</v>
      </c>
      <c r="F525" s="11" t="s">
        <v>26</v>
      </c>
      <c r="G525" s="11" t="s">
        <v>26</v>
      </c>
      <c r="H525" s="12" t="s">
        <v>4422</v>
      </c>
      <c r="I525" s="12" t="s">
        <v>27</v>
      </c>
      <c r="J525" s="12" t="s">
        <v>33</v>
      </c>
      <c r="K525" s="12" t="s">
        <v>34</v>
      </c>
      <c r="L525" s="13">
        <v>42.88</v>
      </c>
      <c r="M525" s="13">
        <v>29</v>
      </c>
      <c r="N525" s="13">
        <v>1.478620689655173</v>
      </c>
      <c r="O525" s="13">
        <v>85</v>
      </c>
      <c r="P525" s="13" t="s">
        <v>30</v>
      </c>
      <c r="Q525" s="13">
        <v>0</v>
      </c>
      <c r="R525" s="15">
        <v>3644.8</v>
      </c>
      <c r="S525" s="15">
        <v>38</v>
      </c>
      <c r="T525" s="15">
        <v>1629.44</v>
      </c>
      <c r="U525" s="15">
        <v>2015.3600000000001</v>
      </c>
      <c r="V525" s="15">
        <v>2015.3600000000001</v>
      </c>
      <c r="W525" s="15">
        <v>0</v>
      </c>
      <c r="X525" s="15">
        <v>1543.68</v>
      </c>
      <c r="Y525" s="16">
        <v>85.759999999999991</v>
      </c>
      <c r="Z525" s="67" t="s">
        <v>140</v>
      </c>
      <c r="AA525" s="12" t="s">
        <v>78</v>
      </c>
    </row>
    <row r="526" spans="1:27" x14ac:dyDescent="0.25">
      <c r="A526" s="10">
        <v>45666</v>
      </c>
      <c r="B526" s="11" t="s">
        <v>1757</v>
      </c>
      <c r="C526" s="11" t="s">
        <v>1758</v>
      </c>
      <c r="D526" s="11" t="s">
        <v>26</v>
      </c>
      <c r="E526" s="11" t="s">
        <v>1200</v>
      </c>
      <c r="F526" s="11" t="s">
        <v>26</v>
      </c>
      <c r="G526" s="11">
        <v>975</v>
      </c>
      <c r="H526" s="12" t="s">
        <v>163</v>
      </c>
      <c r="I526" s="12" t="s">
        <v>27</v>
      </c>
      <c r="J526" s="12" t="s">
        <v>33</v>
      </c>
      <c r="K526" s="12" t="s">
        <v>34</v>
      </c>
      <c r="L526" s="13">
        <v>38.96</v>
      </c>
      <c r="M526" s="13">
        <v>25</v>
      </c>
      <c r="N526" s="13">
        <v>1.5584</v>
      </c>
      <c r="O526" s="13" t="s">
        <v>30</v>
      </c>
      <c r="P526" s="13">
        <v>58</v>
      </c>
      <c r="Q526" s="13">
        <v>0</v>
      </c>
      <c r="R526" s="15">
        <v>1450</v>
      </c>
      <c r="S526" s="15">
        <v>0</v>
      </c>
      <c r="T526" s="15">
        <v>0</v>
      </c>
      <c r="U526" s="15">
        <v>1450</v>
      </c>
      <c r="V526" s="15">
        <v>0</v>
      </c>
      <c r="W526" s="15">
        <v>1450</v>
      </c>
      <c r="X526" s="15">
        <v>0</v>
      </c>
      <c r="Y526" s="16">
        <v>0</v>
      </c>
      <c r="Z526" s="67" t="s">
        <v>26</v>
      </c>
      <c r="AA526" s="12" t="s">
        <v>31</v>
      </c>
    </row>
    <row r="527" spans="1:27" x14ac:dyDescent="0.25">
      <c r="A527" s="10">
        <v>45666</v>
      </c>
      <c r="B527" s="11" t="s">
        <v>1759</v>
      </c>
      <c r="C527" s="11" t="s">
        <v>1760</v>
      </c>
      <c r="D527" s="11" t="s">
        <v>26</v>
      </c>
      <c r="E527" s="11" t="s">
        <v>75</v>
      </c>
      <c r="F527" s="11" t="s">
        <v>26</v>
      </c>
      <c r="G527" s="11" t="s">
        <v>26</v>
      </c>
      <c r="H527" s="12" t="s">
        <v>4422</v>
      </c>
      <c r="I527" s="12" t="s">
        <v>27</v>
      </c>
      <c r="J527" s="12" t="s">
        <v>47</v>
      </c>
      <c r="K527" s="12" t="s">
        <v>48</v>
      </c>
      <c r="L527" s="13">
        <v>43.62</v>
      </c>
      <c r="M527" s="13">
        <v>30</v>
      </c>
      <c r="N527" s="13">
        <v>1.454</v>
      </c>
      <c r="O527" s="13">
        <v>87</v>
      </c>
      <c r="P527" s="13" t="s">
        <v>30</v>
      </c>
      <c r="Q527" s="13">
        <v>0</v>
      </c>
      <c r="R527" s="14">
        <v>3794.9399999999996</v>
      </c>
      <c r="S527" s="15">
        <v>38</v>
      </c>
      <c r="T527" s="15">
        <v>1657.56</v>
      </c>
      <c r="U527" s="15">
        <v>2137.3799999999997</v>
      </c>
      <c r="V527" s="15">
        <v>2137.3799999999997</v>
      </c>
      <c r="W527" s="15">
        <v>0</v>
      </c>
      <c r="X527" s="15">
        <v>1570.32</v>
      </c>
      <c r="Y527" s="16">
        <v>87.240000000000009</v>
      </c>
      <c r="Z527" s="67" t="s">
        <v>565</v>
      </c>
      <c r="AA527" s="12" t="s">
        <v>78</v>
      </c>
    </row>
    <row r="528" spans="1:27" x14ac:dyDescent="0.25">
      <c r="A528" s="10">
        <v>45666</v>
      </c>
      <c r="B528" s="11" t="s">
        <v>1761</v>
      </c>
      <c r="C528" s="11" t="s">
        <v>1762</v>
      </c>
      <c r="D528" s="11" t="s">
        <v>26</v>
      </c>
      <c r="E528" s="11" t="s">
        <v>50</v>
      </c>
      <c r="F528" s="11" t="s">
        <v>26</v>
      </c>
      <c r="G528" s="11">
        <v>614</v>
      </c>
      <c r="H528" s="12" t="s">
        <v>163</v>
      </c>
      <c r="I528" s="12" t="s">
        <v>27</v>
      </c>
      <c r="J528" s="12" t="s">
        <v>42</v>
      </c>
      <c r="K528" s="12" t="s">
        <v>43</v>
      </c>
      <c r="L528" s="13">
        <v>42.48</v>
      </c>
      <c r="M528" s="13">
        <v>25</v>
      </c>
      <c r="N528" s="13">
        <v>1.6992</v>
      </c>
      <c r="O528" s="13" t="s">
        <v>30</v>
      </c>
      <c r="P528" s="13">
        <v>56</v>
      </c>
      <c r="Q528" s="13">
        <v>0</v>
      </c>
      <c r="R528" s="15">
        <v>1400</v>
      </c>
      <c r="S528" s="15">
        <v>0</v>
      </c>
      <c r="T528" s="15">
        <v>0</v>
      </c>
      <c r="U528" s="15">
        <v>1400</v>
      </c>
      <c r="V528" s="15">
        <v>0</v>
      </c>
      <c r="W528" s="15">
        <v>1400</v>
      </c>
      <c r="X528" s="15">
        <v>0</v>
      </c>
      <c r="Y528" s="16">
        <v>0</v>
      </c>
      <c r="Z528" s="67" t="s">
        <v>26</v>
      </c>
      <c r="AA528" s="12" t="s">
        <v>31</v>
      </c>
    </row>
    <row r="529" spans="1:27" x14ac:dyDescent="0.25">
      <c r="A529" s="10">
        <v>45666</v>
      </c>
      <c r="B529" s="11" t="s">
        <v>1763</v>
      </c>
      <c r="C529" s="11" t="s">
        <v>1764</v>
      </c>
      <c r="D529" s="11" t="s">
        <v>26</v>
      </c>
      <c r="E529" s="11" t="s">
        <v>58</v>
      </c>
      <c r="F529" s="11" t="s">
        <v>26</v>
      </c>
      <c r="G529" s="11">
        <v>56345</v>
      </c>
      <c r="H529" s="12" t="s">
        <v>4423</v>
      </c>
      <c r="I529" s="12" t="s">
        <v>27</v>
      </c>
      <c r="J529" s="12" t="s">
        <v>33</v>
      </c>
      <c r="K529" s="12" t="s">
        <v>34</v>
      </c>
      <c r="L529" s="13">
        <v>33.72</v>
      </c>
      <c r="M529" s="13">
        <v>25</v>
      </c>
      <c r="N529" s="13">
        <v>1.3488</v>
      </c>
      <c r="O529" s="13">
        <v>45</v>
      </c>
      <c r="P529" s="13" t="s">
        <v>30</v>
      </c>
      <c r="Q529" s="13">
        <v>0</v>
      </c>
      <c r="R529" s="15">
        <v>1517.3999999999999</v>
      </c>
      <c r="S529" s="15">
        <v>0</v>
      </c>
      <c r="T529" s="15">
        <v>0</v>
      </c>
      <c r="U529" s="15">
        <v>1517.3999999999999</v>
      </c>
      <c r="V529" s="15">
        <v>1517.3999999999999</v>
      </c>
      <c r="W529" s="15">
        <v>0</v>
      </c>
      <c r="X529" s="15">
        <v>0</v>
      </c>
      <c r="Y529" s="16">
        <v>0</v>
      </c>
      <c r="Z529" s="67" t="s">
        <v>26</v>
      </c>
      <c r="AA529" s="12" t="s">
        <v>31</v>
      </c>
    </row>
    <row r="530" spans="1:27" x14ac:dyDescent="0.25">
      <c r="A530" s="10">
        <v>45666</v>
      </c>
      <c r="B530" s="11" t="s">
        <v>1166</v>
      </c>
      <c r="C530" s="11" t="s">
        <v>1765</v>
      </c>
      <c r="D530" s="11" t="s">
        <v>26</v>
      </c>
      <c r="E530" s="11" t="s">
        <v>658</v>
      </c>
      <c r="F530" s="11" t="s">
        <v>26</v>
      </c>
      <c r="G530" s="11">
        <v>626</v>
      </c>
      <c r="H530" s="12" t="s">
        <v>141</v>
      </c>
      <c r="I530" s="12" t="s">
        <v>55</v>
      </c>
      <c r="J530" s="12" t="s">
        <v>55</v>
      </c>
      <c r="K530" s="12" t="s">
        <v>56</v>
      </c>
      <c r="L530" s="13">
        <v>39.06</v>
      </c>
      <c r="M530" s="13">
        <v>25</v>
      </c>
      <c r="N530" s="13">
        <v>1.5624</v>
      </c>
      <c r="O530" s="13">
        <v>15</v>
      </c>
      <c r="P530" s="13" t="s">
        <v>30</v>
      </c>
      <c r="Q530" s="13">
        <v>0</v>
      </c>
      <c r="R530" s="14">
        <v>585.90000000000009</v>
      </c>
      <c r="S530" s="15">
        <v>0</v>
      </c>
      <c r="T530" s="15">
        <v>0</v>
      </c>
      <c r="U530" s="15">
        <v>585.90000000000009</v>
      </c>
      <c r="V530" s="15">
        <v>0</v>
      </c>
      <c r="W530" s="15">
        <v>585.90000000000009</v>
      </c>
      <c r="X530" s="15">
        <v>0</v>
      </c>
      <c r="Y530" s="16">
        <v>0</v>
      </c>
      <c r="Z530" s="67" t="s">
        <v>26</v>
      </c>
      <c r="AA530" s="12" t="s">
        <v>31</v>
      </c>
    </row>
    <row r="531" spans="1:27" x14ac:dyDescent="0.25">
      <c r="A531" s="10">
        <v>45666</v>
      </c>
      <c r="B531" s="11" t="s">
        <v>302</v>
      </c>
      <c r="C531" s="11" t="s">
        <v>1766</v>
      </c>
      <c r="D531" s="11" t="s">
        <v>26</v>
      </c>
      <c r="E531" s="11" t="s">
        <v>431</v>
      </c>
      <c r="F531" s="11" t="s">
        <v>26</v>
      </c>
      <c r="G531" s="11">
        <v>135</v>
      </c>
      <c r="H531" s="12" t="s">
        <v>6328</v>
      </c>
      <c r="I531" s="12" t="s">
        <v>27</v>
      </c>
      <c r="J531" s="12" t="s">
        <v>42</v>
      </c>
      <c r="K531" s="12" t="s">
        <v>43</v>
      </c>
      <c r="L531" s="13">
        <v>40.119999999999997</v>
      </c>
      <c r="M531" s="13">
        <v>25</v>
      </c>
      <c r="N531" s="13">
        <v>1.6048</v>
      </c>
      <c r="O531" s="13">
        <v>42.5</v>
      </c>
      <c r="P531" s="13"/>
      <c r="Q531" s="13">
        <v>0</v>
      </c>
      <c r="R531" s="15">
        <v>1705.1</v>
      </c>
      <c r="S531" s="15">
        <v>0</v>
      </c>
      <c r="T531" s="15">
        <v>0</v>
      </c>
      <c r="U531" s="15">
        <v>1705.1</v>
      </c>
      <c r="V531" s="15">
        <v>0</v>
      </c>
      <c r="W531" s="15">
        <v>1705.1</v>
      </c>
      <c r="X531" s="15">
        <v>0</v>
      </c>
      <c r="Y531" s="16">
        <v>0</v>
      </c>
      <c r="Z531" s="67" t="s">
        <v>26</v>
      </c>
      <c r="AA531" s="12" t="s">
        <v>31</v>
      </c>
    </row>
    <row r="532" spans="1:27" x14ac:dyDescent="0.25">
      <c r="A532" s="10">
        <v>45666</v>
      </c>
      <c r="B532" s="11" t="s">
        <v>1767</v>
      </c>
      <c r="C532" s="11" t="s">
        <v>1768</v>
      </c>
      <c r="D532" s="11" t="s">
        <v>26</v>
      </c>
      <c r="E532" s="11" t="s">
        <v>44</v>
      </c>
      <c r="F532" s="11" t="s">
        <v>26</v>
      </c>
      <c r="G532" s="11">
        <v>1496</v>
      </c>
      <c r="H532" s="12" t="s">
        <v>45</v>
      </c>
      <c r="I532" s="12" t="s">
        <v>27</v>
      </c>
      <c r="J532" s="12" t="s">
        <v>42</v>
      </c>
      <c r="K532" s="12" t="s">
        <v>43</v>
      </c>
      <c r="L532" s="13">
        <v>42.68</v>
      </c>
      <c r="M532" s="13">
        <v>25</v>
      </c>
      <c r="N532" s="13">
        <v>1.7072000000000001</v>
      </c>
      <c r="O532" s="13" t="s">
        <v>30</v>
      </c>
      <c r="P532" s="13">
        <v>62</v>
      </c>
      <c r="Q532" s="13">
        <v>0</v>
      </c>
      <c r="R532" s="14">
        <v>1550</v>
      </c>
      <c r="S532" s="15">
        <v>0</v>
      </c>
      <c r="T532" s="15">
        <v>0</v>
      </c>
      <c r="U532" s="15">
        <v>1550</v>
      </c>
      <c r="V532" s="15">
        <v>0</v>
      </c>
      <c r="W532" s="15">
        <v>1550</v>
      </c>
      <c r="X532" s="15">
        <v>0</v>
      </c>
      <c r="Y532" s="16">
        <v>0</v>
      </c>
      <c r="Z532" s="67" t="s">
        <v>26</v>
      </c>
      <c r="AA532" s="12" t="s">
        <v>31</v>
      </c>
    </row>
    <row r="533" spans="1:27" x14ac:dyDescent="0.25">
      <c r="A533" s="10">
        <v>45666</v>
      </c>
      <c r="B533" s="11" t="s">
        <v>750</v>
      </c>
      <c r="C533" s="11" t="s">
        <v>1769</v>
      </c>
      <c r="D533" s="11" t="s">
        <v>26</v>
      </c>
      <c r="E533" s="11" t="s">
        <v>509</v>
      </c>
      <c r="F533" s="11" t="s">
        <v>26</v>
      </c>
      <c r="G533" s="11">
        <v>627</v>
      </c>
      <c r="H533" s="12" t="s">
        <v>141</v>
      </c>
      <c r="I533" s="12" t="s">
        <v>55</v>
      </c>
      <c r="J533" s="12" t="s">
        <v>55</v>
      </c>
      <c r="K533" s="12" t="s">
        <v>56</v>
      </c>
      <c r="L533" s="13">
        <v>39.78</v>
      </c>
      <c r="M533" s="13">
        <v>25</v>
      </c>
      <c r="N533" s="13">
        <v>1.5911999999999999</v>
      </c>
      <c r="O533" s="13">
        <v>15</v>
      </c>
      <c r="P533" s="13" t="s">
        <v>30</v>
      </c>
      <c r="Q533" s="13">
        <v>0</v>
      </c>
      <c r="R533" s="14">
        <v>596.70000000000005</v>
      </c>
      <c r="S533" s="15">
        <v>0</v>
      </c>
      <c r="T533" s="15">
        <v>0</v>
      </c>
      <c r="U533" s="15">
        <v>596.70000000000005</v>
      </c>
      <c r="V533" s="15">
        <v>0</v>
      </c>
      <c r="W533" s="15">
        <v>596.70000000000005</v>
      </c>
      <c r="X533" s="15">
        <v>0</v>
      </c>
      <c r="Y533" s="16">
        <v>0</v>
      </c>
      <c r="Z533" s="67" t="s">
        <v>26</v>
      </c>
      <c r="AA533" s="12" t="s">
        <v>31</v>
      </c>
    </row>
    <row r="534" spans="1:27" x14ac:dyDescent="0.25">
      <c r="A534" s="10">
        <v>45666</v>
      </c>
      <c r="B534" s="11" t="s">
        <v>1770</v>
      </c>
      <c r="C534" s="11" t="s">
        <v>1771</v>
      </c>
      <c r="D534" s="11" t="s">
        <v>26</v>
      </c>
      <c r="E534" s="11" t="s">
        <v>49</v>
      </c>
      <c r="F534" s="11" t="s">
        <v>26</v>
      </c>
      <c r="G534" s="11">
        <v>1495</v>
      </c>
      <c r="H534" s="12" t="s">
        <v>45</v>
      </c>
      <c r="I534" s="12" t="s">
        <v>27</v>
      </c>
      <c r="J534" s="12" t="s">
        <v>47</v>
      </c>
      <c r="K534" s="12" t="s">
        <v>48</v>
      </c>
      <c r="L534" s="13">
        <v>37.72</v>
      </c>
      <c r="M534" s="13">
        <v>25</v>
      </c>
      <c r="N534" s="13">
        <v>1.5087999999999999</v>
      </c>
      <c r="O534" s="13" t="s">
        <v>30</v>
      </c>
      <c r="P534" s="13">
        <v>58</v>
      </c>
      <c r="Q534" s="13">
        <v>0</v>
      </c>
      <c r="R534" s="14">
        <v>1450</v>
      </c>
      <c r="S534" s="15">
        <v>0</v>
      </c>
      <c r="T534" s="15">
        <v>0</v>
      </c>
      <c r="U534" s="15">
        <v>1450</v>
      </c>
      <c r="V534" s="15">
        <v>0</v>
      </c>
      <c r="W534" s="15">
        <v>1450</v>
      </c>
      <c r="X534" s="15">
        <v>0</v>
      </c>
      <c r="Y534" s="16">
        <v>0</v>
      </c>
      <c r="Z534" s="67" t="s">
        <v>26</v>
      </c>
      <c r="AA534" s="12" t="s">
        <v>31</v>
      </c>
    </row>
    <row r="535" spans="1:27" x14ac:dyDescent="0.25">
      <c r="A535" s="10">
        <v>45666</v>
      </c>
      <c r="B535" s="11" t="s">
        <v>1772</v>
      </c>
      <c r="C535" s="11" t="s">
        <v>1773</v>
      </c>
      <c r="D535" s="11" t="s">
        <v>26</v>
      </c>
      <c r="E535" s="11" t="s">
        <v>539</v>
      </c>
      <c r="F535" s="11" t="s">
        <v>26</v>
      </c>
      <c r="G535" s="11">
        <v>2297</v>
      </c>
      <c r="H535" s="12" t="s">
        <v>41</v>
      </c>
      <c r="I535" s="12" t="s">
        <v>27</v>
      </c>
      <c r="J535" s="12" t="s">
        <v>42</v>
      </c>
      <c r="K535" s="12" t="s">
        <v>43</v>
      </c>
      <c r="L535" s="13">
        <v>41.68</v>
      </c>
      <c r="M535" s="13">
        <v>25</v>
      </c>
      <c r="N535" s="13">
        <v>1.6672</v>
      </c>
      <c r="O535" s="13" t="s">
        <v>30</v>
      </c>
      <c r="P535" s="13">
        <v>64</v>
      </c>
      <c r="Q535" s="13">
        <v>0</v>
      </c>
      <c r="R535" s="15">
        <v>1600</v>
      </c>
      <c r="S535" s="15">
        <v>0</v>
      </c>
      <c r="T535" s="15">
        <v>0</v>
      </c>
      <c r="U535" s="15">
        <v>1600</v>
      </c>
      <c r="V535" s="15">
        <v>0</v>
      </c>
      <c r="W535" s="15">
        <v>1600</v>
      </c>
      <c r="X535" s="15">
        <v>0</v>
      </c>
      <c r="Y535" s="16">
        <v>0</v>
      </c>
      <c r="Z535" s="67" t="s">
        <v>26</v>
      </c>
      <c r="AA535" s="12" t="s">
        <v>31</v>
      </c>
    </row>
    <row r="536" spans="1:27" x14ac:dyDescent="0.25">
      <c r="A536" s="10">
        <v>45666</v>
      </c>
      <c r="B536" s="11" t="s">
        <v>375</v>
      </c>
      <c r="C536" s="11" t="s">
        <v>1774</v>
      </c>
      <c r="D536" s="11" t="s">
        <v>26</v>
      </c>
      <c r="E536" s="11" t="s">
        <v>53</v>
      </c>
      <c r="F536" s="11" t="s">
        <v>26</v>
      </c>
      <c r="G536" s="11" t="s">
        <v>26</v>
      </c>
      <c r="H536" s="12" t="s">
        <v>4422</v>
      </c>
      <c r="I536" s="12" t="s">
        <v>27</v>
      </c>
      <c r="J536" s="12" t="s">
        <v>33</v>
      </c>
      <c r="K536" s="12" t="s">
        <v>34</v>
      </c>
      <c r="L536" s="13">
        <v>43.64</v>
      </c>
      <c r="M536" s="13">
        <v>30</v>
      </c>
      <c r="N536" s="13">
        <v>1.454666666666667</v>
      </c>
      <c r="O536" s="13">
        <v>85</v>
      </c>
      <c r="P536" s="13" t="s">
        <v>30</v>
      </c>
      <c r="Q536" s="13">
        <v>0</v>
      </c>
      <c r="R536" s="15">
        <v>3709.4</v>
      </c>
      <c r="S536" s="15">
        <v>38</v>
      </c>
      <c r="T536" s="15">
        <v>1658.32</v>
      </c>
      <c r="U536" s="15">
        <v>2051.08</v>
      </c>
      <c r="V536" s="15">
        <v>2051.08</v>
      </c>
      <c r="W536" s="15">
        <v>0</v>
      </c>
      <c r="X536" s="15">
        <v>1614.68</v>
      </c>
      <c r="Y536" s="16">
        <v>43.639999999999873</v>
      </c>
      <c r="Z536" s="67" t="s">
        <v>41</v>
      </c>
      <c r="AA536" s="12" t="s">
        <v>78</v>
      </c>
    </row>
    <row r="537" spans="1:27" x14ac:dyDescent="0.25">
      <c r="A537" s="10">
        <v>45666</v>
      </c>
      <c r="B537" s="11" t="s">
        <v>1775</v>
      </c>
      <c r="C537" s="11" t="s">
        <v>1776</v>
      </c>
      <c r="D537" s="11" t="s">
        <v>26</v>
      </c>
      <c r="E537" s="11" t="s">
        <v>246</v>
      </c>
      <c r="F537" s="11" t="s">
        <v>26</v>
      </c>
      <c r="G537" s="11">
        <v>2039</v>
      </c>
      <c r="H537" s="12" t="s">
        <v>41</v>
      </c>
      <c r="I537" s="12" t="s">
        <v>27</v>
      </c>
      <c r="J537" s="12" t="s">
        <v>42</v>
      </c>
      <c r="K537" s="12" t="s">
        <v>43</v>
      </c>
      <c r="L537" s="13">
        <v>42.16</v>
      </c>
      <c r="M537" s="13">
        <v>25</v>
      </c>
      <c r="N537" s="13">
        <v>1.6863999999999999</v>
      </c>
      <c r="O537" s="13" t="s">
        <v>30</v>
      </c>
      <c r="P537" s="13">
        <v>64</v>
      </c>
      <c r="Q537" s="13">
        <v>0</v>
      </c>
      <c r="R537" s="14">
        <v>1600</v>
      </c>
      <c r="S537" s="15">
        <v>0</v>
      </c>
      <c r="T537" s="15">
        <v>0</v>
      </c>
      <c r="U537" s="15">
        <v>1600</v>
      </c>
      <c r="V537" s="15">
        <v>0</v>
      </c>
      <c r="W537" s="15">
        <v>1600</v>
      </c>
      <c r="X537" s="15">
        <v>0</v>
      </c>
      <c r="Y537" s="16">
        <v>0</v>
      </c>
      <c r="Z537" s="67" t="s">
        <v>26</v>
      </c>
      <c r="AA537" s="12" t="s">
        <v>31</v>
      </c>
    </row>
    <row r="538" spans="1:27" x14ac:dyDescent="0.25">
      <c r="A538" s="10">
        <v>45666</v>
      </c>
      <c r="B538" s="11" t="s">
        <v>753</v>
      </c>
      <c r="C538" s="11" t="s">
        <v>1777</v>
      </c>
      <c r="D538" s="11" t="s">
        <v>26</v>
      </c>
      <c r="E538" s="11" t="s">
        <v>589</v>
      </c>
      <c r="F538" s="11" t="s">
        <v>26</v>
      </c>
      <c r="G538" s="11">
        <v>4569</v>
      </c>
      <c r="H538" s="12" t="s">
        <v>4423</v>
      </c>
      <c r="I538" s="12" t="s">
        <v>27</v>
      </c>
      <c r="J538" s="12" t="s">
        <v>33</v>
      </c>
      <c r="K538" s="12" t="s">
        <v>34</v>
      </c>
      <c r="L538" s="13">
        <v>35.340000000000003</v>
      </c>
      <c r="M538" s="13">
        <v>25</v>
      </c>
      <c r="N538" s="13">
        <v>1.4136</v>
      </c>
      <c r="O538" s="13">
        <v>45</v>
      </c>
      <c r="P538" s="13" t="s">
        <v>30</v>
      </c>
      <c r="Q538" s="13">
        <v>0</v>
      </c>
      <c r="R538" s="15">
        <v>1590.3000000000002</v>
      </c>
      <c r="S538" s="15">
        <v>0</v>
      </c>
      <c r="T538" s="15">
        <v>0</v>
      </c>
      <c r="U538" s="15">
        <v>1590.3000000000002</v>
      </c>
      <c r="V538" s="15">
        <v>1590.3000000000002</v>
      </c>
      <c r="W538" s="15">
        <v>0</v>
      </c>
      <c r="X538" s="15">
        <v>0</v>
      </c>
      <c r="Y538" s="16">
        <v>0</v>
      </c>
      <c r="Z538" s="67" t="s">
        <v>26</v>
      </c>
      <c r="AA538" s="12" t="s">
        <v>31</v>
      </c>
    </row>
    <row r="539" spans="1:27" x14ac:dyDescent="0.25">
      <c r="A539" s="10">
        <v>45666</v>
      </c>
      <c r="B539" s="11" t="s">
        <v>122</v>
      </c>
      <c r="C539" s="11" t="s">
        <v>1778</v>
      </c>
      <c r="D539" s="11" t="s">
        <v>26</v>
      </c>
      <c r="E539" s="11" t="s">
        <v>435</v>
      </c>
      <c r="F539" s="11" t="s">
        <v>26</v>
      </c>
      <c r="G539" s="11">
        <v>895</v>
      </c>
      <c r="H539" s="12" t="s">
        <v>41</v>
      </c>
      <c r="I539" s="12" t="s">
        <v>55</v>
      </c>
      <c r="J539" s="12" t="s">
        <v>55</v>
      </c>
      <c r="K539" s="12" t="s">
        <v>56</v>
      </c>
      <c r="L539" s="13">
        <v>40.380000000000003</v>
      </c>
      <c r="M539" s="13">
        <v>25</v>
      </c>
      <c r="N539" s="13">
        <v>1.6152</v>
      </c>
      <c r="O539" s="13" t="s">
        <v>30</v>
      </c>
      <c r="P539" s="13">
        <v>24</v>
      </c>
      <c r="Q539" s="13">
        <v>0</v>
      </c>
      <c r="R539" s="15">
        <v>600</v>
      </c>
      <c r="S539" s="15">
        <v>0</v>
      </c>
      <c r="T539" s="15">
        <v>0</v>
      </c>
      <c r="U539" s="15">
        <v>600</v>
      </c>
      <c r="V539" s="15">
        <v>0</v>
      </c>
      <c r="W539" s="15">
        <v>600</v>
      </c>
      <c r="X539" s="15">
        <v>0</v>
      </c>
      <c r="Y539" s="16">
        <v>0</v>
      </c>
      <c r="Z539" s="67" t="s">
        <v>26</v>
      </c>
      <c r="AA539" s="12" t="s">
        <v>31</v>
      </c>
    </row>
    <row r="540" spans="1:27" x14ac:dyDescent="0.25">
      <c r="A540" s="10">
        <v>45666</v>
      </c>
      <c r="B540" s="11" t="s">
        <v>1779</v>
      </c>
      <c r="C540" s="11" t="s">
        <v>1780</v>
      </c>
      <c r="D540" s="11" t="s">
        <v>26</v>
      </c>
      <c r="E540" s="11" t="s">
        <v>241</v>
      </c>
      <c r="F540" s="11" t="s">
        <v>26</v>
      </c>
      <c r="G540" s="11">
        <v>71099</v>
      </c>
      <c r="H540" s="12" t="s">
        <v>4448</v>
      </c>
      <c r="I540" s="12" t="s">
        <v>27</v>
      </c>
      <c r="J540" s="12" t="s">
        <v>42</v>
      </c>
      <c r="K540" s="12" t="s">
        <v>43</v>
      </c>
      <c r="L540" s="13">
        <v>41.88</v>
      </c>
      <c r="M540" s="13">
        <v>25</v>
      </c>
      <c r="N540" s="13">
        <v>1.6752</v>
      </c>
      <c r="O540" s="13">
        <v>42.5</v>
      </c>
      <c r="P540" s="13"/>
      <c r="Q540" s="13">
        <v>0</v>
      </c>
      <c r="R540" s="15">
        <v>1779.9</v>
      </c>
      <c r="S540" s="15">
        <v>0</v>
      </c>
      <c r="T540" s="15">
        <v>0</v>
      </c>
      <c r="U540" s="15">
        <v>1779.9</v>
      </c>
      <c r="V540" s="15">
        <v>1334.9250000000002</v>
      </c>
      <c r="W540" s="15">
        <v>444.97499999999991</v>
      </c>
      <c r="X540" s="15">
        <v>0</v>
      </c>
      <c r="Y540" s="16">
        <v>0</v>
      </c>
      <c r="Z540" s="67" t="s">
        <v>26</v>
      </c>
      <c r="AA540" s="12" t="s">
        <v>31</v>
      </c>
    </row>
    <row r="541" spans="1:27" x14ac:dyDescent="0.25">
      <c r="A541" s="10">
        <v>45666</v>
      </c>
      <c r="B541" s="11" t="s">
        <v>294</v>
      </c>
      <c r="C541" s="11" t="s">
        <v>1781</v>
      </c>
      <c r="D541" s="11" t="s">
        <v>26</v>
      </c>
      <c r="E541" s="11" t="s">
        <v>1660</v>
      </c>
      <c r="F541" s="11" t="s">
        <v>26</v>
      </c>
      <c r="G541" s="11">
        <v>42266</v>
      </c>
      <c r="H541" s="12" t="s">
        <v>565</v>
      </c>
      <c r="I541" s="12" t="s">
        <v>27</v>
      </c>
      <c r="J541" s="12" t="s">
        <v>33</v>
      </c>
      <c r="K541" s="12" t="s">
        <v>34</v>
      </c>
      <c r="L541" s="13">
        <v>34.619999999999997</v>
      </c>
      <c r="M541" s="13">
        <v>24</v>
      </c>
      <c r="N541" s="13">
        <v>1.4424999999999999</v>
      </c>
      <c r="O541" s="13"/>
      <c r="P541" s="13">
        <v>60</v>
      </c>
      <c r="Q541" s="13">
        <v>0</v>
      </c>
      <c r="R541" s="14">
        <v>1440</v>
      </c>
      <c r="S541" s="15">
        <v>0</v>
      </c>
      <c r="T541" s="15">
        <v>0</v>
      </c>
      <c r="U541" s="15">
        <v>1440</v>
      </c>
      <c r="V541" s="15">
        <v>0</v>
      </c>
      <c r="W541" s="15">
        <v>1440</v>
      </c>
      <c r="X541" s="15">
        <v>0</v>
      </c>
      <c r="Y541" s="16">
        <v>0</v>
      </c>
      <c r="Z541" s="67" t="s">
        <v>26</v>
      </c>
      <c r="AA541" s="12" t="s">
        <v>31</v>
      </c>
    </row>
    <row r="542" spans="1:27" x14ac:dyDescent="0.25">
      <c r="A542" s="10">
        <v>45666</v>
      </c>
      <c r="B542" s="11" t="s">
        <v>715</v>
      </c>
      <c r="C542" s="11" t="s">
        <v>1782</v>
      </c>
      <c r="D542" s="11" t="s">
        <v>26</v>
      </c>
      <c r="E542" s="11" t="s">
        <v>1651</v>
      </c>
      <c r="F542" s="11" t="s">
        <v>26</v>
      </c>
      <c r="G542" s="11">
        <v>42267</v>
      </c>
      <c r="H542" s="12" t="s">
        <v>565</v>
      </c>
      <c r="I542" s="12" t="s">
        <v>27</v>
      </c>
      <c r="J542" s="12" t="s">
        <v>33</v>
      </c>
      <c r="K542" s="12" t="s">
        <v>34</v>
      </c>
      <c r="L542" s="13">
        <v>33.159999999999997</v>
      </c>
      <c r="M542" s="13">
        <v>23</v>
      </c>
      <c r="N542" s="13">
        <v>1.441739130434782</v>
      </c>
      <c r="O542" s="13"/>
      <c r="P542" s="13">
        <v>60</v>
      </c>
      <c r="Q542" s="13">
        <v>0</v>
      </c>
      <c r="R542" s="14">
        <v>1380</v>
      </c>
      <c r="S542" s="15">
        <v>0</v>
      </c>
      <c r="T542" s="15">
        <v>0</v>
      </c>
      <c r="U542" s="15">
        <v>1380</v>
      </c>
      <c r="V542" s="15">
        <v>0</v>
      </c>
      <c r="W542" s="15">
        <v>1380</v>
      </c>
      <c r="X542" s="15">
        <v>0</v>
      </c>
      <c r="Y542" s="16">
        <v>0</v>
      </c>
      <c r="Z542" s="67" t="s">
        <v>26</v>
      </c>
      <c r="AA542" s="12" t="s">
        <v>31</v>
      </c>
    </row>
    <row r="543" spans="1:27" x14ac:dyDescent="0.25">
      <c r="A543" s="10">
        <v>45666</v>
      </c>
      <c r="B543" s="11" t="s">
        <v>1783</v>
      </c>
      <c r="C543" s="11" t="s">
        <v>1784</v>
      </c>
      <c r="D543" s="11" t="s">
        <v>26</v>
      </c>
      <c r="E543" s="11" t="s">
        <v>40</v>
      </c>
      <c r="F543" s="11" t="s">
        <v>26</v>
      </c>
      <c r="G543" s="11">
        <v>2436</v>
      </c>
      <c r="H543" s="12" t="s">
        <v>41</v>
      </c>
      <c r="I543" s="12" t="s">
        <v>27</v>
      </c>
      <c r="J543" s="12" t="s">
        <v>42</v>
      </c>
      <c r="K543" s="12" t="s">
        <v>43</v>
      </c>
      <c r="L543" s="13">
        <v>41.96</v>
      </c>
      <c r="M543" s="13">
        <v>25</v>
      </c>
      <c r="N543" s="13">
        <v>1.6783999999999999</v>
      </c>
      <c r="O543" s="13" t="s">
        <v>30</v>
      </c>
      <c r="P543" s="13">
        <v>64</v>
      </c>
      <c r="Q543" s="13">
        <v>0</v>
      </c>
      <c r="R543" s="15">
        <v>1600</v>
      </c>
      <c r="S543" s="15">
        <v>0</v>
      </c>
      <c r="T543" s="15">
        <v>0</v>
      </c>
      <c r="U543" s="15">
        <v>1600</v>
      </c>
      <c r="V543" s="15">
        <v>0</v>
      </c>
      <c r="W543" s="15">
        <v>1600</v>
      </c>
      <c r="X543" s="15">
        <v>0</v>
      </c>
      <c r="Y543" s="16">
        <v>0</v>
      </c>
      <c r="Z543" s="67" t="s">
        <v>26</v>
      </c>
      <c r="AA543" s="12" t="s">
        <v>31</v>
      </c>
    </row>
    <row r="544" spans="1:27" x14ac:dyDescent="0.25">
      <c r="A544" s="10">
        <v>45666</v>
      </c>
      <c r="B544" s="11" t="s">
        <v>1785</v>
      </c>
      <c r="C544" s="11" t="s">
        <v>1786</v>
      </c>
      <c r="D544" s="11" t="s">
        <v>26</v>
      </c>
      <c r="E544" s="11" t="s">
        <v>240</v>
      </c>
      <c r="F544" s="11" t="s">
        <v>26</v>
      </c>
      <c r="G544" s="11">
        <v>2909</v>
      </c>
      <c r="H544" s="12" t="s">
        <v>41</v>
      </c>
      <c r="I544" s="12" t="s">
        <v>27</v>
      </c>
      <c r="J544" s="12" t="s">
        <v>557</v>
      </c>
      <c r="K544" s="12" t="s">
        <v>558</v>
      </c>
      <c r="L544" s="13">
        <v>39.46</v>
      </c>
      <c r="M544" s="13">
        <v>25</v>
      </c>
      <c r="N544" s="13">
        <v>1.5784</v>
      </c>
      <c r="O544" s="13">
        <v>45</v>
      </c>
      <c r="P544" s="13"/>
      <c r="Q544" s="13">
        <v>0</v>
      </c>
      <c r="R544" s="14">
        <v>1775.7</v>
      </c>
      <c r="S544" s="15">
        <v>0</v>
      </c>
      <c r="T544" s="15">
        <v>0</v>
      </c>
      <c r="U544" s="15">
        <v>1775.7</v>
      </c>
      <c r="V544" s="15">
        <v>0</v>
      </c>
      <c r="W544" s="15">
        <v>1775.7</v>
      </c>
      <c r="X544" s="15">
        <v>0</v>
      </c>
      <c r="Y544" s="16">
        <v>0</v>
      </c>
      <c r="Z544" s="67" t="s">
        <v>26</v>
      </c>
      <c r="AA544" s="12" t="s">
        <v>31</v>
      </c>
    </row>
    <row r="545" spans="1:27" x14ac:dyDescent="0.25">
      <c r="A545" s="10">
        <v>45666</v>
      </c>
      <c r="B545" s="11" t="s">
        <v>280</v>
      </c>
      <c r="C545" s="11" t="s">
        <v>1787</v>
      </c>
      <c r="D545" s="11" t="s">
        <v>26</v>
      </c>
      <c r="E545" s="11" t="s">
        <v>57</v>
      </c>
      <c r="F545" s="11" t="s">
        <v>26</v>
      </c>
      <c r="G545" s="11" t="s">
        <v>26</v>
      </c>
      <c r="H545" s="12" t="s">
        <v>4422</v>
      </c>
      <c r="I545" s="12" t="s">
        <v>27</v>
      </c>
      <c r="J545" s="12" t="s">
        <v>42</v>
      </c>
      <c r="K545" s="12" t="s">
        <v>43</v>
      </c>
      <c r="L545" s="13">
        <v>41.98</v>
      </c>
      <c r="M545" s="13">
        <v>25</v>
      </c>
      <c r="N545" s="13">
        <v>1.6792</v>
      </c>
      <c r="O545" s="13">
        <v>83</v>
      </c>
      <c r="P545" s="13" t="s">
        <v>30</v>
      </c>
      <c r="Q545" s="13">
        <v>0</v>
      </c>
      <c r="R545" s="15">
        <v>3484.3399999999997</v>
      </c>
      <c r="S545" s="15">
        <v>38</v>
      </c>
      <c r="T545" s="15">
        <v>1595.2399999999998</v>
      </c>
      <c r="U545" s="15">
        <v>1889.1</v>
      </c>
      <c r="V545" s="15">
        <v>1889.1</v>
      </c>
      <c r="W545" s="15">
        <v>0</v>
      </c>
      <c r="X545" s="15">
        <v>1553.26</v>
      </c>
      <c r="Y545" s="16">
        <v>41.979999999999791</v>
      </c>
      <c r="Z545" s="67" t="s">
        <v>41</v>
      </c>
      <c r="AA545" s="12" t="s">
        <v>78</v>
      </c>
    </row>
    <row r="546" spans="1:27" x14ac:dyDescent="0.25">
      <c r="A546" s="10">
        <v>45666</v>
      </c>
      <c r="B546" s="11" t="s">
        <v>1788</v>
      </c>
      <c r="C546" s="11" t="s">
        <v>1789</v>
      </c>
      <c r="D546" s="11" t="s">
        <v>26</v>
      </c>
      <c r="E546" s="11" t="s">
        <v>65</v>
      </c>
      <c r="F546" s="11" t="s">
        <v>26</v>
      </c>
      <c r="G546" s="11">
        <v>1553</v>
      </c>
      <c r="H546" s="12" t="s">
        <v>66</v>
      </c>
      <c r="I546" s="12" t="s">
        <v>27</v>
      </c>
      <c r="J546" s="12" t="s">
        <v>557</v>
      </c>
      <c r="K546" s="12" t="s">
        <v>558</v>
      </c>
      <c r="L546" s="13">
        <v>41.52</v>
      </c>
      <c r="M546" s="13">
        <v>25</v>
      </c>
      <c r="N546" s="13">
        <v>1.6608000000000001</v>
      </c>
      <c r="O546" s="13">
        <v>45</v>
      </c>
      <c r="P546" s="13"/>
      <c r="Q546" s="13">
        <v>0</v>
      </c>
      <c r="R546" s="14">
        <v>1868.4</v>
      </c>
      <c r="S546" s="15">
        <v>0</v>
      </c>
      <c r="T546" s="15">
        <v>0</v>
      </c>
      <c r="U546" s="15">
        <v>1868.4</v>
      </c>
      <c r="V546" s="15">
        <v>1868.4</v>
      </c>
      <c r="W546" s="15">
        <v>0</v>
      </c>
      <c r="X546" s="15">
        <v>0</v>
      </c>
      <c r="Y546" s="16">
        <v>0</v>
      </c>
      <c r="Z546" s="67" t="s">
        <v>26</v>
      </c>
      <c r="AA546" s="12" t="s">
        <v>31</v>
      </c>
    </row>
    <row r="547" spans="1:27" x14ac:dyDescent="0.25">
      <c r="A547" s="10">
        <v>45666</v>
      </c>
      <c r="B547" s="11" t="s">
        <v>1790</v>
      </c>
      <c r="C547" s="11" t="s">
        <v>1791</v>
      </c>
      <c r="D547" s="11" t="s">
        <v>26</v>
      </c>
      <c r="E547" s="11" t="s">
        <v>59</v>
      </c>
      <c r="F547" s="11" t="s">
        <v>26</v>
      </c>
      <c r="G547" s="11">
        <v>111974</v>
      </c>
      <c r="H547" s="12" t="s">
        <v>4446</v>
      </c>
      <c r="I547" s="12" t="s">
        <v>27</v>
      </c>
      <c r="J547" s="12" t="s">
        <v>33</v>
      </c>
      <c r="K547" s="12" t="s">
        <v>34</v>
      </c>
      <c r="L547" s="13">
        <v>36.1</v>
      </c>
      <c r="M547" s="13">
        <v>25</v>
      </c>
      <c r="N547" s="13">
        <v>1.444</v>
      </c>
      <c r="O547" s="13">
        <v>44</v>
      </c>
      <c r="P547" s="13" t="s">
        <v>30</v>
      </c>
      <c r="Q547" s="13">
        <v>0</v>
      </c>
      <c r="R547" s="14">
        <v>1588.4</v>
      </c>
      <c r="S547" s="15">
        <v>0</v>
      </c>
      <c r="T547" s="15">
        <v>0</v>
      </c>
      <c r="U547" s="15">
        <v>1588.4</v>
      </c>
      <c r="V547" s="15">
        <v>1588.4</v>
      </c>
      <c r="W547" s="15">
        <v>0</v>
      </c>
      <c r="X547" s="15">
        <v>0</v>
      </c>
      <c r="Y547" s="16">
        <v>0</v>
      </c>
      <c r="Z547" s="67" t="s">
        <v>26</v>
      </c>
      <c r="AA547" s="12" t="s">
        <v>31</v>
      </c>
    </row>
    <row r="548" spans="1:27" x14ac:dyDescent="0.25">
      <c r="A548" s="10">
        <v>45666</v>
      </c>
      <c r="B548" s="11" t="s">
        <v>276</v>
      </c>
      <c r="C548" s="11" t="s">
        <v>1792</v>
      </c>
      <c r="D548" s="11" t="s">
        <v>26</v>
      </c>
      <c r="E548" s="11" t="s">
        <v>559</v>
      </c>
      <c r="F548" s="11" t="s">
        <v>26</v>
      </c>
      <c r="G548" s="11">
        <v>2562</v>
      </c>
      <c r="H548" s="12" t="s">
        <v>41</v>
      </c>
      <c r="I548" s="12" t="s">
        <v>27</v>
      </c>
      <c r="J548" s="12" t="s">
        <v>33</v>
      </c>
      <c r="K548" s="12" t="s">
        <v>34</v>
      </c>
      <c r="L548" s="13">
        <v>34.4</v>
      </c>
      <c r="M548" s="13">
        <v>23</v>
      </c>
      <c r="N548" s="13">
        <v>1.4956521739130439</v>
      </c>
      <c r="O548" s="13" t="s">
        <v>30</v>
      </c>
      <c r="P548" s="13">
        <v>60</v>
      </c>
      <c r="Q548" s="13">
        <v>0</v>
      </c>
      <c r="R548" s="15">
        <v>1380</v>
      </c>
      <c r="S548" s="15">
        <v>0</v>
      </c>
      <c r="T548" s="15">
        <v>0</v>
      </c>
      <c r="U548" s="15">
        <v>1380</v>
      </c>
      <c r="V548" s="15">
        <v>0</v>
      </c>
      <c r="W548" s="15">
        <v>1380</v>
      </c>
      <c r="X548" s="15">
        <v>0</v>
      </c>
      <c r="Y548" s="16">
        <v>0</v>
      </c>
      <c r="Z548" s="67" t="s">
        <v>26</v>
      </c>
      <c r="AA548" s="12" t="s">
        <v>31</v>
      </c>
    </row>
    <row r="549" spans="1:27" x14ac:dyDescent="0.25">
      <c r="A549" s="10">
        <v>45666</v>
      </c>
      <c r="B549" s="11" t="s">
        <v>636</v>
      </c>
      <c r="C549" s="11" t="s">
        <v>1793</v>
      </c>
      <c r="D549" s="11" t="s">
        <v>26</v>
      </c>
      <c r="E549" s="11" t="s">
        <v>552</v>
      </c>
      <c r="F549" s="11" t="s">
        <v>26</v>
      </c>
      <c r="G549" s="11">
        <v>69102</v>
      </c>
      <c r="H549" s="12" t="s">
        <v>4423</v>
      </c>
      <c r="I549" s="12" t="s">
        <v>27</v>
      </c>
      <c r="J549" s="12" t="s">
        <v>33</v>
      </c>
      <c r="K549" s="12" t="s">
        <v>34</v>
      </c>
      <c r="L549" s="13">
        <v>36.82</v>
      </c>
      <c r="M549" s="13">
        <v>25</v>
      </c>
      <c r="N549" s="13">
        <v>1.4728000000000001</v>
      </c>
      <c r="O549" s="13">
        <v>45</v>
      </c>
      <c r="P549" s="13" t="s">
        <v>30</v>
      </c>
      <c r="Q549" s="13">
        <v>0</v>
      </c>
      <c r="R549" s="15">
        <v>1656.9</v>
      </c>
      <c r="S549" s="15">
        <v>0</v>
      </c>
      <c r="T549" s="15">
        <v>0</v>
      </c>
      <c r="U549" s="15">
        <v>1656.9</v>
      </c>
      <c r="V549" s="15">
        <v>1656.9</v>
      </c>
      <c r="W549" s="15">
        <v>0</v>
      </c>
      <c r="X549" s="15">
        <v>0</v>
      </c>
      <c r="Y549" s="16">
        <v>0</v>
      </c>
      <c r="Z549" s="67" t="s">
        <v>26</v>
      </c>
      <c r="AA549" s="12" t="s">
        <v>31</v>
      </c>
    </row>
    <row r="550" spans="1:27" x14ac:dyDescent="0.25">
      <c r="A550" s="10">
        <v>45666</v>
      </c>
      <c r="B550" s="11" t="s">
        <v>1794</v>
      </c>
      <c r="C550" s="11" t="s">
        <v>1795</v>
      </c>
      <c r="D550" s="11" t="s">
        <v>26</v>
      </c>
      <c r="E550" s="11" t="s">
        <v>50</v>
      </c>
      <c r="F550" s="11" t="s">
        <v>26</v>
      </c>
      <c r="G550" s="11">
        <v>615</v>
      </c>
      <c r="H550" s="12" t="s">
        <v>163</v>
      </c>
      <c r="I550" s="12" t="s">
        <v>27</v>
      </c>
      <c r="J550" s="12" t="s">
        <v>42</v>
      </c>
      <c r="K550" s="12" t="s">
        <v>43</v>
      </c>
      <c r="L550" s="13">
        <v>42.64</v>
      </c>
      <c r="M550" s="13">
        <v>25</v>
      </c>
      <c r="N550" s="13">
        <v>1.7056</v>
      </c>
      <c r="O550" s="13" t="s">
        <v>30</v>
      </c>
      <c r="P550" s="13">
        <v>56</v>
      </c>
      <c r="Q550" s="13">
        <v>0</v>
      </c>
      <c r="R550" s="14">
        <v>1400</v>
      </c>
      <c r="S550" s="15">
        <v>0</v>
      </c>
      <c r="T550" s="15">
        <v>0</v>
      </c>
      <c r="U550" s="15">
        <v>1400</v>
      </c>
      <c r="V550" s="15">
        <v>0</v>
      </c>
      <c r="W550" s="15">
        <v>1400</v>
      </c>
      <c r="X550" s="15">
        <v>0</v>
      </c>
      <c r="Y550" s="16">
        <v>0</v>
      </c>
      <c r="Z550" s="67" t="s">
        <v>26</v>
      </c>
      <c r="AA550" s="12" t="s">
        <v>31</v>
      </c>
    </row>
    <row r="551" spans="1:27" x14ac:dyDescent="0.25">
      <c r="A551" s="10">
        <v>45666</v>
      </c>
      <c r="B551" s="11" t="s">
        <v>1796</v>
      </c>
      <c r="C551" s="11" t="s">
        <v>1797</v>
      </c>
      <c r="D551" s="11" t="s">
        <v>26</v>
      </c>
      <c r="E551" s="11" t="s">
        <v>244</v>
      </c>
      <c r="F551" s="11" t="s">
        <v>26</v>
      </c>
      <c r="G551" s="11">
        <v>628</v>
      </c>
      <c r="H551" s="12" t="s">
        <v>141</v>
      </c>
      <c r="I551" s="12" t="s">
        <v>27</v>
      </c>
      <c r="J551" s="12" t="s">
        <v>47</v>
      </c>
      <c r="K551" s="12" t="s">
        <v>48</v>
      </c>
      <c r="L551" s="13">
        <v>40.299999999999997</v>
      </c>
      <c r="M551" s="13">
        <v>28</v>
      </c>
      <c r="N551" s="13">
        <v>1.4392857142857141</v>
      </c>
      <c r="O551" s="13">
        <v>40</v>
      </c>
      <c r="P551" s="13" t="s">
        <v>30</v>
      </c>
      <c r="Q551" s="13">
        <v>0</v>
      </c>
      <c r="R551" s="15">
        <v>1612</v>
      </c>
      <c r="S551" s="15">
        <v>0</v>
      </c>
      <c r="T551" s="15">
        <v>0</v>
      </c>
      <c r="U551" s="15">
        <v>1612</v>
      </c>
      <c r="V551" s="15">
        <v>0</v>
      </c>
      <c r="W551" s="15">
        <v>1612</v>
      </c>
      <c r="X551" s="15">
        <v>0</v>
      </c>
      <c r="Y551" s="16">
        <v>0</v>
      </c>
      <c r="Z551" s="67" t="s">
        <v>26</v>
      </c>
      <c r="AA551" s="12" t="s">
        <v>31</v>
      </c>
    </row>
    <row r="552" spans="1:27" x14ac:dyDescent="0.25">
      <c r="A552" s="10">
        <v>45666</v>
      </c>
      <c r="B552" s="11" t="s">
        <v>317</v>
      </c>
      <c r="C552" s="11" t="s">
        <v>1798</v>
      </c>
      <c r="D552" s="11" t="s">
        <v>26</v>
      </c>
      <c r="E552" s="11" t="s">
        <v>87</v>
      </c>
      <c r="F552" s="11" t="s">
        <v>26</v>
      </c>
      <c r="G552" s="11">
        <v>32361</v>
      </c>
      <c r="H552" s="12" t="s">
        <v>4423</v>
      </c>
      <c r="I552" s="12" t="s">
        <v>27</v>
      </c>
      <c r="J552" s="12" t="s">
        <v>33</v>
      </c>
      <c r="K552" s="12" t="s">
        <v>34</v>
      </c>
      <c r="L552" s="13">
        <v>35.520000000000003</v>
      </c>
      <c r="M552" s="13">
        <v>25</v>
      </c>
      <c r="N552" s="13">
        <v>1.4208000000000001</v>
      </c>
      <c r="O552" s="13">
        <v>45</v>
      </c>
      <c r="P552" s="13" t="s">
        <v>30</v>
      </c>
      <c r="Q552" s="13">
        <v>0</v>
      </c>
      <c r="R552" s="14">
        <v>1598.4</v>
      </c>
      <c r="S552" s="15">
        <v>0</v>
      </c>
      <c r="T552" s="15">
        <v>0</v>
      </c>
      <c r="U552" s="15">
        <v>1598.4</v>
      </c>
      <c r="V552" s="15">
        <v>1598.4</v>
      </c>
      <c r="W552" s="15">
        <v>0</v>
      </c>
      <c r="X552" s="15">
        <v>0</v>
      </c>
      <c r="Y552" s="16">
        <v>0</v>
      </c>
      <c r="Z552" s="67" t="s">
        <v>26</v>
      </c>
      <c r="AA552" s="12" t="s">
        <v>31</v>
      </c>
    </row>
    <row r="553" spans="1:27" x14ac:dyDescent="0.25">
      <c r="A553" s="10">
        <v>45666</v>
      </c>
      <c r="B553" s="11" t="s">
        <v>1799</v>
      </c>
      <c r="C553" s="11" t="s">
        <v>1800</v>
      </c>
      <c r="D553" s="11" t="s">
        <v>26</v>
      </c>
      <c r="E553" s="11" t="s">
        <v>75</v>
      </c>
      <c r="F553" s="11" t="s">
        <v>26</v>
      </c>
      <c r="G553" s="11">
        <v>42001</v>
      </c>
      <c r="H553" s="12" t="s">
        <v>565</v>
      </c>
      <c r="I553" s="12" t="s">
        <v>27</v>
      </c>
      <c r="J553" s="12" t="s">
        <v>42</v>
      </c>
      <c r="K553" s="12" t="s">
        <v>43</v>
      </c>
      <c r="L553" s="13">
        <v>44.4</v>
      </c>
      <c r="M553" s="13">
        <v>25</v>
      </c>
      <c r="N553" s="13">
        <v>1.776</v>
      </c>
      <c r="O553" s="13"/>
      <c r="P553" s="13">
        <v>64</v>
      </c>
      <c r="Q553" s="13">
        <v>0</v>
      </c>
      <c r="R553" s="15">
        <v>1600</v>
      </c>
      <c r="S553" s="15">
        <v>0</v>
      </c>
      <c r="T553" s="15">
        <v>0</v>
      </c>
      <c r="U553" s="15">
        <v>1600</v>
      </c>
      <c r="V553" s="15">
        <v>0</v>
      </c>
      <c r="W553" s="15">
        <v>1600</v>
      </c>
      <c r="X553" s="15">
        <v>0</v>
      </c>
      <c r="Y553" s="16">
        <v>0</v>
      </c>
      <c r="Z553" s="67" t="s">
        <v>26</v>
      </c>
      <c r="AA553" s="12" t="s">
        <v>31</v>
      </c>
    </row>
    <row r="554" spans="1:27" x14ac:dyDescent="0.25">
      <c r="A554" s="10">
        <v>45666</v>
      </c>
      <c r="B554" s="11" t="s">
        <v>629</v>
      </c>
      <c r="C554" s="11" t="s">
        <v>1801</v>
      </c>
      <c r="D554" s="11" t="s">
        <v>26</v>
      </c>
      <c r="E554" s="11" t="s">
        <v>236</v>
      </c>
      <c r="F554" s="11" t="s">
        <v>26</v>
      </c>
      <c r="G554" s="11">
        <v>1441</v>
      </c>
      <c r="H554" s="12" t="s">
        <v>45</v>
      </c>
      <c r="I554" s="12" t="s">
        <v>27</v>
      </c>
      <c r="J554" s="12" t="s">
        <v>42</v>
      </c>
      <c r="K554" s="12" t="s">
        <v>43</v>
      </c>
      <c r="L554" s="13">
        <v>43.72</v>
      </c>
      <c r="M554" s="13">
        <v>25</v>
      </c>
      <c r="N554" s="13">
        <v>1.7487999999999999</v>
      </c>
      <c r="O554" s="13" t="s">
        <v>30</v>
      </c>
      <c r="P554" s="13">
        <v>62</v>
      </c>
      <c r="Q554" s="13">
        <v>0</v>
      </c>
      <c r="R554" s="14">
        <v>1550</v>
      </c>
      <c r="S554" s="15">
        <v>0</v>
      </c>
      <c r="T554" s="15">
        <v>0</v>
      </c>
      <c r="U554" s="15">
        <v>1550</v>
      </c>
      <c r="V554" s="15">
        <v>0</v>
      </c>
      <c r="W554" s="15">
        <v>1550</v>
      </c>
      <c r="X554" s="15">
        <v>0</v>
      </c>
      <c r="Y554" s="16">
        <v>0</v>
      </c>
      <c r="Z554" s="67" t="s">
        <v>26</v>
      </c>
      <c r="AA554" s="12" t="s">
        <v>31</v>
      </c>
    </row>
    <row r="555" spans="1:27" x14ac:dyDescent="0.25">
      <c r="A555" s="10">
        <v>45666</v>
      </c>
      <c r="B555" s="11" t="s">
        <v>1802</v>
      </c>
      <c r="C555" s="11" t="s">
        <v>1803</v>
      </c>
      <c r="D555" s="11" t="s">
        <v>26</v>
      </c>
      <c r="E555" s="11" t="s">
        <v>69</v>
      </c>
      <c r="F555" s="11" t="s">
        <v>26</v>
      </c>
      <c r="G555" s="11">
        <v>4681</v>
      </c>
      <c r="H555" s="12" t="s">
        <v>70</v>
      </c>
      <c r="I555" s="12" t="s">
        <v>27</v>
      </c>
      <c r="J555" s="12" t="s">
        <v>33</v>
      </c>
      <c r="K555" s="12" t="s">
        <v>34</v>
      </c>
      <c r="L555" s="13">
        <v>38.479999999999997</v>
      </c>
      <c r="M555" s="13">
        <v>25</v>
      </c>
      <c r="N555" s="13">
        <v>1.5391999999999999</v>
      </c>
      <c r="O555" s="13" t="s">
        <v>30</v>
      </c>
      <c r="P555" s="13">
        <v>60</v>
      </c>
      <c r="Q555" s="13">
        <v>0</v>
      </c>
      <c r="R555" s="15">
        <v>1500</v>
      </c>
      <c r="S555" s="15">
        <v>0</v>
      </c>
      <c r="T555" s="15">
        <v>0</v>
      </c>
      <c r="U555" s="15">
        <v>1500</v>
      </c>
      <c r="V555" s="15">
        <v>0</v>
      </c>
      <c r="W555" s="15">
        <v>1500</v>
      </c>
      <c r="X555" s="15">
        <v>0</v>
      </c>
      <c r="Y555" s="16">
        <v>0</v>
      </c>
      <c r="Z555" s="67" t="s">
        <v>26</v>
      </c>
      <c r="AA555" s="12" t="s">
        <v>31</v>
      </c>
    </row>
    <row r="556" spans="1:27" x14ac:dyDescent="0.25">
      <c r="A556" s="10">
        <v>45666</v>
      </c>
      <c r="B556" s="11" t="s">
        <v>1804</v>
      </c>
      <c r="C556" s="11" t="s">
        <v>1805</v>
      </c>
      <c r="D556" s="11" t="s">
        <v>26</v>
      </c>
      <c r="E556" s="11" t="s">
        <v>68</v>
      </c>
      <c r="F556" s="11" t="s">
        <v>26</v>
      </c>
      <c r="G556" s="11">
        <v>1504</v>
      </c>
      <c r="H556" s="12" t="s">
        <v>45</v>
      </c>
      <c r="I556" s="12" t="s">
        <v>27</v>
      </c>
      <c r="J556" s="12" t="s">
        <v>42</v>
      </c>
      <c r="K556" s="12" t="s">
        <v>43</v>
      </c>
      <c r="L556" s="13">
        <v>43.6</v>
      </c>
      <c r="M556" s="13">
        <v>25</v>
      </c>
      <c r="N556" s="13">
        <v>1.744</v>
      </c>
      <c r="O556" s="13" t="s">
        <v>30</v>
      </c>
      <c r="P556" s="13">
        <v>62</v>
      </c>
      <c r="Q556" s="13">
        <v>0</v>
      </c>
      <c r="R556" s="14">
        <v>1550</v>
      </c>
      <c r="S556" s="15">
        <v>0</v>
      </c>
      <c r="T556" s="15">
        <v>0</v>
      </c>
      <c r="U556" s="15">
        <v>1550</v>
      </c>
      <c r="V556" s="15">
        <v>0</v>
      </c>
      <c r="W556" s="15">
        <v>1550</v>
      </c>
      <c r="X556" s="15">
        <v>0</v>
      </c>
      <c r="Y556" s="16">
        <v>0</v>
      </c>
      <c r="Z556" s="67" t="s">
        <v>26</v>
      </c>
      <c r="AA556" s="12" t="s">
        <v>31</v>
      </c>
    </row>
    <row r="557" spans="1:27" x14ac:dyDescent="0.25">
      <c r="A557" s="10">
        <v>45666</v>
      </c>
      <c r="B557" s="11" t="s">
        <v>1806</v>
      </c>
      <c r="C557" s="11" t="s">
        <v>1807</v>
      </c>
      <c r="D557" s="11" t="s">
        <v>26</v>
      </c>
      <c r="E557" s="11" t="s">
        <v>593</v>
      </c>
      <c r="F557" s="11" t="s">
        <v>26</v>
      </c>
      <c r="G557" s="11">
        <v>59479</v>
      </c>
      <c r="H557" s="12" t="s">
        <v>4423</v>
      </c>
      <c r="I557" s="12" t="s">
        <v>27</v>
      </c>
      <c r="J557" s="12" t="s">
        <v>33</v>
      </c>
      <c r="K557" s="12" t="s">
        <v>34</v>
      </c>
      <c r="L557" s="13">
        <v>35.56</v>
      </c>
      <c r="M557" s="13">
        <v>25</v>
      </c>
      <c r="N557" s="13">
        <v>1.4224000000000001</v>
      </c>
      <c r="O557" s="13">
        <v>45</v>
      </c>
      <c r="P557" s="13" t="s">
        <v>30</v>
      </c>
      <c r="Q557" s="13">
        <v>0</v>
      </c>
      <c r="R557" s="14">
        <v>1600.2</v>
      </c>
      <c r="S557" s="15">
        <v>0</v>
      </c>
      <c r="T557" s="15">
        <v>0</v>
      </c>
      <c r="U557" s="15">
        <v>1600.2</v>
      </c>
      <c r="V557" s="15">
        <v>1600.2</v>
      </c>
      <c r="W557" s="15">
        <v>0</v>
      </c>
      <c r="X557" s="15">
        <v>0</v>
      </c>
      <c r="Y557" s="16">
        <v>0</v>
      </c>
      <c r="Z557" s="67" t="s">
        <v>26</v>
      </c>
      <c r="AA557" s="12" t="s">
        <v>31</v>
      </c>
    </row>
    <row r="558" spans="1:27" x14ac:dyDescent="0.25">
      <c r="A558" s="10">
        <v>45666</v>
      </c>
      <c r="B558" s="11" t="s">
        <v>1808</v>
      </c>
      <c r="C558" s="11" t="s">
        <v>1809</v>
      </c>
      <c r="D558" s="11" t="s">
        <v>26</v>
      </c>
      <c r="E558" s="11" t="s">
        <v>237</v>
      </c>
      <c r="F558" s="11" t="s">
        <v>26</v>
      </c>
      <c r="G558" s="11">
        <v>44281</v>
      </c>
      <c r="H558" s="12" t="s">
        <v>4423</v>
      </c>
      <c r="I558" s="12" t="s">
        <v>27</v>
      </c>
      <c r="J558" s="12" t="s">
        <v>47</v>
      </c>
      <c r="K558" s="12" t="s">
        <v>48</v>
      </c>
      <c r="L558" s="13">
        <v>35.96</v>
      </c>
      <c r="M558" s="13">
        <v>25</v>
      </c>
      <c r="N558" s="13">
        <v>1.4383999999999999</v>
      </c>
      <c r="O558" s="13">
        <v>46</v>
      </c>
      <c r="P558" s="13" t="s">
        <v>30</v>
      </c>
      <c r="Q558" s="13">
        <v>0</v>
      </c>
      <c r="R558" s="15">
        <v>1654.16</v>
      </c>
      <c r="S558" s="15">
        <v>0</v>
      </c>
      <c r="T558" s="15">
        <v>0</v>
      </c>
      <c r="U558" s="15">
        <v>1654.16</v>
      </c>
      <c r="V558" s="15">
        <v>1654.16</v>
      </c>
      <c r="W558" s="15">
        <v>0</v>
      </c>
      <c r="X558" s="15">
        <v>0</v>
      </c>
      <c r="Y558" s="16">
        <v>0</v>
      </c>
      <c r="Z558" s="67" t="s">
        <v>26</v>
      </c>
      <c r="AA558" s="12" t="s">
        <v>31</v>
      </c>
    </row>
    <row r="559" spans="1:27" x14ac:dyDescent="0.25">
      <c r="A559" s="10">
        <v>45666</v>
      </c>
      <c r="B559" s="11" t="s">
        <v>1810</v>
      </c>
      <c r="C559" s="11" t="s">
        <v>1811</v>
      </c>
      <c r="D559" s="11" t="s">
        <v>26</v>
      </c>
      <c r="E559" s="11" t="s">
        <v>604</v>
      </c>
      <c r="F559" s="11" t="s">
        <v>26</v>
      </c>
      <c r="G559" s="11">
        <v>629</v>
      </c>
      <c r="H559" s="12" t="s">
        <v>141</v>
      </c>
      <c r="I559" s="12" t="s">
        <v>37</v>
      </c>
      <c r="J559" s="12" t="s">
        <v>85</v>
      </c>
      <c r="K559" s="12" t="s">
        <v>86</v>
      </c>
      <c r="L559" s="13">
        <v>39.76</v>
      </c>
      <c r="M559" s="13">
        <v>25</v>
      </c>
      <c r="N559" s="13">
        <v>1.5904</v>
      </c>
      <c r="O559" s="13">
        <v>29</v>
      </c>
      <c r="P559" s="13" t="s">
        <v>30</v>
      </c>
      <c r="Q559" s="13">
        <v>0</v>
      </c>
      <c r="R559" s="14">
        <v>1153.04</v>
      </c>
      <c r="S559" s="15">
        <v>0</v>
      </c>
      <c r="T559" s="15">
        <v>0</v>
      </c>
      <c r="U559" s="15">
        <v>1153.04</v>
      </c>
      <c r="V559" s="15">
        <v>0</v>
      </c>
      <c r="W559" s="15">
        <v>1153.04</v>
      </c>
      <c r="X559" s="15">
        <v>0</v>
      </c>
      <c r="Y559" s="16">
        <v>0</v>
      </c>
      <c r="Z559" s="67" t="s">
        <v>26</v>
      </c>
      <c r="AA559" s="12" t="s">
        <v>31</v>
      </c>
    </row>
    <row r="560" spans="1:27" x14ac:dyDescent="0.25">
      <c r="A560" s="10">
        <v>45666</v>
      </c>
      <c r="B560" s="11" t="s">
        <v>723</v>
      </c>
      <c r="C560" s="11" t="s">
        <v>1812</v>
      </c>
      <c r="D560" s="11" t="s">
        <v>26</v>
      </c>
      <c r="E560" s="11" t="s">
        <v>553</v>
      </c>
      <c r="F560" s="11" t="s">
        <v>26</v>
      </c>
      <c r="G560" s="11">
        <v>44131</v>
      </c>
      <c r="H560" s="12" t="s">
        <v>4423</v>
      </c>
      <c r="I560" s="12" t="s">
        <v>27</v>
      </c>
      <c r="J560" s="12" t="s">
        <v>33</v>
      </c>
      <c r="K560" s="12" t="s">
        <v>34</v>
      </c>
      <c r="L560" s="13">
        <v>33.5</v>
      </c>
      <c r="M560" s="13">
        <v>25</v>
      </c>
      <c r="N560" s="13">
        <v>1.34</v>
      </c>
      <c r="O560" s="13">
        <v>45</v>
      </c>
      <c r="P560" s="13" t="s">
        <v>30</v>
      </c>
      <c r="Q560" s="13">
        <v>0</v>
      </c>
      <c r="R560" s="14">
        <v>1507.5</v>
      </c>
      <c r="S560" s="15">
        <v>0</v>
      </c>
      <c r="T560" s="15">
        <v>0</v>
      </c>
      <c r="U560" s="15">
        <v>1507.5</v>
      </c>
      <c r="V560" s="15">
        <v>1507.5</v>
      </c>
      <c r="W560" s="15">
        <v>0</v>
      </c>
      <c r="X560" s="15">
        <v>0</v>
      </c>
      <c r="Y560" s="16">
        <v>0</v>
      </c>
      <c r="Z560" s="67" t="s">
        <v>26</v>
      </c>
      <c r="AA560" s="12" t="s">
        <v>31</v>
      </c>
    </row>
    <row r="561" spans="1:27" x14ac:dyDescent="0.25">
      <c r="A561" s="10">
        <v>45666</v>
      </c>
      <c r="B561" s="11" t="s">
        <v>115</v>
      </c>
      <c r="C561" s="11" t="s">
        <v>1813</v>
      </c>
      <c r="D561" s="11" t="s">
        <v>26</v>
      </c>
      <c r="E561" s="11" t="s">
        <v>69</v>
      </c>
      <c r="F561" s="11" t="s">
        <v>26</v>
      </c>
      <c r="G561" s="11">
        <v>4682</v>
      </c>
      <c r="H561" s="12" t="s">
        <v>70</v>
      </c>
      <c r="I561" s="12" t="s">
        <v>27</v>
      </c>
      <c r="J561" s="12" t="s">
        <v>33</v>
      </c>
      <c r="K561" s="12" t="s">
        <v>34</v>
      </c>
      <c r="L561" s="13">
        <v>38.159999999999997</v>
      </c>
      <c r="M561" s="13">
        <v>25</v>
      </c>
      <c r="N561" s="13">
        <v>1.5264</v>
      </c>
      <c r="O561" s="13" t="s">
        <v>30</v>
      </c>
      <c r="P561" s="13">
        <v>60</v>
      </c>
      <c r="Q561" s="13">
        <v>0</v>
      </c>
      <c r="R561" s="15">
        <v>1500</v>
      </c>
      <c r="S561" s="15">
        <v>0</v>
      </c>
      <c r="T561" s="15">
        <v>0</v>
      </c>
      <c r="U561" s="15">
        <v>1500</v>
      </c>
      <c r="V561" s="15">
        <v>0</v>
      </c>
      <c r="W561" s="15">
        <v>1500</v>
      </c>
      <c r="X561" s="15">
        <v>0</v>
      </c>
      <c r="Y561" s="16">
        <v>0</v>
      </c>
      <c r="Z561" s="67" t="s">
        <v>26</v>
      </c>
      <c r="AA561" s="12" t="s">
        <v>31</v>
      </c>
    </row>
    <row r="562" spans="1:27" x14ac:dyDescent="0.25">
      <c r="A562" s="10">
        <v>45666</v>
      </c>
      <c r="B562" s="11" t="s">
        <v>1814</v>
      </c>
      <c r="C562" s="11" t="s">
        <v>1815</v>
      </c>
      <c r="D562" s="11" t="s">
        <v>26</v>
      </c>
      <c r="E562" s="11" t="s">
        <v>80</v>
      </c>
      <c r="F562" s="11" t="s">
        <v>26</v>
      </c>
      <c r="G562" s="11">
        <v>10285</v>
      </c>
      <c r="H562" s="12" t="s">
        <v>140</v>
      </c>
      <c r="I562" s="12" t="s">
        <v>27</v>
      </c>
      <c r="J562" s="12" t="s">
        <v>47</v>
      </c>
      <c r="K562" s="12" t="s">
        <v>48</v>
      </c>
      <c r="L562" s="13">
        <v>41.58</v>
      </c>
      <c r="M562" s="13">
        <v>28</v>
      </c>
      <c r="N562" s="13">
        <v>1.4850000000000001</v>
      </c>
      <c r="O562" s="13">
        <v>40</v>
      </c>
      <c r="P562" s="13"/>
      <c r="Q562" s="13">
        <v>0</v>
      </c>
      <c r="R562" s="15">
        <v>1663.1999999999998</v>
      </c>
      <c r="S562" s="15">
        <v>0</v>
      </c>
      <c r="T562" s="15">
        <v>0</v>
      </c>
      <c r="U562" s="15">
        <v>1663.1999999999998</v>
      </c>
      <c r="V562" s="15">
        <v>0</v>
      </c>
      <c r="W562" s="15">
        <v>1663.1999999999998</v>
      </c>
      <c r="X562" s="15">
        <v>0</v>
      </c>
      <c r="Y562" s="16">
        <v>0</v>
      </c>
      <c r="Z562" s="67" t="s">
        <v>26</v>
      </c>
      <c r="AA562" s="12" t="s">
        <v>31</v>
      </c>
    </row>
    <row r="563" spans="1:27" x14ac:dyDescent="0.25">
      <c r="A563" s="10">
        <v>45666</v>
      </c>
      <c r="B563" s="11" t="s">
        <v>378</v>
      </c>
      <c r="C563" s="11" t="s">
        <v>1816</v>
      </c>
      <c r="D563" s="11" t="s">
        <v>26</v>
      </c>
      <c r="E563" s="11" t="s">
        <v>240</v>
      </c>
      <c r="F563" s="11" t="s">
        <v>26</v>
      </c>
      <c r="G563" s="11">
        <v>2910</v>
      </c>
      <c r="H563" s="12" t="s">
        <v>41</v>
      </c>
      <c r="I563" s="12" t="s">
        <v>27</v>
      </c>
      <c r="J563" s="12" t="s">
        <v>28</v>
      </c>
      <c r="K563" s="12" t="s">
        <v>29</v>
      </c>
      <c r="L563" s="13">
        <v>35.42</v>
      </c>
      <c r="M563" s="13">
        <v>23</v>
      </c>
      <c r="N563" s="13">
        <v>1.54</v>
      </c>
      <c r="O563" s="13" t="s">
        <v>30</v>
      </c>
      <c r="P563" s="13">
        <v>40.5</v>
      </c>
      <c r="Q563" s="13">
        <v>0</v>
      </c>
      <c r="R563" s="14">
        <v>931.5</v>
      </c>
      <c r="S563" s="15">
        <v>0</v>
      </c>
      <c r="T563" s="15">
        <v>0</v>
      </c>
      <c r="U563" s="15">
        <v>931.5</v>
      </c>
      <c r="V563" s="15">
        <v>0</v>
      </c>
      <c r="W563" s="15">
        <v>931.5</v>
      </c>
      <c r="X563" s="15">
        <v>0</v>
      </c>
      <c r="Y563" s="16">
        <v>0</v>
      </c>
      <c r="Z563" s="67" t="s">
        <v>26</v>
      </c>
      <c r="AA563" s="12" t="s">
        <v>31</v>
      </c>
    </row>
    <row r="564" spans="1:27" x14ac:dyDescent="0.25">
      <c r="A564" s="10">
        <v>45666</v>
      </c>
      <c r="B564" s="11" t="s">
        <v>273</v>
      </c>
      <c r="C564" s="11" t="s">
        <v>1817</v>
      </c>
      <c r="D564" s="11" t="s">
        <v>26</v>
      </c>
      <c r="E564" s="11" t="s">
        <v>538</v>
      </c>
      <c r="F564" s="11" t="s">
        <v>26</v>
      </c>
      <c r="G564" s="11">
        <v>976</v>
      </c>
      <c r="H564" s="12" t="s">
        <v>163</v>
      </c>
      <c r="I564" s="12" t="s">
        <v>27</v>
      </c>
      <c r="J564" s="12" t="s">
        <v>42</v>
      </c>
      <c r="K564" s="12" t="s">
        <v>43</v>
      </c>
      <c r="L564" s="13">
        <v>43.32</v>
      </c>
      <c r="M564" s="13">
        <v>25</v>
      </c>
      <c r="N564" s="13">
        <v>1.7327999999999999</v>
      </c>
      <c r="O564" s="13" t="s">
        <v>30</v>
      </c>
      <c r="P564" s="13">
        <v>56</v>
      </c>
      <c r="Q564" s="13">
        <v>0</v>
      </c>
      <c r="R564" s="15">
        <v>1400</v>
      </c>
      <c r="S564" s="15">
        <v>0</v>
      </c>
      <c r="T564" s="15">
        <v>0</v>
      </c>
      <c r="U564" s="15">
        <v>1400</v>
      </c>
      <c r="V564" s="15">
        <v>0</v>
      </c>
      <c r="W564" s="15">
        <v>1400</v>
      </c>
      <c r="X564" s="15">
        <v>0</v>
      </c>
      <c r="Y564" s="16">
        <v>0</v>
      </c>
      <c r="Z564" s="67" t="s">
        <v>26</v>
      </c>
      <c r="AA564" s="12" t="s">
        <v>31</v>
      </c>
    </row>
    <row r="565" spans="1:27" x14ac:dyDescent="0.25">
      <c r="A565" s="10">
        <v>45666</v>
      </c>
      <c r="B565" s="11">
        <v>7.4652777777778354E-3</v>
      </c>
      <c r="C565" s="11" t="s">
        <v>1818</v>
      </c>
      <c r="D565" s="11" t="s">
        <v>26</v>
      </c>
      <c r="E565" s="11" t="s">
        <v>570</v>
      </c>
      <c r="F565" s="11" t="s">
        <v>26</v>
      </c>
      <c r="G565" s="11">
        <v>10316</v>
      </c>
      <c r="H565" s="12" t="s">
        <v>140</v>
      </c>
      <c r="I565" s="12" t="s">
        <v>27</v>
      </c>
      <c r="J565" s="12" t="s">
        <v>42</v>
      </c>
      <c r="K565" s="12" t="s">
        <v>43</v>
      </c>
      <c r="L565" s="13">
        <v>43.38</v>
      </c>
      <c r="M565" s="13">
        <v>25</v>
      </c>
      <c r="N565" s="13">
        <v>1.7352000000000001</v>
      </c>
      <c r="O565" s="13">
        <v>35</v>
      </c>
      <c r="P565" s="13"/>
      <c r="Q565" s="13">
        <v>0</v>
      </c>
      <c r="R565" s="14">
        <v>1518.3000000000002</v>
      </c>
      <c r="S565" s="15">
        <v>0</v>
      </c>
      <c r="T565" s="15">
        <v>0</v>
      </c>
      <c r="U565" s="15">
        <v>1518.3000000000002</v>
      </c>
      <c r="V565" s="15">
        <v>0</v>
      </c>
      <c r="W565" s="15">
        <v>1518.3000000000002</v>
      </c>
      <c r="X565" s="15">
        <v>0</v>
      </c>
      <c r="Y565" s="16">
        <v>0</v>
      </c>
      <c r="Z565" s="67" t="s">
        <v>26</v>
      </c>
      <c r="AA565" s="12" t="s">
        <v>31</v>
      </c>
    </row>
    <row r="566" spans="1:27" x14ac:dyDescent="0.25">
      <c r="A566" s="10">
        <v>45667</v>
      </c>
      <c r="B566" s="11" t="s">
        <v>1819</v>
      </c>
      <c r="C566" s="11" t="s">
        <v>1820</v>
      </c>
      <c r="D566" s="11" t="s">
        <v>26</v>
      </c>
      <c r="E566" s="11" t="s">
        <v>552</v>
      </c>
      <c r="F566" s="11" t="s">
        <v>26</v>
      </c>
      <c r="G566" s="11">
        <v>69101</v>
      </c>
      <c r="H566" s="12" t="s">
        <v>4423</v>
      </c>
      <c r="I566" s="12" t="s">
        <v>27</v>
      </c>
      <c r="J566" s="12" t="s">
        <v>47</v>
      </c>
      <c r="K566" s="12" t="s">
        <v>48</v>
      </c>
      <c r="L566" s="13">
        <v>31.92</v>
      </c>
      <c r="M566" s="13">
        <v>25</v>
      </c>
      <c r="N566" s="13">
        <v>1.2767999999999999</v>
      </c>
      <c r="O566" s="13">
        <v>46</v>
      </c>
      <c r="P566" s="13" t="s">
        <v>30</v>
      </c>
      <c r="Q566" s="13">
        <v>0</v>
      </c>
      <c r="R566" s="15">
        <v>1468.3200000000002</v>
      </c>
      <c r="S566" s="15">
        <v>0</v>
      </c>
      <c r="T566" s="15">
        <v>0</v>
      </c>
      <c r="U566" s="15">
        <v>1468.3200000000002</v>
      </c>
      <c r="V566" s="15">
        <v>1468.3200000000002</v>
      </c>
      <c r="W566" s="15">
        <v>0</v>
      </c>
      <c r="X566" s="15">
        <v>0</v>
      </c>
      <c r="Y566" s="16">
        <v>0</v>
      </c>
      <c r="Z566" s="67" t="s">
        <v>26</v>
      </c>
      <c r="AA566" s="12" t="s">
        <v>31</v>
      </c>
    </row>
    <row r="567" spans="1:27" x14ac:dyDescent="0.25">
      <c r="A567" s="10">
        <v>45667</v>
      </c>
      <c r="B567" s="11" t="s">
        <v>709</v>
      </c>
      <c r="C567" s="11" t="s">
        <v>1821</v>
      </c>
      <c r="D567" s="11" t="s">
        <v>26</v>
      </c>
      <c r="E567" s="11" t="s">
        <v>184</v>
      </c>
      <c r="F567" s="11" t="s">
        <v>26</v>
      </c>
      <c r="G567" s="11" t="s">
        <v>26</v>
      </c>
      <c r="H567" s="12" t="s">
        <v>4422</v>
      </c>
      <c r="I567" s="12" t="s">
        <v>27</v>
      </c>
      <c r="J567" s="12" t="s">
        <v>33</v>
      </c>
      <c r="K567" s="12" t="s">
        <v>34</v>
      </c>
      <c r="L567" s="13">
        <v>41.26</v>
      </c>
      <c r="M567" s="13">
        <v>28</v>
      </c>
      <c r="N567" s="13">
        <v>1.473571428571429</v>
      </c>
      <c r="O567" s="13">
        <v>85</v>
      </c>
      <c r="P567" s="13" t="s">
        <v>30</v>
      </c>
      <c r="Q567" s="13">
        <v>0</v>
      </c>
      <c r="R567" s="14">
        <v>3507.1</v>
      </c>
      <c r="S567" s="15">
        <v>38</v>
      </c>
      <c r="T567" s="15">
        <v>1567.8799999999999</v>
      </c>
      <c r="U567" s="15">
        <v>1939.22</v>
      </c>
      <c r="V567" s="15">
        <v>1939.22</v>
      </c>
      <c r="W567" s="15">
        <v>0</v>
      </c>
      <c r="X567" s="15">
        <v>1485.36</v>
      </c>
      <c r="Y567" s="16">
        <v>82.519999999999982</v>
      </c>
      <c r="Z567" s="67" t="s">
        <v>141</v>
      </c>
      <c r="AA567" s="12" t="s">
        <v>78</v>
      </c>
    </row>
    <row r="568" spans="1:27" x14ac:dyDescent="0.25">
      <c r="A568" s="10">
        <v>45667</v>
      </c>
      <c r="B568" s="11" t="s">
        <v>454</v>
      </c>
      <c r="C568" s="11" t="s">
        <v>1822</v>
      </c>
      <c r="D568" s="11" t="s">
        <v>26</v>
      </c>
      <c r="E568" s="11" t="s">
        <v>241</v>
      </c>
      <c r="F568" s="11" t="s">
        <v>26</v>
      </c>
      <c r="G568" s="11">
        <v>71100</v>
      </c>
      <c r="H568" s="12" t="s">
        <v>4448</v>
      </c>
      <c r="I568" s="12" t="s">
        <v>27</v>
      </c>
      <c r="J568" s="12" t="s">
        <v>47</v>
      </c>
      <c r="K568" s="12" t="s">
        <v>48</v>
      </c>
      <c r="L568" s="13">
        <v>37.46</v>
      </c>
      <c r="M568" s="13">
        <v>25</v>
      </c>
      <c r="N568" s="13">
        <v>1.4984</v>
      </c>
      <c r="O568" s="13">
        <v>46.66</v>
      </c>
      <c r="P568" s="13" t="s">
        <v>30</v>
      </c>
      <c r="Q568" s="13">
        <v>0</v>
      </c>
      <c r="R568" s="15">
        <v>1747.8835999999999</v>
      </c>
      <c r="S568" s="15">
        <v>0</v>
      </c>
      <c r="T568" s="15">
        <v>0</v>
      </c>
      <c r="U568" s="15">
        <v>1747.8835999999999</v>
      </c>
      <c r="V568" s="15">
        <v>1310.9126999999999</v>
      </c>
      <c r="W568" s="15">
        <v>436.97090000000003</v>
      </c>
      <c r="X568" s="15">
        <v>0</v>
      </c>
      <c r="Y568" s="16">
        <v>0</v>
      </c>
      <c r="Z568" s="67" t="s">
        <v>26</v>
      </c>
      <c r="AA568" s="12" t="s">
        <v>31</v>
      </c>
    </row>
    <row r="569" spans="1:27" x14ac:dyDescent="0.25">
      <c r="A569" s="10">
        <v>45667</v>
      </c>
      <c r="B569" s="11" t="s">
        <v>1823</v>
      </c>
      <c r="C569" s="11" t="s">
        <v>1824</v>
      </c>
      <c r="D569" s="11" t="s">
        <v>26</v>
      </c>
      <c r="E569" s="11" t="s">
        <v>501</v>
      </c>
      <c r="F569" s="11" t="s">
        <v>26</v>
      </c>
      <c r="G569" s="11" t="s">
        <v>26</v>
      </c>
      <c r="H569" s="12" t="s">
        <v>4422</v>
      </c>
      <c r="I569" s="12" t="s">
        <v>27</v>
      </c>
      <c r="J569" s="12" t="s">
        <v>33</v>
      </c>
      <c r="K569" s="12" t="s">
        <v>34</v>
      </c>
      <c r="L569" s="13">
        <v>43.14</v>
      </c>
      <c r="M569" s="13">
        <v>30</v>
      </c>
      <c r="N569" s="13">
        <v>1.4379999999999999</v>
      </c>
      <c r="O569" s="13">
        <v>85</v>
      </c>
      <c r="P569" s="13" t="s">
        <v>30</v>
      </c>
      <c r="Q569" s="13">
        <v>0</v>
      </c>
      <c r="R569" s="15">
        <v>3666.9</v>
      </c>
      <c r="S569" s="15">
        <v>38</v>
      </c>
      <c r="T569" s="15">
        <v>1639.32</v>
      </c>
      <c r="U569" s="15">
        <v>2027.5800000000002</v>
      </c>
      <c r="V569" s="15">
        <v>2027.5800000000002</v>
      </c>
      <c r="W569" s="15">
        <v>0</v>
      </c>
      <c r="X569" s="15">
        <v>1553.04</v>
      </c>
      <c r="Y569" s="16">
        <v>86.279999999999973</v>
      </c>
      <c r="Z569" s="67" t="s">
        <v>141</v>
      </c>
      <c r="AA569" s="12" t="s">
        <v>78</v>
      </c>
    </row>
    <row r="570" spans="1:27" x14ac:dyDescent="0.25">
      <c r="A570" s="10">
        <v>45667</v>
      </c>
      <c r="B570" s="11" t="s">
        <v>1055</v>
      </c>
      <c r="C570" s="11" t="s">
        <v>1825</v>
      </c>
      <c r="D570" s="11" t="s">
        <v>26</v>
      </c>
      <c r="E570" s="11" t="s">
        <v>553</v>
      </c>
      <c r="F570" s="11" t="s">
        <v>26</v>
      </c>
      <c r="G570" s="11">
        <v>44133</v>
      </c>
      <c r="H570" s="12" t="s">
        <v>4423</v>
      </c>
      <c r="I570" s="12" t="s">
        <v>27</v>
      </c>
      <c r="J570" s="12" t="s">
        <v>33</v>
      </c>
      <c r="K570" s="12" t="s">
        <v>34</v>
      </c>
      <c r="L570" s="13">
        <v>37.58</v>
      </c>
      <c r="M570" s="13">
        <v>25</v>
      </c>
      <c r="N570" s="13">
        <v>1.5032000000000001</v>
      </c>
      <c r="O570" s="13">
        <v>45</v>
      </c>
      <c r="P570" s="13" t="s">
        <v>30</v>
      </c>
      <c r="Q570" s="13">
        <v>0</v>
      </c>
      <c r="R570" s="14">
        <v>1691.1</v>
      </c>
      <c r="S570" s="15">
        <v>0</v>
      </c>
      <c r="T570" s="15">
        <v>0</v>
      </c>
      <c r="U570" s="15">
        <v>1691.1</v>
      </c>
      <c r="V570" s="15">
        <v>1691.1</v>
      </c>
      <c r="W570" s="15">
        <v>0</v>
      </c>
      <c r="X570" s="15">
        <v>0</v>
      </c>
      <c r="Y570" s="16">
        <v>0</v>
      </c>
      <c r="Z570" s="67" t="s">
        <v>26</v>
      </c>
      <c r="AA570" s="12" t="s">
        <v>31</v>
      </c>
    </row>
    <row r="571" spans="1:27" x14ac:dyDescent="0.25">
      <c r="A571" s="10">
        <v>45667</v>
      </c>
      <c r="B571" s="11" t="s">
        <v>1826</v>
      </c>
      <c r="C571" s="11" t="s">
        <v>1827</v>
      </c>
      <c r="D571" s="11" t="s">
        <v>26</v>
      </c>
      <c r="E571" s="11" t="s">
        <v>81</v>
      </c>
      <c r="F571" s="11" t="s">
        <v>26</v>
      </c>
      <c r="G571" s="11" t="s">
        <v>26</v>
      </c>
      <c r="H571" s="12" t="s">
        <v>4422</v>
      </c>
      <c r="I571" s="12" t="s">
        <v>27</v>
      </c>
      <c r="J571" s="12" t="s">
        <v>47</v>
      </c>
      <c r="K571" s="12" t="s">
        <v>48</v>
      </c>
      <c r="L571" s="13">
        <v>41.56</v>
      </c>
      <c r="M571" s="13">
        <v>28</v>
      </c>
      <c r="N571" s="13">
        <v>1.484285714285714</v>
      </c>
      <c r="O571" s="13">
        <v>87</v>
      </c>
      <c r="P571" s="13" t="s">
        <v>30</v>
      </c>
      <c r="Q571" s="13">
        <v>0</v>
      </c>
      <c r="R571" s="14">
        <v>3615.7200000000003</v>
      </c>
      <c r="S571" s="15">
        <v>38</v>
      </c>
      <c r="T571" s="15">
        <v>1579.2800000000002</v>
      </c>
      <c r="U571" s="15">
        <v>2036.44</v>
      </c>
      <c r="V571" s="15">
        <v>2036.44</v>
      </c>
      <c r="W571" s="15">
        <v>0</v>
      </c>
      <c r="X571" s="15">
        <v>1496.16</v>
      </c>
      <c r="Y571" s="16">
        <v>83.120000000000118</v>
      </c>
      <c r="Z571" s="67" t="s">
        <v>141</v>
      </c>
      <c r="AA571" s="12" t="s">
        <v>78</v>
      </c>
    </row>
    <row r="572" spans="1:27" x14ac:dyDescent="0.25">
      <c r="A572" s="10">
        <v>45667</v>
      </c>
      <c r="B572" s="11" t="s">
        <v>1828</v>
      </c>
      <c r="C572" s="11" t="s">
        <v>1829</v>
      </c>
      <c r="D572" s="11" t="s">
        <v>26</v>
      </c>
      <c r="E572" s="11" t="s">
        <v>53</v>
      </c>
      <c r="F572" s="11" t="s">
        <v>26</v>
      </c>
      <c r="G572" s="11" t="s">
        <v>26</v>
      </c>
      <c r="H572" s="12" t="s">
        <v>4422</v>
      </c>
      <c r="I572" s="12" t="s">
        <v>27</v>
      </c>
      <c r="J572" s="12" t="s">
        <v>33</v>
      </c>
      <c r="K572" s="12" t="s">
        <v>34</v>
      </c>
      <c r="L572" s="13">
        <v>43.16</v>
      </c>
      <c r="M572" s="13">
        <v>30</v>
      </c>
      <c r="N572" s="13">
        <v>1.438666666666667</v>
      </c>
      <c r="O572" s="13">
        <v>85</v>
      </c>
      <c r="P572" s="13" t="s">
        <v>30</v>
      </c>
      <c r="Q572" s="13">
        <v>0</v>
      </c>
      <c r="R572" s="14">
        <v>3668.6</v>
      </c>
      <c r="S572" s="15">
        <v>38</v>
      </c>
      <c r="T572" s="15">
        <v>1640.08</v>
      </c>
      <c r="U572" s="15">
        <v>2028.52</v>
      </c>
      <c r="V572" s="15">
        <v>2028.52</v>
      </c>
      <c r="W572" s="15">
        <v>0</v>
      </c>
      <c r="X572" s="15">
        <v>1596.9199999999998</v>
      </c>
      <c r="Y572" s="16">
        <v>43.160000000000082</v>
      </c>
      <c r="Z572" s="67" t="s">
        <v>41</v>
      </c>
      <c r="AA572" s="12" t="s">
        <v>78</v>
      </c>
    </row>
    <row r="573" spans="1:27" x14ac:dyDescent="0.25">
      <c r="A573" s="10">
        <v>45667</v>
      </c>
      <c r="B573" s="11" t="s">
        <v>1830</v>
      </c>
      <c r="C573" s="11" t="s">
        <v>1831</v>
      </c>
      <c r="D573" s="11" t="s">
        <v>26</v>
      </c>
      <c r="E573" s="11" t="s">
        <v>224</v>
      </c>
      <c r="F573" s="11" t="s">
        <v>26</v>
      </c>
      <c r="G573" s="11">
        <v>57841</v>
      </c>
      <c r="H573" s="12" t="s">
        <v>4423</v>
      </c>
      <c r="I573" s="12" t="s">
        <v>27</v>
      </c>
      <c r="J573" s="12" t="s">
        <v>33</v>
      </c>
      <c r="K573" s="12" t="s">
        <v>34</v>
      </c>
      <c r="L573" s="13">
        <v>35.96</v>
      </c>
      <c r="M573" s="13">
        <v>25</v>
      </c>
      <c r="N573" s="13">
        <v>1.4383999999999999</v>
      </c>
      <c r="O573" s="13">
        <v>45</v>
      </c>
      <c r="P573" s="13" t="s">
        <v>30</v>
      </c>
      <c r="Q573" s="13">
        <v>0</v>
      </c>
      <c r="R573" s="15">
        <v>1618.2</v>
      </c>
      <c r="S573" s="15">
        <v>0</v>
      </c>
      <c r="T573" s="15">
        <v>0</v>
      </c>
      <c r="U573" s="15">
        <v>1618.2</v>
      </c>
      <c r="V573" s="15">
        <v>1618.2</v>
      </c>
      <c r="W573" s="15">
        <v>0</v>
      </c>
      <c r="X573" s="15">
        <v>0</v>
      </c>
      <c r="Y573" s="16">
        <v>0</v>
      </c>
      <c r="Z573" s="67" t="s">
        <v>26</v>
      </c>
      <c r="AA573" s="12" t="s">
        <v>31</v>
      </c>
    </row>
    <row r="574" spans="1:27" x14ac:dyDescent="0.25">
      <c r="A574" s="10">
        <v>45667</v>
      </c>
      <c r="B574" s="11" t="s">
        <v>1832</v>
      </c>
      <c r="C574" s="11" t="s">
        <v>1833</v>
      </c>
      <c r="D574" s="11" t="s">
        <v>26</v>
      </c>
      <c r="E574" s="11" t="s">
        <v>50</v>
      </c>
      <c r="F574" s="11" t="s">
        <v>26</v>
      </c>
      <c r="G574" s="11">
        <v>618</v>
      </c>
      <c r="H574" s="12" t="s">
        <v>163</v>
      </c>
      <c r="I574" s="12" t="s">
        <v>27</v>
      </c>
      <c r="J574" s="12" t="s">
        <v>47</v>
      </c>
      <c r="K574" s="12" t="s">
        <v>48</v>
      </c>
      <c r="L574" s="13">
        <v>37.619999999999997</v>
      </c>
      <c r="M574" s="13">
        <v>25</v>
      </c>
      <c r="N574" s="13">
        <v>1.5047999999999999</v>
      </c>
      <c r="O574" s="13" t="s">
        <v>30</v>
      </c>
      <c r="P574" s="13">
        <v>58</v>
      </c>
      <c r="Q574" s="13">
        <v>0</v>
      </c>
      <c r="R574" s="14">
        <v>1450</v>
      </c>
      <c r="S574" s="15">
        <v>0</v>
      </c>
      <c r="T574" s="15">
        <v>0</v>
      </c>
      <c r="U574" s="15">
        <v>1450</v>
      </c>
      <c r="V574" s="15">
        <v>0</v>
      </c>
      <c r="W574" s="15">
        <v>1450</v>
      </c>
      <c r="X574" s="15">
        <v>0</v>
      </c>
      <c r="Y574" s="16">
        <v>0</v>
      </c>
      <c r="Z574" s="67" t="s">
        <v>26</v>
      </c>
      <c r="AA574" s="12" t="s">
        <v>31</v>
      </c>
    </row>
    <row r="575" spans="1:27" x14ac:dyDescent="0.25">
      <c r="A575" s="10">
        <v>45667</v>
      </c>
      <c r="B575" s="11" t="s">
        <v>264</v>
      </c>
      <c r="C575" s="11" t="s">
        <v>1834</v>
      </c>
      <c r="D575" s="11" t="s">
        <v>26</v>
      </c>
      <c r="E575" s="11" t="s">
        <v>431</v>
      </c>
      <c r="F575" s="11" t="s">
        <v>26</v>
      </c>
      <c r="G575" s="11" t="s">
        <v>26</v>
      </c>
      <c r="H575" s="12" t="s">
        <v>4422</v>
      </c>
      <c r="I575" s="12" t="s">
        <v>27</v>
      </c>
      <c r="J575" s="12" t="s">
        <v>33</v>
      </c>
      <c r="K575" s="12" t="s">
        <v>34</v>
      </c>
      <c r="L575" s="13">
        <v>40.44</v>
      </c>
      <c r="M575" s="13">
        <v>28</v>
      </c>
      <c r="N575" s="13">
        <v>1.444285714285714</v>
      </c>
      <c r="O575" s="13">
        <v>85</v>
      </c>
      <c r="P575" s="13" t="s">
        <v>30</v>
      </c>
      <c r="Q575" s="13">
        <v>0</v>
      </c>
      <c r="R575" s="15">
        <v>3437.3999999999996</v>
      </c>
      <c r="S575" s="15">
        <v>38</v>
      </c>
      <c r="T575" s="15">
        <v>1536.7199999999998</v>
      </c>
      <c r="U575" s="15">
        <v>1900.6799999999998</v>
      </c>
      <c r="V575" s="15">
        <v>1900.6799999999998</v>
      </c>
      <c r="W575" s="15">
        <v>0</v>
      </c>
      <c r="X575" s="15">
        <v>1455.84</v>
      </c>
      <c r="Y575" s="16">
        <v>80.879999999999882</v>
      </c>
      <c r="Z575" s="67" t="s">
        <v>6328</v>
      </c>
      <c r="AA575" s="12" t="s">
        <v>78</v>
      </c>
    </row>
    <row r="576" spans="1:27" x14ac:dyDescent="0.25">
      <c r="A576" s="10">
        <v>45667</v>
      </c>
      <c r="B576" s="11" t="s">
        <v>1835</v>
      </c>
      <c r="C576" s="11" t="s">
        <v>1836</v>
      </c>
      <c r="D576" s="11" t="s">
        <v>26</v>
      </c>
      <c r="E576" s="11" t="s">
        <v>604</v>
      </c>
      <c r="F576" s="11" t="s">
        <v>26</v>
      </c>
      <c r="G576" s="11" t="s">
        <v>26</v>
      </c>
      <c r="H576" s="12" t="s">
        <v>4422</v>
      </c>
      <c r="I576" s="12" t="s">
        <v>27</v>
      </c>
      <c r="J576" s="12" t="s">
        <v>33</v>
      </c>
      <c r="K576" s="12" t="s">
        <v>34</v>
      </c>
      <c r="L576" s="13">
        <v>40.340000000000003</v>
      </c>
      <c r="M576" s="13">
        <v>28</v>
      </c>
      <c r="N576" s="13">
        <v>1.4407142857142861</v>
      </c>
      <c r="O576" s="13">
        <v>85</v>
      </c>
      <c r="P576" s="13" t="s">
        <v>30</v>
      </c>
      <c r="Q576" s="13">
        <v>0</v>
      </c>
      <c r="R576" s="14">
        <v>3428.9</v>
      </c>
      <c r="S576" s="15">
        <v>38</v>
      </c>
      <c r="T576" s="15">
        <v>1532.92</v>
      </c>
      <c r="U576" s="15">
        <v>1895.98</v>
      </c>
      <c r="V576" s="15">
        <v>1895.98</v>
      </c>
      <c r="W576" s="15">
        <v>0</v>
      </c>
      <c r="X576" s="15">
        <v>1452.2400000000002</v>
      </c>
      <c r="Y576" s="16">
        <v>80.679999999999836</v>
      </c>
      <c r="Z576" s="67" t="s">
        <v>141</v>
      </c>
      <c r="AA576" s="12" t="s">
        <v>78</v>
      </c>
    </row>
    <row r="577" spans="1:27" x14ac:dyDescent="0.25">
      <c r="A577" s="10">
        <v>45667</v>
      </c>
      <c r="B577" s="11" t="s">
        <v>1837</v>
      </c>
      <c r="C577" s="11" t="s">
        <v>1838</v>
      </c>
      <c r="D577" s="11" t="s">
        <v>26</v>
      </c>
      <c r="E577" s="11" t="s">
        <v>538</v>
      </c>
      <c r="F577" s="11" t="s">
        <v>26</v>
      </c>
      <c r="G577" s="11">
        <v>616</v>
      </c>
      <c r="H577" s="12" t="s">
        <v>163</v>
      </c>
      <c r="I577" s="12" t="s">
        <v>27</v>
      </c>
      <c r="J577" s="12" t="s">
        <v>47</v>
      </c>
      <c r="K577" s="12" t="s">
        <v>48</v>
      </c>
      <c r="L577" s="13">
        <v>36.380000000000003</v>
      </c>
      <c r="M577" s="13">
        <v>25</v>
      </c>
      <c r="N577" s="13">
        <v>1.4552</v>
      </c>
      <c r="O577" s="13" t="s">
        <v>30</v>
      </c>
      <c r="P577" s="13">
        <v>58</v>
      </c>
      <c r="Q577" s="13">
        <v>0</v>
      </c>
      <c r="R577" s="15">
        <v>1450</v>
      </c>
      <c r="S577" s="15">
        <v>0</v>
      </c>
      <c r="T577" s="15">
        <v>0</v>
      </c>
      <c r="U577" s="15">
        <v>1450</v>
      </c>
      <c r="V577" s="15">
        <v>0</v>
      </c>
      <c r="W577" s="15">
        <v>1450</v>
      </c>
      <c r="X577" s="15">
        <v>0</v>
      </c>
      <c r="Y577" s="16">
        <v>0</v>
      </c>
      <c r="Z577" s="67" t="s">
        <v>26</v>
      </c>
      <c r="AA577" s="12" t="s">
        <v>31</v>
      </c>
    </row>
    <row r="578" spans="1:27" x14ac:dyDescent="0.25">
      <c r="A578" s="10">
        <v>45667</v>
      </c>
      <c r="B578" s="11" t="s">
        <v>1839</v>
      </c>
      <c r="C578" s="11" t="s">
        <v>1840</v>
      </c>
      <c r="D578" s="11" t="s">
        <v>26</v>
      </c>
      <c r="E578" s="11" t="s">
        <v>49</v>
      </c>
      <c r="F578" s="11" t="s">
        <v>26</v>
      </c>
      <c r="G578" s="11">
        <v>1494</v>
      </c>
      <c r="H578" s="12" t="s">
        <v>45</v>
      </c>
      <c r="I578" s="12" t="s">
        <v>27</v>
      </c>
      <c r="J578" s="12" t="s">
        <v>42</v>
      </c>
      <c r="K578" s="12" t="s">
        <v>43</v>
      </c>
      <c r="L578" s="13">
        <v>42.28</v>
      </c>
      <c r="M578" s="13">
        <v>25</v>
      </c>
      <c r="N578" s="13">
        <v>1.6912</v>
      </c>
      <c r="O578" s="13" t="s">
        <v>30</v>
      </c>
      <c r="P578" s="13">
        <v>62</v>
      </c>
      <c r="Q578" s="13">
        <v>0</v>
      </c>
      <c r="R578" s="14">
        <v>1550</v>
      </c>
      <c r="S578" s="15">
        <v>0</v>
      </c>
      <c r="T578" s="15">
        <v>0</v>
      </c>
      <c r="U578" s="15">
        <v>1550</v>
      </c>
      <c r="V578" s="15">
        <v>0</v>
      </c>
      <c r="W578" s="15">
        <v>1550</v>
      </c>
      <c r="X578" s="15">
        <v>0</v>
      </c>
      <c r="Y578" s="16">
        <v>0</v>
      </c>
      <c r="Z578" s="67" t="s">
        <v>26</v>
      </c>
      <c r="AA578" s="12" t="s">
        <v>31</v>
      </c>
    </row>
    <row r="579" spans="1:27" x14ac:dyDescent="0.25">
      <c r="A579" s="10">
        <v>45667</v>
      </c>
      <c r="B579" s="11" t="s">
        <v>1841</v>
      </c>
      <c r="C579" s="11" t="s">
        <v>1842</v>
      </c>
      <c r="D579" s="11" t="s">
        <v>26</v>
      </c>
      <c r="E579" s="11" t="s">
        <v>180</v>
      </c>
      <c r="F579" s="11" t="s">
        <v>26</v>
      </c>
      <c r="G579" s="11" t="s">
        <v>35</v>
      </c>
      <c r="H579" s="12" t="s">
        <v>36</v>
      </c>
      <c r="I579" s="12" t="s">
        <v>55</v>
      </c>
      <c r="J579" s="12" t="s">
        <v>55</v>
      </c>
      <c r="K579" s="12" t="s">
        <v>56</v>
      </c>
      <c r="L579" s="13">
        <v>15.2</v>
      </c>
      <c r="M579" s="13">
        <v>10</v>
      </c>
      <c r="N579" s="13">
        <v>1.52</v>
      </c>
      <c r="O579" s="13">
        <v>20</v>
      </c>
      <c r="P579" s="13" t="s">
        <v>30</v>
      </c>
      <c r="Q579" s="13">
        <v>0</v>
      </c>
      <c r="R579" s="15">
        <v>304</v>
      </c>
      <c r="S579" s="15">
        <v>0</v>
      </c>
      <c r="T579" s="15">
        <v>0</v>
      </c>
      <c r="U579" s="15">
        <v>304</v>
      </c>
      <c r="V579" s="15">
        <v>0</v>
      </c>
      <c r="W579" s="15">
        <v>304</v>
      </c>
      <c r="X579" s="15">
        <v>0</v>
      </c>
      <c r="Y579" s="16">
        <v>0</v>
      </c>
      <c r="Z579" s="67" t="s">
        <v>26</v>
      </c>
      <c r="AA579" s="12" t="s">
        <v>31</v>
      </c>
    </row>
    <row r="580" spans="1:27" x14ac:dyDescent="0.25">
      <c r="A580" s="10">
        <v>45667</v>
      </c>
      <c r="B580" s="11" t="s">
        <v>1843</v>
      </c>
      <c r="C580" s="11" t="s">
        <v>1844</v>
      </c>
      <c r="D580" s="11" t="s">
        <v>26</v>
      </c>
      <c r="E580" s="11" t="s">
        <v>44</v>
      </c>
      <c r="F580" s="11" t="s">
        <v>26</v>
      </c>
      <c r="G580" s="11">
        <v>1497</v>
      </c>
      <c r="H580" s="12" t="s">
        <v>45</v>
      </c>
      <c r="I580" s="12" t="s">
        <v>27</v>
      </c>
      <c r="J580" s="12" t="s">
        <v>28</v>
      </c>
      <c r="K580" s="12" t="s">
        <v>29</v>
      </c>
      <c r="L580" s="13">
        <v>38.479999999999997</v>
      </c>
      <c r="M580" s="13">
        <v>25</v>
      </c>
      <c r="N580" s="13">
        <v>1.5391999999999999</v>
      </c>
      <c r="O580" s="13" t="s">
        <v>30</v>
      </c>
      <c r="P580" s="13">
        <v>40</v>
      </c>
      <c r="Q580" s="14">
        <v>0</v>
      </c>
      <c r="R580" s="15">
        <v>1000</v>
      </c>
      <c r="S580" s="15">
        <v>0</v>
      </c>
      <c r="T580" s="15">
        <v>0</v>
      </c>
      <c r="U580" s="15">
        <v>1000</v>
      </c>
      <c r="V580" s="15">
        <v>0</v>
      </c>
      <c r="W580" s="15">
        <v>1000</v>
      </c>
      <c r="X580" s="15">
        <v>0</v>
      </c>
      <c r="Y580" s="16">
        <v>0</v>
      </c>
      <c r="Z580" s="67" t="s">
        <v>26</v>
      </c>
      <c r="AA580" s="12" t="s">
        <v>31</v>
      </c>
    </row>
    <row r="581" spans="1:27" x14ac:dyDescent="0.25">
      <c r="A581" s="10">
        <v>45667</v>
      </c>
      <c r="B581" s="11">
        <v>-6.8182870370370408E-2</v>
      </c>
      <c r="C581" s="11" t="s">
        <v>1845</v>
      </c>
      <c r="D581" s="11" t="s">
        <v>26</v>
      </c>
      <c r="E581" s="11" t="s">
        <v>461</v>
      </c>
      <c r="F581" s="11" t="s">
        <v>26</v>
      </c>
      <c r="G581" s="11">
        <v>36</v>
      </c>
      <c r="H581" s="12" t="s">
        <v>4444</v>
      </c>
      <c r="I581" s="12" t="s">
        <v>37</v>
      </c>
      <c r="J581" s="12" t="s">
        <v>85</v>
      </c>
      <c r="K581" s="12" t="s">
        <v>86</v>
      </c>
      <c r="L581" s="13">
        <v>28.5</v>
      </c>
      <c r="M581" s="13">
        <v>20</v>
      </c>
      <c r="N581" s="13">
        <v>1.425</v>
      </c>
      <c r="O581" s="13">
        <v>30</v>
      </c>
      <c r="P581" s="13" t="s">
        <v>30</v>
      </c>
      <c r="Q581" s="13">
        <v>0</v>
      </c>
      <c r="R581" s="15">
        <v>855</v>
      </c>
      <c r="S581" s="15">
        <v>0</v>
      </c>
      <c r="T581" s="15">
        <v>0</v>
      </c>
      <c r="U581" s="15">
        <v>855</v>
      </c>
      <c r="V581" s="15">
        <v>0</v>
      </c>
      <c r="W581" s="15">
        <v>855</v>
      </c>
      <c r="X581" s="15">
        <v>0</v>
      </c>
      <c r="Y581" s="16">
        <v>0</v>
      </c>
      <c r="Z581" s="67" t="s">
        <v>26</v>
      </c>
      <c r="AA581" s="12" t="s">
        <v>31</v>
      </c>
    </row>
    <row r="582" spans="1:27" x14ac:dyDescent="0.25">
      <c r="A582" s="10">
        <v>45667</v>
      </c>
      <c r="B582" s="11" t="s">
        <v>1846</v>
      </c>
      <c r="C582" s="11" t="s">
        <v>1847</v>
      </c>
      <c r="D582" s="11" t="s">
        <v>26</v>
      </c>
      <c r="E582" s="11" t="s">
        <v>605</v>
      </c>
      <c r="F582" s="11" t="s">
        <v>26</v>
      </c>
      <c r="G582" s="11" t="s">
        <v>26</v>
      </c>
      <c r="H582" s="12" t="s">
        <v>4422</v>
      </c>
      <c r="I582" s="12" t="s">
        <v>27</v>
      </c>
      <c r="J582" s="12" t="s">
        <v>42</v>
      </c>
      <c r="K582" s="12" t="s">
        <v>43</v>
      </c>
      <c r="L582" s="13">
        <v>44.74</v>
      </c>
      <c r="M582" s="13">
        <v>25</v>
      </c>
      <c r="N582" s="13">
        <v>1.7896000000000001</v>
      </c>
      <c r="O582" s="13">
        <v>83</v>
      </c>
      <c r="P582" s="13" t="s">
        <v>30</v>
      </c>
      <c r="Q582" s="13">
        <v>0</v>
      </c>
      <c r="R582" s="15">
        <v>3713.42</v>
      </c>
      <c r="S582" s="15">
        <v>38</v>
      </c>
      <c r="T582" s="15">
        <v>1700.1200000000001</v>
      </c>
      <c r="U582" s="15">
        <v>2013.3</v>
      </c>
      <c r="V582" s="15">
        <v>2013.3</v>
      </c>
      <c r="W582" s="15">
        <v>0</v>
      </c>
      <c r="X582" s="15">
        <v>1610.64</v>
      </c>
      <c r="Y582" s="16">
        <v>89.480000000000018</v>
      </c>
      <c r="Z582" s="67" t="s">
        <v>141</v>
      </c>
      <c r="AA582" s="12" t="s">
        <v>78</v>
      </c>
    </row>
    <row r="583" spans="1:27" x14ac:dyDescent="0.25">
      <c r="A583" s="10">
        <v>45667</v>
      </c>
      <c r="B583" s="11" t="s">
        <v>1848</v>
      </c>
      <c r="C583" s="11" t="s">
        <v>1849</v>
      </c>
      <c r="D583" s="11" t="s">
        <v>26</v>
      </c>
      <c r="E583" s="11" t="s">
        <v>570</v>
      </c>
      <c r="F583" s="11" t="s">
        <v>26</v>
      </c>
      <c r="G583" s="11">
        <v>10317</v>
      </c>
      <c r="H583" s="12" t="s">
        <v>140</v>
      </c>
      <c r="I583" s="12" t="s">
        <v>27</v>
      </c>
      <c r="J583" s="12" t="s">
        <v>42</v>
      </c>
      <c r="K583" s="12" t="s">
        <v>43</v>
      </c>
      <c r="L583" s="13">
        <v>42.68</v>
      </c>
      <c r="M583" s="13">
        <v>25</v>
      </c>
      <c r="N583" s="13">
        <v>1.7072000000000001</v>
      </c>
      <c r="O583" s="13">
        <v>35</v>
      </c>
      <c r="P583" s="13"/>
      <c r="Q583" s="13">
        <v>0</v>
      </c>
      <c r="R583" s="15">
        <v>1493.8</v>
      </c>
      <c r="S583" s="15">
        <v>0</v>
      </c>
      <c r="T583" s="15">
        <v>0</v>
      </c>
      <c r="U583" s="15">
        <v>1493.8</v>
      </c>
      <c r="V583" s="15">
        <v>0</v>
      </c>
      <c r="W583" s="15">
        <v>1493.8</v>
      </c>
      <c r="X583" s="15">
        <v>0</v>
      </c>
      <c r="Y583" s="16">
        <v>0</v>
      </c>
      <c r="Z583" s="67" t="s">
        <v>26</v>
      </c>
      <c r="AA583" s="12" t="s">
        <v>31</v>
      </c>
    </row>
    <row r="584" spans="1:27" x14ac:dyDescent="0.25">
      <c r="A584" s="10">
        <v>45667</v>
      </c>
      <c r="B584" s="11" t="s">
        <v>248</v>
      </c>
      <c r="C584" s="11" t="s">
        <v>1850</v>
      </c>
      <c r="D584" s="11" t="s">
        <v>26</v>
      </c>
      <c r="E584" s="11" t="s">
        <v>658</v>
      </c>
      <c r="F584" s="11" t="s">
        <v>26</v>
      </c>
      <c r="G584" s="11">
        <v>630</v>
      </c>
      <c r="H584" s="12" t="s">
        <v>141</v>
      </c>
      <c r="I584" s="12" t="s">
        <v>55</v>
      </c>
      <c r="J584" s="12" t="s">
        <v>55</v>
      </c>
      <c r="K584" s="12" t="s">
        <v>56</v>
      </c>
      <c r="L584" s="13">
        <v>40.840000000000003</v>
      </c>
      <c r="M584" s="13">
        <v>25</v>
      </c>
      <c r="N584" s="13">
        <v>1.6335999999999999</v>
      </c>
      <c r="O584" s="13">
        <v>15</v>
      </c>
      <c r="P584" s="13" t="s">
        <v>30</v>
      </c>
      <c r="Q584" s="13">
        <v>0</v>
      </c>
      <c r="R584" s="14">
        <v>612.6</v>
      </c>
      <c r="S584" s="15">
        <v>0</v>
      </c>
      <c r="T584" s="15">
        <v>0</v>
      </c>
      <c r="U584" s="15">
        <v>612.6</v>
      </c>
      <c r="V584" s="15">
        <v>0</v>
      </c>
      <c r="W584" s="15">
        <v>612.6</v>
      </c>
      <c r="X584" s="15">
        <v>0</v>
      </c>
      <c r="Y584" s="16">
        <v>0</v>
      </c>
      <c r="Z584" s="67" t="s">
        <v>26</v>
      </c>
      <c r="AA584" s="12" t="s">
        <v>31</v>
      </c>
    </row>
    <row r="585" spans="1:27" x14ac:dyDescent="0.25">
      <c r="A585" s="10">
        <v>45667</v>
      </c>
      <c r="B585" s="11" t="s">
        <v>1129</v>
      </c>
      <c r="C585" s="11" t="s">
        <v>1851</v>
      </c>
      <c r="D585" s="11" t="s">
        <v>26</v>
      </c>
      <c r="E585" s="11" t="s">
        <v>589</v>
      </c>
      <c r="F585" s="11" t="s">
        <v>26</v>
      </c>
      <c r="G585" s="11">
        <v>4570</v>
      </c>
      <c r="H585" s="12" t="s">
        <v>4423</v>
      </c>
      <c r="I585" s="12" t="s">
        <v>27</v>
      </c>
      <c r="J585" s="12" t="s">
        <v>33</v>
      </c>
      <c r="K585" s="12" t="s">
        <v>34</v>
      </c>
      <c r="L585" s="13">
        <v>32.4</v>
      </c>
      <c r="M585" s="13">
        <v>25</v>
      </c>
      <c r="N585" s="13">
        <v>1.296</v>
      </c>
      <c r="O585" s="13">
        <v>45</v>
      </c>
      <c r="P585" s="13" t="s">
        <v>30</v>
      </c>
      <c r="Q585" s="13">
        <v>0</v>
      </c>
      <c r="R585" s="14">
        <v>1458</v>
      </c>
      <c r="S585" s="15">
        <v>0</v>
      </c>
      <c r="T585" s="15">
        <v>0</v>
      </c>
      <c r="U585" s="15">
        <v>1458</v>
      </c>
      <c r="V585" s="15">
        <v>1458</v>
      </c>
      <c r="W585" s="15">
        <v>0</v>
      </c>
      <c r="X585" s="15">
        <v>0</v>
      </c>
      <c r="Y585" s="16">
        <v>0</v>
      </c>
      <c r="Z585" s="67" t="s">
        <v>26</v>
      </c>
      <c r="AA585" s="12" t="s">
        <v>31</v>
      </c>
    </row>
    <row r="586" spans="1:27" x14ac:dyDescent="0.25">
      <c r="A586" s="10">
        <v>45667</v>
      </c>
      <c r="B586" s="11" t="s">
        <v>370</v>
      </c>
      <c r="C586" s="11" t="s">
        <v>1852</v>
      </c>
      <c r="D586" s="11" t="s">
        <v>26</v>
      </c>
      <c r="E586" s="11" t="s">
        <v>240</v>
      </c>
      <c r="F586" s="11" t="s">
        <v>26</v>
      </c>
      <c r="G586" s="11" t="s">
        <v>26</v>
      </c>
      <c r="H586" s="12" t="s">
        <v>4422</v>
      </c>
      <c r="I586" s="12" t="s">
        <v>27</v>
      </c>
      <c r="J586" s="12" t="s">
        <v>42</v>
      </c>
      <c r="K586" s="12" t="s">
        <v>43</v>
      </c>
      <c r="L586" s="13">
        <v>43.32</v>
      </c>
      <c r="M586" s="13">
        <v>25</v>
      </c>
      <c r="N586" s="13">
        <v>1.7327999999999999</v>
      </c>
      <c r="O586" s="13">
        <v>83</v>
      </c>
      <c r="P586" s="13" t="s">
        <v>30</v>
      </c>
      <c r="Q586" s="13">
        <v>0</v>
      </c>
      <c r="R586" s="15">
        <v>3595.56</v>
      </c>
      <c r="S586" s="15">
        <v>38</v>
      </c>
      <c r="T586" s="15">
        <v>1646.16</v>
      </c>
      <c r="U586" s="15">
        <v>1949.3999999999999</v>
      </c>
      <c r="V586" s="15">
        <v>1949.3999999999999</v>
      </c>
      <c r="W586" s="15">
        <v>0</v>
      </c>
      <c r="X586" s="15">
        <v>1602.84</v>
      </c>
      <c r="Y586" s="16">
        <v>43.320000000000164</v>
      </c>
      <c r="Z586" s="67" t="s">
        <v>41</v>
      </c>
      <c r="AA586" s="12" t="s">
        <v>78</v>
      </c>
    </row>
    <row r="587" spans="1:27" x14ac:dyDescent="0.25">
      <c r="A587" s="10">
        <v>45667</v>
      </c>
      <c r="B587" s="11" t="s">
        <v>1853</v>
      </c>
      <c r="C587" s="11" t="s">
        <v>1854</v>
      </c>
      <c r="D587" s="11" t="s">
        <v>26</v>
      </c>
      <c r="E587" s="11" t="s">
        <v>461</v>
      </c>
      <c r="F587" s="11" t="s">
        <v>26</v>
      </c>
      <c r="G587" s="11">
        <v>37</v>
      </c>
      <c r="H587" s="12" t="s">
        <v>4444</v>
      </c>
      <c r="I587" s="12" t="s">
        <v>37</v>
      </c>
      <c r="J587" s="12" t="s">
        <v>85</v>
      </c>
      <c r="K587" s="12" t="s">
        <v>86</v>
      </c>
      <c r="L587" s="13">
        <v>27.9</v>
      </c>
      <c r="M587" s="13">
        <v>20</v>
      </c>
      <c r="N587" s="13">
        <v>1.395</v>
      </c>
      <c r="O587" s="13">
        <v>30</v>
      </c>
      <c r="P587" s="13" t="s">
        <v>30</v>
      </c>
      <c r="Q587" s="13">
        <v>0</v>
      </c>
      <c r="R587" s="15">
        <v>837</v>
      </c>
      <c r="S587" s="15">
        <v>0</v>
      </c>
      <c r="T587" s="15">
        <v>0</v>
      </c>
      <c r="U587" s="15">
        <v>837</v>
      </c>
      <c r="V587" s="15">
        <v>0</v>
      </c>
      <c r="W587" s="15">
        <v>837</v>
      </c>
      <c r="X587" s="15">
        <v>0</v>
      </c>
      <c r="Y587" s="16">
        <v>0</v>
      </c>
      <c r="Z587" s="67" t="s">
        <v>26</v>
      </c>
      <c r="AA587" s="12" t="s">
        <v>31</v>
      </c>
    </row>
    <row r="588" spans="1:27" x14ac:dyDescent="0.25">
      <c r="A588" s="10">
        <v>45667</v>
      </c>
      <c r="B588" s="11" t="s">
        <v>136</v>
      </c>
      <c r="C588" s="11" t="s">
        <v>1855</v>
      </c>
      <c r="D588" s="11" t="s">
        <v>26</v>
      </c>
      <c r="E588" s="11" t="s">
        <v>509</v>
      </c>
      <c r="F588" s="11" t="s">
        <v>26</v>
      </c>
      <c r="G588" s="11">
        <v>631</v>
      </c>
      <c r="H588" s="12" t="s">
        <v>141</v>
      </c>
      <c r="I588" s="12" t="s">
        <v>27</v>
      </c>
      <c r="J588" s="12" t="s">
        <v>33</v>
      </c>
      <c r="K588" s="12" t="s">
        <v>34</v>
      </c>
      <c r="L588" s="13">
        <v>44.2</v>
      </c>
      <c r="M588" s="13">
        <v>30</v>
      </c>
      <c r="N588" s="13">
        <v>1.4733333333333329</v>
      </c>
      <c r="O588" s="13">
        <v>40</v>
      </c>
      <c r="P588" s="13" t="s">
        <v>30</v>
      </c>
      <c r="Q588" s="13">
        <v>0</v>
      </c>
      <c r="R588" s="15">
        <v>1768</v>
      </c>
      <c r="S588" s="15">
        <v>0</v>
      </c>
      <c r="T588" s="15">
        <v>0</v>
      </c>
      <c r="U588" s="15">
        <v>1768</v>
      </c>
      <c r="V588" s="15">
        <v>0</v>
      </c>
      <c r="W588" s="15">
        <v>1768</v>
      </c>
      <c r="X588" s="15">
        <v>0</v>
      </c>
      <c r="Y588" s="16">
        <v>0</v>
      </c>
      <c r="Z588" s="67" t="s">
        <v>26</v>
      </c>
      <c r="AA588" s="12" t="s">
        <v>31</v>
      </c>
    </row>
    <row r="589" spans="1:27" x14ac:dyDescent="0.25">
      <c r="A589" s="10">
        <v>45667</v>
      </c>
      <c r="B589" s="11" t="s">
        <v>1856</v>
      </c>
      <c r="C589" s="11" t="s">
        <v>1857</v>
      </c>
      <c r="D589" s="11" t="s">
        <v>26</v>
      </c>
      <c r="E589" s="11" t="s">
        <v>1200</v>
      </c>
      <c r="F589" s="11" t="s">
        <v>26</v>
      </c>
      <c r="G589" s="11">
        <v>977</v>
      </c>
      <c r="H589" s="12" t="s">
        <v>163</v>
      </c>
      <c r="I589" s="12" t="s">
        <v>27</v>
      </c>
      <c r="J589" s="12" t="s">
        <v>33</v>
      </c>
      <c r="K589" s="12" t="s">
        <v>34</v>
      </c>
      <c r="L589" s="13">
        <v>38.979999999999997</v>
      </c>
      <c r="M589" s="13">
        <v>25</v>
      </c>
      <c r="N589" s="13">
        <v>1.5591999999999999</v>
      </c>
      <c r="O589" s="13" t="s">
        <v>30</v>
      </c>
      <c r="P589" s="13">
        <v>58</v>
      </c>
      <c r="Q589" s="13">
        <v>0</v>
      </c>
      <c r="R589" s="15">
        <v>1450</v>
      </c>
      <c r="S589" s="15">
        <v>0</v>
      </c>
      <c r="T589" s="15">
        <v>0</v>
      </c>
      <c r="U589" s="15">
        <v>1450</v>
      </c>
      <c r="V589" s="15">
        <v>0</v>
      </c>
      <c r="W589" s="15">
        <v>1450</v>
      </c>
      <c r="X589" s="15">
        <v>0</v>
      </c>
      <c r="Y589" s="16">
        <v>0</v>
      </c>
      <c r="Z589" s="67" t="s">
        <v>26</v>
      </c>
      <c r="AA589" s="12" t="s">
        <v>31</v>
      </c>
    </row>
    <row r="590" spans="1:27" x14ac:dyDescent="0.25">
      <c r="A590" s="10">
        <v>45667</v>
      </c>
      <c r="B590" s="11" t="s">
        <v>1858</v>
      </c>
      <c r="C590" s="11" t="s">
        <v>1859</v>
      </c>
      <c r="D590" s="11" t="s">
        <v>26</v>
      </c>
      <c r="E590" s="11" t="s">
        <v>593</v>
      </c>
      <c r="F590" s="11" t="s">
        <v>26</v>
      </c>
      <c r="G590" s="11">
        <v>59480</v>
      </c>
      <c r="H590" s="12" t="s">
        <v>4423</v>
      </c>
      <c r="I590" s="12" t="s">
        <v>27</v>
      </c>
      <c r="J590" s="12" t="s">
        <v>33</v>
      </c>
      <c r="K590" s="12" t="s">
        <v>34</v>
      </c>
      <c r="L590" s="13">
        <v>33.020000000000003</v>
      </c>
      <c r="M590" s="13">
        <v>25</v>
      </c>
      <c r="N590" s="13">
        <v>1.3208</v>
      </c>
      <c r="O590" s="13">
        <v>45</v>
      </c>
      <c r="P590" s="13" t="s">
        <v>30</v>
      </c>
      <c r="Q590" s="13">
        <v>0</v>
      </c>
      <c r="R590" s="15">
        <v>1485.9</v>
      </c>
      <c r="S590" s="15">
        <v>0</v>
      </c>
      <c r="T590" s="15">
        <v>0</v>
      </c>
      <c r="U590" s="15">
        <v>1485.9</v>
      </c>
      <c r="V590" s="15">
        <v>1485.9</v>
      </c>
      <c r="W590" s="15">
        <v>0</v>
      </c>
      <c r="X590" s="15">
        <v>0</v>
      </c>
      <c r="Y590" s="16">
        <v>0</v>
      </c>
      <c r="Z590" s="67" t="s">
        <v>26</v>
      </c>
      <c r="AA590" s="12" t="s">
        <v>31</v>
      </c>
    </row>
    <row r="591" spans="1:27" x14ac:dyDescent="0.25">
      <c r="A591" s="10">
        <v>45667</v>
      </c>
      <c r="B591" s="11" t="s">
        <v>1860</v>
      </c>
      <c r="C591" s="11" t="s">
        <v>1861</v>
      </c>
      <c r="D591" s="11" t="s">
        <v>26</v>
      </c>
      <c r="E591" s="11" t="s">
        <v>75</v>
      </c>
      <c r="F591" s="11" t="s">
        <v>26</v>
      </c>
      <c r="G591" s="11">
        <v>42002</v>
      </c>
      <c r="H591" s="12" t="s">
        <v>565</v>
      </c>
      <c r="I591" s="12" t="s">
        <v>55</v>
      </c>
      <c r="J591" s="12" t="s">
        <v>55</v>
      </c>
      <c r="K591" s="12" t="s">
        <v>56</v>
      </c>
      <c r="L591" s="13">
        <v>39.18</v>
      </c>
      <c r="M591" s="13">
        <v>25</v>
      </c>
      <c r="N591" s="13">
        <v>1.5671999999999999</v>
      </c>
      <c r="O591" s="13"/>
      <c r="P591" s="13">
        <v>24</v>
      </c>
      <c r="Q591" s="13">
        <v>0</v>
      </c>
      <c r="R591" s="15">
        <v>600</v>
      </c>
      <c r="S591" s="15">
        <v>0</v>
      </c>
      <c r="T591" s="15">
        <v>0</v>
      </c>
      <c r="U591" s="15">
        <v>600</v>
      </c>
      <c r="V591" s="15">
        <v>0</v>
      </c>
      <c r="W591" s="15">
        <v>600</v>
      </c>
      <c r="X591" s="15">
        <v>0</v>
      </c>
      <c r="Y591" s="16">
        <v>0</v>
      </c>
      <c r="Z591" s="67" t="s">
        <v>26</v>
      </c>
      <c r="AA591" s="12" t="s">
        <v>31</v>
      </c>
    </row>
    <row r="592" spans="1:27" x14ac:dyDescent="0.25">
      <c r="A592" s="10">
        <v>45667</v>
      </c>
      <c r="B592" s="11" t="s">
        <v>450</v>
      </c>
      <c r="C592" s="11" t="s">
        <v>1862</v>
      </c>
      <c r="D592" s="11" t="s">
        <v>26</v>
      </c>
      <c r="E592" s="11" t="s">
        <v>461</v>
      </c>
      <c r="F592" s="11" t="s">
        <v>26</v>
      </c>
      <c r="G592" s="11">
        <v>40</v>
      </c>
      <c r="H592" s="12" t="s">
        <v>4444</v>
      </c>
      <c r="I592" s="12" t="s">
        <v>37</v>
      </c>
      <c r="J592" s="12" t="s">
        <v>85</v>
      </c>
      <c r="K592" s="12" t="s">
        <v>86</v>
      </c>
      <c r="L592" s="13">
        <v>27.96</v>
      </c>
      <c r="M592" s="13">
        <v>20</v>
      </c>
      <c r="N592" s="13">
        <v>1.3979999999999999</v>
      </c>
      <c r="O592" s="13">
        <v>30</v>
      </c>
      <c r="P592" s="13" t="s">
        <v>30</v>
      </c>
      <c r="Q592" s="13">
        <v>0</v>
      </c>
      <c r="R592" s="15">
        <v>838.80000000000007</v>
      </c>
      <c r="S592" s="15">
        <v>0</v>
      </c>
      <c r="T592" s="15">
        <v>0</v>
      </c>
      <c r="U592" s="15">
        <v>838.80000000000007</v>
      </c>
      <c r="V592" s="15">
        <v>0</v>
      </c>
      <c r="W592" s="15">
        <v>838.80000000000007</v>
      </c>
      <c r="X592" s="15">
        <v>0</v>
      </c>
      <c r="Y592" s="16">
        <v>0</v>
      </c>
      <c r="Z592" s="67" t="s">
        <v>26</v>
      </c>
      <c r="AA592" s="12" t="s">
        <v>31</v>
      </c>
    </row>
    <row r="593" spans="1:27" x14ac:dyDescent="0.25">
      <c r="A593" s="10">
        <v>45667</v>
      </c>
      <c r="B593" s="11" t="s">
        <v>284</v>
      </c>
      <c r="C593" s="11" t="s">
        <v>1863</v>
      </c>
      <c r="D593" s="11" t="s">
        <v>26</v>
      </c>
      <c r="E593" s="11" t="s">
        <v>59</v>
      </c>
      <c r="F593" s="11" t="s">
        <v>26</v>
      </c>
      <c r="G593" s="11">
        <v>111977</v>
      </c>
      <c r="H593" s="12" t="s">
        <v>4446</v>
      </c>
      <c r="I593" s="12" t="s">
        <v>27</v>
      </c>
      <c r="J593" s="12" t="s">
        <v>33</v>
      </c>
      <c r="K593" s="12" t="s">
        <v>34</v>
      </c>
      <c r="L593" s="13">
        <v>34.880000000000003</v>
      </c>
      <c r="M593" s="13">
        <v>25</v>
      </c>
      <c r="N593" s="13">
        <v>1.3952</v>
      </c>
      <c r="O593" s="13">
        <v>44</v>
      </c>
      <c r="P593" s="13" t="s">
        <v>30</v>
      </c>
      <c r="Q593" s="13">
        <v>0</v>
      </c>
      <c r="R593" s="15">
        <v>1534.72</v>
      </c>
      <c r="S593" s="15">
        <v>0</v>
      </c>
      <c r="T593" s="15">
        <v>0</v>
      </c>
      <c r="U593" s="15">
        <v>1534.72</v>
      </c>
      <c r="V593" s="15">
        <v>1534.72</v>
      </c>
      <c r="W593" s="15">
        <v>0</v>
      </c>
      <c r="X593" s="15">
        <v>0</v>
      </c>
      <c r="Y593" s="16">
        <v>0</v>
      </c>
      <c r="Z593" s="67" t="s">
        <v>26</v>
      </c>
      <c r="AA593" s="12" t="s">
        <v>31</v>
      </c>
    </row>
    <row r="594" spans="1:27" x14ac:dyDescent="0.25">
      <c r="A594" s="10">
        <v>45667</v>
      </c>
      <c r="B594" s="11" t="s">
        <v>340</v>
      </c>
      <c r="C594" s="11" t="s">
        <v>1864</v>
      </c>
      <c r="D594" s="11" t="s">
        <v>26</v>
      </c>
      <c r="E594" s="11" t="s">
        <v>241</v>
      </c>
      <c r="F594" s="11" t="s">
        <v>26</v>
      </c>
      <c r="G594" s="11">
        <v>74960</v>
      </c>
      <c r="H594" s="12" t="s">
        <v>4448</v>
      </c>
      <c r="I594" s="12" t="s">
        <v>27</v>
      </c>
      <c r="J594" s="12" t="s">
        <v>42</v>
      </c>
      <c r="K594" s="12" t="s">
        <v>43</v>
      </c>
      <c r="L594" s="13">
        <v>42.2</v>
      </c>
      <c r="M594" s="13">
        <v>25</v>
      </c>
      <c r="N594" s="13">
        <v>1.6879999999999999</v>
      </c>
      <c r="O594" s="13">
        <v>42.5</v>
      </c>
      <c r="P594" s="13"/>
      <c r="Q594" s="13">
        <v>0</v>
      </c>
      <c r="R594" s="15">
        <v>1793.5000000000002</v>
      </c>
      <c r="S594" s="15">
        <v>0</v>
      </c>
      <c r="T594" s="15">
        <v>0</v>
      </c>
      <c r="U594" s="15">
        <v>1793.5000000000002</v>
      </c>
      <c r="V594" s="15">
        <v>1345.1250000000002</v>
      </c>
      <c r="W594" s="15">
        <v>448.375</v>
      </c>
      <c r="X594" s="15">
        <v>0</v>
      </c>
      <c r="Y594" s="16">
        <v>0</v>
      </c>
      <c r="Z594" s="67" t="s">
        <v>26</v>
      </c>
      <c r="AA594" s="12" t="s">
        <v>31</v>
      </c>
    </row>
    <row r="595" spans="1:27" x14ac:dyDescent="0.25">
      <c r="A595" s="10">
        <v>45667</v>
      </c>
      <c r="B595" s="11" t="s">
        <v>1865</v>
      </c>
      <c r="C595" s="11" t="s">
        <v>1866</v>
      </c>
      <c r="D595" s="11" t="s">
        <v>26</v>
      </c>
      <c r="E595" s="11" t="s">
        <v>180</v>
      </c>
      <c r="F595" s="11" t="s">
        <v>26</v>
      </c>
      <c r="G595" s="11" t="s">
        <v>35</v>
      </c>
      <c r="H595" s="12" t="s">
        <v>36</v>
      </c>
      <c r="I595" s="12" t="s">
        <v>55</v>
      </c>
      <c r="J595" s="12" t="s">
        <v>55</v>
      </c>
      <c r="K595" s="12" t="s">
        <v>56</v>
      </c>
      <c r="L595" s="13">
        <v>15.12</v>
      </c>
      <c r="M595" s="13">
        <v>10</v>
      </c>
      <c r="N595" s="13">
        <v>1.512</v>
      </c>
      <c r="O595" s="13">
        <v>20</v>
      </c>
      <c r="P595" s="13" t="s">
        <v>30</v>
      </c>
      <c r="Q595" s="13">
        <v>0</v>
      </c>
      <c r="R595" s="15">
        <v>302.39999999999998</v>
      </c>
      <c r="S595" s="15">
        <v>0</v>
      </c>
      <c r="T595" s="15">
        <v>0</v>
      </c>
      <c r="U595" s="15">
        <v>302.39999999999998</v>
      </c>
      <c r="V595" s="15">
        <v>0</v>
      </c>
      <c r="W595" s="15">
        <v>302.39999999999998</v>
      </c>
      <c r="X595" s="15">
        <v>0</v>
      </c>
      <c r="Y595" s="16">
        <v>0</v>
      </c>
      <c r="Z595" s="67" t="s">
        <v>26</v>
      </c>
      <c r="AA595" s="12" t="s">
        <v>31</v>
      </c>
    </row>
    <row r="596" spans="1:27" x14ac:dyDescent="0.25">
      <c r="A596" s="10">
        <v>45667</v>
      </c>
      <c r="B596" s="11" t="s">
        <v>1867</v>
      </c>
      <c r="C596" s="11" t="s">
        <v>1868</v>
      </c>
      <c r="D596" s="11" t="s">
        <v>26</v>
      </c>
      <c r="E596" s="11" t="s">
        <v>604</v>
      </c>
      <c r="F596" s="11" t="s">
        <v>26</v>
      </c>
      <c r="G596" s="11">
        <v>632</v>
      </c>
      <c r="H596" s="12" t="s">
        <v>141</v>
      </c>
      <c r="I596" s="12" t="s">
        <v>37</v>
      </c>
      <c r="J596" s="12" t="s">
        <v>85</v>
      </c>
      <c r="K596" s="12" t="s">
        <v>86</v>
      </c>
      <c r="L596" s="13">
        <v>38.04</v>
      </c>
      <c r="M596" s="13">
        <v>25</v>
      </c>
      <c r="N596" s="13">
        <v>1.5216000000000001</v>
      </c>
      <c r="O596" s="13">
        <v>29</v>
      </c>
      <c r="P596" s="13" t="s">
        <v>30</v>
      </c>
      <c r="Q596" s="13">
        <v>0</v>
      </c>
      <c r="R596" s="15">
        <v>1103.1600000000001</v>
      </c>
      <c r="S596" s="15">
        <v>0</v>
      </c>
      <c r="T596" s="15">
        <v>0</v>
      </c>
      <c r="U596" s="15">
        <v>1103.1600000000001</v>
      </c>
      <c r="V596" s="15">
        <v>0</v>
      </c>
      <c r="W596" s="15">
        <v>1103.1600000000001</v>
      </c>
      <c r="X596" s="15">
        <v>0</v>
      </c>
      <c r="Y596" s="16">
        <v>0</v>
      </c>
      <c r="Z596" s="67" t="s">
        <v>26</v>
      </c>
      <c r="AA596" s="12" t="s">
        <v>31</v>
      </c>
    </row>
    <row r="597" spans="1:27" x14ac:dyDescent="0.25">
      <c r="A597" s="10">
        <v>45667</v>
      </c>
      <c r="B597" s="11" t="s">
        <v>1869</v>
      </c>
      <c r="C597" s="11" t="s">
        <v>1870</v>
      </c>
      <c r="D597" s="11" t="s">
        <v>26</v>
      </c>
      <c r="E597" s="11" t="s">
        <v>461</v>
      </c>
      <c r="F597" s="11" t="s">
        <v>26</v>
      </c>
      <c r="G597" s="11">
        <v>39</v>
      </c>
      <c r="H597" s="12" t="s">
        <v>4444</v>
      </c>
      <c r="I597" s="12" t="s">
        <v>37</v>
      </c>
      <c r="J597" s="12" t="s">
        <v>85</v>
      </c>
      <c r="K597" s="12" t="s">
        <v>86</v>
      </c>
      <c r="L597" s="13">
        <v>28</v>
      </c>
      <c r="M597" s="13">
        <v>20</v>
      </c>
      <c r="N597" s="13">
        <v>1.4</v>
      </c>
      <c r="O597" s="13">
        <v>30</v>
      </c>
      <c r="P597" s="13" t="s">
        <v>30</v>
      </c>
      <c r="Q597" s="13">
        <v>0</v>
      </c>
      <c r="R597" s="14">
        <v>840</v>
      </c>
      <c r="S597" s="15">
        <v>0</v>
      </c>
      <c r="T597" s="15">
        <v>0</v>
      </c>
      <c r="U597" s="15">
        <v>840</v>
      </c>
      <c r="V597" s="15">
        <v>0</v>
      </c>
      <c r="W597" s="15">
        <v>840</v>
      </c>
      <c r="X597" s="15">
        <v>0</v>
      </c>
      <c r="Y597" s="16">
        <v>0</v>
      </c>
      <c r="Z597" s="67" t="s">
        <v>26</v>
      </c>
      <c r="AA597" s="12" t="s">
        <v>31</v>
      </c>
    </row>
    <row r="598" spans="1:27" x14ac:dyDescent="0.25">
      <c r="A598" s="10">
        <v>45667</v>
      </c>
      <c r="B598" s="11" t="s">
        <v>1871</v>
      </c>
      <c r="C598" s="11" t="s">
        <v>1872</v>
      </c>
      <c r="D598" s="11" t="s">
        <v>26</v>
      </c>
      <c r="E598" s="11" t="s">
        <v>552</v>
      </c>
      <c r="F598" s="11" t="s">
        <v>26</v>
      </c>
      <c r="G598" s="11">
        <v>69103</v>
      </c>
      <c r="H598" s="12" t="s">
        <v>4423</v>
      </c>
      <c r="I598" s="12" t="s">
        <v>27</v>
      </c>
      <c r="J598" s="12" t="s">
        <v>33</v>
      </c>
      <c r="K598" s="12" t="s">
        <v>34</v>
      </c>
      <c r="L598" s="13">
        <v>34.380000000000003</v>
      </c>
      <c r="M598" s="13">
        <v>25</v>
      </c>
      <c r="N598" s="13">
        <v>1.3752</v>
      </c>
      <c r="O598" s="13">
        <v>45</v>
      </c>
      <c r="P598" s="13" t="s">
        <v>30</v>
      </c>
      <c r="Q598" s="13">
        <v>0</v>
      </c>
      <c r="R598" s="15">
        <v>1547.1000000000001</v>
      </c>
      <c r="S598" s="15">
        <v>0</v>
      </c>
      <c r="T598" s="15">
        <v>0</v>
      </c>
      <c r="U598" s="15">
        <v>1547.1000000000001</v>
      </c>
      <c r="V598" s="15">
        <v>1547.1000000000001</v>
      </c>
      <c r="W598" s="15">
        <v>0</v>
      </c>
      <c r="X598" s="15">
        <v>0</v>
      </c>
      <c r="Y598" s="16">
        <v>0</v>
      </c>
      <c r="Z598" s="67" t="s">
        <v>26</v>
      </c>
      <c r="AA598" s="12" t="s">
        <v>31</v>
      </c>
    </row>
    <row r="599" spans="1:27" x14ac:dyDescent="0.25">
      <c r="A599" s="10">
        <v>45667</v>
      </c>
      <c r="B599" s="11" t="s">
        <v>1873</v>
      </c>
      <c r="C599" s="11" t="s">
        <v>1874</v>
      </c>
      <c r="D599" s="11" t="s">
        <v>26</v>
      </c>
      <c r="E599" s="11" t="s">
        <v>50</v>
      </c>
      <c r="F599" s="11" t="s">
        <v>26</v>
      </c>
      <c r="G599" s="11">
        <v>619</v>
      </c>
      <c r="H599" s="12" t="s">
        <v>163</v>
      </c>
      <c r="I599" s="12" t="s">
        <v>27</v>
      </c>
      <c r="J599" s="12" t="s">
        <v>42</v>
      </c>
      <c r="K599" s="12" t="s">
        <v>43</v>
      </c>
      <c r="L599" s="13">
        <v>42.22</v>
      </c>
      <c r="M599" s="13">
        <v>25</v>
      </c>
      <c r="N599" s="13">
        <v>1.6888000000000001</v>
      </c>
      <c r="O599" s="13" t="s">
        <v>30</v>
      </c>
      <c r="P599" s="13">
        <v>56</v>
      </c>
      <c r="Q599" s="13">
        <v>0</v>
      </c>
      <c r="R599" s="15">
        <v>1400</v>
      </c>
      <c r="S599" s="15">
        <v>0</v>
      </c>
      <c r="T599" s="15">
        <v>0</v>
      </c>
      <c r="U599" s="15">
        <v>1400</v>
      </c>
      <c r="V599" s="15">
        <v>0</v>
      </c>
      <c r="W599" s="15">
        <v>1400</v>
      </c>
      <c r="X599" s="15">
        <v>0</v>
      </c>
      <c r="Y599" s="16">
        <v>0</v>
      </c>
      <c r="Z599" s="67" t="s">
        <v>26</v>
      </c>
      <c r="AA599" s="12" t="s">
        <v>31</v>
      </c>
    </row>
    <row r="600" spans="1:27" x14ac:dyDescent="0.25">
      <c r="A600" s="10">
        <v>45667</v>
      </c>
      <c r="B600" s="11" t="s">
        <v>1875</v>
      </c>
      <c r="C600" s="11" t="s">
        <v>1876</v>
      </c>
      <c r="D600" s="11" t="s">
        <v>26</v>
      </c>
      <c r="E600" s="11" t="s">
        <v>80</v>
      </c>
      <c r="F600" s="11" t="s">
        <v>26</v>
      </c>
      <c r="G600" s="11">
        <v>10286</v>
      </c>
      <c r="H600" s="12" t="s">
        <v>140</v>
      </c>
      <c r="I600" s="12" t="s">
        <v>27</v>
      </c>
      <c r="J600" s="12" t="s">
        <v>42</v>
      </c>
      <c r="K600" s="12" t="s">
        <v>43</v>
      </c>
      <c r="L600" s="13">
        <v>42.7</v>
      </c>
      <c r="M600" s="13">
        <v>25</v>
      </c>
      <c r="N600" s="13">
        <v>1.708</v>
      </c>
      <c r="O600" s="13">
        <v>35</v>
      </c>
      <c r="P600" s="13"/>
      <c r="Q600" s="13">
        <v>0</v>
      </c>
      <c r="R600" s="14">
        <v>1494.5</v>
      </c>
      <c r="S600" s="15">
        <v>0</v>
      </c>
      <c r="T600" s="15">
        <v>0</v>
      </c>
      <c r="U600" s="15">
        <v>1494.5</v>
      </c>
      <c r="V600" s="15">
        <v>0</v>
      </c>
      <c r="W600" s="15">
        <v>1494.5</v>
      </c>
      <c r="X600" s="15">
        <v>0</v>
      </c>
      <c r="Y600" s="16">
        <v>0</v>
      </c>
      <c r="Z600" s="67" t="s">
        <v>26</v>
      </c>
      <c r="AA600" s="12" t="s">
        <v>31</v>
      </c>
    </row>
    <row r="601" spans="1:27" x14ac:dyDescent="0.25">
      <c r="A601" s="10">
        <v>45667</v>
      </c>
      <c r="B601" s="11" t="s">
        <v>1877</v>
      </c>
      <c r="C601" s="11" t="s">
        <v>1878</v>
      </c>
      <c r="D601" s="11" t="s">
        <v>26</v>
      </c>
      <c r="E601" s="11" t="s">
        <v>529</v>
      </c>
      <c r="F601" s="11" t="s">
        <v>26</v>
      </c>
      <c r="G601" s="11">
        <v>617</v>
      </c>
      <c r="H601" s="12" t="s">
        <v>163</v>
      </c>
      <c r="I601" s="12" t="s">
        <v>27</v>
      </c>
      <c r="J601" s="12" t="s">
        <v>47</v>
      </c>
      <c r="K601" s="12" t="s">
        <v>48</v>
      </c>
      <c r="L601" s="13">
        <v>36.5</v>
      </c>
      <c r="M601" s="13">
        <v>25</v>
      </c>
      <c r="N601" s="13">
        <v>1.46</v>
      </c>
      <c r="O601" s="13" t="s">
        <v>30</v>
      </c>
      <c r="P601" s="13">
        <v>58</v>
      </c>
      <c r="Q601" s="13">
        <v>0</v>
      </c>
      <c r="R601" s="15">
        <v>1450</v>
      </c>
      <c r="S601" s="15">
        <v>0</v>
      </c>
      <c r="T601" s="15">
        <v>0</v>
      </c>
      <c r="U601" s="15">
        <v>1450</v>
      </c>
      <c r="V601" s="15">
        <v>0</v>
      </c>
      <c r="W601" s="15">
        <v>1450</v>
      </c>
      <c r="X601" s="15">
        <v>0</v>
      </c>
      <c r="Y601" s="16">
        <v>0</v>
      </c>
      <c r="Z601" s="67" t="s">
        <v>26</v>
      </c>
      <c r="AA601" s="12" t="s">
        <v>31</v>
      </c>
    </row>
    <row r="602" spans="1:27" x14ac:dyDescent="0.25">
      <c r="A602" s="10">
        <v>45667</v>
      </c>
      <c r="B602" s="11" t="s">
        <v>1879</v>
      </c>
      <c r="C602" s="11" t="s">
        <v>1880</v>
      </c>
      <c r="D602" s="11" t="s">
        <v>26</v>
      </c>
      <c r="E602" s="11" t="s">
        <v>431</v>
      </c>
      <c r="F602" s="11" t="s">
        <v>26</v>
      </c>
      <c r="G602" s="11" t="s">
        <v>26</v>
      </c>
      <c r="H602" s="12" t="s">
        <v>4422</v>
      </c>
      <c r="I602" s="12" t="s">
        <v>27</v>
      </c>
      <c r="J602" s="12" t="s">
        <v>42</v>
      </c>
      <c r="K602" s="12" t="s">
        <v>43</v>
      </c>
      <c r="L602" s="13">
        <v>40.24</v>
      </c>
      <c r="M602" s="13">
        <v>25</v>
      </c>
      <c r="N602" s="13">
        <v>1.6095999999999999</v>
      </c>
      <c r="O602" s="13">
        <v>83</v>
      </c>
      <c r="P602" s="13" t="s">
        <v>30</v>
      </c>
      <c r="Q602" s="13">
        <v>0</v>
      </c>
      <c r="R602" s="14">
        <v>3339.92</v>
      </c>
      <c r="S602" s="15">
        <v>38</v>
      </c>
      <c r="T602" s="15">
        <v>1529.1200000000001</v>
      </c>
      <c r="U602" s="15">
        <v>1810.8</v>
      </c>
      <c r="V602" s="15">
        <v>1810.8</v>
      </c>
      <c r="W602" s="15">
        <v>0</v>
      </c>
      <c r="X602" s="15">
        <v>1448.64</v>
      </c>
      <c r="Y602" s="16">
        <v>80.480000000000018</v>
      </c>
      <c r="Z602" s="67" t="s">
        <v>6328</v>
      </c>
      <c r="AA602" s="12" t="s">
        <v>78</v>
      </c>
    </row>
    <row r="603" spans="1:27" x14ac:dyDescent="0.25">
      <c r="A603" s="10">
        <v>45667</v>
      </c>
      <c r="B603" s="11" t="s">
        <v>1881</v>
      </c>
      <c r="C603" s="11" t="s">
        <v>1882</v>
      </c>
      <c r="D603" s="11" t="s">
        <v>26</v>
      </c>
      <c r="E603" s="11" t="s">
        <v>506</v>
      </c>
      <c r="F603" s="11" t="s">
        <v>26</v>
      </c>
      <c r="G603" s="11">
        <v>1449</v>
      </c>
      <c r="H603" s="12" t="s">
        <v>45</v>
      </c>
      <c r="I603" s="12" t="s">
        <v>27</v>
      </c>
      <c r="J603" s="12" t="s">
        <v>33</v>
      </c>
      <c r="K603" s="12" t="s">
        <v>34</v>
      </c>
      <c r="L603" s="13">
        <v>37.18</v>
      </c>
      <c r="M603" s="13">
        <v>25</v>
      </c>
      <c r="N603" s="13">
        <v>1.4872000000000001</v>
      </c>
      <c r="O603" s="13" t="s">
        <v>30</v>
      </c>
      <c r="P603" s="13">
        <v>58</v>
      </c>
      <c r="Q603" s="13">
        <v>0</v>
      </c>
      <c r="R603" s="15">
        <v>1450</v>
      </c>
      <c r="S603" s="15">
        <v>0</v>
      </c>
      <c r="T603" s="15">
        <v>0</v>
      </c>
      <c r="U603" s="15">
        <v>1450</v>
      </c>
      <c r="V603" s="15">
        <v>0</v>
      </c>
      <c r="W603" s="15">
        <v>1450</v>
      </c>
      <c r="X603" s="15">
        <v>0</v>
      </c>
      <c r="Y603" s="16">
        <v>0</v>
      </c>
      <c r="Z603" s="67" t="s">
        <v>26</v>
      </c>
      <c r="AA603" s="12" t="s">
        <v>31</v>
      </c>
    </row>
    <row r="604" spans="1:27" x14ac:dyDescent="0.25">
      <c r="A604" s="10">
        <v>45667</v>
      </c>
      <c r="B604" s="11" t="s">
        <v>1883</v>
      </c>
      <c r="C604" s="11" t="s">
        <v>1884</v>
      </c>
      <c r="D604" s="11" t="s">
        <v>26</v>
      </c>
      <c r="E604" s="11" t="s">
        <v>371</v>
      </c>
      <c r="F604" s="11" t="s">
        <v>26</v>
      </c>
      <c r="G604" s="11" t="s">
        <v>35</v>
      </c>
      <c r="H604" s="12" t="s">
        <v>36</v>
      </c>
      <c r="I604" s="12" t="s">
        <v>55</v>
      </c>
      <c r="J604" s="12" t="s">
        <v>55</v>
      </c>
      <c r="K604" s="12" t="s">
        <v>56</v>
      </c>
      <c r="L604" s="13">
        <v>16.100000000000001</v>
      </c>
      <c r="M604" s="13">
        <v>10</v>
      </c>
      <c r="N604" s="13">
        <v>1.61</v>
      </c>
      <c r="O604" s="13">
        <v>20</v>
      </c>
      <c r="P604" s="13" t="s">
        <v>30</v>
      </c>
      <c r="Q604" s="14">
        <v>0</v>
      </c>
      <c r="R604" s="15">
        <v>322</v>
      </c>
      <c r="S604" s="15">
        <v>0</v>
      </c>
      <c r="T604" s="15">
        <v>0</v>
      </c>
      <c r="U604" s="15">
        <v>322</v>
      </c>
      <c r="V604" s="15">
        <v>0</v>
      </c>
      <c r="W604" s="15">
        <v>322</v>
      </c>
      <c r="X604" s="15">
        <v>0</v>
      </c>
      <c r="Y604" s="16">
        <v>0</v>
      </c>
      <c r="Z604" s="67" t="s">
        <v>26</v>
      </c>
      <c r="AA604" s="12" t="s">
        <v>31</v>
      </c>
    </row>
    <row r="605" spans="1:27" x14ac:dyDescent="0.25">
      <c r="A605" s="10">
        <v>45667</v>
      </c>
      <c r="B605" s="11" t="s">
        <v>1885</v>
      </c>
      <c r="C605" s="11" t="s">
        <v>1886</v>
      </c>
      <c r="D605" s="11" t="s">
        <v>26</v>
      </c>
      <c r="E605" s="11" t="s">
        <v>461</v>
      </c>
      <c r="F605" s="11" t="s">
        <v>26</v>
      </c>
      <c r="G605" s="11">
        <v>42</v>
      </c>
      <c r="H605" s="12" t="s">
        <v>4444</v>
      </c>
      <c r="I605" s="12" t="s">
        <v>55</v>
      </c>
      <c r="J605" s="12" t="s">
        <v>55</v>
      </c>
      <c r="K605" s="12" t="s">
        <v>56</v>
      </c>
      <c r="L605" s="13">
        <v>28.18</v>
      </c>
      <c r="M605" s="13">
        <v>20</v>
      </c>
      <c r="N605" s="13">
        <v>1.409</v>
      </c>
      <c r="O605" s="13">
        <v>15</v>
      </c>
      <c r="P605" s="13" t="s">
        <v>30</v>
      </c>
      <c r="Q605" s="13">
        <v>0</v>
      </c>
      <c r="R605" s="14">
        <v>422.7</v>
      </c>
      <c r="S605" s="15">
        <v>0</v>
      </c>
      <c r="T605" s="15">
        <v>0</v>
      </c>
      <c r="U605" s="15">
        <v>422.7</v>
      </c>
      <c r="V605" s="15">
        <v>0</v>
      </c>
      <c r="W605" s="15">
        <v>422.7</v>
      </c>
      <c r="X605" s="15">
        <v>0</v>
      </c>
      <c r="Y605" s="16">
        <v>0</v>
      </c>
      <c r="Z605" s="67" t="s">
        <v>26</v>
      </c>
      <c r="AA605" s="12" t="s">
        <v>31</v>
      </c>
    </row>
    <row r="606" spans="1:27" x14ac:dyDescent="0.25">
      <c r="A606" s="10">
        <v>45667</v>
      </c>
      <c r="B606" s="11" t="s">
        <v>1887</v>
      </c>
      <c r="C606" s="11" t="s">
        <v>1888</v>
      </c>
      <c r="D606" s="11" t="s">
        <v>26</v>
      </c>
      <c r="E606" s="11" t="s">
        <v>68</v>
      </c>
      <c r="F606" s="11" t="s">
        <v>26</v>
      </c>
      <c r="G606" s="11">
        <v>76351</v>
      </c>
      <c r="H606" s="12" t="s">
        <v>4448</v>
      </c>
      <c r="I606" s="12" t="s">
        <v>27</v>
      </c>
      <c r="J606" s="12" t="s">
        <v>47</v>
      </c>
      <c r="K606" s="12" t="s">
        <v>48</v>
      </c>
      <c r="L606" s="13">
        <v>39.72</v>
      </c>
      <c r="M606" s="13">
        <v>27</v>
      </c>
      <c r="N606" s="13">
        <v>1.471111111111111</v>
      </c>
      <c r="O606" s="13">
        <v>46.66</v>
      </c>
      <c r="P606" s="13" t="s">
        <v>30</v>
      </c>
      <c r="Q606" s="13">
        <v>0</v>
      </c>
      <c r="R606" s="15">
        <v>1853.3351999999998</v>
      </c>
      <c r="S606" s="15">
        <v>0</v>
      </c>
      <c r="T606" s="15">
        <v>0</v>
      </c>
      <c r="U606" s="15">
        <v>1853.3351999999998</v>
      </c>
      <c r="V606" s="15">
        <v>1390.0013999999999</v>
      </c>
      <c r="W606" s="15">
        <v>463.33379999999988</v>
      </c>
      <c r="X606" s="15">
        <v>0</v>
      </c>
      <c r="Y606" s="16">
        <v>0</v>
      </c>
      <c r="Z606" s="67" t="s">
        <v>26</v>
      </c>
      <c r="AA606" s="12" t="s">
        <v>31</v>
      </c>
    </row>
    <row r="607" spans="1:27" x14ac:dyDescent="0.25">
      <c r="A607" s="10">
        <v>45667</v>
      </c>
      <c r="B607" s="11" t="s">
        <v>1889</v>
      </c>
      <c r="C607" s="11" t="s">
        <v>1890</v>
      </c>
      <c r="D607" s="11" t="s">
        <v>26</v>
      </c>
      <c r="E607" s="11" t="s">
        <v>538</v>
      </c>
      <c r="F607" s="11" t="s">
        <v>26</v>
      </c>
      <c r="G607" s="11">
        <v>978</v>
      </c>
      <c r="H607" s="12" t="s">
        <v>163</v>
      </c>
      <c r="I607" s="12" t="s">
        <v>27</v>
      </c>
      <c r="J607" s="12" t="s">
        <v>42</v>
      </c>
      <c r="K607" s="12" t="s">
        <v>43</v>
      </c>
      <c r="L607" s="13">
        <v>41</v>
      </c>
      <c r="M607" s="13">
        <v>25</v>
      </c>
      <c r="N607" s="13">
        <v>1.64</v>
      </c>
      <c r="O607" s="13" t="s">
        <v>30</v>
      </c>
      <c r="P607" s="13">
        <v>56</v>
      </c>
      <c r="Q607" s="13">
        <v>0</v>
      </c>
      <c r="R607" s="14">
        <v>1400</v>
      </c>
      <c r="S607" s="15">
        <v>0</v>
      </c>
      <c r="T607" s="15">
        <v>0</v>
      </c>
      <c r="U607" s="15">
        <v>1400</v>
      </c>
      <c r="V607" s="15">
        <v>0</v>
      </c>
      <c r="W607" s="15">
        <v>1400</v>
      </c>
      <c r="X607" s="15">
        <v>0</v>
      </c>
      <c r="Y607" s="16">
        <v>0</v>
      </c>
      <c r="Z607" s="67" t="s">
        <v>26</v>
      </c>
      <c r="AA607" s="12" t="s">
        <v>31</v>
      </c>
    </row>
    <row r="608" spans="1:27" x14ac:dyDescent="0.25">
      <c r="A608" s="10">
        <v>45667</v>
      </c>
      <c r="B608" s="11" t="s">
        <v>1891</v>
      </c>
      <c r="C608" s="11" t="s">
        <v>1892</v>
      </c>
      <c r="D608" s="11" t="s">
        <v>26</v>
      </c>
      <c r="E608" s="11" t="s">
        <v>231</v>
      </c>
      <c r="F608" s="11" t="s">
        <v>26</v>
      </c>
      <c r="G608" s="11">
        <v>73743</v>
      </c>
      <c r="H608" s="12" t="s">
        <v>4448</v>
      </c>
      <c r="I608" s="12" t="s">
        <v>27</v>
      </c>
      <c r="J608" s="12" t="s">
        <v>42</v>
      </c>
      <c r="K608" s="12" t="s">
        <v>43</v>
      </c>
      <c r="L608" s="13">
        <v>41.6</v>
      </c>
      <c r="M608" s="13">
        <v>25</v>
      </c>
      <c r="N608" s="13">
        <v>1.6639999999999999</v>
      </c>
      <c r="O608" s="13">
        <v>42.5</v>
      </c>
      <c r="P608" s="13"/>
      <c r="Q608" s="13">
        <v>0</v>
      </c>
      <c r="R608" s="14">
        <v>1768</v>
      </c>
      <c r="S608" s="15">
        <v>0</v>
      </c>
      <c r="T608" s="15">
        <v>0</v>
      </c>
      <c r="U608" s="15">
        <v>1768</v>
      </c>
      <c r="V608" s="15">
        <v>1326</v>
      </c>
      <c r="W608" s="15">
        <v>442</v>
      </c>
      <c r="X608" s="15">
        <v>0</v>
      </c>
      <c r="Y608" s="16">
        <v>0</v>
      </c>
      <c r="Z608" s="67" t="s">
        <v>26</v>
      </c>
      <c r="AA608" s="12" t="s">
        <v>31</v>
      </c>
    </row>
    <row r="609" spans="1:27" x14ac:dyDescent="0.25">
      <c r="A609" s="10">
        <v>45667</v>
      </c>
      <c r="B609" s="11" t="s">
        <v>1893</v>
      </c>
      <c r="C609" s="11" t="s">
        <v>1894</v>
      </c>
      <c r="D609" s="11" t="s">
        <v>26</v>
      </c>
      <c r="E609" s="11" t="s">
        <v>98</v>
      </c>
      <c r="F609" s="11" t="s">
        <v>26</v>
      </c>
      <c r="G609" s="11">
        <v>10129</v>
      </c>
      <c r="H609" s="12" t="s">
        <v>140</v>
      </c>
      <c r="I609" s="12" t="s">
        <v>27</v>
      </c>
      <c r="J609" s="12" t="s">
        <v>33</v>
      </c>
      <c r="K609" s="12" t="s">
        <v>34</v>
      </c>
      <c r="L609" s="13">
        <v>40.78</v>
      </c>
      <c r="M609" s="13">
        <v>28</v>
      </c>
      <c r="N609" s="13">
        <v>1.456428571428571</v>
      </c>
      <c r="O609" s="13">
        <v>40</v>
      </c>
      <c r="P609" s="13"/>
      <c r="Q609" s="13">
        <v>0</v>
      </c>
      <c r="R609" s="14">
        <v>1631.2</v>
      </c>
      <c r="S609" s="15">
        <v>0</v>
      </c>
      <c r="T609" s="15">
        <v>0</v>
      </c>
      <c r="U609" s="15">
        <v>1631.2</v>
      </c>
      <c r="V609" s="15">
        <v>0</v>
      </c>
      <c r="W609" s="15">
        <v>1631.2</v>
      </c>
      <c r="X609" s="15">
        <v>0</v>
      </c>
      <c r="Y609" s="16">
        <v>0</v>
      </c>
      <c r="Z609" s="67" t="s">
        <v>26</v>
      </c>
      <c r="AA609" s="12" t="s">
        <v>31</v>
      </c>
    </row>
    <row r="610" spans="1:27" x14ac:dyDescent="0.25">
      <c r="A610" s="10">
        <v>45667</v>
      </c>
      <c r="B610" s="11" t="s">
        <v>707</v>
      </c>
      <c r="C610" s="11" t="s">
        <v>1895</v>
      </c>
      <c r="D610" s="11" t="s">
        <v>26</v>
      </c>
      <c r="E610" s="11" t="s">
        <v>180</v>
      </c>
      <c r="F610" s="11" t="s">
        <v>26</v>
      </c>
      <c r="G610" s="11" t="s">
        <v>35</v>
      </c>
      <c r="H610" s="12" t="s">
        <v>36</v>
      </c>
      <c r="I610" s="12" t="s">
        <v>55</v>
      </c>
      <c r="J610" s="12" t="s">
        <v>55</v>
      </c>
      <c r="K610" s="12" t="s">
        <v>56</v>
      </c>
      <c r="L610" s="13">
        <v>14.94</v>
      </c>
      <c r="M610" s="13">
        <v>10</v>
      </c>
      <c r="N610" s="13">
        <v>1.494</v>
      </c>
      <c r="O610" s="13">
        <v>20</v>
      </c>
      <c r="P610" s="13" t="s">
        <v>30</v>
      </c>
      <c r="Q610" s="13">
        <v>0</v>
      </c>
      <c r="R610" s="14">
        <v>298.8</v>
      </c>
      <c r="S610" s="15">
        <v>0</v>
      </c>
      <c r="T610" s="15">
        <v>0</v>
      </c>
      <c r="U610" s="15">
        <v>298.8</v>
      </c>
      <c r="V610" s="15">
        <v>0</v>
      </c>
      <c r="W610" s="15">
        <v>298.8</v>
      </c>
      <c r="X610" s="15">
        <v>0</v>
      </c>
      <c r="Y610" s="16">
        <v>0</v>
      </c>
      <c r="Z610" s="67" t="s">
        <v>26</v>
      </c>
      <c r="AA610" s="12" t="s">
        <v>31</v>
      </c>
    </row>
    <row r="611" spans="1:27" x14ac:dyDescent="0.25">
      <c r="A611" s="10">
        <v>45667</v>
      </c>
      <c r="B611" s="11" t="s">
        <v>1896</v>
      </c>
      <c r="C611" s="11" t="s">
        <v>1897</v>
      </c>
      <c r="D611" s="11" t="s">
        <v>26</v>
      </c>
      <c r="E611" s="11" t="s">
        <v>74</v>
      </c>
      <c r="F611" s="11" t="s">
        <v>26</v>
      </c>
      <c r="G611" s="11">
        <v>1312</v>
      </c>
      <c r="H611" s="12" t="s">
        <v>70</v>
      </c>
      <c r="I611" s="12" t="s">
        <v>27</v>
      </c>
      <c r="J611" s="12" t="s">
        <v>33</v>
      </c>
      <c r="K611" s="12" t="s">
        <v>34</v>
      </c>
      <c r="L611" s="13">
        <v>38.700000000000003</v>
      </c>
      <c r="M611" s="13">
        <v>25</v>
      </c>
      <c r="N611" s="13">
        <v>1.548</v>
      </c>
      <c r="O611" s="13" t="s">
        <v>30</v>
      </c>
      <c r="P611" s="13">
        <v>60</v>
      </c>
      <c r="Q611" s="13">
        <v>0</v>
      </c>
      <c r="R611" s="15">
        <v>1500</v>
      </c>
      <c r="S611" s="15">
        <v>0</v>
      </c>
      <c r="T611" s="15">
        <v>0</v>
      </c>
      <c r="U611" s="15">
        <v>1500</v>
      </c>
      <c r="V611" s="15">
        <v>0</v>
      </c>
      <c r="W611" s="15">
        <v>1500</v>
      </c>
      <c r="X611" s="15">
        <v>0</v>
      </c>
      <c r="Y611" s="16">
        <v>0</v>
      </c>
      <c r="Z611" s="67" t="s">
        <v>26</v>
      </c>
      <c r="AA611" s="12" t="s">
        <v>31</v>
      </c>
    </row>
    <row r="612" spans="1:27" x14ac:dyDescent="0.25">
      <c r="A612" s="10">
        <v>45667</v>
      </c>
      <c r="B612" s="11" t="s">
        <v>422</v>
      </c>
      <c r="C612" s="11" t="s">
        <v>1898</v>
      </c>
      <c r="D612" s="11" t="s">
        <v>26</v>
      </c>
      <c r="E612" s="11" t="s">
        <v>224</v>
      </c>
      <c r="F612" s="11" t="s">
        <v>26</v>
      </c>
      <c r="G612" s="11">
        <v>57842</v>
      </c>
      <c r="H612" s="12" t="s">
        <v>4423</v>
      </c>
      <c r="I612" s="12" t="s">
        <v>27</v>
      </c>
      <c r="J612" s="12" t="s">
        <v>33</v>
      </c>
      <c r="K612" s="12" t="s">
        <v>34</v>
      </c>
      <c r="L612" s="13">
        <v>35.28</v>
      </c>
      <c r="M612" s="13">
        <v>25</v>
      </c>
      <c r="N612" s="13">
        <v>1.4112</v>
      </c>
      <c r="O612" s="13">
        <v>45</v>
      </c>
      <c r="P612" s="13" t="s">
        <v>30</v>
      </c>
      <c r="Q612" s="13">
        <v>0</v>
      </c>
      <c r="R612" s="15">
        <v>1587.6000000000001</v>
      </c>
      <c r="S612" s="15">
        <v>0</v>
      </c>
      <c r="T612" s="15">
        <v>0</v>
      </c>
      <c r="U612" s="15">
        <v>1587.6000000000001</v>
      </c>
      <c r="V612" s="15">
        <v>1587.6000000000001</v>
      </c>
      <c r="W612" s="15">
        <v>0</v>
      </c>
      <c r="X612" s="15">
        <v>0</v>
      </c>
      <c r="Y612" s="16">
        <v>0</v>
      </c>
      <c r="Z612" s="67" t="s">
        <v>26</v>
      </c>
      <c r="AA612" s="12" t="s">
        <v>31</v>
      </c>
    </row>
    <row r="613" spans="1:27" x14ac:dyDescent="0.25">
      <c r="A613" s="10">
        <v>45667</v>
      </c>
      <c r="B613" s="11" t="s">
        <v>1370</v>
      </c>
      <c r="C613" s="11" t="s">
        <v>1899</v>
      </c>
      <c r="D613" s="11" t="s">
        <v>26</v>
      </c>
      <c r="E613" s="11" t="s">
        <v>461</v>
      </c>
      <c r="F613" s="11" t="s">
        <v>26</v>
      </c>
      <c r="G613" s="11">
        <v>44</v>
      </c>
      <c r="H613" s="12" t="s">
        <v>4444</v>
      </c>
      <c r="I613" s="12" t="s">
        <v>55</v>
      </c>
      <c r="J613" s="12" t="s">
        <v>55</v>
      </c>
      <c r="K613" s="12" t="s">
        <v>56</v>
      </c>
      <c r="L613" s="13">
        <v>30.86</v>
      </c>
      <c r="M613" s="13">
        <v>20</v>
      </c>
      <c r="N613" s="13">
        <v>1.5429999999999999</v>
      </c>
      <c r="O613" s="13">
        <v>15</v>
      </c>
      <c r="P613" s="13" t="s">
        <v>30</v>
      </c>
      <c r="Q613" s="13">
        <v>0</v>
      </c>
      <c r="R613" s="15">
        <v>462.9</v>
      </c>
      <c r="S613" s="15">
        <v>0</v>
      </c>
      <c r="T613" s="15">
        <v>0</v>
      </c>
      <c r="U613" s="15">
        <v>462.9</v>
      </c>
      <c r="V613" s="15">
        <v>0</v>
      </c>
      <c r="W613" s="15">
        <v>462.9</v>
      </c>
      <c r="X613" s="15">
        <v>0</v>
      </c>
      <c r="Y613" s="16">
        <v>0</v>
      </c>
      <c r="Z613" s="67" t="s">
        <v>26</v>
      </c>
      <c r="AA613" s="12" t="s">
        <v>31</v>
      </c>
    </row>
    <row r="614" spans="1:27" x14ac:dyDescent="0.25">
      <c r="A614" s="10">
        <v>45667</v>
      </c>
      <c r="B614" s="11" t="s">
        <v>1900</v>
      </c>
      <c r="C614" s="11" t="s">
        <v>1901</v>
      </c>
      <c r="D614" s="11" t="s">
        <v>26</v>
      </c>
      <c r="E614" s="11" t="s">
        <v>63</v>
      </c>
      <c r="F614" s="11" t="s">
        <v>26</v>
      </c>
      <c r="G614" s="11">
        <v>10162</v>
      </c>
      <c r="H614" s="12" t="s">
        <v>140</v>
      </c>
      <c r="I614" s="12" t="s">
        <v>27</v>
      </c>
      <c r="J614" s="12" t="s">
        <v>33</v>
      </c>
      <c r="K614" s="12" t="s">
        <v>34</v>
      </c>
      <c r="L614" s="13">
        <v>41.94</v>
      </c>
      <c r="M614" s="13">
        <v>29</v>
      </c>
      <c r="N614" s="13">
        <v>1.4462068965517241</v>
      </c>
      <c r="O614" s="13">
        <v>40</v>
      </c>
      <c r="P614" s="13"/>
      <c r="Q614" s="13">
        <v>0</v>
      </c>
      <c r="R614" s="15">
        <v>1677.6</v>
      </c>
      <c r="S614" s="15">
        <v>0</v>
      </c>
      <c r="T614" s="15">
        <v>0</v>
      </c>
      <c r="U614" s="15">
        <v>1677.6</v>
      </c>
      <c r="V614" s="15">
        <v>0</v>
      </c>
      <c r="W614" s="15">
        <v>1677.6</v>
      </c>
      <c r="X614" s="15">
        <v>0</v>
      </c>
      <c r="Y614" s="16">
        <v>0</v>
      </c>
      <c r="Z614" s="67" t="s">
        <v>26</v>
      </c>
      <c r="AA614" s="12" t="s">
        <v>31</v>
      </c>
    </row>
    <row r="615" spans="1:27" x14ac:dyDescent="0.25">
      <c r="A615" s="10">
        <v>45667</v>
      </c>
      <c r="B615" s="11" t="s">
        <v>290</v>
      </c>
      <c r="C615" s="11" t="s">
        <v>1902</v>
      </c>
      <c r="D615" s="11" t="s">
        <v>26</v>
      </c>
      <c r="E615" s="11" t="s">
        <v>570</v>
      </c>
      <c r="F615" s="11" t="s">
        <v>26</v>
      </c>
      <c r="G615" s="11">
        <v>10318</v>
      </c>
      <c r="H615" s="12" t="s">
        <v>140</v>
      </c>
      <c r="I615" s="12" t="s">
        <v>27</v>
      </c>
      <c r="J615" s="12" t="s">
        <v>42</v>
      </c>
      <c r="K615" s="12" t="s">
        <v>43</v>
      </c>
      <c r="L615" s="13">
        <v>44</v>
      </c>
      <c r="M615" s="13">
        <v>25</v>
      </c>
      <c r="N615" s="13">
        <v>1.76</v>
      </c>
      <c r="O615" s="13">
        <v>35</v>
      </c>
      <c r="P615" s="13"/>
      <c r="Q615" s="13">
        <v>0</v>
      </c>
      <c r="R615" s="15">
        <v>1540</v>
      </c>
      <c r="S615" s="15">
        <v>0</v>
      </c>
      <c r="T615" s="15">
        <v>0</v>
      </c>
      <c r="U615" s="15">
        <v>1540</v>
      </c>
      <c r="V615" s="15">
        <v>0</v>
      </c>
      <c r="W615" s="15">
        <v>1540</v>
      </c>
      <c r="X615" s="15">
        <v>0</v>
      </c>
      <c r="Y615" s="16">
        <v>0</v>
      </c>
      <c r="Z615" s="67" t="s">
        <v>26</v>
      </c>
      <c r="AA615" s="12" t="s">
        <v>31</v>
      </c>
    </row>
    <row r="616" spans="1:27" x14ac:dyDescent="0.25">
      <c r="A616" s="10">
        <v>45667</v>
      </c>
      <c r="B616" s="11" t="s">
        <v>414</v>
      </c>
      <c r="C616" s="11" t="s">
        <v>1903</v>
      </c>
      <c r="D616" s="11" t="s">
        <v>26</v>
      </c>
      <c r="E616" s="11" t="s">
        <v>1200</v>
      </c>
      <c r="F616" s="11" t="s">
        <v>26</v>
      </c>
      <c r="G616" s="11">
        <v>979</v>
      </c>
      <c r="H616" s="12" t="s">
        <v>163</v>
      </c>
      <c r="I616" s="12" t="s">
        <v>27</v>
      </c>
      <c r="J616" s="12" t="s">
        <v>28</v>
      </c>
      <c r="K616" s="12" t="s">
        <v>29</v>
      </c>
      <c r="L616" s="13">
        <v>38.72</v>
      </c>
      <c r="M616" s="13">
        <v>25</v>
      </c>
      <c r="N616" s="13">
        <v>1.5488</v>
      </c>
      <c r="O616" s="13" t="s">
        <v>30</v>
      </c>
      <c r="P616" s="13">
        <v>40</v>
      </c>
      <c r="Q616" s="13">
        <v>0</v>
      </c>
      <c r="R616" s="15">
        <v>1000</v>
      </c>
      <c r="S616" s="15">
        <v>0</v>
      </c>
      <c r="T616" s="15">
        <v>0</v>
      </c>
      <c r="U616" s="15">
        <v>1000</v>
      </c>
      <c r="V616" s="15">
        <v>0</v>
      </c>
      <c r="W616" s="15">
        <v>1000</v>
      </c>
      <c r="X616" s="15">
        <v>0</v>
      </c>
      <c r="Y616" s="16">
        <v>0</v>
      </c>
      <c r="Z616" s="67" t="s">
        <v>26</v>
      </c>
      <c r="AA616" s="12" t="s">
        <v>31</v>
      </c>
    </row>
    <row r="617" spans="1:27" x14ac:dyDescent="0.25">
      <c r="A617" s="10">
        <v>45667</v>
      </c>
      <c r="B617" s="11" t="s">
        <v>1904</v>
      </c>
      <c r="C617" s="11" t="s">
        <v>1905</v>
      </c>
      <c r="D617" s="11" t="s">
        <v>26</v>
      </c>
      <c r="E617" s="11" t="s">
        <v>75</v>
      </c>
      <c r="F617" s="11" t="s">
        <v>26</v>
      </c>
      <c r="G617" s="11">
        <v>42003</v>
      </c>
      <c r="H617" s="12" t="s">
        <v>565</v>
      </c>
      <c r="I617" s="12" t="s">
        <v>55</v>
      </c>
      <c r="J617" s="12" t="s">
        <v>55</v>
      </c>
      <c r="K617" s="12" t="s">
        <v>56</v>
      </c>
      <c r="L617" s="13">
        <v>42.72</v>
      </c>
      <c r="M617" s="13">
        <v>25</v>
      </c>
      <c r="N617" s="13">
        <v>1.7088000000000001</v>
      </c>
      <c r="O617" s="13"/>
      <c r="P617" s="13">
        <v>24</v>
      </c>
      <c r="Q617" s="13">
        <v>0</v>
      </c>
      <c r="R617" s="14">
        <v>600</v>
      </c>
      <c r="S617" s="15">
        <v>0</v>
      </c>
      <c r="T617" s="15">
        <v>0</v>
      </c>
      <c r="U617" s="15">
        <v>600</v>
      </c>
      <c r="V617" s="15">
        <v>0</v>
      </c>
      <c r="W617" s="15">
        <v>600</v>
      </c>
      <c r="X617" s="15">
        <v>0</v>
      </c>
      <c r="Y617" s="16">
        <v>0</v>
      </c>
      <c r="Z617" s="67" t="s">
        <v>26</v>
      </c>
      <c r="AA617" s="12" t="s">
        <v>31</v>
      </c>
    </row>
    <row r="618" spans="1:27" x14ac:dyDescent="0.25">
      <c r="A618" s="10">
        <v>45667</v>
      </c>
      <c r="B618" s="11" t="s">
        <v>1906</v>
      </c>
      <c r="C618" s="11" t="s">
        <v>1907</v>
      </c>
      <c r="D618" s="11" t="s">
        <v>26</v>
      </c>
      <c r="E618" s="11" t="s">
        <v>589</v>
      </c>
      <c r="F618" s="11" t="s">
        <v>26</v>
      </c>
      <c r="G618" s="11">
        <v>4571</v>
      </c>
      <c r="H618" s="12" t="s">
        <v>4423</v>
      </c>
      <c r="I618" s="12" t="s">
        <v>27</v>
      </c>
      <c r="J618" s="12" t="s">
        <v>33</v>
      </c>
      <c r="K618" s="12" t="s">
        <v>34</v>
      </c>
      <c r="L618" s="13">
        <v>34.32</v>
      </c>
      <c r="M618" s="13">
        <v>25</v>
      </c>
      <c r="N618" s="13">
        <v>1.3728</v>
      </c>
      <c r="O618" s="13">
        <v>45</v>
      </c>
      <c r="P618" s="13" t="s">
        <v>30</v>
      </c>
      <c r="Q618" s="13">
        <v>0</v>
      </c>
      <c r="R618" s="15">
        <v>1544.4</v>
      </c>
      <c r="S618" s="15">
        <v>0</v>
      </c>
      <c r="T618" s="15">
        <v>0</v>
      </c>
      <c r="U618" s="15">
        <v>1544.4</v>
      </c>
      <c r="V618" s="15">
        <v>1544.4</v>
      </c>
      <c r="W618" s="15">
        <v>0</v>
      </c>
      <c r="X618" s="15">
        <v>0</v>
      </c>
      <c r="Y618" s="16">
        <v>0</v>
      </c>
      <c r="Z618" s="67" t="s">
        <v>26</v>
      </c>
      <c r="AA618" s="12" t="s">
        <v>31</v>
      </c>
    </row>
    <row r="619" spans="1:27" x14ac:dyDescent="0.25">
      <c r="A619" s="10">
        <v>45667</v>
      </c>
      <c r="B619" s="11" t="s">
        <v>125</v>
      </c>
      <c r="C619" s="11" t="s">
        <v>1908</v>
      </c>
      <c r="D619" s="11" t="s">
        <v>26</v>
      </c>
      <c r="E619" s="11" t="s">
        <v>65</v>
      </c>
      <c r="F619" s="11" t="s">
        <v>26</v>
      </c>
      <c r="G619" s="11">
        <v>1555</v>
      </c>
      <c r="H619" s="12" t="s">
        <v>66</v>
      </c>
      <c r="I619" s="12" t="s">
        <v>37</v>
      </c>
      <c r="J619" s="12" t="s">
        <v>1909</v>
      </c>
      <c r="K619" s="12" t="s">
        <v>82</v>
      </c>
      <c r="L619" s="13">
        <v>39.64</v>
      </c>
      <c r="M619" s="13">
        <v>25</v>
      </c>
      <c r="N619" s="13">
        <v>1.5855999999999999</v>
      </c>
      <c r="O619" s="13" t="s">
        <v>30</v>
      </c>
      <c r="P619" s="13">
        <v>54</v>
      </c>
      <c r="Q619" s="13">
        <v>0</v>
      </c>
      <c r="R619" s="14">
        <v>1350</v>
      </c>
      <c r="S619" s="15">
        <v>0</v>
      </c>
      <c r="T619" s="15">
        <v>0</v>
      </c>
      <c r="U619" s="15">
        <v>1350</v>
      </c>
      <c r="V619" s="15">
        <v>1350</v>
      </c>
      <c r="W619" s="15">
        <v>0</v>
      </c>
      <c r="X619" s="15">
        <v>0</v>
      </c>
      <c r="Y619" s="16">
        <v>0</v>
      </c>
      <c r="Z619" s="67" t="s">
        <v>26</v>
      </c>
      <c r="AA619" s="12" t="s">
        <v>31</v>
      </c>
    </row>
    <row r="620" spans="1:27" x14ac:dyDescent="0.25">
      <c r="A620" s="10">
        <v>45667</v>
      </c>
      <c r="B620" s="11" t="s">
        <v>749</v>
      </c>
      <c r="C620" s="11" t="s">
        <v>1910</v>
      </c>
      <c r="D620" s="11" t="s">
        <v>26</v>
      </c>
      <c r="E620" s="11" t="s">
        <v>461</v>
      </c>
      <c r="F620" s="11" t="s">
        <v>26</v>
      </c>
      <c r="G620" s="11">
        <v>43</v>
      </c>
      <c r="H620" s="12" t="s">
        <v>4444</v>
      </c>
      <c r="I620" s="12" t="s">
        <v>37</v>
      </c>
      <c r="J620" s="12" t="s">
        <v>85</v>
      </c>
      <c r="K620" s="12" t="s">
        <v>86</v>
      </c>
      <c r="L620" s="13">
        <v>29.44</v>
      </c>
      <c r="M620" s="13">
        <v>20</v>
      </c>
      <c r="N620" s="13">
        <v>1.472</v>
      </c>
      <c r="O620" s="13">
        <v>30</v>
      </c>
      <c r="P620" s="13" t="s">
        <v>30</v>
      </c>
      <c r="Q620" s="13">
        <v>0</v>
      </c>
      <c r="R620" s="14">
        <v>883.2</v>
      </c>
      <c r="S620" s="15">
        <v>0</v>
      </c>
      <c r="T620" s="15">
        <v>0</v>
      </c>
      <c r="U620" s="15">
        <v>883.2</v>
      </c>
      <c r="V620" s="15">
        <v>0</v>
      </c>
      <c r="W620" s="15">
        <v>883.2</v>
      </c>
      <c r="X620" s="15">
        <v>0</v>
      </c>
      <c r="Y620" s="16">
        <v>0</v>
      </c>
      <c r="Z620" s="67" t="s">
        <v>26</v>
      </c>
      <c r="AA620" s="12" t="s">
        <v>31</v>
      </c>
    </row>
    <row r="621" spans="1:27" x14ac:dyDescent="0.25">
      <c r="A621" s="10">
        <v>45667</v>
      </c>
      <c r="B621" s="11" t="s">
        <v>1911</v>
      </c>
      <c r="C621" s="11" t="s">
        <v>1912</v>
      </c>
      <c r="D621" s="11" t="s">
        <v>26</v>
      </c>
      <c r="E621" s="11" t="s">
        <v>53</v>
      </c>
      <c r="F621" s="11" t="s">
        <v>26</v>
      </c>
      <c r="G621" s="11" t="s">
        <v>26</v>
      </c>
      <c r="H621" s="12" t="s">
        <v>4422</v>
      </c>
      <c r="I621" s="12" t="s">
        <v>27</v>
      </c>
      <c r="J621" s="12" t="s">
        <v>47</v>
      </c>
      <c r="K621" s="12" t="s">
        <v>48</v>
      </c>
      <c r="L621" s="13">
        <v>42.42</v>
      </c>
      <c r="M621" s="13">
        <v>29</v>
      </c>
      <c r="N621" s="13">
        <v>1.462758620689655</v>
      </c>
      <c r="O621" s="13">
        <v>87</v>
      </c>
      <c r="P621" s="13" t="s">
        <v>30</v>
      </c>
      <c r="Q621" s="13">
        <v>0</v>
      </c>
      <c r="R621" s="14">
        <v>3690.54</v>
      </c>
      <c r="S621" s="15">
        <v>38</v>
      </c>
      <c r="T621" s="15">
        <v>1611.96</v>
      </c>
      <c r="U621" s="15">
        <v>2078.58</v>
      </c>
      <c r="V621" s="15">
        <v>2078.58</v>
      </c>
      <c r="W621" s="15">
        <v>0</v>
      </c>
      <c r="X621" s="15">
        <v>1569.54</v>
      </c>
      <c r="Y621" s="16">
        <v>42.420000000000073</v>
      </c>
      <c r="Z621" s="67" t="s">
        <v>41</v>
      </c>
      <c r="AA621" s="12" t="s">
        <v>78</v>
      </c>
    </row>
    <row r="622" spans="1:27" x14ac:dyDescent="0.25">
      <c r="A622" s="10">
        <v>45667</v>
      </c>
      <c r="B622" s="11" t="s">
        <v>1913</v>
      </c>
      <c r="C622" s="11" t="s">
        <v>1914</v>
      </c>
      <c r="D622" s="11" t="s">
        <v>26</v>
      </c>
      <c r="E622" s="11" t="s">
        <v>371</v>
      </c>
      <c r="F622" s="11" t="s">
        <v>26</v>
      </c>
      <c r="G622" s="11" t="s">
        <v>35</v>
      </c>
      <c r="H622" s="12" t="s">
        <v>36</v>
      </c>
      <c r="I622" s="12" t="s">
        <v>55</v>
      </c>
      <c r="J622" s="12" t="s">
        <v>55</v>
      </c>
      <c r="K622" s="12" t="s">
        <v>56</v>
      </c>
      <c r="L622" s="13">
        <v>15.44</v>
      </c>
      <c r="M622" s="13">
        <v>10</v>
      </c>
      <c r="N622" s="13">
        <v>1.544</v>
      </c>
      <c r="O622" s="13">
        <v>20</v>
      </c>
      <c r="P622" s="13" t="s">
        <v>30</v>
      </c>
      <c r="Q622" s="13">
        <v>0</v>
      </c>
      <c r="R622" s="14">
        <v>308.8</v>
      </c>
      <c r="S622" s="15">
        <v>0</v>
      </c>
      <c r="T622" s="15">
        <v>0</v>
      </c>
      <c r="U622" s="15">
        <v>308.8</v>
      </c>
      <c r="V622" s="15">
        <v>0</v>
      </c>
      <c r="W622" s="15">
        <v>308.8</v>
      </c>
      <c r="X622" s="15">
        <v>0</v>
      </c>
      <c r="Y622" s="16">
        <v>0</v>
      </c>
      <c r="Z622" s="67" t="s">
        <v>26</v>
      </c>
      <c r="AA622" s="12" t="s">
        <v>31</v>
      </c>
    </row>
    <row r="623" spans="1:27" x14ac:dyDescent="0.25">
      <c r="A623" s="10">
        <v>45667</v>
      </c>
      <c r="B623" s="11" t="s">
        <v>1915</v>
      </c>
      <c r="C623" s="11" t="s">
        <v>1916</v>
      </c>
      <c r="D623" s="11" t="s">
        <v>26</v>
      </c>
      <c r="E623" s="11" t="s">
        <v>69</v>
      </c>
      <c r="F623" s="11" t="s">
        <v>26</v>
      </c>
      <c r="G623" s="11">
        <v>4683</v>
      </c>
      <c r="H623" s="12" t="s">
        <v>70</v>
      </c>
      <c r="I623" s="12" t="s">
        <v>27</v>
      </c>
      <c r="J623" s="12" t="s">
        <v>42</v>
      </c>
      <c r="K623" s="12" t="s">
        <v>43</v>
      </c>
      <c r="L623" s="13">
        <v>41.72</v>
      </c>
      <c r="M623" s="13">
        <v>25</v>
      </c>
      <c r="N623" s="13">
        <v>1.6688000000000001</v>
      </c>
      <c r="O623" s="13" t="s">
        <v>30</v>
      </c>
      <c r="P623" s="13">
        <v>64</v>
      </c>
      <c r="Q623" s="13">
        <v>0</v>
      </c>
      <c r="R623" s="15">
        <v>1600</v>
      </c>
      <c r="S623" s="15">
        <v>0</v>
      </c>
      <c r="T623" s="15">
        <v>0</v>
      </c>
      <c r="U623" s="15">
        <v>1600</v>
      </c>
      <c r="V623" s="15">
        <v>0</v>
      </c>
      <c r="W623" s="15">
        <v>1600</v>
      </c>
      <c r="X623" s="15">
        <v>0</v>
      </c>
      <c r="Y623" s="16">
        <v>0</v>
      </c>
      <c r="Z623" s="67" t="s">
        <v>26</v>
      </c>
      <c r="AA623" s="12" t="s">
        <v>31</v>
      </c>
    </row>
    <row r="624" spans="1:27" x14ac:dyDescent="0.25">
      <c r="A624" s="10">
        <v>45667</v>
      </c>
      <c r="B624" s="11" t="s">
        <v>1917</v>
      </c>
      <c r="C624" s="11" t="s">
        <v>1918</v>
      </c>
      <c r="D624" s="11" t="s">
        <v>26</v>
      </c>
      <c r="E624" s="11" t="s">
        <v>505</v>
      </c>
      <c r="F624" s="11" t="s">
        <v>26</v>
      </c>
      <c r="G624" s="11">
        <v>633</v>
      </c>
      <c r="H624" s="12" t="s">
        <v>141</v>
      </c>
      <c r="I624" s="12" t="s">
        <v>37</v>
      </c>
      <c r="J624" s="12" t="s">
        <v>85</v>
      </c>
      <c r="K624" s="12" t="s">
        <v>86</v>
      </c>
      <c r="L624" s="13">
        <v>38.44</v>
      </c>
      <c r="M624" s="13">
        <v>25</v>
      </c>
      <c r="N624" s="13">
        <v>1.5376000000000001</v>
      </c>
      <c r="O624" s="13">
        <v>29</v>
      </c>
      <c r="P624" s="13" t="s">
        <v>30</v>
      </c>
      <c r="Q624" s="13">
        <v>0</v>
      </c>
      <c r="R624" s="15">
        <v>1114.76</v>
      </c>
      <c r="S624" s="15">
        <v>0</v>
      </c>
      <c r="T624" s="15">
        <v>0</v>
      </c>
      <c r="U624" s="15">
        <v>1114.76</v>
      </c>
      <c r="V624" s="15">
        <v>0</v>
      </c>
      <c r="W624" s="15">
        <v>1114.76</v>
      </c>
      <c r="X624" s="15">
        <v>0</v>
      </c>
      <c r="Y624" s="16">
        <v>0</v>
      </c>
      <c r="Z624" s="67" t="s">
        <v>26</v>
      </c>
      <c r="AA624" s="12" t="s">
        <v>31</v>
      </c>
    </row>
    <row r="625" spans="1:27" x14ac:dyDescent="0.25">
      <c r="A625" s="10">
        <v>45667</v>
      </c>
      <c r="B625" s="11" t="s">
        <v>1919</v>
      </c>
      <c r="C625" s="11" t="s">
        <v>1920</v>
      </c>
      <c r="D625" s="11" t="s">
        <v>26</v>
      </c>
      <c r="E625" s="11" t="s">
        <v>461</v>
      </c>
      <c r="F625" s="11" t="s">
        <v>26</v>
      </c>
      <c r="G625" s="11">
        <v>45</v>
      </c>
      <c r="H625" s="12" t="s">
        <v>4444</v>
      </c>
      <c r="I625" s="12" t="s">
        <v>37</v>
      </c>
      <c r="J625" s="12" t="s">
        <v>85</v>
      </c>
      <c r="K625" s="12" t="s">
        <v>86</v>
      </c>
      <c r="L625" s="13">
        <v>30.88</v>
      </c>
      <c r="M625" s="13">
        <v>20</v>
      </c>
      <c r="N625" s="13">
        <v>1.544</v>
      </c>
      <c r="O625" s="13">
        <v>30</v>
      </c>
      <c r="P625" s="13" t="s">
        <v>30</v>
      </c>
      <c r="Q625" s="13">
        <v>0</v>
      </c>
      <c r="R625" s="14">
        <v>926.4</v>
      </c>
      <c r="S625" s="15">
        <v>0</v>
      </c>
      <c r="T625" s="15">
        <v>0</v>
      </c>
      <c r="U625" s="15">
        <v>926.4</v>
      </c>
      <c r="V625" s="15">
        <v>0</v>
      </c>
      <c r="W625" s="15">
        <v>926.4</v>
      </c>
      <c r="X625" s="15">
        <v>0</v>
      </c>
      <c r="Y625" s="16">
        <v>0</v>
      </c>
      <c r="Z625" s="67" t="s">
        <v>26</v>
      </c>
      <c r="AA625" s="12" t="s">
        <v>31</v>
      </c>
    </row>
    <row r="626" spans="1:27" x14ac:dyDescent="0.25">
      <c r="A626" s="10">
        <v>45667</v>
      </c>
      <c r="B626" s="11" t="s">
        <v>1921</v>
      </c>
      <c r="C626" s="11" t="s">
        <v>1922</v>
      </c>
      <c r="D626" s="11" t="s">
        <v>26</v>
      </c>
      <c r="E626" s="11" t="s">
        <v>509</v>
      </c>
      <c r="F626" s="11" t="s">
        <v>26</v>
      </c>
      <c r="G626" s="11">
        <v>634</v>
      </c>
      <c r="H626" s="12" t="s">
        <v>141</v>
      </c>
      <c r="I626" s="12" t="s">
        <v>27</v>
      </c>
      <c r="J626" s="12" t="s">
        <v>33</v>
      </c>
      <c r="K626" s="12" t="s">
        <v>34</v>
      </c>
      <c r="L626" s="13">
        <v>42.42</v>
      </c>
      <c r="M626" s="13">
        <v>29</v>
      </c>
      <c r="N626" s="13">
        <v>1.462758620689655</v>
      </c>
      <c r="O626" s="13">
        <v>40</v>
      </c>
      <c r="P626" s="13" t="s">
        <v>30</v>
      </c>
      <c r="Q626" s="13">
        <v>0</v>
      </c>
      <c r="R626" s="15">
        <v>1696.8000000000002</v>
      </c>
      <c r="S626" s="15">
        <v>0</v>
      </c>
      <c r="T626" s="15">
        <v>0</v>
      </c>
      <c r="U626" s="15">
        <v>1696.8000000000002</v>
      </c>
      <c r="V626" s="15">
        <v>0</v>
      </c>
      <c r="W626" s="15">
        <v>1696.8000000000002</v>
      </c>
      <c r="X626" s="15">
        <v>0</v>
      </c>
      <c r="Y626" s="16">
        <v>0</v>
      </c>
      <c r="Z626" s="67" t="s">
        <v>26</v>
      </c>
      <c r="AA626" s="12" t="s">
        <v>31</v>
      </c>
    </row>
    <row r="627" spans="1:27" x14ac:dyDescent="0.25">
      <c r="A627" s="10">
        <v>45667</v>
      </c>
      <c r="B627" s="11" t="s">
        <v>1923</v>
      </c>
      <c r="C627" s="11" t="s">
        <v>1924</v>
      </c>
      <c r="D627" s="11" t="s">
        <v>26</v>
      </c>
      <c r="E627" s="11" t="s">
        <v>658</v>
      </c>
      <c r="F627" s="11" t="s">
        <v>26</v>
      </c>
      <c r="G627" s="11">
        <v>635</v>
      </c>
      <c r="H627" s="12" t="s">
        <v>141</v>
      </c>
      <c r="I627" s="12" t="s">
        <v>27</v>
      </c>
      <c r="J627" s="12" t="s">
        <v>33</v>
      </c>
      <c r="K627" s="12" t="s">
        <v>34</v>
      </c>
      <c r="L627" s="13">
        <v>40.26</v>
      </c>
      <c r="M627" s="13">
        <v>28</v>
      </c>
      <c r="N627" s="13">
        <v>1.4378571428571429</v>
      </c>
      <c r="O627" s="13">
        <v>40</v>
      </c>
      <c r="P627" s="13" t="s">
        <v>30</v>
      </c>
      <c r="Q627" s="13">
        <v>0</v>
      </c>
      <c r="R627" s="15">
        <v>1610.3999999999999</v>
      </c>
      <c r="S627" s="15">
        <v>0</v>
      </c>
      <c r="T627" s="15">
        <v>0</v>
      </c>
      <c r="U627" s="15">
        <v>1610.3999999999999</v>
      </c>
      <c r="V627" s="15">
        <v>0</v>
      </c>
      <c r="W627" s="15">
        <v>1610.3999999999999</v>
      </c>
      <c r="X627" s="15">
        <v>0</v>
      </c>
      <c r="Y627" s="16">
        <v>0</v>
      </c>
      <c r="Z627" s="67" t="s">
        <v>26</v>
      </c>
      <c r="AA627" s="12" t="s">
        <v>31</v>
      </c>
    </row>
    <row r="628" spans="1:27" x14ac:dyDescent="0.25">
      <c r="A628" s="10">
        <v>45667</v>
      </c>
      <c r="B628" s="11" t="s">
        <v>1925</v>
      </c>
      <c r="C628" s="11" t="s">
        <v>1926</v>
      </c>
      <c r="D628" s="11" t="s">
        <v>26</v>
      </c>
      <c r="E628" s="11" t="s">
        <v>80</v>
      </c>
      <c r="F628" s="11" t="s">
        <v>26</v>
      </c>
      <c r="G628" s="11">
        <v>10287</v>
      </c>
      <c r="H628" s="12" t="s">
        <v>140</v>
      </c>
      <c r="I628" s="12" t="s">
        <v>27</v>
      </c>
      <c r="J628" s="12" t="s">
        <v>42</v>
      </c>
      <c r="K628" s="12" t="s">
        <v>43</v>
      </c>
      <c r="L628" s="13">
        <v>43.24</v>
      </c>
      <c r="M628" s="13">
        <v>25</v>
      </c>
      <c r="N628" s="13">
        <v>1.7296</v>
      </c>
      <c r="O628" s="13">
        <v>35</v>
      </c>
      <c r="P628" s="13"/>
      <c r="Q628" s="13">
        <v>0</v>
      </c>
      <c r="R628" s="15">
        <v>1513.4</v>
      </c>
      <c r="S628" s="15">
        <v>0</v>
      </c>
      <c r="T628" s="15">
        <v>0</v>
      </c>
      <c r="U628" s="15">
        <v>1513.4</v>
      </c>
      <c r="V628" s="15">
        <v>0</v>
      </c>
      <c r="W628" s="15">
        <v>1513.4</v>
      </c>
      <c r="X628" s="15">
        <v>0</v>
      </c>
      <c r="Y628" s="16">
        <v>0</v>
      </c>
      <c r="Z628" s="67" t="s">
        <v>26</v>
      </c>
      <c r="AA628" s="12" t="s">
        <v>31</v>
      </c>
    </row>
    <row r="629" spans="1:27" x14ac:dyDescent="0.25">
      <c r="A629" s="10">
        <v>45667</v>
      </c>
      <c r="B629" s="11" t="s">
        <v>1674</v>
      </c>
      <c r="C629" s="11" t="s">
        <v>1927</v>
      </c>
      <c r="D629" s="11" t="s">
        <v>26</v>
      </c>
      <c r="E629" s="11" t="s">
        <v>593</v>
      </c>
      <c r="F629" s="11" t="s">
        <v>26</v>
      </c>
      <c r="G629" s="11">
        <v>59481</v>
      </c>
      <c r="H629" s="12" t="s">
        <v>4423</v>
      </c>
      <c r="I629" s="12" t="s">
        <v>27</v>
      </c>
      <c r="J629" s="12" t="s">
        <v>47</v>
      </c>
      <c r="K629" s="12" t="s">
        <v>48</v>
      </c>
      <c r="L629" s="13">
        <v>34.96</v>
      </c>
      <c r="M629" s="13">
        <v>25</v>
      </c>
      <c r="N629" s="13">
        <v>1.3984000000000001</v>
      </c>
      <c r="O629" s="13">
        <v>46</v>
      </c>
      <c r="P629" s="13" t="s">
        <v>30</v>
      </c>
      <c r="Q629" s="13">
        <v>0</v>
      </c>
      <c r="R629" s="15">
        <v>1608.16</v>
      </c>
      <c r="S629" s="15">
        <v>0</v>
      </c>
      <c r="T629" s="15">
        <v>0</v>
      </c>
      <c r="U629" s="15">
        <v>1608.16</v>
      </c>
      <c r="V629" s="15">
        <v>1608.16</v>
      </c>
      <c r="W629" s="15">
        <v>0</v>
      </c>
      <c r="X629" s="15">
        <v>0</v>
      </c>
      <c r="Y629" s="16">
        <v>0</v>
      </c>
      <c r="Z629" s="67" t="s">
        <v>26</v>
      </c>
      <c r="AA629" s="12" t="s">
        <v>31</v>
      </c>
    </row>
    <row r="630" spans="1:27" x14ac:dyDescent="0.25">
      <c r="A630" s="10">
        <v>45667</v>
      </c>
      <c r="B630" s="11" t="s">
        <v>1928</v>
      </c>
      <c r="C630" s="11" t="s">
        <v>1929</v>
      </c>
      <c r="D630" s="11" t="s">
        <v>26</v>
      </c>
      <c r="E630" s="11" t="s">
        <v>520</v>
      </c>
      <c r="F630" s="11" t="s">
        <v>26</v>
      </c>
      <c r="G630" s="11">
        <v>4366</v>
      </c>
      <c r="H630" s="12" t="s">
        <v>140</v>
      </c>
      <c r="I630" s="12" t="s">
        <v>27</v>
      </c>
      <c r="J630" s="12" t="s">
        <v>42</v>
      </c>
      <c r="K630" s="12" t="s">
        <v>43</v>
      </c>
      <c r="L630" s="13">
        <v>41.82</v>
      </c>
      <c r="M630" s="13">
        <v>25</v>
      </c>
      <c r="N630" s="13">
        <v>1.6728000000000001</v>
      </c>
      <c r="O630" s="13">
        <v>35</v>
      </c>
      <c r="P630" s="13"/>
      <c r="Q630" s="13">
        <v>0</v>
      </c>
      <c r="R630" s="15">
        <v>1463.7</v>
      </c>
      <c r="S630" s="15">
        <v>0</v>
      </c>
      <c r="T630" s="15">
        <v>0</v>
      </c>
      <c r="U630" s="15">
        <v>1463.7</v>
      </c>
      <c r="V630" s="15">
        <v>0</v>
      </c>
      <c r="W630" s="15">
        <v>1463.7</v>
      </c>
      <c r="X630" s="15">
        <v>0</v>
      </c>
      <c r="Y630" s="16">
        <v>0</v>
      </c>
      <c r="Z630" s="67" t="s">
        <v>26</v>
      </c>
      <c r="AA630" s="12" t="s">
        <v>31</v>
      </c>
    </row>
    <row r="631" spans="1:27" x14ac:dyDescent="0.25">
      <c r="A631" s="10">
        <v>45667</v>
      </c>
      <c r="B631" s="11" t="s">
        <v>1930</v>
      </c>
      <c r="C631" s="11" t="s">
        <v>1931</v>
      </c>
      <c r="D631" s="11" t="s">
        <v>26</v>
      </c>
      <c r="E631" s="11" t="s">
        <v>99</v>
      </c>
      <c r="F631" s="11" t="s">
        <v>26</v>
      </c>
      <c r="G631" s="11">
        <v>57974</v>
      </c>
      <c r="H631" s="12" t="s">
        <v>4423</v>
      </c>
      <c r="I631" s="12" t="s">
        <v>27</v>
      </c>
      <c r="J631" s="12" t="s">
        <v>33</v>
      </c>
      <c r="K631" s="12" t="s">
        <v>34</v>
      </c>
      <c r="L631" s="13">
        <v>35.42</v>
      </c>
      <c r="M631" s="13">
        <v>25</v>
      </c>
      <c r="N631" s="13">
        <v>1.4168000000000001</v>
      </c>
      <c r="O631" s="13">
        <v>45</v>
      </c>
      <c r="P631" s="13" t="s">
        <v>30</v>
      </c>
      <c r="Q631" s="13">
        <v>0</v>
      </c>
      <c r="R631" s="15">
        <v>1593.9</v>
      </c>
      <c r="S631" s="15">
        <v>0</v>
      </c>
      <c r="T631" s="15">
        <v>0</v>
      </c>
      <c r="U631" s="15">
        <v>1593.9</v>
      </c>
      <c r="V631" s="15">
        <v>1593.9</v>
      </c>
      <c r="W631" s="15">
        <v>0</v>
      </c>
      <c r="X631" s="15">
        <v>0</v>
      </c>
      <c r="Y631" s="16">
        <v>0</v>
      </c>
      <c r="Z631" s="67" t="s">
        <v>26</v>
      </c>
      <c r="AA631" s="12" t="s">
        <v>31</v>
      </c>
    </row>
    <row r="632" spans="1:27" x14ac:dyDescent="0.25">
      <c r="A632" s="10">
        <v>45667</v>
      </c>
      <c r="B632" s="11" t="s">
        <v>1932</v>
      </c>
      <c r="C632" s="11" t="s">
        <v>1933</v>
      </c>
      <c r="D632" s="11" t="s">
        <v>26</v>
      </c>
      <c r="E632" s="11" t="s">
        <v>240</v>
      </c>
      <c r="F632" s="11" t="s">
        <v>26</v>
      </c>
      <c r="G632" s="11">
        <v>2911</v>
      </c>
      <c r="H632" s="12" t="s">
        <v>41</v>
      </c>
      <c r="I632" s="12" t="s">
        <v>55</v>
      </c>
      <c r="J632" s="12" t="s">
        <v>566</v>
      </c>
      <c r="K632" s="12" t="s">
        <v>550</v>
      </c>
      <c r="L632" s="13">
        <v>39.42</v>
      </c>
      <c r="M632" s="13">
        <v>25</v>
      </c>
      <c r="N632" s="13">
        <v>1.5768</v>
      </c>
      <c r="O632" s="13">
        <v>25</v>
      </c>
      <c r="P632" s="13"/>
      <c r="Q632" s="13">
        <v>0</v>
      </c>
      <c r="R632" s="14">
        <v>985.5</v>
      </c>
      <c r="S632" s="15">
        <v>0</v>
      </c>
      <c r="T632" s="15">
        <v>0</v>
      </c>
      <c r="U632" s="15">
        <v>985.5</v>
      </c>
      <c r="V632" s="15">
        <v>0</v>
      </c>
      <c r="W632" s="15">
        <v>985.5</v>
      </c>
      <c r="X632" s="15">
        <v>0</v>
      </c>
      <c r="Y632" s="16">
        <v>0</v>
      </c>
      <c r="Z632" s="67" t="s">
        <v>26</v>
      </c>
      <c r="AA632" s="12" t="s">
        <v>31</v>
      </c>
    </row>
    <row r="633" spans="1:27" x14ac:dyDescent="0.25">
      <c r="A633" s="10">
        <v>45667</v>
      </c>
      <c r="B633" s="11" t="s">
        <v>1934</v>
      </c>
      <c r="C633" s="11" t="s">
        <v>1935</v>
      </c>
      <c r="D633" s="11" t="s">
        <v>26</v>
      </c>
      <c r="E633" s="11" t="s">
        <v>552</v>
      </c>
      <c r="F633" s="11" t="s">
        <v>26</v>
      </c>
      <c r="G633" s="11">
        <v>69104</v>
      </c>
      <c r="H633" s="12" t="s">
        <v>4423</v>
      </c>
      <c r="I633" s="12" t="s">
        <v>27</v>
      </c>
      <c r="J633" s="12" t="s">
        <v>33</v>
      </c>
      <c r="K633" s="12" t="s">
        <v>34</v>
      </c>
      <c r="L633" s="13">
        <v>34.299999999999997</v>
      </c>
      <c r="M633" s="13">
        <v>25</v>
      </c>
      <c r="N633" s="13">
        <v>1.3720000000000001</v>
      </c>
      <c r="O633" s="13">
        <v>45</v>
      </c>
      <c r="P633" s="13" t="s">
        <v>30</v>
      </c>
      <c r="Q633" s="13">
        <v>0</v>
      </c>
      <c r="R633" s="15">
        <v>1543.4999999999998</v>
      </c>
      <c r="S633" s="15">
        <v>0</v>
      </c>
      <c r="T633" s="15">
        <v>0</v>
      </c>
      <c r="U633" s="15">
        <v>1543.4999999999998</v>
      </c>
      <c r="V633" s="15">
        <v>1543.4999999999998</v>
      </c>
      <c r="W633" s="15">
        <v>0</v>
      </c>
      <c r="X633" s="15">
        <v>0</v>
      </c>
      <c r="Y633" s="16">
        <v>0</v>
      </c>
      <c r="Z633" s="67" t="s">
        <v>26</v>
      </c>
      <c r="AA633" s="12" t="s">
        <v>31</v>
      </c>
    </row>
    <row r="634" spans="1:27" x14ac:dyDescent="0.25">
      <c r="A634" s="10">
        <v>45667</v>
      </c>
      <c r="B634" s="11" t="s">
        <v>1936</v>
      </c>
      <c r="C634" s="11" t="s">
        <v>1937</v>
      </c>
      <c r="D634" s="11" t="s">
        <v>26</v>
      </c>
      <c r="E634" s="11" t="s">
        <v>74</v>
      </c>
      <c r="F634" s="11" t="s">
        <v>26</v>
      </c>
      <c r="G634" s="11">
        <v>1313</v>
      </c>
      <c r="H634" s="12" t="s">
        <v>70</v>
      </c>
      <c r="I634" s="12" t="s">
        <v>27</v>
      </c>
      <c r="J634" s="12" t="s">
        <v>33</v>
      </c>
      <c r="K634" s="12" t="s">
        <v>34</v>
      </c>
      <c r="L634" s="13">
        <v>38.14</v>
      </c>
      <c r="M634" s="13">
        <v>25</v>
      </c>
      <c r="N634" s="13">
        <v>1.5256000000000001</v>
      </c>
      <c r="O634" s="13" t="s">
        <v>30</v>
      </c>
      <c r="P634" s="13">
        <v>60</v>
      </c>
      <c r="Q634" s="13">
        <v>0</v>
      </c>
      <c r="R634" s="14">
        <v>1500</v>
      </c>
      <c r="S634" s="15">
        <v>0</v>
      </c>
      <c r="T634" s="15">
        <v>0</v>
      </c>
      <c r="U634" s="15">
        <v>1500</v>
      </c>
      <c r="V634" s="15">
        <v>0</v>
      </c>
      <c r="W634" s="15">
        <v>1500</v>
      </c>
      <c r="X634" s="15">
        <v>0</v>
      </c>
      <c r="Y634" s="16">
        <v>0</v>
      </c>
      <c r="Z634" s="67" t="s">
        <v>26</v>
      </c>
      <c r="AA634" s="12" t="s">
        <v>31</v>
      </c>
    </row>
    <row r="635" spans="1:27" x14ac:dyDescent="0.25">
      <c r="A635" s="10">
        <v>45667</v>
      </c>
      <c r="B635" s="11" t="s">
        <v>1938</v>
      </c>
      <c r="C635" s="11" t="s">
        <v>1939</v>
      </c>
      <c r="D635" s="11" t="s">
        <v>26</v>
      </c>
      <c r="E635" s="11" t="s">
        <v>431</v>
      </c>
      <c r="F635" s="11" t="s">
        <v>26</v>
      </c>
      <c r="G635" s="11">
        <v>136</v>
      </c>
      <c r="H635" s="12" t="s">
        <v>6328</v>
      </c>
      <c r="I635" s="12" t="s">
        <v>27</v>
      </c>
      <c r="J635" s="12" t="s">
        <v>42</v>
      </c>
      <c r="K635" s="12" t="s">
        <v>43</v>
      </c>
      <c r="L635" s="13">
        <v>40.44</v>
      </c>
      <c r="M635" s="13">
        <v>25</v>
      </c>
      <c r="N635" s="13">
        <v>1.6175999999999999</v>
      </c>
      <c r="O635" s="13">
        <v>42.5</v>
      </c>
      <c r="P635" s="13"/>
      <c r="Q635" s="13">
        <v>0</v>
      </c>
      <c r="R635" s="15">
        <v>1718.6999999999998</v>
      </c>
      <c r="S635" s="15">
        <v>0</v>
      </c>
      <c r="T635" s="15">
        <v>0</v>
      </c>
      <c r="U635" s="15">
        <v>1718.6999999999998</v>
      </c>
      <c r="V635" s="15">
        <v>0</v>
      </c>
      <c r="W635" s="15">
        <v>1718.6999999999998</v>
      </c>
      <c r="X635" s="15">
        <v>0</v>
      </c>
      <c r="Y635" s="16">
        <v>0</v>
      </c>
      <c r="Z635" s="67" t="s">
        <v>26</v>
      </c>
      <c r="AA635" s="12" t="s">
        <v>31</v>
      </c>
    </row>
    <row r="636" spans="1:27" x14ac:dyDescent="0.25">
      <c r="A636" s="10">
        <v>45667</v>
      </c>
      <c r="B636" s="11" t="s">
        <v>1940</v>
      </c>
      <c r="C636" s="11" t="s">
        <v>1941</v>
      </c>
      <c r="D636" s="11" t="s">
        <v>26</v>
      </c>
      <c r="E636" s="11" t="s">
        <v>107</v>
      </c>
      <c r="F636" s="11" t="s">
        <v>26</v>
      </c>
      <c r="G636" s="11">
        <v>57622</v>
      </c>
      <c r="H636" s="12" t="s">
        <v>4423</v>
      </c>
      <c r="I636" s="12" t="s">
        <v>27</v>
      </c>
      <c r="J636" s="12" t="s">
        <v>47</v>
      </c>
      <c r="K636" s="12" t="s">
        <v>48</v>
      </c>
      <c r="L636" s="13">
        <v>38.159999999999997</v>
      </c>
      <c r="M636" s="13">
        <v>25</v>
      </c>
      <c r="N636" s="13">
        <v>1.5264</v>
      </c>
      <c r="O636" s="13">
        <v>46</v>
      </c>
      <c r="P636" s="13" t="s">
        <v>30</v>
      </c>
      <c r="Q636" s="13">
        <v>0</v>
      </c>
      <c r="R636" s="14">
        <v>1755.36</v>
      </c>
      <c r="S636" s="15">
        <v>0</v>
      </c>
      <c r="T636" s="15">
        <v>0</v>
      </c>
      <c r="U636" s="15">
        <v>1755.36</v>
      </c>
      <c r="V636" s="15">
        <v>1755.36</v>
      </c>
      <c r="W636" s="15">
        <v>0</v>
      </c>
      <c r="X636" s="16">
        <v>0</v>
      </c>
      <c r="Y636" s="16">
        <v>0</v>
      </c>
      <c r="Z636" s="67" t="s">
        <v>26</v>
      </c>
      <c r="AA636" s="12" t="s">
        <v>31</v>
      </c>
    </row>
    <row r="637" spans="1:27" x14ac:dyDescent="0.25">
      <c r="A637" s="10">
        <v>45667</v>
      </c>
      <c r="B637" s="11" t="s">
        <v>1942</v>
      </c>
      <c r="C637" s="11" t="s">
        <v>1943</v>
      </c>
      <c r="D637" s="11" t="s">
        <v>26</v>
      </c>
      <c r="E637" s="11" t="s">
        <v>506</v>
      </c>
      <c r="F637" s="11" t="s">
        <v>26</v>
      </c>
      <c r="G637" s="11">
        <v>1508</v>
      </c>
      <c r="H637" s="12" t="s">
        <v>45</v>
      </c>
      <c r="I637" s="12" t="s">
        <v>27</v>
      </c>
      <c r="J637" s="12" t="s">
        <v>33</v>
      </c>
      <c r="K637" s="12" t="s">
        <v>34</v>
      </c>
      <c r="L637" s="13">
        <v>39.06</v>
      </c>
      <c r="M637" s="13">
        <v>25</v>
      </c>
      <c r="N637" s="13">
        <v>1.5624</v>
      </c>
      <c r="O637" s="13" t="s">
        <v>30</v>
      </c>
      <c r="P637" s="13">
        <v>58</v>
      </c>
      <c r="Q637" s="13">
        <v>0</v>
      </c>
      <c r="R637" s="14">
        <v>1450</v>
      </c>
      <c r="S637" s="15">
        <v>0</v>
      </c>
      <c r="T637" s="15">
        <v>0</v>
      </c>
      <c r="U637" s="15">
        <v>1450</v>
      </c>
      <c r="V637" s="15">
        <v>0</v>
      </c>
      <c r="W637" s="15">
        <v>1450</v>
      </c>
      <c r="X637" s="15">
        <v>0</v>
      </c>
      <c r="Y637" s="16">
        <v>0</v>
      </c>
      <c r="Z637" s="67" t="s">
        <v>26</v>
      </c>
      <c r="AA637" s="12" t="s">
        <v>31</v>
      </c>
    </row>
    <row r="638" spans="1:27" x14ac:dyDescent="0.25">
      <c r="A638" s="10">
        <v>45667</v>
      </c>
      <c r="B638" s="11" t="s">
        <v>1944</v>
      </c>
      <c r="C638" s="11" t="s">
        <v>1945</v>
      </c>
      <c r="D638" s="11" t="s">
        <v>26</v>
      </c>
      <c r="E638" s="11" t="s">
        <v>371</v>
      </c>
      <c r="F638" s="11" t="s">
        <v>26</v>
      </c>
      <c r="G638" s="11" t="s">
        <v>35</v>
      </c>
      <c r="H638" s="12" t="s">
        <v>36</v>
      </c>
      <c r="I638" s="12" t="s">
        <v>55</v>
      </c>
      <c r="J638" s="12" t="s">
        <v>55</v>
      </c>
      <c r="K638" s="12" t="s">
        <v>56</v>
      </c>
      <c r="L638" s="13">
        <v>15.02</v>
      </c>
      <c r="M638" s="13">
        <v>10</v>
      </c>
      <c r="N638" s="13">
        <v>1.502</v>
      </c>
      <c r="O638" s="13">
        <v>20</v>
      </c>
      <c r="P638" s="13" t="s">
        <v>30</v>
      </c>
      <c r="Q638" s="13">
        <v>0</v>
      </c>
      <c r="R638" s="14">
        <v>300.39999999999998</v>
      </c>
      <c r="S638" s="15">
        <v>0</v>
      </c>
      <c r="T638" s="15">
        <v>0</v>
      </c>
      <c r="U638" s="15">
        <v>300.39999999999998</v>
      </c>
      <c r="V638" s="15">
        <v>0</v>
      </c>
      <c r="W638" s="15">
        <v>300.39999999999998</v>
      </c>
      <c r="X638" s="15">
        <v>0</v>
      </c>
      <c r="Y638" s="16">
        <v>0</v>
      </c>
      <c r="Z638" s="67" t="s">
        <v>26</v>
      </c>
      <c r="AA638" s="12" t="s">
        <v>31</v>
      </c>
    </row>
    <row r="639" spans="1:27" x14ac:dyDescent="0.25">
      <c r="A639" s="10">
        <v>45667</v>
      </c>
      <c r="B639" s="11" t="s">
        <v>1946</v>
      </c>
      <c r="C639" s="11" t="s">
        <v>1947</v>
      </c>
      <c r="D639" s="11" t="s">
        <v>26</v>
      </c>
      <c r="E639" s="11" t="s">
        <v>246</v>
      </c>
      <c r="F639" s="11" t="s">
        <v>26</v>
      </c>
      <c r="G639" s="11">
        <v>2041</v>
      </c>
      <c r="H639" s="12" t="s">
        <v>41</v>
      </c>
      <c r="I639" s="12" t="s">
        <v>55</v>
      </c>
      <c r="J639" s="12" t="s">
        <v>55</v>
      </c>
      <c r="K639" s="12" t="s">
        <v>56</v>
      </c>
      <c r="L639" s="13">
        <v>38.840000000000003</v>
      </c>
      <c r="M639" s="13">
        <v>23</v>
      </c>
      <c r="N639" s="13">
        <v>1.6886956521739129</v>
      </c>
      <c r="O639" s="13" t="s">
        <v>30</v>
      </c>
      <c r="P639" s="13">
        <v>24</v>
      </c>
      <c r="Q639" s="13">
        <v>0</v>
      </c>
      <c r="R639" s="14">
        <v>552</v>
      </c>
      <c r="S639" s="15">
        <v>0</v>
      </c>
      <c r="T639" s="15">
        <v>0</v>
      </c>
      <c r="U639" s="15">
        <v>552</v>
      </c>
      <c r="V639" s="15">
        <v>0</v>
      </c>
      <c r="W639" s="15">
        <v>552</v>
      </c>
      <c r="X639" s="15">
        <v>0</v>
      </c>
      <c r="Y639" s="16">
        <v>0</v>
      </c>
      <c r="Z639" s="67" t="s">
        <v>26</v>
      </c>
      <c r="AA639" s="12" t="s">
        <v>31</v>
      </c>
    </row>
    <row r="640" spans="1:27" x14ac:dyDescent="0.25">
      <c r="A640" s="10">
        <v>45667</v>
      </c>
      <c r="B640" s="11" t="s">
        <v>1948</v>
      </c>
      <c r="C640" s="11" t="s">
        <v>1949</v>
      </c>
      <c r="D640" s="11" t="s">
        <v>26</v>
      </c>
      <c r="E640" s="11" t="s">
        <v>63</v>
      </c>
      <c r="F640" s="11" t="s">
        <v>26</v>
      </c>
      <c r="G640" s="11">
        <v>10163</v>
      </c>
      <c r="H640" s="12" t="s">
        <v>140</v>
      </c>
      <c r="I640" s="12" t="s">
        <v>27</v>
      </c>
      <c r="J640" s="12" t="s">
        <v>42</v>
      </c>
      <c r="K640" s="12" t="s">
        <v>43</v>
      </c>
      <c r="L640" s="13">
        <v>42.52</v>
      </c>
      <c r="M640" s="13">
        <v>25</v>
      </c>
      <c r="N640" s="13">
        <v>1.7008000000000001</v>
      </c>
      <c r="O640" s="13">
        <v>35</v>
      </c>
      <c r="P640" s="13"/>
      <c r="Q640" s="13">
        <v>0</v>
      </c>
      <c r="R640" s="15">
        <v>1488.2</v>
      </c>
      <c r="S640" s="15">
        <v>0</v>
      </c>
      <c r="T640" s="15">
        <v>0</v>
      </c>
      <c r="U640" s="15">
        <v>1488.2</v>
      </c>
      <c r="V640" s="15">
        <v>0</v>
      </c>
      <c r="W640" s="15">
        <v>1488.2</v>
      </c>
      <c r="X640" s="15">
        <v>0</v>
      </c>
      <c r="Y640" s="16">
        <v>0</v>
      </c>
      <c r="Z640" s="67" t="s">
        <v>26</v>
      </c>
      <c r="AA640" s="12" t="s">
        <v>31</v>
      </c>
    </row>
    <row r="641" spans="1:27" x14ac:dyDescent="0.25">
      <c r="A641" s="10">
        <v>45667</v>
      </c>
      <c r="B641" s="11" t="s">
        <v>1950</v>
      </c>
      <c r="C641" s="11" t="s">
        <v>1951</v>
      </c>
      <c r="D641" s="11" t="s">
        <v>26</v>
      </c>
      <c r="E641" s="11" t="s">
        <v>75</v>
      </c>
      <c r="F641" s="11" t="s">
        <v>26</v>
      </c>
      <c r="G641" s="11">
        <v>42004</v>
      </c>
      <c r="H641" s="12" t="s">
        <v>565</v>
      </c>
      <c r="I641" s="12" t="s">
        <v>55</v>
      </c>
      <c r="J641" s="12" t="s">
        <v>55</v>
      </c>
      <c r="K641" s="12" t="s">
        <v>56</v>
      </c>
      <c r="L641" s="13">
        <v>43.16</v>
      </c>
      <c r="M641" s="13">
        <v>25</v>
      </c>
      <c r="N641" s="13">
        <v>1.7263999999999999</v>
      </c>
      <c r="O641" s="13"/>
      <c r="P641" s="13">
        <v>24</v>
      </c>
      <c r="Q641" s="13">
        <v>0</v>
      </c>
      <c r="R641" s="15">
        <v>600</v>
      </c>
      <c r="S641" s="15">
        <v>0</v>
      </c>
      <c r="T641" s="15">
        <v>0</v>
      </c>
      <c r="U641" s="15">
        <v>600</v>
      </c>
      <c r="V641" s="15">
        <v>0</v>
      </c>
      <c r="W641" s="15">
        <v>600</v>
      </c>
      <c r="X641" s="15">
        <v>0</v>
      </c>
      <c r="Y641" s="16">
        <v>0</v>
      </c>
      <c r="Z641" s="67" t="s">
        <v>26</v>
      </c>
      <c r="AA641" s="12" t="s">
        <v>31</v>
      </c>
    </row>
    <row r="642" spans="1:27" x14ac:dyDescent="0.25">
      <c r="A642" s="10">
        <v>45667</v>
      </c>
      <c r="B642" s="11" t="s">
        <v>278</v>
      </c>
      <c r="C642" s="11" t="s">
        <v>1952</v>
      </c>
      <c r="D642" s="11" t="s">
        <v>26</v>
      </c>
      <c r="E642" s="11" t="s">
        <v>53</v>
      </c>
      <c r="F642" s="11" t="s">
        <v>26</v>
      </c>
      <c r="G642" s="11">
        <v>2396</v>
      </c>
      <c r="H642" s="12" t="s">
        <v>41</v>
      </c>
      <c r="I642" s="12" t="s">
        <v>55</v>
      </c>
      <c r="J642" s="12" t="s">
        <v>55</v>
      </c>
      <c r="K642" s="12" t="s">
        <v>56</v>
      </c>
      <c r="L642" s="13">
        <v>40.78</v>
      </c>
      <c r="M642" s="13">
        <v>25</v>
      </c>
      <c r="N642" s="13">
        <v>1.6312</v>
      </c>
      <c r="O642" s="13" t="s">
        <v>30</v>
      </c>
      <c r="P642" s="13">
        <v>24</v>
      </c>
      <c r="Q642" s="13">
        <v>0</v>
      </c>
      <c r="R642" s="15">
        <v>600</v>
      </c>
      <c r="S642" s="15">
        <v>0</v>
      </c>
      <c r="T642" s="15">
        <v>0</v>
      </c>
      <c r="U642" s="15">
        <v>600</v>
      </c>
      <c r="V642" s="15">
        <v>0</v>
      </c>
      <c r="W642" s="15">
        <v>600</v>
      </c>
      <c r="X642" s="15">
        <v>0</v>
      </c>
      <c r="Y642" s="16">
        <v>0</v>
      </c>
      <c r="Z642" s="67" t="s">
        <v>26</v>
      </c>
      <c r="AA642" s="12" t="s">
        <v>31</v>
      </c>
    </row>
    <row r="643" spans="1:27" x14ac:dyDescent="0.25">
      <c r="A643" s="10">
        <v>45667</v>
      </c>
      <c r="B643" s="11" t="s">
        <v>1953</v>
      </c>
      <c r="C643" s="11" t="s">
        <v>1954</v>
      </c>
      <c r="D643" s="11" t="s">
        <v>26</v>
      </c>
      <c r="E643" s="11" t="s">
        <v>50</v>
      </c>
      <c r="F643" s="11" t="s">
        <v>26</v>
      </c>
      <c r="G643" s="11">
        <v>620</v>
      </c>
      <c r="H643" s="12" t="s">
        <v>163</v>
      </c>
      <c r="I643" s="12" t="s">
        <v>27</v>
      </c>
      <c r="J643" s="12" t="s">
        <v>33</v>
      </c>
      <c r="K643" s="12" t="s">
        <v>34</v>
      </c>
      <c r="L643" s="13">
        <v>37.32</v>
      </c>
      <c r="M643" s="13">
        <v>25</v>
      </c>
      <c r="N643" s="13">
        <v>1.4927999999999999</v>
      </c>
      <c r="O643" s="13" t="s">
        <v>30</v>
      </c>
      <c r="P643" s="13">
        <v>58</v>
      </c>
      <c r="Q643" s="13">
        <v>0</v>
      </c>
      <c r="R643" s="15">
        <v>1450</v>
      </c>
      <c r="S643" s="15">
        <v>0</v>
      </c>
      <c r="T643" s="15">
        <v>0</v>
      </c>
      <c r="U643" s="15">
        <v>1450</v>
      </c>
      <c r="V643" s="15">
        <v>0</v>
      </c>
      <c r="W643" s="15">
        <v>1450</v>
      </c>
      <c r="X643" s="15">
        <v>0</v>
      </c>
      <c r="Y643" s="16">
        <v>0</v>
      </c>
      <c r="Z643" s="67" t="s">
        <v>26</v>
      </c>
      <c r="AA643" s="12" t="s">
        <v>31</v>
      </c>
    </row>
    <row r="644" spans="1:27" x14ac:dyDescent="0.25">
      <c r="A644" s="10">
        <v>45667</v>
      </c>
      <c r="B644" s="11" t="s">
        <v>257</v>
      </c>
      <c r="C644" s="11" t="s">
        <v>1955</v>
      </c>
      <c r="D644" s="11" t="s">
        <v>26</v>
      </c>
      <c r="E644" s="11" t="s">
        <v>607</v>
      </c>
      <c r="F644" s="11" t="s">
        <v>26</v>
      </c>
      <c r="G644" s="11" t="s">
        <v>35</v>
      </c>
      <c r="H644" s="12" t="s">
        <v>36</v>
      </c>
      <c r="I644" s="12" t="s">
        <v>27</v>
      </c>
      <c r="J644" s="12" t="s">
        <v>33</v>
      </c>
      <c r="K644" s="12" t="s">
        <v>34</v>
      </c>
      <c r="L644" s="13">
        <v>13.82</v>
      </c>
      <c r="M644" s="13">
        <v>9</v>
      </c>
      <c r="N644" s="13">
        <v>1.535555555555556</v>
      </c>
      <c r="O644" s="13">
        <v>50</v>
      </c>
      <c r="P644" s="13" t="s">
        <v>30</v>
      </c>
      <c r="Q644" s="13">
        <v>0</v>
      </c>
      <c r="R644" s="15">
        <v>691</v>
      </c>
      <c r="S644" s="15">
        <v>0</v>
      </c>
      <c r="T644" s="15">
        <v>0</v>
      </c>
      <c r="U644" s="15">
        <v>691</v>
      </c>
      <c r="V644" s="15">
        <v>0</v>
      </c>
      <c r="W644" s="15">
        <v>691</v>
      </c>
      <c r="X644" s="15">
        <v>0</v>
      </c>
      <c r="Y644" s="16">
        <v>0</v>
      </c>
      <c r="Z644" s="67" t="s">
        <v>26</v>
      </c>
      <c r="AA644" s="12" t="s">
        <v>31</v>
      </c>
    </row>
    <row r="645" spans="1:27" x14ac:dyDescent="0.25">
      <c r="A645" s="10">
        <v>45667</v>
      </c>
      <c r="B645" s="11" t="s">
        <v>1956</v>
      </c>
      <c r="C645" s="11" t="s">
        <v>1957</v>
      </c>
      <c r="D645" s="11" t="s">
        <v>26</v>
      </c>
      <c r="E645" s="11" t="s">
        <v>1200</v>
      </c>
      <c r="F645" s="11" t="s">
        <v>26</v>
      </c>
      <c r="G645" s="11">
        <v>980</v>
      </c>
      <c r="H645" s="12" t="s">
        <v>163</v>
      </c>
      <c r="I645" s="12" t="s">
        <v>27</v>
      </c>
      <c r="J645" s="12" t="s">
        <v>47</v>
      </c>
      <c r="K645" s="12" t="s">
        <v>48</v>
      </c>
      <c r="L645" s="13">
        <v>38.58</v>
      </c>
      <c r="M645" s="13">
        <v>25</v>
      </c>
      <c r="N645" s="13">
        <v>1.5431999999999999</v>
      </c>
      <c r="O645" s="13" t="s">
        <v>30</v>
      </c>
      <c r="P645" s="13">
        <v>58</v>
      </c>
      <c r="Q645" s="13">
        <v>0</v>
      </c>
      <c r="R645" s="15">
        <v>1450</v>
      </c>
      <c r="S645" s="15">
        <v>0</v>
      </c>
      <c r="T645" s="15">
        <v>0</v>
      </c>
      <c r="U645" s="15">
        <v>1450</v>
      </c>
      <c r="V645" s="15">
        <v>0</v>
      </c>
      <c r="W645" s="15">
        <v>1450</v>
      </c>
      <c r="X645" s="15">
        <v>0</v>
      </c>
      <c r="Y645" s="16">
        <v>0</v>
      </c>
      <c r="Z645" s="67" t="s">
        <v>26</v>
      </c>
      <c r="AA645" s="12" t="s">
        <v>31</v>
      </c>
    </row>
    <row r="646" spans="1:27" x14ac:dyDescent="0.25">
      <c r="A646" s="10">
        <v>45668</v>
      </c>
      <c r="B646" s="11" t="s">
        <v>374</v>
      </c>
      <c r="C646" s="11" t="s">
        <v>1958</v>
      </c>
      <c r="D646" s="11" t="s">
        <v>26</v>
      </c>
      <c r="E646" s="11" t="s">
        <v>68</v>
      </c>
      <c r="F646" s="11" t="s">
        <v>26</v>
      </c>
      <c r="G646" s="11">
        <v>76352</v>
      </c>
      <c r="H646" s="12" t="s">
        <v>4448</v>
      </c>
      <c r="I646" s="12" t="s">
        <v>27</v>
      </c>
      <c r="J646" s="12" t="s">
        <v>47</v>
      </c>
      <c r="K646" s="12" t="s">
        <v>48</v>
      </c>
      <c r="L646" s="13">
        <v>40.44</v>
      </c>
      <c r="M646" s="13">
        <v>25</v>
      </c>
      <c r="N646" s="13">
        <v>1.6175999999999999</v>
      </c>
      <c r="O646" s="13">
        <v>46.66</v>
      </c>
      <c r="P646" s="13" t="s">
        <v>30</v>
      </c>
      <c r="Q646" s="13">
        <v>0</v>
      </c>
      <c r="R646" s="15">
        <v>1886.9303999999997</v>
      </c>
      <c r="S646" s="15">
        <v>0</v>
      </c>
      <c r="T646" s="15">
        <v>0</v>
      </c>
      <c r="U646" s="15">
        <v>1886.9303999999997</v>
      </c>
      <c r="V646" s="15">
        <v>1415.1977999999999</v>
      </c>
      <c r="W646" s="15">
        <v>471.73259999999982</v>
      </c>
      <c r="X646" s="15">
        <v>0</v>
      </c>
      <c r="Y646" s="16">
        <v>0</v>
      </c>
      <c r="Z646" s="67" t="s">
        <v>26</v>
      </c>
      <c r="AA646" s="12" t="s">
        <v>31</v>
      </c>
    </row>
    <row r="647" spans="1:27" x14ac:dyDescent="0.25">
      <c r="A647" s="10">
        <v>45668</v>
      </c>
      <c r="B647" s="11" t="s">
        <v>197</v>
      </c>
      <c r="C647" s="11" t="s">
        <v>1959</v>
      </c>
      <c r="D647" s="11" t="s">
        <v>26</v>
      </c>
      <c r="E647" s="11" t="s">
        <v>224</v>
      </c>
      <c r="F647" s="11" t="s">
        <v>26</v>
      </c>
      <c r="G647" s="11">
        <v>57843</v>
      </c>
      <c r="H647" s="12" t="s">
        <v>4423</v>
      </c>
      <c r="I647" s="12" t="s">
        <v>27</v>
      </c>
      <c r="J647" s="12" t="s">
        <v>47</v>
      </c>
      <c r="K647" s="12" t="s">
        <v>48</v>
      </c>
      <c r="L647" s="13">
        <v>35.119999999999997</v>
      </c>
      <c r="M647" s="13">
        <v>25</v>
      </c>
      <c r="N647" s="13">
        <v>1.4048</v>
      </c>
      <c r="O647" s="13">
        <v>46</v>
      </c>
      <c r="P647" s="13" t="s">
        <v>30</v>
      </c>
      <c r="Q647" s="13">
        <v>0</v>
      </c>
      <c r="R647" s="14">
        <v>1615.52</v>
      </c>
      <c r="S647" s="15">
        <v>0</v>
      </c>
      <c r="T647" s="15">
        <v>0</v>
      </c>
      <c r="U647" s="15">
        <v>1615.52</v>
      </c>
      <c r="V647" s="15">
        <v>1615.52</v>
      </c>
      <c r="W647" s="15">
        <v>0</v>
      </c>
      <c r="X647" s="16">
        <v>0</v>
      </c>
      <c r="Y647" s="16">
        <v>0</v>
      </c>
      <c r="Z647" s="67" t="s">
        <v>26</v>
      </c>
      <c r="AA647" s="12" t="s">
        <v>31</v>
      </c>
    </row>
    <row r="648" spans="1:27" x14ac:dyDescent="0.25">
      <c r="A648" s="10">
        <v>45668</v>
      </c>
      <c r="B648" s="11" t="s">
        <v>1960</v>
      </c>
      <c r="C648" s="11" t="s">
        <v>1961</v>
      </c>
      <c r="D648" s="11" t="s">
        <v>26</v>
      </c>
      <c r="E648" s="11" t="s">
        <v>99</v>
      </c>
      <c r="F648" s="11" t="s">
        <v>26</v>
      </c>
      <c r="G648" s="11">
        <v>57975</v>
      </c>
      <c r="H648" s="12" t="s">
        <v>4423</v>
      </c>
      <c r="I648" s="12" t="s">
        <v>27</v>
      </c>
      <c r="J648" s="12" t="s">
        <v>33</v>
      </c>
      <c r="K648" s="12" t="s">
        <v>34</v>
      </c>
      <c r="L648" s="13">
        <v>37.92</v>
      </c>
      <c r="M648" s="13">
        <v>25</v>
      </c>
      <c r="N648" s="13">
        <v>1.5167999999999999</v>
      </c>
      <c r="O648" s="13">
        <v>45</v>
      </c>
      <c r="P648" s="13" t="s">
        <v>30</v>
      </c>
      <c r="Q648" s="13">
        <v>0</v>
      </c>
      <c r="R648" s="15">
        <v>1706.4</v>
      </c>
      <c r="S648" s="15">
        <v>0</v>
      </c>
      <c r="T648" s="15">
        <v>0</v>
      </c>
      <c r="U648" s="15">
        <v>1706.4</v>
      </c>
      <c r="V648" s="15">
        <v>1706.4</v>
      </c>
      <c r="W648" s="15">
        <v>0</v>
      </c>
      <c r="X648" s="15">
        <v>0</v>
      </c>
      <c r="Y648" s="16">
        <v>0</v>
      </c>
      <c r="Z648" s="67" t="s">
        <v>26</v>
      </c>
      <c r="AA648" s="12" t="s">
        <v>31</v>
      </c>
    </row>
    <row r="649" spans="1:27" x14ac:dyDescent="0.25">
      <c r="A649" s="10">
        <v>45668</v>
      </c>
      <c r="B649" s="11" t="s">
        <v>677</v>
      </c>
      <c r="C649" s="11" t="s">
        <v>1962</v>
      </c>
      <c r="D649" s="11" t="s">
        <v>26</v>
      </c>
      <c r="E649" s="11" t="s">
        <v>552</v>
      </c>
      <c r="F649" s="11" t="s">
        <v>26</v>
      </c>
      <c r="G649" s="11">
        <v>69105</v>
      </c>
      <c r="H649" s="12" t="s">
        <v>4423</v>
      </c>
      <c r="I649" s="12" t="s">
        <v>27</v>
      </c>
      <c r="J649" s="12" t="s">
        <v>33</v>
      </c>
      <c r="K649" s="12" t="s">
        <v>34</v>
      </c>
      <c r="L649" s="13">
        <v>34.76</v>
      </c>
      <c r="M649" s="13">
        <v>25</v>
      </c>
      <c r="N649" s="13">
        <v>1.3904000000000001</v>
      </c>
      <c r="O649" s="13">
        <v>45</v>
      </c>
      <c r="P649" s="13" t="s">
        <v>30</v>
      </c>
      <c r="Q649" s="13">
        <v>0</v>
      </c>
      <c r="R649" s="15">
        <v>1564.1999999999998</v>
      </c>
      <c r="S649" s="15">
        <v>0</v>
      </c>
      <c r="T649" s="15">
        <v>0</v>
      </c>
      <c r="U649" s="15">
        <v>1564.1999999999998</v>
      </c>
      <c r="V649" s="15">
        <v>1564.1999999999998</v>
      </c>
      <c r="W649" s="15">
        <v>0</v>
      </c>
      <c r="X649" s="15">
        <v>0</v>
      </c>
      <c r="Y649" s="16">
        <v>0</v>
      </c>
      <c r="Z649" s="67" t="s">
        <v>26</v>
      </c>
      <c r="AA649" s="12" t="s">
        <v>31</v>
      </c>
    </row>
    <row r="650" spans="1:27" x14ac:dyDescent="0.25">
      <c r="A650" s="10">
        <v>45668</v>
      </c>
      <c r="B650" s="11" t="s">
        <v>369</v>
      </c>
      <c r="C650" s="11" t="s">
        <v>1963</v>
      </c>
      <c r="D650" s="11" t="s">
        <v>26</v>
      </c>
      <c r="E650" s="11" t="s">
        <v>574</v>
      </c>
      <c r="F650" s="11" t="s">
        <v>26</v>
      </c>
      <c r="G650" s="11" t="s">
        <v>26</v>
      </c>
      <c r="H650" s="12" t="s">
        <v>4422</v>
      </c>
      <c r="I650" s="12" t="s">
        <v>27</v>
      </c>
      <c r="J650" s="12" t="s">
        <v>47</v>
      </c>
      <c r="K650" s="12" t="s">
        <v>48</v>
      </c>
      <c r="L650" s="13">
        <v>43.08</v>
      </c>
      <c r="M650" s="13">
        <v>30</v>
      </c>
      <c r="N650" s="13">
        <v>1.4359999999999999</v>
      </c>
      <c r="O650" s="13">
        <v>87</v>
      </c>
      <c r="P650" s="13" t="s">
        <v>30</v>
      </c>
      <c r="Q650" s="13">
        <v>0</v>
      </c>
      <c r="R650" s="14">
        <v>3747.96</v>
      </c>
      <c r="S650" s="15">
        <v>38</v>
      </c>
      <c r="T650" s="15">
        <v>1637.04</v>
      </c>
      <c r="U650" s="15">
        <v>2110.92</v>
      </c>
      <c r="V650" s="15">
        <v>2110.92</v>
      </c>
      <c r="W650" s="15">
        <v>0</v>
      </c>
      <c r="X650" s="15">
        <v>1550.8799999999999</v>
      </c>
      <c r="Y650" s="16">
        <v>86.160000000000082</v>
      </c>
      <c r="Z650" s="67" t="s">
        <v>141</v>
      </c>
      <c r="AA650" s="12" t="s">
        <v>78</v>
      </c>
    </row>
    <row r="651" spans="1:27" x14ac:dyDescent="0.25">
      <c r="A651" s="10">
        <v>45668</v>
      </c>
      <c r="B651" s="11" t="s">
        <v>1964</v>
      </c>
      <c r="C651" s="11" t="s">
        <v>1965</v>
      </c>
      <c r="D651" s="11" t="s">
        <v>26</v>
      </c>
      <c r="E651" s="11" t="s">
        <v>501</v>
      </c>
      <c r="F651" s="11" t="s">
        <v>26</v>
      </c>
      <c r="G651" s="11" t="s">
        <v>26</v>
      </c>
      <c r="H651" s="12" t="s">
        <v>4422</v>
      </c>
      <c r="I651" s="12" t="s">
        <v>27</v>
      </c>
      <c r="J651" s="12" t="s">
        <v>47</v>
      </c>
      <c r="K651" s="12" t="s">
        <v>48</v>
      </c>
      <c r="L651" s="13">
        <v>42.62</v>
      </c>
      <c r="M651" s="13">
        <v>29</v>
      </c>
      <c r="N651" s="13">
        <v>1.469655172413793</v>
      </c>
      <c r="O651" s="13">
        <v>87</v>
      </c>
      <c r="P651" s="13" t="s">
        <v>30</v>
      </c>
      <c r="Q651" s="13">
        <v>0</v>
      </c>
      <c r="R651" s="14">
        <v>3707.9399999999996</v>
      </c>
      <c r="S651" s="15">
        <v>38</v>
      </c>
      <c r="T651" s="15">
        <v>1619.56</v>
      </c>
      <c r="U651" s="15">
        <v>2088.3799999999997</v>
      </c>
      <c r="V651" s="15">
        <v>2088.3799999999997</v>
      </c>
      <c r="W651" s="15">
        <v>0</v>
      </c>
      <c r="X651" s="16">
        <v>1534.32</v>
      </c>
      <c r="Y651" s="16">
        <v>85.240000000000009</v>
      </c>
      <c r="Z651" s="67" t="s">
        <v>141</v>
      </c>
      <c r="AA651" s="12" t="s">
        <v>78</v>
      </c>
    </row>
    <row r="652" spans="1:27" x14ac:dyDescent="0.25">
      <c r="A652" s="10">
        <v>45668</v>
      </c>
      <c r="B652" s="11" t="s">
        <v>1966</v>
      </c>
      <c r="C652" s="11" t="s">
        <v>1967</v>
      </c>
      <c r="D652" s="11" t="s">
        <v>26</v>
      </c>
      <c r="E652" s="11" t="s">
        <v>57</v>
      </c>
      <c r="F652" s="11" t="s">
        <v>26</v>
      </c>
      <c r="G652" s="11" t="s">
        <v>26</v>
      </c>
      <c r="H652" s="12" t="s">
        <v>4422</v>
      </c>
      <c r="I652" s="12" t="s">
        <v>27</v>
      </c>
      <c r="J652" s="12" t="s">
        <v>33</v>
      </c>
      <c r="K652" s="12" t="s">
        <v>34</v>
      </c>
      <c r="L652" s="13">
        <v>42.08</v>
      </c>
      <c r="M652" s="13">
        <v>29</v>
      </c>
      <c r="N652" s="13">
        <v>1.451034482758621</v>
      </c>
      <c r="O652" s="13">
        <v>85</v>
      </c>
      <c r="P652" s="13" t="s">
        <v>30</v>
      </c>
      <c r="Q652" s="13">
        <v>0</v>
      </c>
      <c r="R652" s="15">
        <v>3576.7999999999997</v>
      </c>
      <c r="S652" s="15">
        <v>38</v>
      </c>
      <c r="T652" s="15">
        <v>1599.04</v>
      </c>
      <c r="U652" s="15">
        <v>1977.7599999999998</v>
      </c>
      <c r="V652" s="15">
        <v>1977.7599999999998</v>
      </c>
      <c r="W652" s="15">
        <v>0</v>
      </c>
      <c r="X652" s="15">
        <v>1556.96</v>
      </c>
      <c r="Y652" s="16">
        <v>42.079999999999927</v>
      </c>
      <c r="Z652" s="67" t="s">
        <v>41</v>
      </c>
      <c r="AA652" s="12" t="s">
        <v>78</v>
      </c>
    </row>
    <row r="653" spans="1:27" x14ac:dyDescent="0.25">
      <c r="A653" s="10">
        <v>45668</v>
      </c>
      <c r="B653" s="11" t="s">
        <v>1968</v>
      </c>
      <c r="C653" s="11" t="s">
        <v>1969</v>
      </c>
      <c r="D653" s="11" t="s">
        <v>26</v>
      </c>
      <c r="E653" s="11" t="s">
        <v>184</v>
      </c>
      <c r="F653" s="11" t="s">
        <v>26</v>
      </c>
      <c r="G653" s="11" t="s">
        <v>26</v>
      </c>
      <c r="H653" s="12" t="s">
        <v>4422</v>
      </c>
      <c r="I653" s="12" t="s">
        <v>27</v>
      </c>
      <c r="J653" s="12" t="s">
        <v>42</v>
      </c>
      <c r="K653" s="12" t="s">
        <v>43</v>
      </c>
      <c r="L653" s="13">
        <v>45.12</v>
      </c>
      <c r="M653" s="13">
        <v>28</v>
      </c>
      <c r="N653" s="13">
        <v>1.611428571428571</v>
      </c>
      <c r="O653" s="13">
        <v>83</v>
      </c>
      <c r="P653" s="13" t="s">
        <v>30</v>
      </c>
      <c r="Q653" s="13">
        <v>0</v>
      </c>
      <c r="R653" s="14">
        <v>3744.9599999999996</v>
      </c>
      <c r="S653" s="15">
        <v>38</v>
      </c>
      <c r="T653" s="15">
        <v>1714.56</v>
      </c>
      <c r="U653" s="15">
        <v>2030.3999999999996</v>
      </c>
      <c r="V653" s="15">
        <v>2030.3999999999996</v>
      </c>
      <c r="W653" s="15">
        <v>0</v>
      </c>
      <c r="X653" s="15">
        <v>1624.32</v>
      </c>
      <c r="Y653" s="16">
        <v>90.240000000000009</v>
      </c>
      <c r="Z653" s="67" t="s">
        <v>141</v>
      </c>
      <c r="AA653" s="12" t="s">
        <v>78</v>
      </c>
    </row>
    <row r="654" spans="1:27" x14ac:dyDescent="0.25">
      <c r="A654" s="10">
        <v>45668</v>
      </c>
      <c r="B654" s="11" t="s">
        <v>1970</v>
      </c>
      <c r="C654" s="11" t="s">
        <v>1971</v>
      </c>
      <c r="D654" s="11" t="s">
        <v>26</v>
      </c>
      <c r="E654" s="11" t="s">
        <v>50</v>
      </c>
      <c r="F654" s="11" t="s">
        <v>26</v>
      </c>
      <c r="G654" s="11">
        <v>621</v>
      </c>
      <c r="H654" s="12" t="s">
        <v>163</v>
      </c>
      <c r="I654" s="12" t="s">
        <v>27</v>
      </c>
      <c r="J654" s="12" t="s">
        <v>33</v>
      </c>
      <c r="K654" s="12" t="s">
        <v>34</v>
      </c>
      <c r="L654" s="13">
        <v>36.619999999999997</v>
      </c>
      <c r="M654" s="13">
        <v>25</v>
      </c>
      <c r="N654" s="13">
        <v>1.4648000000000001</v>
      </c>
      <c r="O654" s="13" t="s">
        <v>30</v>
      </c>
      <c r="P654" s="13">
        <v>58</v>
      </c>
      <c r="Q654" s="13">
        <v>0</v>
      </c>
      <c r="R654" s="15">
        <v>1450</v>
      </c>
      <c r="S654" s="15">
        <v>0</v>
      </c>
      <c r="T654" s="15">
        <v>0</v>
      </c>
      <c r="U654" s="15">
        <v>1450</v>
      </c>
      <c r="V654" s="15">
        <v>0</v>
      </c>
      <c r="W654" s="15">
        <v>1450</v>
      </c>
      <c r="X654" s="15">
        <v>0</v>
      </c>
      <c r="Y654" s="16">
        <v>0</v>
      </c>
      <c r="Z654" s="67" t="s">
        <v>26</v>
      </c>
      <c r="AA654" s="12" t="s">
        <v>31</v>
      </c>
    </row>
    <row r="655" spans="1:27" x14ac:dyDescent="0.25">
      <c r="A655" s="10">
        <v>45668</v>
      </c>
      <c r="B655" s="11" t="s">
        <v>1972</v>
      </c>
      <c r="C655" s="11" t="s">
        <v>1973</v>
      </c>
      <c r="D655" s="11" t="s">
        <v>26</v>
      </c>
      <c r="E655" s="11" t="s">
        <v>604</v>
      </c>
      <c r="F655" s="11" t="s">
        <v>26</v>
      </c>
      <c r="G655" s="11">
        <v>636</v>
      </c>
      <c r="H655" s="12" t="s">
        <v>141</v>
      </c>
      <c r="I655" s="12" t="s">
        <v>27</v>
      </c>
      <c r="J655" s="12" t="s">
        <v>33</v>
      </c>
      <c r="K655" s="12" t="s">
        <v>34</v>
      </c>
      <c r="L655" s="13">
        <v>40.520000000000003</v>
      </c>
      <c r="M655" s="13">
        <v>28</v>
      </c>
      <c r="N655" s="13">
        <v>1.4471428571428571</v>
      </c>
      <c r="O655" s="13">
        <v>40</v>
      </c>
      <c r="P655" s="13" t="s">
        <v>30</v>
      </c>
      <c r="Q655" s="13">
        <v>0</v>
      </c>
      <c r="R655" s="15">
        <v>1620.8000000000002</v>
      </c>
      <c r="S655" s="15">
        <v>0</v>
      </c>
      <c r="T655" s="15">
        <v>0</v>
      </c>
      <c r="U655" s="15">
        <v>1620.8000000000002</v>
      </c>
      <c r="V655" s="15">
        <v>0</v>
      </c>
      <c r="W655" s="15">
        <v>1620.8000000000002</v>
      </c>
      <c r="X655" s="15">
        <v>0</v>
      </c>
      <c r="Y655" s="16">
        <v>0</v>
      </c>
      <c r="Z655" s="67" t="s">
        <v>26</v>
      </c>
      <c r="AA655" s="12" t="s">
        <v>31</v>
      </c>
    </row>
    <row r="656" spans="1:27" x14ac:dyDescent="0.25">
      <c r="A656" s="10">
        <v>45668</v>
      </c>
      <c r="B656" s="11" t="s">
        <v>1974</v>
      </c>
      <c r="C656" s="11" t="s">
        <v>1975</v>
      </c>
      <c r="D656" s="11" t="s">
        <v>26</v>
      </c>
      <c r="E656" s="11" t="s">
        <v>81</v>
      </c>
      <c r="F656" s="11" t="s">
        <v>26</v>
      </c>
      <c r="G656" s="11" t="s">
        <v>26</v>
      </c>
      <c r="H656" s="12" t="s">
        <v>4422</v>
      </c>
      <c r="I656" s="12" t="s">
        <v>27</v>
      </c>
      <c r="J656" s="12" t="s">
        <v>42</v>
      </c>
      <c r="K656" s="12" t="s">
        <v>43</v>
      </c>
      <c r="L656" s="13">
        <v>43.84</v>
      </c>
      <c r="M656" s="13">
        <v>25</v>
      </c>
      <c r="N656" s="13">
        <v>1.7536</v>
      </c>
      <c r="O656" s="13">
        <v>83</v>
      </c>
      <c r="P656" s="13" t="s">
        <v>30</v>
      </c>
      <c r="Q656" s="13">
        <v>0</v>
      </c>
      <c r="R656" s="15">
        <v>3638.7200000000003</v>
      </c>
      <c r="S656" s="15">
        <v>38</v>
      </c>
      <c r="T656" s="15">
        <v>1665.92</v>
      </c>
      <c r="U656" s="15">
        <v>1972.8000000000002</v>
      </c>
      <c r="V656" s="15">
        <v>1972.8000000000002</v>
      </c>
      <c r="W656" s="15">
        <v>0</v>
      </c>
      <c r="X656" s="15">
        <v>1578.2400000000002</v>
      </c>
      <c r="Y656" s="16">
        <v>87.679999999999836</v>
      </c>
      <c r="Z656" s="67" t="s">
        <v>141</v>
      </c>
      <c r="AA656" s="12" t="s">
        <v>78</v>
      </c>
    </row>
    <row r="657" spans="1:27" x14ac:dyDescent="0.25">
      <c r="A657" s="10">
        <v>45668</v>
      </c>
      <c r="B657" s="11" t="s">
        <v>1976</v>
      </c>
      <c r="C657" s="11" t="s">
        <v>1977</v>
      </c>
      <c r="D657" s="11" t="s">
        <v>26</v>
      </c>
      <c r="E657" s="11" t="s">
        <v>98</v>
      </c>
      <c r="F657" s="11" t="s">
        <v>26</v>
      </c>
      <c r="G657" s="11" t="s">
        <v>26</v>
      </c>
      <c r="H657" s="12" t="s">
        <v>4422</v>
      </c>
      <c r="I657" s="12" t="s">
        <v>27</v>
      </c>
      <c r="J657" s="12" t="s">
        <v>33</v>
      </c>
      <c r="K657" s="12" t="s">
        <v>34</v>
      </c>
      <c r="L657" s="13">
        <v>42.56</v>
      </c>
      <c r="M657" s="13">
        <v>29</v>
      </c>
      <c r="N657" s="13">
        <v>1.4675862068965519</v>
      </c>
      <c r="O657" s="13">
        <v>85</v>
      </c>
      <c r="P657" s="13" t="s">
        <v>30</v>
      </c>
      <c r="Q657" s="13">
        <v>0</v>
      </c>
      <c r="R657" s="14">
        <v>3617.6000000000004</v>
      </c>
      <c r="S657" s="15">
        <v>38</v>
      </c>
      <c r="T657" s="15">
        <v>1617.2800000000002</v>
      </c>
      <c r="U657" s="15">
        <v>2000.3200000000002</v>
      </c>
      <c r="V657" s="15">
        <v>2000.3200000000002</v>
      </c>
      <c r="W657" s="15">
        <v>0</v>
      </c>
      <c r="X657" s="15">
        <v>1532.16</v>
      </c>
      <c r="Y657" s="16">
        <v>85.120000000000118</v>
      </c>
      <c r="Z657" s="67" t="s">
        <v>140</v>
      </c>
      <c r="AA657" s="12" t="s">
        <v>78</v>
      </c>
    </row>
    <row r="658" spans="1:27" x14ac:dyDescent="0.25">
      <c r="A658" s="10">
        <v>45668</v>
      </c>
      <c r="B658" s="11" t="s">
        <v>1147</v>
      </c>
      <c r="C658" s="11" t="s">
        <v>1978</v>
      </c>
      <c r="D658" s="11" t="s">
        <v>26</v>
      </c>
      <c r="E658" s="11" t="s">
        <v>49</v>
      </c>
      <c r="F658" s="11" t="s">
        <v>26</v>
      </c>
      <c r="G658" s="11">
        <v>1493</v>
      </c>
      <c r="H658" s="12" t="s">
        <v>45</v>
      </c>
      <c r="I658" s="12" t="s">
        <v>27</v>
      </c>
      <c r="J658" s="12" t="s">
        <v>42</v>
      </c>
      <c r="K658" s="12" t="s">
        <v>43</v>
      </c>
      <c r="L658" s="13">
        <v>42.44</v>
      </c>
      <c r="M658" s="13">
        <v>25</v>
      </c>
      <c r="N658" s="13">
        <v>1.6976</v>
      </c>
      <c r="O658" s="13" t="s">
        <v>30</v>
      </c>
      <c r="P658" s="13">
        <v>62</v>
      </c>
      <c r="Q658" s="13">
        <v>0</v>
      </c>
      <c r="R658" s="14">
        <v>1550</v>
      </c>
      <c r="S658" s="15">
        <v>0</v>
      </c>
      <c r="T658" s="15">
        <v>0</v>
      </c>
      <c r="U658" s="15">
        <v>1550</v>
      </c>
      <c r="V658" s="15">
        <v>0</v>
      </c>
      <c r="W658" s="15">
        <v>1550</v>
      </c>
      <c r="X658" s="15">
        <v>0</v>
      </c>
      <c r="Y658" s="16">
        <v>0</v>
      </c>
      <c r="Z658" s="67" t="s">
        <v>26</v>
      </c>
      <c r="AA658" s="12" t="s">
        <v>31</v>
      </c>
    </row>
    <row r="659" spans="1:27" x14ac:dyDescent="0.25">
      <c r="A659" s="10">
        <v>45668</v>
      </c>
      <c r="B659" s="11" t="s">
        <v>1979</v>
      </c>
      <c r="C659" s="11" t="s">
        <v>1980</v>
      </c>
      <c r="D659" s="11" t="s">
        <v>26</v>
      </c>
      <c r="E659" s="11" t="s">
        <v>53</v>
      </c>
      <c r="F659" s="11" t="s">
        <v>26</v>
      </c>
      <c r="G659" s="11" t="s">
        <v>26</v>
      </c>
      <c r="H659" s="12" t="s">
        <v>4422</v>
      </c>
      <c r="I659" s="12" t="s">
        <v>27</v>
      </c>
      <c r="J659" s="12" t="s">
        <v>33</v>
      </c>
      <c r="K659" s="12" t="s">
        <v>34</v>
      </c>
      <c r="L659" s="13">
        <v>42.74</v>
      </c>
      <c r="M659" s="13">
        <v>29</v>
      </c>
      <c r="N659" s="13">
        <v>1.4737931034482761</v>
      </c>
      <c r="O659" s="13">
        <v>85</v>
      </c>
      <c r="P659" s="13" t="s">
        <v>30</v>
      </c>
      <c r="Q659" s="13">
        <v>0</v>
      </c>
      <c r="R659" s="15">
        <v>3632.9</v>
      </c>
      <c r="S659" s="15">
        <v>38</v>
      </c>
      <c r="T659" s="15">
        <v>1624.1200000000001</v>
      </c>
      <c r="U659" s="15">
        <v>2008.78</v>
      </c>
      <c r="V659" s="15">
        <v>2008.78</v>
      </c>
      <c r="W659" s="15">
        <v>0</v>
      </c>
      <c r="X659" s="15">
        <v>1581.38</v>
      </c>
      <c r="Y659" s="16">
        <v>42.740000000000009</v>
      </c>
      <c r="Z659" s="67" t="s">
        <v>41</v>
      </c>
      <c r="AA659" s="12" t="s">
        <v>78</v>
      </c>
    </row>
    <row r="660" spans="1:27" x14ac:dyDescent="0.25">
      <c r="A660" s="10">
        <v>45668</v>
      </c>
      <c r="B660" s="11" t="s">
        <v>1981</v>
      </c>
      <c r="C660" s="11" t="s">
        <v>1982</v>
      </c>
      <c r="D660" s="11" t="s">
        <v>26</v>
      </c>
      <c r="E660" s="11" t="s">
        <v>539</v>
      </c>
      <c r="F660" s="11" t="s">
        <v>26</v>
      </c>
      <c r="G660" s="11">
        <v>2299</v>
      </c>
      <c r="H660" s="12" t="s">
        <v>41</v>
      </c>
      <c r="I660" s="12" t="s">
        <v>27</v>
      </c>
      <c r="J660" s="12" t="s">
        <v>33</v>
      </c>
      <c r="K660" s="12" t="s">
        <v>34</v>
      </c>
      <c r="L660" s="13">
        <v>37</v>
      </c>
      <c r="M660" s="13">
        <v>25</v>
      </c>
      <c r="N660" s="13">
        <v>1.48</v>
      </c>
      <c r="O660" s="13" t="s">
        <v>30</v>
      </c>
      <c r="P660" s="13">
        <v>60</v>
      </c>
      <c r="Q660" s="13">
        <v>0</v>
      </c>
      <c r="R660" s="15">
        <v>1500</v>
      </c>
      <c r="S660" s="15">
        <v>0</v>
      </c>
      <c r="T660" s="15">
        <v>0</v>
      </c>
      <c r="U660" s="15">
        <v>1500</v>
      </c>
      <c r="V660" s="15">
        <v>0</v>
      </c>
      <c r="W660" s="15">
        <v>1500</v>
      </c>
      <c r="X660" s="15">
        <v>0</v>
      </c>
      <c r="Y660" s="16">
        <v>0</v>
      </c>
      <c r="Z660" s="67" t="s">
        <v>26</v>
      </c>
      <c r="AA660" s="12" t="s">
        <v>31</v>
      </c>
    </row>
    <row r="661" spans="1:27" x14ac:dyDescent="0.25">
      <c r="A661" s="10">
        <v>45668</v>
      </c>
      <c r="B661" s="11" t="s">
        <v>1983</v>
      </c>
      <c r="C661" s="11" t="s">
        <v>1984</v>
      </c>
      <c r="D661" s="11" t="s">
        <v>26</v>
      </c>
      <c r="E661" s="11" t="s">
        <v>44</v>
      </c>
      <c r="F661" s="11" t="s">
        <v>26</v>
      </c>
      <c r="G661" s="11">
        <v>1498</v>
      </c>
      <c r="H661" s="12" t="s">
        <v>45</v>
      </c>
      <c r="I661" s="12" t="s">
        <v>27</v>
      </c>
      <c r="J661" s="12" t="s">
        <v>28</v>
      </c>
      <c r="K661" s="12" t="s">
        <v>29</v>
      </c>
      <c r="L661" s="13">
        <v>37.36</v>
      </c>
      <c r="M661" s="13">
        <v>25</v>
      </c>
      <c r="N661" s="13">
        <v>1.4944</v>
      </c>
      <c r="O661" s="13" t="s">
        <v>30</v>
      </c>
      <c r="P661" s="13">
        <v>40</v>
      </c>
      <c r="Q661" s="13">
        <v>0</v>
      </c>
      <c r="R661" s="15">
        <v>1000</v>
      </c>
      <c r="S661" s="15">
        <v>0</v>
      </c>
      <c r="T661" s="15">
        <v>0</v>
      </c>
      <c r="U661" s="15">
        <v>1000</v>
      </c>
      <c r="V661" s="15">
        <v>0</v>
      </c>
      <c r="W661" s="15">
        <v>1000</v>
      </c>
      <c r="X661" s="15">
        <v>0</v>
      </c>
      <c r="Y661" s="16">
        <v>0</v>
      </c>
      <c r="Z661" s="67" t="s">
        <v>26</v>
      </c>
      <c r="AA661" s="12" t="s">
        <v>31</v>
      </c>
    </row>
    <row r="662" spans="1:27" x14ac:dyDescent="0.25">
      <c r="A662" s="10">
        <v>45668</v>
      </c>
      <c r="B662" s="11" t="s">
        <v>1985</v>
      </c>
      <c r="C662" s="11" t="s">
        <v>1986</v>
      </c>
      <c r="D662" s="11" t="s">
        <v>26</v>
      </c>
      <c r="E662" s="11" t="s">
        <v>371</v>
      </c>
      <c r="F662" s="11" t="s">
        <v>26</v>
      </c>
      <c r="G662" s="11" t="s">
        <v>35</v>
      </c>
      <c r="H662" s="12" t="s">
        <v>36</v>
      </c>
      <c r="I662" s="12" t="s">
        <v>55</v>
      </c>
      <c r="J662" s="12" t="s">
        <v>55</v>
      </c>
      <c r="K662" s="12" t="s">
        <v>56</v>
      </c>
      <c r="L662" s="13">
        <v>13.1</v>
      </c>
      <c r="M662" s="13">
        <v>10</v>
      </c>
      <c r="N662" s="13">
        <v>1.31</v>
      </c>
      <c r="O662" s="13">
        <v>20</v>
      </c>
      <c r="P662" s="13" t="s">
        <v>30</v>
      </c>
      <c r="Q662" s="13">
        <v>0</v>
      </c>
      <c r="R662" s="15">
        <v>262</v>
      </c>
      <c r="S662" s="15">
        <v>0</v>
      </c>
      <c r="T662" s="15">
        <v>0</v>
      </c>
      <c r="U662" s="15">
        <v>262</v>
      </c>
      <c r="V662" s="15">
        <v>0</v>
      </c>
      <c r="W662" s="15">
        <v>262</v>
      </c>
      <c r="X662" s="15">
        <v>0</v>
      </c>
      <c r="Y662" s="16">
        <v>0</v>
      </c>
      <c r="Z662" s="67" t="s">
        <v>26</v>
      </c>
      <c r="AA662" s="12" t="s">
        <v>31</v>
      </c>
    </row>
    <row r="663" spans="1:27" x14ac:dyDescent="0.25">
      <c r="A663" s="10">
        <v>45668</v>
      </c>
      <c r="B663" s="11" t="s">
        <v>1987</v>
      </c>
      <c r="C663" s="11" t="s">
        <v>1988</v>
      </c>
      <c r="D663" s="11" t="s">
        <v>26</v>
      </c>
      <c r="E663" s="11" t="s">
        <v>180</v>
      </c>
      <c r="F663" s="11" t="s">
        <v>26</v>
      </c>
      <c r="G663" s="11" t="s">
        <v>35</v>
      </c>
      <c r="H663" s="12" t="s">
        <v>36</v>
      </c>
      <c r="I663" s="12" t="s">
        <v>55</v>
      </c>
      <c r="J663" s="12" t="s">
        <v>55</v>
      </c>
      <c r="K663" s="12" t="s">
        <v>56</v>
      </c>
      <c r="L663" s="13">
        <v>15.6</v>
      </c>
      <c r="M663" s="13">
        <v>10</v>
      </c>
      <c r="N663" s="13">
        <v>1.56</v>
      </c>
      <c r="O663" s="13">
        <v>20</v>
      </c>
      <c r="P663" s="13" t="s">
        <v>30</v>
      </c>
      <c r="Q663" s="13">
        <v>0</v>
      </c>
      <c r="R663" s="15">
        <v>312</v>
      </c>
      <c r="S663" s="15">
        <v>0</v>
      </c>
      <c r="T663" s="15">
        <v>0</v>
      </c>
      <c r="U663" s="15">
        <v>312</v>
      </c>
      <c r="V663" s="15">
        <v>0</v>
      </c>
      <c r="W663" s="15">
        <v>312</v>
      </c>
      <c r="X663" s="15">
        <v>0</v>
      </c>
      <c r="Y663" s="16">
        <v>0</v>
      </c>
      <c r="Z663" s="67" t="s">
        <v>26</v>
      </c>
      <c r="AA663" s="12" t="s">
        <v>31</v>
      </c>
    </row>
    <row r="664" spans="1:27" x14ac:dyDescent="0.25">
      <c r="A664" s="10">
        <v>45668</v>
      </c>
      <c r="B664" s="11" t="s">
        <v>1989</v>
      </c>
      <c r="C664" s="11" t="s">
        <v>1990</v>
      </c>
      <c r="D664" s="11" t="s">
        <v>26</v>
      </c>
      <c r="E664" s="11" t="s">
        <v>246</v>
      </c>
      <c r="F664" s="11" t="s">
        <v>26</v>
      </c>
      <c r="G664" s="11">
        <v>2042</v>
      </c>
      <c r="H664" s="12" t="s">
        <v>41</v>
      </c>
      <c r="I664" s="12" t="s">
        <v>27</v>
      </c>
      <c r="J664" s="12" t="s">
        <v>33</v>
      </c>
      <c r="K664" s="12" t="s">
        <v>34</v>
      </c>
      <c r="L664" s="13">
        <v>39.58</v>
      </c>
      <c r="M664" s="13">
        <v>27</v>
      </c>
      <c r="N664" s="13">
        <v>1.4659259259259261</v>
      </c>
      <c r="O664" s="13" t="s">
        <v>30</v>
      </c>
      <c r="P664" s="13">
        <v>60</v>
      </c>
      <c r="Q664" s="13">
        <v>0</v>
      </c>
      <c r="R664" s="15">
        <v>1620</v>
      </c>
      <c r="S664" s="15">
        <v>0</v>
      </c>
      <c r="T664" s="15">
        <v>0</v>
      </c>
      <c r="U664" s="15">
        <v>1620</v>
      </c>
      <c r="V664" s="15">
        <v>0</v>
      </c>
      <c r="W664" s="15">
        <v>1620</v>
      </c>
      <c r="X664" s="15">
        <v>0</v>
      </c>
      <c r="Y664" s="16">
        <v>0</v>
      </c>
      <c r="Z664" s="67" t="s">
        <v>26</v>
      </c>
      <c r="AA664" s="12" t="s">
        <v>31</v>
      </c>
    </row>
    <row r="665" spans="1:27" x14ac:dyDescent="0.25">
      <c r="A665" s="10">
        <v>45668</v>
      </c>
      <c r="B665" s="11" t="s">
        <v>1991</v>
      </c>
      <c r="C665" s="11" t="s">
        <v>1992</v>
      </c>
      <c r="D665" s="11" t="s">
        <v>26</v>
      </c>
      <c r="E665" s="11" t="s">
        <v>240</v>
      </c>
      <c r="F665" s="11" t="s">
        <v>26</v>
      </c>
      <c r="G665" s="11" t="s">
        <v>26</v>
      </c>
      <c r="H665" s="12" t="s">
        <v>4422</v>
      </c>
      <c r="I665" s="12" t="s">
        <v>27</v>
      </c>
      <c r="J665" s="12" t="s">
        <v>42</v>
      </c>
      <c r="K665" s="12" t="s">
        <v>43</v>
      </c>
      <c r="L665" s="13">
        <v>42.84</v>
      </c>
      <c r="M665" s="13">
        <v>25</v>
      </c>
      <c r="N665" s="13">
        <v>1.7136</v>
      </c>
      <c r="O665" s="13">
        <v>83</v>
      </c>
      <c r="P665" s="13" t="s">
        <v>30</v>
      </c>
      <c r="Q665" s="13">
        <v>0</v>
      </c>
      <c r="R665" s="15">
        <v>3555.7200000000003</v>
      </c>
      <c r="S665" s="15">
        <v>38</v>
      </c>
      <c r="T665" s="15">
        <v>1627.92</v>
      </c>
      <c r="U665" s="15">
        <v>1927.8000000000002</v>
      </c>
      <c r="V665" s="15">
        <v>1927.8000000000002</v>
      </c>
      <c r="W665" s="15">
        <v>0</v>
      </c>
      <c r="X665" s="15">
        <v>1585.0800000000002</v>
      </c>
      <c r="Y665" s="16">
        <v>42.839999999999918</v>
      </c>
      <c r="Z665" s="67" t="s">
        <v>41</v>
      </c>
      <c r="AA665" s="12" t="s">
        <v>78</v>
      </c>
    </row>
    <row r="666" spans="1:27" x14ac:dyDescent="0.25">
      <c r="A666" s="10">
        <v>45668</v>
      </c>
      <c r="B666" s="11" t="s">
        <v>1993</v>
      </c>
      <c r="C666" s="11" t="s">
        <v>1994</v>
      </c>
      <c r="D666" s="11" t="s">
        <v>26</v>
      </c>
      <c r="E666" s="11" t="s">
        <v>570</v>
      </c>
      <c r="F666" s="11" t="s">
        <v>26</v>
      </c>
      <c r="G666" s="11" t="s">
        <v>26</v>
      </c>
      <c r="H666" s="12" t="s">
        <v>4422</v>
      </c>
      <c r="I666" s="12" t="s">
        <v>27</v>
      </c>
      <c r="J666" s="12" t="s">
        <v>33</v>
      </c>
      <c r="K666" s="12" t="s">
        <v>34</v>
      </c>
      <c r="L666" s="13">
        <v>43.28</v>
      </c>
      <c r="M666" s="13">
        <v>30</v>
      </c>
      <c r="N666" s="13">
        <v>1.442666666666667</v>
      </c>
      <c r="O666" s="13">
        <v>85</v>
      </c>
      <c r="P666" s="13" t="s">
        <v>30</v>
      </c>
      <c r="Q666" s="13">
        <v>0</v>
      </c>
      <c r="R666" s="15">
        <v>3678.8</v>
      </c>
      <c r="S666" s="15">
        <v>38</v>
      </c>
      <c r="T666" s="15">
        <v>1644.64</v>
      </c>
      <c r="U666" s="15">
        <v>2034.16</v>
      </c>
      <c r="V666" s="15">
        <v>2034.16</v>
      </c>
      <c r="W666" s="15">
        <v>0</v>
      </c>
      <c r="X666" s="15">
        <v>1558.08</v>
      </c>
      <c r="Y666" s="16">
        <v>86.560000000000173</v>
      </c>
      <c r="Z666" s="67" t="s">
        <v>140</v>
      </c>
      <c r="AA666" s="12" t="s">
        <v>78</v>
      </c>
    </row>
    <row r="667" spans="1:27" x14ac:dyDescent="0.25">
      <c r="A667" s="10">
        <v>45668</v>
      </c>
      <c r="B667" s="11" t="s">
        <v>1995</v>
      </c>
      <c r="C667" s="11" t="s">
        <v>1996</v>
      </c>
      <c r="D667" s="11" t="s">
        <v>26</v>
      </c>
      <c r="E667" s="11" t="s">
        <v>1200</v>
      </c>
      <c r="F667" s="11" t="s">
        <v>26</v>
      </c>
      <c r="G667" s="11">
        <v>981</v>
      </c>
      <c r="H667" s="12" t="s">
        <v>163</v>
      </c>
      <c r="I667" s="12" t="s">
        <v>27</v>
      </c>
      <c r="J667" s="12" t="s">
        <v>42</v>
      </c>
      <c r="K667" s="12" t="s">
        <v>43</v>
      </c>
      <c r="L667" s="13">
        <v>43.28</v>
      </c>
      <c r="M667" s="13">
        <v>25</v>
      </c>
      <c r="N667" s="13">
        <v>1.7312000000000001</v>
      </c>
      <c r="O667" s="13" t="s">
        <v>30</v>
      </c>
      <c r="P667" s="13">
        <v>56</v>
      </c>
      <c r="Q667" s="13">
        <v>0</v>
      </c>
      <c r="R667" s="14">
        <v>1400</v>
      </c>
      <c r="S667" s="15">
        <v>0</v>
      </c>
      <c r="T667" s="15">
        <v>0</v>
      </c>
      <c r="U667" s="15">
        <v>1400</v>
      </c>
      <c r="V667" s="15">
        <v>0</v>
      </c>
      <c r="W667" s="15">
        <v>1400</v>
      </c>
      <c r="X667" s="15">
        <v>0</v>
      </c>
      <c r="Y667" s="16">
        <v>0</v>
      </c>
      <c r="Z667" s="67" t="s">
        <v>26</v>
      </c>
      <c r="AA667" s="12" t="s">
        <v>31</v>
      </c>
    </row>
    <row r="668" spans="1:27" x14ac:dyDescent="0.25">
      <c r="A668" s="10">
        <v>45668</v>
      </c>
      <c r="B668" s="11" t="s">
        <v>1997</v>
      </c>
      <c r="C668" s="11" t="s">
        <v>1998</v>
      </c>
      <c r="D668" s="11" t="s">
        <v>26</v>
      </c>
      <c r="E668" s="11" t="s">
        <v>520</v>
      </c>
      <c r="F668" s="11" t="s">
        <v>26</v>
      </c>
      <c r="G668" s="11" t="s">
        <v>26</v>
      </c>
      <c r="H668" s="12" t="s">
        <v>4422</v>
      </c>
      <c r="I668" s="12" t="s">
        <v>27</v>
      </c>
      <c r="J668" s="12" t="s">
        <v>42</v>
      </c>
      <c r="K668" s="12" t="s">
        <v>43</v>
      </c>
      <c r="L668" s="13">
        <v>41.92</v>
      </c>
      <c r="M668" s="13">
        <v>25</v>
      </c>
      <c r="N668" s="13">
        <v>1.6768000000000001</v>
      </c>
      <c r="O668" s="13">
        <v>83</v>
      </c>
      <c r="P668" s="13" t="s">
        <v>30</v>
      </c>
      <c r="Q668" s="13">
        <v>0</v>
      </c>
      <c r="R668" s="15">
        <v>3479.36</v>
      </c>
      <c r="S668" s="15">
        <v>38</v>
      </c>
      <c r="T668" s="15">
        <v>1592.96</v>
      </c>
      <c r="U668" s="15">
        <v>1886.4</v>
      </c>
      <c r="V668" s="15">
        <v>1886.4</v>
      </c>
      <c r="W668" s="15">
        <v>0</v>
      </c>
      <c r="X668" s="15">
        <v>1509.1200000000001</v>
      </c>
      <c r="Y668" s="16">
        <v>83.839999999999918</v>
      </c>
      <c r="Z668" s="67" t="s">
        <v>140</v>
      </c>
      <c r="AA668" s="12" t="s">
        <v>78</v>
      </c>
    </row>
    <row r="669" spans="1:27" x14ac:dyDescent="0.25">
      <c r="A669" s="10">
        <v>45668</v>
      </c>
      <c r="B669" s="11" t="s">
        <v>1999</v>
      </c>
      <c r="C669" s="11" t="s">
        <v>2000</v>
      </c>
      <c r="D669" s="11" t="s">
        <v>26</v>
      </c>
      <c r="E669" s="11" t="s">
        <v>605</v>
      </c>
      <c r="F669" s="11" t="s">
        <v>26</v>
      </c>
      <c r="G669" s="11">
        <v>637</v>
      </c>
      <c r="H669" s="12" t="s">
        <v>141</v>
      </c>
      <c r="I669" s="12" t="s">
        <v>27</v>
      </c>
      <c r="J669" s="12" t="s">
        <v>42</v>
      </c>
      <c r="K669" s="12" t="s">
        <v>43</v>
      </c>
      <c r="L669" s="13">
        <v>43.62</v>
      </c>
      <c r="M669" s="13">
        <v>25</v>
      </c>
      <c r="N669" s="13">
        <v>1.7447999999999999</v>
      </c>
      <c r="O669" s="13">
        <v>40</v>
      </c>
      <c r="P669" s="13" t="s">
        <v>30</v>
      </c>
      <c r="Q669" s="13">
        <v>0</v>
      </c>
      <c r="R669" s="15">
        <v>1744.8</v>
      </c>
      <c r="S669" s="15">
        <v>0</v>
      </c>
      <c r="T669" s="15">
        <v>0</v>
      </c>
      <c r="U669" s="15">
        <v>1744.8</v>
      </c>
      <c r="V669" s="15">
        <v>0</v>
      </c>
      <c r="W669" s="15">
        <v>1744.8</v>
      </c>
      <c r="X669" s="15">
        <v>0</v>
      </c>
      <c r="Y669" s="16">
        <v>0</v>
      </c>
      <c r="Z669" s="67" t="s">
        <v>26</v>
      </c>
      <c r="AA669" s="12" t="s">
        <v>31</v>
      </c>
    </row>
    <row r="670" spans="1:27" x14ac:dyDescent="0.25">
      <c r="A670" s="10">
        <v>45668</v>
      </c>
      <c r="B670" s="11" t="s">
        <v>2001</v>
      </c>
      <c r="C670" s="11" t="s">
        <v>2002</v>
      </c>
      <c r="D670" s="11" t="s">
        <v>26</v>
      </c>
      <c r="E670" s="11" t="s">
        <v>589</v>
      </c>
      <c r="F670" s="11" t="s">
        <v>26</v>
      </c>
      <c r="G670" s="11">
        <v>4572</v>
      </c>
      <c r="H670" s="12" t="s">
        <v>4423</v>
      </c>
      <c r="I670" s="12" t="s">
        <v>27</v>
      </c>
      <c r="J670" s="12" t="s">
        <v>33</v>
      </c>
      <c r="K670" s="12" t="s">
        <v>34</v>
      </c>
      <c r="L670" s="13">
        <v>33.880000000000003</v>
      </c>
      <c r="M670" s="13">
        <v>25</v>
      </c>
      <c r="N670" s="13">
        <v>1.3552</v>
      </c>
      <c r="O670" s="13">
        <v>45</v>
      </c>
      <c r="P670" s="13" t="s">
        <v>30</v>
      </c>
      <c r="Q670" s="13">
        <v>0</v>
      </c>
      <c r="R670" s="15">
        <v>1524.6000000000001</v>
      </c>
      <c r="S670" s="15">
        <v>0</v>
      </c>
      <c r="T670" s="15">
        <v>0</v>
      </c>
      <c r="U670" s="15">
        <v>1524.6000000000001</v>
      </c>
      <c r="V670" s="15">
        <v>1524.6000000000001</v>
      </c>
      <c r="W670" s="15">
        <v>0</v>
      </c>
      <c r="X670" s="15">
        <v>0</v>
      </c>
      <c r="Y670" s="16">
        <v>0</v>
      </c>
      <c r="Z670" s="67" t="s">
        <v>26</v>
      </c>
      <c r="AA670" s="12" t="s">
        <v>31</v>
      </c>
    </row>
    <row r="671" spans="1:27" x14ac:dyDescent="0.25">
      <c r="A671" s="10">
        <v>45668</v>
      </c>
      <c r="B671" s="11" t="s">
        <v>2003</v>
      </c>
      <c r="C671" s="11" t="s">
        <v>2004</v>
      </c>
      <c r="D671" s="11" t="s">
        <v>26</v>
      </c>
      <c r="E671" s="11" t="s">
        <v>75</v>
      </c>
      <c r="F671" s="11" t="s">
        <v>26</v>
      </c>
      <c r="G671" s="11">
        <v>42005</v>
      </c>
      <c r="H671" s="12" t="s">
        <v>565</v>
      </c>
      <c r="I671" s="12" t="s">
        <v>55</v>
      </c>
      <c r="J671" s="12" t="s">
        <v>55</v>
      </c>
      <c r="K671" s="12" t="s">
        <v>56</v>
      </c>
      <c r="L671" s="13">
        <v>41.98</v>
      </c>
      <c r="M671" s="13">
        <v>25</v>
      </c>
      <c r="N671" s="13">
        <v>1.6792</v>
      </c>
      <c r="O671" s="13"/>
      <c r="P671" s="13">
        <v>24</v>
      </c>
      <c r="Q671" s="13">
        <v>0</v>
      </c>
      <c r="R671" s="14">
        <v>600</v>
      </c>
      <c r="S671" s="15">
        <v>0</v>
      </c>
      <c r="T671" s="15">
        <v>0</v>
      </c>
      <c r="U671" s="15">
        <v>600</v>
      </c>
      <c r="V671" s="15">
        <v>0</v>
      </c>
      <c r="W671" s="15">
        <v>600</v>
      </c>
      <c r="X671" s="15">
        <v>0</v>
      </c>
      <c r="Y671" s="16">
        <v>0</v>
      </c>
      <c r="Z671" s="67" t="s">
        <v>26</v>
      </c>
      <c r="AA671" s="12" t="s">
        <v>31</v>
      </c>
    </row>
    <row r="672" spans="1:27" x14ac:dyDescent="0.25">
      <c r="A672" s="10">
        <v>45668</v>
      </c>
      <c r="B672" s="11" t="s">
        <v>2005</v>
      </c>
      <c r="C672" s="11" t="s">
        <v>2006</v>
      </c>
      <c r="D672" s="11" t="s">
        <v>26</v>
      </c>
      <c r="E672" s="11" t="s">
        <v>230</v>
      </c>
      <c r="F672" s="11" t="s">
        <v>26</v>
      </c>
      <c r="G672" s="11">
        <v>23127</v>
      </c>
      <c r="H672" s="12" t="s">
        <v>565</v>
      </c>
      <c r="I672" s="12" t="s">
        <v>55</v>
      </c>
      <c r="J672" s="12" t="s">
        <v>55</v>
      </c>
      <c r="K672" s="12" t="s">
        <v>56</v>
      </c>
      <c r="L672" s="13">
        <v>43.34</v>
      </c>
      <c r="M672" s="13">
        <v>25</v>
      </c>
      <c r="N672" s="13">
        <v>1.7336</v>
      </c>
      <c r="O672" s="13"/>
      <c r="P672" s="13">
        <v>24</v>
      </c>
      <c r="Q672" s="13">
        <v>0</v>
      </c>
      <c r="R672" s="14">
        <v>600</v>
      </c>
      <c r="S672" s="15">
        <v>0</v>
      </c>
      <c r="T672" s="15">
        <v>0</v>
      </c>
      <c r="U672" s="15">
        <v>600</v>
      </c>
      <c r="V672" s="15">
        <v>0</v>
      </c>
      <c r="W672" s="15">
        <v>600</v>
      </c>
      <c r="X672" s="15">
        <v>0</v>
      </c>
      <c r="Y672" s="16">
        <v>0</v>
      </c>
      <c r="Z672" s="67" t="s">
        <v>26</v>
      </c>
      <c r="AA672" s="12" t="s">
        <v>31</v>
      </c>
    </row>
    <row r="673" spans="1:27" x14ac:dyDescent="0.25">
      <c r="A673" s="10">
        <v>45668</v>
      </c>
      <c r="B673" s="11" t="s">
        <v>476</v>
      </c>
      <c r="C673" s="11" t="s">
        <v>2007</v>
      </c>
      <c r="D673" s="11" t="s">
        <v>26</v>
      </c>
      <c r="E673" s="11" t="s">
        <v>68</v>
      </c>
      <c r="F673" s="11" t="s">
        <v>26</v>
      </c>
      <c r="G673" s="11">
        <v>76353</v>
      </c>
      <c r="H673" s="12" t="s">
        <v>4448</v>
      </c>
      <c r="I673" s="12" t="s">
        <v>27</v>
      </c>
      <c r="J673" s="12" t="s">
        <v>42</v>
      </c>
      <c r="K673" s="12" t="s">
        <v>43</v>
      </c>
      <c r="L673" s="13">
        <v>42.72</v>
      </c>
      <c r="M673" s="13">
        <v>25</v>
      </c>
      <c r="N673" s="13">
        <v>1.7088000000000001</v>
      </c>
      <c r="O673" s="13">
        <v>42.5</v>
      </c>
      <c r="P673" s="13"/>
      <c r="Q673" s="13">
        <v>0</v>
      </c>
      <c r="R673" s="14">
        <v>1815.6</v>
      </c>
      <c r="S673" s="15">
        <v>0</v>
      </c>
      <c r="T673" s="15">
        <v>0</v>
      </c>
      <c r="U673" s="15">
        <v>1815.6</v>
      </c>
      <c r="V673" s="15">
        <v>1361.6999999999998</v>
      </c>
      <c r="W673" s="15">
        <v>453.90000000000009</v>
      </c>
      <c r="X673" s="15">
        <v>0</v>
      </c>
      <c r="Y673" s="16">
        <v>0</v>
      </c>
      <c r="Z673" s="67" t="s">
        <v>26</v>
      </c>
      <c r="AA673" s="12" t="s">
        <v>31</v>
      </c>
    </row>
    <row r="674" spans="1:27" x14ac:dyDescent="0.25">
      <c r="A674" s="10">
        <v>45668</v>
      </c>
      <c r="B674" s="11" t="s">
        <v>2008</v>
      </c>
      <c r="C674" s="11" t="s">
        <v>2009</v>
      </c>
      <c r="D674" s="11" t="s">
        <v>26</v>
      </c>
      <c r="E674" s="11" t="s">
        <v>593</v>
      </c>
      <c r="F674" s="11" t="s">
        <v>26</v>
      </c>
      <c r="G674" s="11">
        <v>59482</v>
      </c>
      <c r="H674" s="12" t="s">
        <v>4423</v>
      </c>
      <c r="I674" s="12" t="s">
        <v>27</v>
      </c>
      <c r="J674" s="12" t="s">
        <v>47</v>
      </c>
      <c r="K674" s="12" t="s">
        <v>48</v>
      </c>
      <c r="L674" s="13">
        <v>33.76</v>
      </c>
      <c r="M674" s="13">
        <v>25</v>
      </c>
      <c r="N674" s="13">
        <v>1.3504</v>
      </c>
      <c r="O674" s="13">
        <v>46</v>
      </c>
      <c r="P674" s="13" t="s">
        <v>30</v>
      </c>
      <c r="Q674" s="13">
        <v>0</v>
      </c>
      <c r="R674" s="14">
        <v>1552.9599999999998</v>
      </c>
      <c r="S674" s="15">
        <v>0</v>
      </c>
      <c r="T674" s="15">
        <v>0</v>
      </c>
      <c r="U674" s="15">
        <v>1552.9599999999998</v>
      </c>
      <c r="V674" s="15">
        <v>1552.9599999999998</v>
      </c>
      <c r="W674" s="15">
        <v>0</v>
      </c>
      <c r="X674" s="16">
        <v>0</v>
      </c>
      <c r="Y674" s="16">
        <v>0</v>
      </c>
      <c r="Z674" s="67" t="s">
        <v>26</v>
      </c>
      <c r="AA674" s="12" t="s">
        <v>31</v>
      </c>
    </row>
    <row r="675" spans="1:27" x14ac:dyDescent="0.25">
      <c r="A675" s="10">
        <v>45668</v>
      </c>
      <c r="B675" s="11" t="s">
        <v>2010</v>
      </c>
      <c r="C675" s="11" t="s">
        <v>2011</v>
      </c>
      <c r="D675" s="11" t="s">
        <v>26</v>
      </c>
      <c r="E675" s="11" t="s">
        <v>80</v>
      </c>
      <c r="F675" s="11" t="s">
        <v>26</v>
      </c>
      <c r="G675" s="11">
        <v>10289</v>
      </c>
      <c r="H675" s="12" t="s">
        <v>140</v>
      </c>
      <c r="I675" s="12" t="s">
        <v>27</v>
      </c>
      <c r="J675" s="12" t="s">
        <v>42</v>
      </c>
      <c r="K675" s="12" t="s">
        <v>43</v>
      </c>
      <c r="L675" s="13">
        <v>43.82</v>
      </c>
      <c r="M675" s="13">
        <v>25</v>
      </c>
      <c r="N675" s="13">
        <v>1.7527999999999999</v>
      </c>
      <c r="O675" s="13">
        <v>35</v>
      </c>
      <c r="P675" s="13"/>
      <c r="Q675" s="13">
        <v>0</v>
      </c>
      <c r="R675" s="15">
        <v>1533.7</v>
      </c>
      <c r="S675" s="15">
        <v>0</v>
      </c>
      <c r="T675" s="15">
        <v>0</v>
      </c>
      <c r="U675" s="15">
        <v>1533.7</v>
      </c>
      <c r="V675" s="15">
        <v>0</v>
      </c>
      <c r="W675" s="15">
        <v>1533.7</v>
      </c>
      <c r="X675" s="15">
        <v>0</v>
      </c>
      <c r="Y675" s="16">
        <v>0</v>
      </c>
      <c r="Z675" s="67" t="s">
        <v>26</v>
      </c>
      <c r="AA675" s="12" t="s">
        <v>31</v>
      </c>
    </row>
    <row r="676" spans="1:27" x14ac:dyDescent="0.25">
      <c r="A676" s="10">
        <v>45668</v>
      </c>
      <c r="B676" s="11" t="s">
        <v>2012</v>
      </c>
      <c r="C676" s="11" t="s">
        <v>2013</v>
      </c>
      <c r="D676" s="11" t="s">
        <v>26</v>
      </c>
      <c r="E676" s="11" t="s">
        <v>509</v>
      </c>
      <c r="F676" s="11" t="s">
        <v>26</v>
      </c>
      <c r="G676" s="11">
        <v>638</v>
      </c>
      <c r="H676" s="12" t="s">
        <v>141</v>
      </c>
      <c r="I676" s="12" t="s">
        <v>27</v>
      </c>
      <c r="J676" s="12" t="s">
        <v>33</v>
      </c>
      <c r="K676" s="12" t="s">
        <v>34</v>
      </c>
      <c r="L676" s="13">
        <v>44.02</v>
      </c>
      <c r="M676" s="13">
        <v>30</v>
      </c>
      <c r="N676" s="13">
        <v>1.4673333333333329</v>
      </c>
      <c r="O676" s="13">
        <v>40</v>
      </c>
      <c r="P676" s="13" t="s">
        <v>30</v>
      </c>
      <c r="Q676" s="13">
        <v>0</v>
      </c>
      <c r="R676" s="15">
        <v>1760.8000000000002</v>
      </c>
      <c r="S676" s="15">
        <v>0</v>
      </c>
      <c r="T676" s="15">
        <v>0</v>
      </c>
      <c r="U676" s="15">
        <v>1760.8000000000002</v>
      </c>
      <c r="V676" s="15">
        <v>0</v>
      </c>
      <c r="W676" s="15">
        <v>1760.8000000000002</v>
      </c>
      <c r="X676" s="15">
        <v>0</v>
      </c>
      <c r="Y676" s="16">
        <v>0</v>
      </c>
      <c r="Z676" s="67" t="s">
        <v>26</v>
      </c>
      <c r="AA676" s="12" t="s">
        <v>31</v>
      </c>
    </row>
    <row r="677" spans="1:27" x14ac:dyDescent="0.25">
      <c r="A677" s="10">
        <v>45668</v>
      </c>
      <c r="B677" s="11" t="s">
        <v>723</v>
      </c>
      <c r="C677" s="11" t="s">
        <v>2014</v>
      </c>
      <c r="D677" s="11" t="s">
        <v>26</v>
      </c>
      <c r="E677" s="11" t="s">
        <v>98</v>
      </c>
      <c r="F677" s="11" t="s">
        <v>26</v>
      </c>
      <c r="G677" s="11">
        <v>10130</v>
      </c>
      <c r="H677" s="12" t="s">
        <v>140</v>
      </c>
      <c r="I677" s="12" t="s">
        <v>27</v>
      </c>
      <c r="J677" s="12" t="s">
        <v>42</v>
      </c>
      <c r="K677" s="12" t="s">
        <v>43</v>
      </c>
      <c r="L677" s="13">
        <v>42.82</v>
      </c>
      <c r="M677" s="13">
        <v>25</v>
      </c>
      <c r="N677" s="13">
        <v>1.7128000000000001</v>
      </c>
      <c r="O677" s="13">
        <v>35</v>
      </c>
      <c r="P677" s="13"/>
      <c r="Q677" s="13">
        <v>0</v>
      </c>
      <c r="R677" s="14">
        <v>1498.7</v>
      </c>
      <c r="S677" s="15">
        <v>0</v>
      </c>
      <c r="T677" s="15">
        <v>0</v>
      </c>
      <c r="U677" s="15">
        <v>1498.7</v>
      </c>
      <c r="V677" s="15">
        <v>0</v>
      </c>
      <c r="W677" s="15">
        <v>1498.7</v>
      </c>
      <c r="X677" s="15">
        <v>0</v>
      </c>
      <c r="Y677" s="16">
        <v>0</v>
      </c>
      <c r="Z677" s="67" t="s">
        <v>26</v>
      </c>
      <c r="AA677" s="12" t="s">
        <v>31</v>
      </c>
    </row>
    <row r="678" spans="1:27" x14ac:dyDescent="0.25">
      <c r="A678" s="10">
        <v>45668</v>
      </c>
      <c r="B678" s="11" t="s">
        <v>2015</v>
      </c>
      <c r="C678" s="11" t="s">
        <v>2016</v>
      </c>
      <c r="D678" s="11" t="s">
        <v>26</v>
      </c>
      <c r="E678" s="11" t="s">
        <v>658</v>
      </c>
      <c r="F678" s="11" t="s">
        <v>26</v>
      </c>
      <c r="G678" s="11">
        <v>639</v>
      </c>
      <c r="H678" s="12" t="s">
        <v>141</v>
      </c>
      <c r="I678" s="12" t="s">
        <v>27</v>
      </c>
      <c r="J678" s="12" t="s">
        <v>33</v>
      </c>
      <c r="K678" s="12" t="s">
        <v>34</v>
      </c>
      <c r="L678" s="13">
        <v>40.58</v>
      </c>
      <c r="M678" s="13">
        <v>28</v>
      </c>
      <c r="N678" s="13">
        <v>1.4492857142857141</v>
      </c>
      <c r="O678" s="13">
        <v>40</v>
      </c>
      <c r="P678" s="13" t="s">
        <v>30</v>
      </c>
      <c r="Q678" s="13">
        <v>0</v>
      </c>
      <c r="R678" s="15">
        <v>1623.1999999999998</v>
      </c>
      <c r="S678" s="15">
        <v>0</v>
      </c>
      <c r="T678" s="15">
        <v>0</v>
      </c>
      <c r="U678" s="15">
        <v>1623.1999999999998</v>
      </c>
      <c r="V678" s="15">
        <v>0</v>
      </c>
      <c r="W678" s="15">
        <v>1623.1999999999998</v>
      </c>
      <c r="X678" s="15">
        <v>0</v>
      </c>
      <c r="Y678" s="16">
        <v>0</v>
      </c>
      <c r="Z678" s="67" t="s">
        <v>26</v>
      </c>
      <c r="AA678" s="12" t="s">
        <v>31</v>
      </c>
    </row>
    <row r="679" spans="1:27" x14ac:dyDescent="0.25">
      <c r="A679" s="10">
        <v>45668</v>
      </c>
      <c r="B679" s="11" t="s">
        <v>398</v>
      </c>
      <c r="C679" s="11" t="s">
        <v>2017</v>
      </c>
      <c r="D679" s="11" t="s">
        <v>26</v>
      </c>
      <c r="E679" s="11" t="s">
        <v>180</v>
      </c>
      <c r="F679" s="11" t="s">
        <v>26</v>
      </c>
      <c r="G679" s="11" t="s">
        <v>35</v>
      </c>
      <c r="H679" s="12" t="s">
        <v>36</v>
      </c>
      <c r="I679" s="12" t="s">
        <v>55</v>
      </c>
      <c r="J679" s="12" t="s">
        <v>55</v>
      </c>
      <c r="K679" s="12" t="s">
        <v>56</v>
      </c>
      <c r="L679" s="13">
        <v>15.62</v>
      </c>
      <c r="M679" s="13">
        <v>10</v>
      </c>
      <c r="N679" s="13">
        <v>1.5620000000000001</v>
      </c>
      <c r="O679" s="13">
        <v>20</v>
      </c>
      <c r="P679" s="13" t="s">
        <v>30</v>
      </c>
      <c r="Q679" s="13">
        <v>0</v>
      </c>
      <c r="R679" s="14">
        <v>312.39999999999998</v>
      </c>
      <c r="S679" s="15">
        <v>0</v>
      </c>
      <c r="T679" s="15">
        <v>0</v>
      </c>
      <c r="U679" s="15">
        <v>312.39999999999998</v>
      </c>
      <c r="V679" s="15">
        <v>0</v>
      </c>
      <c r="W679" s="15">
        <v>312.39999999999998</v>
      </c>
      <c r="X679" s="15">
        <v>0</v>
      </c>
      <c r="Y679" s="16">
        <v>0</v>
      </c>
      <c r="Z679" s="67" t="s">
        <v>26</v>
      </c>
      <c r="AA679" s="12" t="s">
        <v>31</v>
      </c>
    </row>
    <row r="680" spans="1:27" x14ac:dyDescent="0.25">
      <c r="A680" s="10">
        <v>45668</v>
      </c>
      <c r="B680" s="11" t="s">
        <v>194</v>
      </c>
      <c r="C680" s="11" t="s">
        <v>2018</v>
      </c>
      <c r="D680" s="11" t="s">
        <v>26</v>
      </c>
      <c r="E680" s="11" t="s">
        <v>53</v>
      </c>
      <c r="F680" s="11" t="s">
        <v>26</v>
      </c>
      <c r="G680" s="11">
        <v>2397</v>
      </c>
      <c r="H680" s="12" t="s">
        <v>41</v>
      </c>
      <c r="I680" s="12" t="s">
        <v>55</v>
      </c>
      <c r="J680" s="12" t="s">
        <v>566</v>
      </c>
      <c r="K680" s="12" t="s">
        <v>550</v>
      </c>
      <c r="L680" s="13">
        <v>42.08</v>
      </c>
      <c r="M680" s="13">
        <v>25</v>
      </c>
      <c r="N680" s="13">
        <v>1.6832</v>
      </c>
      <c r="O680" s="13">
        <v>25</v>
      </c>
      <c r="P680" s="13"/>
      <c r="Q680" s="13">
        <v>0</v>
      </c>
      <c r="R680" s="15">
        <v>1052</v>
      </c>
      <c r="S680" s="15">
        <v>0</v>
      </c>
      <c r="T680" s="15">
        <v>0</v>
      </c>
      <c r="U680" s="15">
        <v>1052</v>
      </c>
      <c r="V680" s="15">
        <v>0</v>
      </c>
      <c r="W680" s="15">
        <v>1052</v>
      </c>
      <c r="X680" s="15">
        <v>0</v>
      </c>
      <c r="Y680" s="16">
        <v>0</v>
      </c>
      <c r="Z680" s="67" t="s">
        <v>26</v>
      </c>
      <c r="AA680" s="12" t="s">
        <v>31</v>
      </c>
    </row>
    <row r="681" spans="1:27" x14ac:dyDescent="0.25">
      <c r="A681" s="10">
        <v>45668</v>
      </c>
      <c r="B681" s="11" t="s">
        <v>2019</v>
      </c>
      <c r="C681" s="11" t="s">
        <v>2020</v>
      </c>
      <c r="D681" s="11" t="s">
        <v>26</v>
      </c>
      <c r="E681" s="11" t="s">
        <v>73</v>
      </c>
      <c r="F681" s="11" t="s">
        <v>26</v>
      </c>
      <c r="G681" s="11" t="s">
        <v>35</v>
      </c>
      <c r="H681" s="12" t="s">
        <v>36</v>
      </c>
      <c r="I681" s="12" t="s">
        <v>55</v>
      </c>
      <c r="J681" s="12" t="s">
        <v>55</v>
      </c>
      <c r="K681" s="12" t="s">
        <v>56</v>
      </c>
      <c r="L681" s="13">
        <v>7.48</v>
      </c>
      <c r="M681" s="13">
        <v>4</v>
      </c>
      <c r="N681" s="13">
        <v>1.87</v>
      </c>
      <c r="O681" s="13">
        <v>20</v>
      </c>
      <c r="P681" s="13" t="s">
        <v>30</v>
      </c>
      <c r="Q681" s="13">
        <v>0</v>
      </c>
      <c r="R681" s="14">
        <v>149.60000000000002</v>
      </c>
      <c r="S681" s="15">
        <v>0</v>
      </c>
      <c r="T681" s="15">
        <v>0</v>
      </c>
      <c r="U681" s="15">
        <v>149.60000000000002</v>
      </c>
      <c r="V681" s="15">
        <v>0</v>
      </c>
      <c r="W681" s="15">
        <v>149.60000000000002</v>
      </c>
      <c r="X681" s="15">
        <v>0</v>
      </c>
      <c r="Y681" s="16">
        <v>0</v>
      </c>
      <c r="Z681" s="67" t="s">
        <v>26</v>
      </c>
      <c r="AA681" s="12" t="s">
        <v>31</v>
      </c>
    </row>
    <row r="682" spans="1:27" x14ac:dyDescent="0.25">
      <c r="A682" s="10">
        <v>45668</v>
      </c>
      <c r="B682" s="11" t="s">
        <v>2021</v>
      </c>
      <c r="C682" s="11" t="s">
        <v>2022</v>
      </c>
      <c r="D682" s="11" t="s">
        <v>26</v>
      </c>
      <c r="E682" s="11" t="s">
        <v>604</v>
      </c>
      <c r="F682" s="11" t="s">
        <v>26</v>
      </c>
      <c r="G682" s="11">
        <v>640</v>
      </c>
      <c r="H682" s="12" t="s">
        <v>141</v>
      </c>
      <c r="I682" s="12" t="s">
        <v>27</v>
      </c>
      <c r="J682" s="12" t="s">
        <v>42</v>
      </c>
      <c r="K682" s="12" t="s">
        <v>43</v>
      </c>
      <c r="L682" s="13">
        <v>42.12</v>
      </c>
      <c r="M682" s="13">
        <v>25</v>
      </c>
      <c r="N682" s="13">
        <v>1.6848000000000001</v>
      </c>
      <c r="O682" s="13">
        <v>40</v>
      </c>
      <c r="P682" s="13" t="s">
        <v>30</v>
      </c>
      <c r="Q682" s="13">
        <v>0</v>
      </c>
      <c r="R682" s="14">
        <v>1684.8</v>
      </c>
      <c r="S682" s="15">
        <v>0</v>
      </c>
      <c r="T682" s="15">
        <v>0</v>
      </c>
      <c r="U682" s="15">
        <v>1684.8</v>
      </c>
      <c r="V682" s="15">
        <v>0</v>
      </c>
      <c r="W682" s="15">
        <v>1684.8</v>
      </c>
      <c r="X682" s="15">
        <v>0</v>
      </c>
      <c r="Y682" s="16">
        <v>0</v>
      </c>
      <c r="Z682" s="67" t="s">
        <v>26</v>
      </c>
      <c r="AA682" s="12" t="s">
        <v>31</v>
      </c>
    </row>
    <row r="683" spans="1:27" x14ac:dyDescent="0.25">
      <c r="A683" s="10">
        <v>45668</v>
      </c>
      <c r="B683" s="11" t="s">
        <v>2023</v>
      </c>
      <c r="C683" s="11" t="s">
        <v>2024</v>
      </c>
      <c r="D683" s="11" t="s">
        <v>26</v>
      </c>
      <c r="E683" s="11" t="s">
        <v>87</v>
      </c>
      <c r="F683" s="11" t="s">
        <v>26</v>
      </c>
      <c r="G683" s="11">
        <v>32364</v>
      </c>
      <c r="H683" s="12" t="s">
        <v>4423</v>
      </c>
      <c r="I683" s="12" t="s">
        <v>27</v>
      </c>
      <c r="J683" s="12" t="s">
        <v>33</v>
      </c>
      <c r="K683" s="12" t="s">
        <v>34</v>
      </c>
      <c r="L683" s="13">
        <v>36.46</v>
      </c>
      <c r="M683" s="13">
        <v>25</v>
      </c>
      <c r="N683" s="13">
        <v>1.4583999999999999</v>
      </c>
      <c r="O683" s="13">
        <v>45</v>
      </c>
      <c r="P683" s="13" t="s">
        <v>30</v>
      </c>
      <c r="Q683" s="13">
        <v>0</v>
      </c>
      <c r="R683" s="14">
        <v>1640.7</v>
      </c>
      <c r="S683" s="15">
        <v>0</v>
      </c>
      <c r="T683" s="15">
        <v>0</v>
      </c>
      <c r="U683" s="15">
        <v>1640.7</v>
      </c>
      <c r="V683" s="15">
        <v>1640.7</v>
      </c>
      <c r="W683" s="15">
        <v>0</v>
      </c>
      <c r="X683" s="15">
        <v>0</v>
      </c>
      <c r="Y683" s="16">
        <v>0</v>
      </c>
      <c r="Z683" s="67" t="s">
        <v>26</v>
      </c>
      <c r="AA683" s="12" t="s">
        <v>31</v>
      </c>
    </row>
    <row r="684" spans="1:27" x14ac:dyDescent="0.25">
      <c r="A684" s="10">
        <v>45668</v>
      </c>
      <c r="B684" s="11" t="s">
        <v>251</v>
      </c>
      <c r="C684" s="11" t="s">
        <v>2025</v>
      </c>
      <c r="D684" s="11" t="s">
        <v>26</v>
      </c>
      <c r="E684" s="11" t="s">
        <v>496</v>
      </c>
      <c r="F684" s="11" t="s">
        <v>26</v>
      </c>
      <c r="G684" s="11">
        <v>79741</v>
      </c>
      <c r="H684" s="12" t="s">
        <v>4448</v>
      </c>
      <c r="I684" s="12" t="s">
        <v>27</v>
      </c>
      <c r="J684" s="12" t="s">
        <v>42</v>
      </c>
      <c r="K684" s="12" t="s">
        <v>43</v>
      </c>
      <c r="L684" s="13">
        <v>43.3</v>
      </c>
      <c r="M684" s="13">
        <v>25</v>
      </c>
      <c r="N684" s="13">
        <v>1.732</v>
      </c>
      <c r="O684" s="13">
        <v>42.5</v>
      </c>
      <c r="P684" s="13"/>
      <c r="Q684" s="13">
        <v>0</v>
      </c>
      <c r="R684" s="15">
        <v>1840.2499999999998</v>
      </c>
      <c r="S684" s="15">
        <v>0</v>
      </c>
      <c r="T684" s="15">
        <v>0</v>
      </c>
      <c r="U684" s="15">
        <v>1840.2499999999998</v>
      </c>
      <c r="V684" s="15">
        <v>1380.1874999999998</v>
      </c>
      <c r="W684" s="15">
        <v>460.0625</v>
      </c>
      <c r="X684" s="15">
        <v>0</v>
      </c>
      <c r="Y684" s="16">
        <v>0</v>
      </c>
      <c r="Z684" s="67" t="s">
        <v>26</v>
      </c>
      <c r="AA684" s="12" t="s">
        <v>31</v>
      </c>
    </row>
    <row r="685" spans="1:27" x14ac:dyDescent="0.25">
      <c r="A685" s="10">
        <v>45668</v>
      </c>
      <c r="B685" s="11" t="s">
        <v>2026</v>
      </c>
      <c r="C685" s="11" t="s">
        <v>2027</v>
      </c>
      <c r="D685" s="11" t="s">
        <v>26</v>
      </c>
      <c r="E685" s="11" t="s">
        <v>552</v>
      </c>
      <c r="F685" s="11" t="s">
        <v>26</v>
      </c>
      <c r="G685" s="11">
        <v>69106</v>
      </c>
      <c r="H685" s="12" t="s">
        <v>4423</v>
      </c>
      <c r="I685" s="12" t="s">
        <v>27</v>
      </c>
      <c r="J685" s="12" t="s">
        <v>47</v>
      </c>
      <c r="K685" s="12" t="s">
        <v>48</v>
      </c>
      <c r="L685" s="13">
        <v>35.86</v>
      </c>
      <c r="M685" s="13">
        <v>25</v>
      </c>
      <c r="N685" s="13">
        <v>1.4343999999999999</v>
      </c>
      <c r="O685" s="13">
        <v>46</v>
      </c>
      <c r="P685" s="13" t="s">
        <v>30</v>
      </c>
      <c r="Q685" s="13">
        <v>0</v>
      </c>
      <c r="R685" s="15">
        <v>1649.56</v>
      </c>
      <c r="S685" s="15">
        <v>0</v>
      </c>
      <c r="T685" s="15">
        <v>0</v>
      </c>
      <c r="U685" s="15">
        <v>1649.56</v>
      </c>
      <c r="V685" s="15">
        <v>1649.56</v>
      </c>
      <c r="W685" s="15">
        <v>0</v>
      </c>
      <c r="X685" s="15">
        <v>0</v>
      </c>
      <c r="Y685" s="16">
        <v>0</v>
      </c>
      <c r="Z685" s="67" t="s">
        <v>26</v>
      </c>
      <c r="AA685" s="12" t="s">
        <v>31</v>
      </c>
    </row>
    <row r="686" spans="1:27" x14ac:dyDescent="0.25">
      <c r="A686" s="10">
        <v>45668</v>
      </c>
      <c r="B686" s="11" t="s">
        <v>738</v>
      </c>
      <c r="C686" s="11" t="s">
        <v>2028</v>
      </c>
      <c r="D686" s="11" t="s">
        <v>26</v>
      </c>
      <c r="E686" s="11" t="s">
        <v>486</v>
      </c>
      <c r="F686" s="11" t="s">
        <v>26</v>
      </c>
      <c r="G686" s="11">
        <v>72874</v>
      </c>
      <c r="H686" s="12" t="s">
        <v>4448</v>
      </c>
      <c r="I686" s="12" t="s">
        <v>27</v>
      </c>
      <c r="J686" s="12" t="s">
        <v>42</v>
      </c>
      <c r="K686" s="12" t="s">
        <v>43</v>
      </c>
      <c r="L686" s="13">
        <v>44.9</v>
      </c>
      <c r="M686" s="13">
        <v>25</v>
      </c>
      <c r="N686" s="13">
        <v>1.796</v>
      </c>
      <c r="O686" s="13">
        <v>42.5</v>
      </c>
      <c r="P686" s="13"/>
      <c r="Q686" s="13">
        <v>0</v>
      </c>
      <c r="R686" s="15">
        <v>1908.25</v>
      </c>
      <c r="S686" s="15">
        <v>0</v>
      </c>
      <c r="T686" s="15">
        <v>0</v>
      </c>
      <c r="U686" s="15">
        <v>1908.25</v>
      </c>
      <c r="V686" s="15">
        <v>1431.1875</v>
      </c>
      <c r="W686" s="15">
        <v>477.0625</v>
      </c>
      <c r="X686" s="15">
        <v>0</v>
      </c>
      <c r="Y686" s="16">
        <v>0</v>
      </c>
      <c r="Z686" s="67" t="s">
        <v>26</v>
      </c>
      <c r="AA686" s="12" t="s">
        <v>31</v>
      </c>
    </row>
    <row r="687" spans="1:27" x14ac:dyDescent="0.25">
      <c r="A687" s="10">
        <v>45668</v>
      </c>
      <c r="B687" s="11" t="s">
        <v>2029</v>
      </c>
      <c r="C687" s="11" t="s">
        <v>2030</v>
      </c>
      <c r="D687" s="11" t="s">
        <v>26</v>
      </c>
      <c r="E687" s="11" t="s">
        <v>224</v>
      </c>
      <c r="F687" s="11" t="s">
        <v>26</v>
      </c>
      <c r="G687" s="11">
        <v>57844</v>
      </c>
      <c r="H687" s="12" t="s">
        <v>4423</v>
      </c>
      <c r="I687" s="12" t="s">
        <v>27</v>
      </c>
      <c r="J687" s="12" t="s">
        <v>33</v>
      </c>
      <c r="K687" s="12" t="s">
        <v>34</v>
      </c>
      <c r="L687" s="13">
        <v>35.200000000000003</v>
      </c>
      <c r="M687" s="13">
        <v>25</v>
      </c>
      <c r="N687" s="13">
        <v>1.4079999999999999</v>
      </c>
      <c r="O687" s="13">
        <v>45</v>
      </c>
      <c r="P687" s="13" t="s">
        <v>30</v>
      </c>
      <c r="Q687" s="13">
        <v>0</v>
      </c>
      <c r="R687" s="14">
        <v>1584.0000000000002</v>
      </c>
      <c r="S687" s="15">
        <v>0</v>
      </c>
      <c r="T687" s="15">
        <v>0</v>
      </c>
      <c r="U687" s="15">
        <v>1584.0000000000002</v>
      </c>
      <c r="V687" s="15">
        <v>1584.0000000000002</v>
      </c>
      <c r="W687" s="15">
        <v>0</v>
      </c>
      <c r="X687" s="15">
        <v>0</v>
      </c>
      <c r="Y687" s="16">
        <v>0</v>
      </c>
      <c r="Z687" s="67" t="s">
        <v>26</v>
      </c>
      <c r="AA687" s="12" t="s">
        <v>31</v>
      </c>
    </row>
    <row r="688" spans="1:27" x14ac:dyDescent="0.25">
      <c r="A688" s="10">
        <v>45668</v>
      </c>
      <c r="B688" s="11" t="s">
        <v>2031</v>
      </c>
      <c r="C688" s="11" t="s">
        <v>2032</v>
      </c>
      <c r="D688" s="11" t="s">
        <v>26</v>
      </c>
      <c r="E688" s="11" t="s">
        <v>2033</v>
      </c>
      <c r="F688" s="11" t="s">
        <v>26</v>
      </c>
      <c r="G688" s="11">
        <v>137</v>
      </c>
      <c r="H688" s="12" t="s">
        <v>6328</v>
      </c>
      <c r="I688" s="12" t="s">
        <v>27</v>
      </c>
      <c r="J688" s="12" t="s">
        <v>42</v>
      </c>
      <c r="K688" s="12" t="s">
        <v>43</v>
      </c>
      <c r="L688" s="13">
        <v>40.76</v>
      </c>
      <c r="M688" s="13">
        <v>25</v>
      </c>
      <c r="N688" s="13">
        <v>1.6304000000000001</v>
      </c>
      <c r="O688" s="13">
        <v>42.5</v>
      </c>
      <c r="P688" s="13"/>
      <c r="Q688" s="13">
        <v>0</v>
      </c>
      <c r="R688" s="15">
        <v>1732.3</v>
      </c>
      <c r="S688" s="15">
        <v>0</v>
      </c>
      <c r="T688" s="15">
        <v>0</v>
      </c>
      <c r="U688" s="15">
        <v>1732.3</v>
      </c>
      <c r="V688" s="15">
        <v>0</v>
      </c>
      <c r="W688" s="15">
        <v>1732.3</v>
      </c>
      <c r="X688" s="15">
        <v>0</v>
      </c>
      <c r="Y688" s="16">
        <v>0</v>
      </c>
      <c r="Z688" s="67" t="s">
        <v>26</v>
      </c>
      <c r="AA688" s="12" t="s">
        <v>31</v>
      </c>
    </row>
    <row r="689" spans="1:27" x14ac:dyDescent="0.25">
      <c r="A689" s="10">
        <v>45668</v>
      </c>
      <c r="B689" s="11" t="s">
        <v>2034</v>
      </c>
      <c r="C689" s="11" t="s">
        <v>2035</v>
      </c>
      <c r="D689" s="11" t="s">
        <v>26</v>
      </c>
      <c r="E689" s="11" t="s">
        <v>2036</v>
      </c>
      <c r="F689" s="11" t="s">
        <v>26</v>
      </c>
      <c r="G689" s="11" t="s">
        <v>35</v>
      </c>
      <c r="H689" s="12" t="s">
        <v>36</v>
      </c>
      <c r="I689" s="12" t="s">
        <v>27</v>
      </c>
      <c r="J689" s="12" t="s">
        <v>33</v>
      </c>
      <c r="K689" s="12" t="s">
        <v>34</v>
      </c>
      <c r="L689" s="13">
        <v>4.8</v>
      </c>
      <c r="M689" s="13">
        <v>3</v>
      </c>
      <c r="N689" s="13">
        <v>1.6</v>
      </c>
      <c r="O689" s="13">
        <v>50</v>
      </c>
      <c r="P689" s="13" t="s">
        <v>30</v>
      </c>
      <c r="Q689" s="13">
        <v>0</v>
      </c>
      <c r="R689" s="14">
        <v>240</v>
      </c>
      <c r="S689" s="15">
        <v>0</v>
      </c>
      <c r="T689" s="15">
        <v>0</v>
      </c>
      <c r="U689" s="15">
        <v>240</v>
      </c>
      <c r="V689" s="15">
        <v>0</v>
      </c>
      <c r="W689" s="15">
        <v>240</v>
      </c>
      <c r="X689" s="15">
        <v>0</v>
      </c>
      <c r="Y689" s="16">
        <v>0</v>
      </c>
      <c r="Z689" s="67" t="s">
        <v>26</v>
      </c>
      <c r="AA689" s="12" t="s">
        <v>31</v>
      </c>
    </row>
    <row r="690" spans="1:27" x14ac:dyDescent="0.25">
      <c r="A690" s="10">
        <v>45668</v>
      </c>
      <c r="B690" s="11" t="s">
        <v>2037</v>
      </c>
      <c r="C690" s="11" t="s">
        <v>2038</v>
      </c>
      <c r="D690" s="11" t="s">
        <v>26</v>
      </c>
      <c r="E690" s="11" t="s">
        <v>2039</v>
      </c>
      <c r="F690" s="11" t="s">
        <v>26</v>
      </c>
      <c r="G690" s="11">
        <v>1509</v>
      </c>
      <c r="H690" s="12" t="s">
        <v>45</v>
      </c>
      <c r="I690" s="12" t="s">
        <v>27</v>
      </c>
      <c r="J690" s="12" t="s">
        <v>33</v>
      </c>
      <c r="K690" s="12" t="s">
        <v>34</v>
      </c>
      <c r="L690" s="13">
        <v>37.96</v>
      </c>
      <c r="M690" s="13">
        <v>25</v>
      </c>
      <c r="N690" s="13">
        <v>1.5184</v>
      </c>
      <c r="O690" s="13" t="s">
        <v>30</v>
      </c>
      <c r="P690" s="13">
        <v>58</v>
      </c>
      <c r="Q690" s="13">
        <v>0</v>
      </c>
      <c r="R690" s="15">
        <v>1450</v>
      </c>
      <c r="S690" s="15">
        <v>0</v>
      </c>
      <c r="T690" s="15">
        <v>0</v>
      </c>
      <c r="U690" s="15">
        <v>1450</v>
      </c>
      <c r="V690" s="15">
        <v>0</v>
      </c>
      <c r="W690" s="15">
        <v>1450</v>
      </c>
      <c r="X690" s="15">
        <v>0</v>
      </c>
      <c r="Y690" s="16">
        <v>0</v>
      </c>
      <c r="Z690" s="67" t="s">
        <v>26</v>
      </c>
      <c r="AA690" s="12" t="s">
        <v>31</v>
      </c>
    </row>
    <row r="691" spans="1:27" x14ac:dyDescent="0.25">
      <c r="A691" s="10">
        <v>45668</v>
      </c>
      <c r="B691" s="11" t="s">
        <v>2040</v>
      </c>
      <c r="C691" s="11" t="s">
        <v>2041</v>
      </c>
      <c r="D691" s="11" t="s">
        <v>26</v>
      </c>
      <c r="E691" s="11" t="s">
        <v>562</v>
      </c>
      <c r="F691" s="11" t="s">
        <v>26</v>
      </c>
      <c r="G691" s="11">
        <v>622</v>
      </c>
      <c r="H691" s="12" t="s">
        <v>163</v>
      </c>
      <c r="I691" s="12" t="s">
        <v>27</v>
      </c>
      <c r="J691" s="12" t="s">
        <v>42</v>
      </c>
      <c r="K691" s="12" t="s">
        <v>43</v>
      </c>
      <c r="L691" s="13">
        <v>43.96</v>
      </c>
      <c r="M691" s="13">
        <v>25</v>
      </c>
      <c r="N691" s="13">
        <v>1.7584</v>
      </c>
      <c r="O691" s="13" t="s">
        <v>30</v>
      </c>
      <c r="P691" s="13">
        <v>56</v>
      </c>
      <c r="Q691" s="13">
        <v>0</v>
      </c>
      <c r="R691" s="15">
        <v>1400</v>
      </c>
      <c r="S691" s="15">
        <v>0</v>
      </c>
      <c r="T691" s="15">
        <v>0</v>
      </c>
      <c r="U691" s="15">
        <v>1400</v>
      </c>
      <c r="V691" s="15">
        <v>0</v>
      </c>
      <c r="W691" s="15">
        <v>1400</v>
      </c>
      <c r="X691" s="15">
        <v>0</v>
      </c>
      <c r="Y691" s="16">
        <v>0</v>
      </c>
      <c r="Z691" s="67" t="s">
        <v>26</v>
      </c>
      <c r="AA691" s="12" t="s">
        <v>31</v>
      </c>
    </row>
    <row r="692" spans="1:27" x14ac:dyDescent="0.25">
      <c r="A692" s="10">
        <v>45668</v>
      </c>
      <c r="B692" s="11" t="s">
        <v>2042</v>
      </c>
      <c r="C692" s="11" t="s">
        <v>2043</v>
      </c>
      <c r="D692" s="11" t="s">
        <v>26</v>
      </c>
      <c r="E692" s="11" t="s">
        <v>2044</v>
      </c>
      <c r="F692" s="11" t="s">
        <v>26</v>
      </c>
      <c r="G692" s="11">
        <v>73970</v>
      </c>
      <c r="H692" s="12" t="s">
        <v>4448</v>
      </c>
      <c r="I692" s="12" t="s">
        <v>27</v>
      </c>
      <c r="J692" s="12" t="s">
        <v>42</v>
      </c>
      <c r="K692" s="12" t="s">
        <v>43</v>
      </c>
      <c r="L692" s="13">
        <v>43.36</v>
      </c>
      <c r="M692" s="13">
        <v>25</v>
      </c>
      <c r="N692" s="13">
        <v>1.7343999999999999</v>
      </c>
      <c r="O692" s="13">
        <v>42.5</v>
      </c>
      <c r="P692" s="13"/>
      <c r="Q692" s="13">
        <v>0</v>
      </c>
      <c r="R692" s="14">
        <v>1842.8</v>
      </c>
      <c r="S692" s="15">
        <v>0</v>
      </c>
      <c r="T692" s="15">
        <v>0</v>
      </c>
      <c r="U692" s="15">
        <v>1842.8</v>
      </c>
      <c r="V692" s="15">
        <v>1382.1</v>
      </c>
      <c r="W692" s="15">
        <v>460.70000000000005</v>
      </c>
      <c r="X692" s="15">
        <v>0</v>
      </c>
      <c r="Y692" s="16">
        <v>0</v>
      </c>
      <c r="Z692" s="67" t="s">
        <v>26</v>
      </c>
      <c r="AA692" s="12" t="s">
        <v>31</v>
      </c>
    </row>
    <row r="693" spans="1:27" x14ac:dyDescent="0.25">
      <c r="A693" s="10">
        <v>45668</v>
      </c>
      <c r="B693" s="11" t="s">
        <v>2045</v>
      </c>
      <c r="C693" s="11" t="s">
        <v>2046</v>
      </c>
      <c r="D693" s="11" t="s">
        <v>26</v>
      </c>
      <c r="E693" s="11" t="s">
        <v>2047</v>
      </c>
      <c r="F693" s="11" t="s">
        <v>26</v>
      </c>
      <c r="G693" s="11">
        <v>641</v>
      </c>
      <c r="H693" s="12" t="s">
        <v>141</v>
      </c>
      <c r="I693" s="12" t="s">
        <v>55</v>
      </c>
      <c r="J693" s="12" t="s">
        <v>55</v>
      </c>
      <c r="K693" s="12" t="s">
        <v>56</v>
      </c>
      <c r="L693" s="13">
        <v>40</v>
      </c>
      <c r="M693" s="13">
        <v>25</v>
      </c>
      <c r="N693" s="13">
        <v>1.6</v>
      </c>
      <c r="O693" s="13">
        <v>15</v>
      </c>
      <c r="P693" s="13" t="s">
        <v>30</v>
      </c>
      <c r="Q693" s="13">
        <v>0</v>
      </c>
      <c r="R693" s="15">
        <v>600</v>
      </c>
      <c r="S693" s="15">
        <v>0</v>
      </c>
      <c r="T693" s="15">
        <v>0</v>
      </c>
      <c r="U693" s="15">
        <v>600</v>
      </c>
      <c r="V693" s="15">
        <v>0</v>
      </c>
      <c r="W693" s="15">
        <v>600</v>
      </c>
      <c r="X693" s="15">
        <v>0</v>
      </c>
      <c r="Y693" s="16">
        <v>0</v>
      </c>
      <c r="Z693" s="67" t="s">
        <v>26</v>
      </c>
      <c r="AA693" s="12" t="s">
        <v>31</v>
      </c>
    </row>
    <row r="694" spans="1:27" x14ac:dyDescent="0.25">
      <c r="A694" s="10">
        <v>45668</v>
      </c>
      <c r="B694" s="11" t="s">
        <v>2048</v>
      </c>
      <c r="C694" s="11" t="s">
        <v>2049</v>
      </c>
      <c r="D694" s="11" t="s">
        <v>26</v>
      </c>
      <c r="E694" s="11" t="s">
        <v>2050</v>
      </c>
      <c r="F694" s="11" t="s">
        <v>26</v>
      </c>
      <c r="G694" s="11">
        <v>2912</v>
      </c>
      <c r="H694" s="12" t="s">
        <v>41</v>
      </c>
      <c r="I694" s="12" t="s">
        <v>55</v>
      </c>
      <c r="J694" s="12" t="s">
        <v>566</v>
      </c>
      <c r="K694" s="12" t="s">
        <v>550</v>
      </c>
      <c r="L694" s="13">
        <v>40.159999999999997</v>
      </c>
      <c r="M694" s="13">
        <v>25</v>
      </c>
      <c r="N694" s="13">
        <v>1.6064000000000001</v>
      </c>
      <c r="O694" s="13">
        <v>25</v>
      </c>
      <c r="P694" s="13"/>
      <c r="Q694" s="13">
        <v>0</v>
      </c>
      <c r="R694" s="14">
        <v>1003.9999999999999</v>
      </c>
      <c r="S694" s="15">
        <v>0</v>
      </c>
      <c r="T694" s="15">
        <v>0</v>
      </c>
      <c r="U694" s="15">
        <v>1003.9999999999999</v>
      </c>
      <c r="V694" s="15">
        <v>0</v>
      </c>
      <c r="W694" s="15">
        <v>1003.9999999999999</v>
      </c>
      <c r="X694" s="15">
        <v>0</v>
      </c>
      <c r="Y694" s="16">
        <v>0</v>
      </c>
      <c r="Z694" s="67" t="s">
        <v>26</v>
      </c>
      <c r="AA694" s="12" t="s">
        <v>31</v>
      </c>
    </row>
    <row r="695" spans="1:27" x14ac:dyDescent="0.25">
      <c r="A695" s="10">
        <v>45668</v>
      </c>
      <c r="B695" s="11" t="s">
        <v>2051</v>
      </c>
      <c r="C695" s="11" t="s">
        <v>2052</v>
      </c>
      <c r="D695" s="11" t="s">
        <v>26</v>
      </c>
      <c r="E695" s="11" t="s">
        <v>2053</v>
      </c>
      <c r="F695" s="11" t="s">
        <v>26</v>
      </c>
      <c r="G695" s="11">
        <v>2043</v>
      </c>
      <c r="H695" s="12" t="s">
        <v>41</v>
      </c>
      <c r="I695" s="12" t="s">
        <v>55</v>
      </c>
      <c r="J695" s="12" t="s">
        <v>55</v>
      </c>
      <c r="K695" s="12" t="s">
        <v>56</v>
      </c>
      <c r="L695" s="13">
        <v>41.8</v>
      </c>
      <c r="M695" s="13">
        <v>25</v>
      </c>
      <c r="N695" s="13">
        <v>1.6719999999999999</v>
      </c>
      <c r="O695" s="13" t="s">
        <v>30</v>
      </c>
      <c r="P695" s="13">
        <v>24</v>
      </c>
      <c r="Q695" s="13">
        <v>0</v>
      </c>
      <c r="R695" s="14">
        <v>600</v>
      </c>
      <c r="S695" s="15">
        <v>0</v>
      </c>
      <c r="T695" s="15">
        <v>0</v>
      </c>
      <c r="U695" s="15">
        <v>600</v>
      </c>
      <c r="V695" s="15">
        <v>0</v>
      </c>
      <c r="W695" s="15">
        <v>600</v>
      </c>
      <c r="X695" s="15">
        <v>0</v>
      </c>
      <c r="Y695" s="16">
        <v>0</v>
      </c>
      <c r="Z695" s="67" t="s">
        <v>26</v>
      </c>
      <c r="AA695" s="12" t="s">
        <v>31</v>
      </c>
    </row>
    <row r="696" spans="1:27" x14ac:dyDescent="0.25">
      <c r="A696" s="10">
        <v>45668</v>
      </c>
      <c r="B696" s="11" t="s">
        <v>2054</v>
      </c>
      <c r="C696" s="11" t="s">
        <v>2055</v>
      </c>
      <c r="D696" s="11" t="s">
        <v>26</v>
      </c>
      <c r="E696" s="11" t="s">
        <v>2056</v>
      </c>
      <c r="F696" s="11" t="s">
        <v>26</v>
      </c>
      <c r="G696" s="11">
        <v>2138</v>
      </c>
      <c r="H696" s="12" t="s">
        <v>41</v>
      </c>
      <c r="I696" s="12" t="s">
        <v>55</v>
      </c>
      <c r="J696" s="12" t="s">
        <v>566</v>
      </c>
      <c r="K696" s="12" t="s">
        <v>550</v>
      </c>
      <c r="L696" s="13">
        <v>41.42</v>
      </c>
      <c r="M696" s="13">
        <v>25</v>
      </c>
      <c r="N696" s="13">
        <v>1.6568000000000001</v>
      </c>
      <c r="O696" s="13">
        <v>25</v>
      </c>
      <c r="P696" s="13"/>
      <c r="Q696" s="13">
        <v>0</v>
      </c>
      <c r="R696" s="15">
        <v>1035.5</v>
      </c>
      <c r="S696" s="15">
        <v>0</v>
      </c>
      <c r="T696" s="15">
        <v>0</v>
      </c>
      <c r="U696" s="15">
        <v>1035.5</v>
      </c>
      <c r="V696" s="15">
        <v>0</v>
      </c>
      <c r="W696" s="15">
        <v>1035.5</v>
      </c>
      <c r="X696" s="15">
        <v>0</v>
      </c>
      <c r="Y696" s="16">
        <v>0</v>
      </c>
      <c r="Z696" s="67" t="s">
        <v>26</v>
      </c>
      <c r="AA696" s="12" t="s">
        <v>31</v>
      </c>
    </row>
    <row r="697" spans="1:27" x14ac:dyDescent="0.25">
      <c r="A697" s="10">
        <v>45668</v>
      </c>
      <c r="B697" s="11" t="s">
        <v>2057</v>
      </c>
      <c r="C697" s="11" t="s">
        <v>2058</v>
      </c>
      <c r="D697" s="11" t="s">
        <v>26</v>
      </c>
      <c r="E697" s="11" t="s">
        <v>541</v>
      </c>
      <c r="F697" s="11" t="s">
        <v>26</v>
      </c>
      <c r="G697" s="11">
        <v>4367</v>
      </c>
      <c r="H697" s="12" t="s">
        <v>140</v>
      </c>
      <c r="I697" s="12" t="s">
        <v>27</v>
      </c>
      <c r="J697" s="12" t="s">
        <v>33</v>
      </c>
      <c r="K697" s="12" t="s">
        <v>34</v>
      </c>
      <c r="L697" s="13">
        <v>42</v>
      </c>
      <c r="M697" s="13">
        <v>25</v>
      </c>
      <c r="N697" s="13">
        <v>1.68</v>
      </c>
      <c r="O697" s="13">
        <v>40</v>
      </c>
      <c r="P697" s="13"/>
      <c r="Q697" s="13">
        <v>0</v>
      </c>
      <c r="R697" s="15">
        <v>1680</v>
      </c>
      <c r="S697" s="15">
        <v>0</v>
      </c>
      <c r="T697" s="15">
        <v>0</v>
      </c>
      <c r="U697" s="15">
        <v>1680</v>
      </c>
      <c r="V697" s="15">
        <v>0</v>
      </c>
      <c r="W697" s="15">
        <v>1680</v>
      </c>
      <c r="X697" s="15">
        <v>0</v>
      </c>
      <c r="Y697" s="16">
        <v>0</v>
      </c>
      <c r="Z697" s="67" t="s">
        <v>26</v>
      </c>
      <c r="AA697" s="12" t="s">
        <v>31</v>
      </c>
    </row>
    <row r="698" spans="1:27" x14ac:dyDescent="0.25">
      <c r="A698" s="10">
        <v>45668</v>
      </c>
      <c r="B698" s="11" t="s">
        <v>353</v>
      </c>
      <c r="C698" s="11" t="s">
        <v>2059</v>
      </c>
      <c r="D698" s="11" t="s">
        <v>26</v>
      </c>
      <c r="E698" s="11" t="s">
        <v>191</v>
      </c>
      <c r="F698" s="11" t="s">
        <v>26</v>
      </c>
      <c r="G698" s="11">
        <v>642</v>
      </c>
      <c r="H698" s="12" t="s">
        <v>141</v>
      </c>
      <c r="I698" s="12" t="s">
        <v>55</v>
      </c>
      <c r="J698" s="12" t="s">
        <v>55</v>
      </c>
      <c r="K698" s="12" t="s">
        <v>56</v>
      </c>
      <c r="L698" s="13">
        <v>38.08</v>
      </c>
      <c r="M698" s="13">
        <v>25</v>
      </c>
      <c r="N698" s="13">
        <v>1.5232000000000001</v>
      </c>
      <c r="O698" s="13">
        <v>15</v>
      </c>
      <c r="P698" s="13" t="s">
        <v>30</v>
      </c>
      <c r="Q698" s="13">
        <v>0</v>
      </c>
      <c r="R698" s="15">
        <v>571.19999999999993</v>
      </c>
      <c r="S698" s="15">
        <v>0</v>
      </c>
      <c r="T698" s="15">
        <v>0</v>
      </c>
      <c r="U698" s="15">
        <v>571.19999999999993</v>
      </c>
      <c r="V698" s="15">
        <v>0</v>
      </c>
      <c r="W698" s="15">
        <v>571.19999999999993</v>
      </c>
      <c r="X698" s="15">
        <v>0</v>
      </c>
      <c r="Y698" s="16">
        <v>0</v>
      </c>
      <c r="Z698" s="67" t="s">
        <v>26</v>
      </c>
      <c r="AA698" s="12" t="s">
        <v>31</v>
      </c>
    </row>
    <row r="699" spans="1:27" x14ac:dyDescent="0.25">
      <c r="A699" s="10">
        <v>45668</v>
      </c>
      <c r="B699" s="11" t="s">
        <v>2060</v>
      </c>
      <c r="C699" s="11" t="s">
        <v>2061</v>
      </c>
      <c r="D699" s="11" t="s">
        <v>26</v>
      </c>
      <c r="E699" s="11" t="s">
        <v>590</v>
      </c>
      <c r="F699" s="11" t="s">
        <v>26</v>
      </c>
      <c r="G699" s="11">
        <v>10319</v>
      </c>
      <c r="H699" s="12" t="s">
        <v>140</v>
      </c>
      <c r="I699" s="12" t="s">
        <v>27</v>
      </c>
      <c r="J699" s="12" t="s">
        <v>42</v>
      </c>
      <c r="K699" s="12" t="s">
        <v>43</v>
      </c>
      <c r="L699" s="13">
        <v>42.4</v>
      </c>
      <c r="M699" s="13">
        <v>25</v>
      </c>
      <c r="N699" s="13">
        <v>1.696</v>
      </c>
      <c r="O699" s="13">
        <v>35</v>
      </c>
      <c r="P699" s="13"/>
      <c r="Q699" s="13">
        <v>0</v>
      </c>
      <c r="R699" s="15">
        <v>1484</v>
      </c>
      <c r="S699" s="15">
        <v>0</v>
      </c>
      <c r="T699" s="15">
        <v>0</v>
      </c>
      <c r="U699" s="15">
        <v>1484</v>
      </c>
      <c r="V699" s="15">
        <v>0</v>
      </c>
      <c r="W699" s="15">
        <v>1484</v>
      </c>
      <c r="X699" s="15">
        <v>0</v>
      </c>
      <c r="Y699" s="16">
        <v>0</v>
      </c>
      <c r="Z699" s="67" t="s">
        <v>26</v>
      </c>
      <c r="AA699" s="12" t="s">
        <v>31</v>
      </c>
    </row>
    <row r="700" spans="1:27" x14ac:dyDescent="0.25">
      <c r="A700" s="10">
        <v>45668</v>
      </c>
      <c r="B700" s="11" t="s">
        <v>2062</v>
      </c>
      <c r="C700" s="11" t="s">
        <v>2063</v>
      </c>
      <c r="D700" s="11" t="s">
        <v>26</v>
      </c>
      <c r="E700" s="11" t="s">
        <v>2064</v>
      </c>
      <c r="F700" s="11" t="s">
        <v>26</v>
      </c>
      <c r="G700" s="11">
        <v>42006</v>
      </c>
      <c r="H700" s="12" t="s">
        <v>565</v>
      </c>
      <c r="I700" s="12" t="s">
        <v>55</v>
      </c>
      <c r="J700" s="12" t="s">
        <v>55</v>
      </c>
      <c r="K700" s="12" t="s">
        <v>56</v>
      </c>
      <c r="L700" s="13">
        <v>43.34</v>
      </c>
      <c r="M700" s="13">
        <v>25</v>
      </c>
      <c r="N700" s="13">
        <v>1.7336</v>
      </c>
      <c r="O700" s="13"/>
      <c r="P700" s="13">
        <v>24</v>
      </c>
      <c r="Q700" s="13">
        <v>0</v>
      </c>
      <c r="R700" s="15">
        <v>600</v>
      </c>
      <c r="S700" s="15">
        <v>0</v>
      </c>
      <c r="T700" s="15">
        <v>0</v>
      </c>
      <c r="U700" s="15">
        <v>600</v>
      </c>
      <c r="V700" s="15">
        <v>0</v>
      </c>
      <c r="W700" s="15">
        <v>600</v>
      </c>
      <c r="X700" s="15">
        <v>0</v>
      </c>
      <c r="Y700" s="16">
        <v>0</v>
      </c>
      <c r="Z700" s="67" t="s">
        <v>26</v>
      </c>
      <c r="AA700" s="12" t="s">
        <v>31</v>
      </c>
    </row>
    <row r="701" spans="1:27" x14ac:dyDescent="0.25">
      <c r="A701" s="10">
        <v>45668</v>
      </c>
      <c r="B701" s="11" t="s">
        <v>1348</v>
      </c>
      <c r="C701" s="11" t="s">
        <v>2065</v>
      </c>
      <c r="D701" s="11" t="s">
        <v>26</v>
      </c>
      <c r="E701" s="11" t="s">
        <v>2066</v>
      </c>
      <c r="F701" s="11" t="s">
        <v>26</v>
      </c>
      <c r="G701" s="11">
        <v>982</v>
      </c>
      <c r="H701" s="12" t="s">
        <v>163</v>
      </c>
      <c r="I701" s="12" t="s">
        <v>27</v>
      </c>
      <c r="J701" s="12" t="s">
        <v>47</v>
      </c>
      <c r="K701" s="12" t="s">
        <v>48</v>
      </c>
      <c r="L701" s="13">
        <v>37.54</v>
      </c>
      <c r="M701" s="13">
        <v>25</v>
      </c>
      <c r="N701" s="13">
        <v>1.5016</v>
      </c>
      <c r="O701" s="13" t="s">
        <v>30</v>
      </c>
      <c r="P701" s="13">
        <v>58</v>
      </c>
      <c r="Q701" s="13">
        <v>0</v>
      </c>
      <c r="R701" s="15">
        <v>1450</v>
      </c>
      <c r="S701" s="15">
        <v>0</v>
      </c>
      <c r="T701" s="15">
        <v>0</v>
      </c>
      <c r="U701" s="15">
        <v>1450</v>
      </c>
      <c r="V701" s="15">
        <v>0</v>
      </c>
      <c r="W701" s="15">
        <v>1450</v>
      </c>
      <c r="X701" s="15">
        <v>0</v>
      </c>
      <c r="Y701" s="16">
        <v>0</v>
      </c>
      <c r="Z701" s="67" t="s">
        <v>26</v>
      </c>
      <c r="AA701" s="12" t="s">
        <v>31</v>
      </c>
    </row>
    <row r="702" spans="1:27" x14ac:dyDescent="0.25">
      <c r="A702" s="10">
        <v>45668</v>
      </c>
      <c r="B702" s="11" t="s">
        <v>2067</v>
      </c>
      <c r="C702" s="11" t="s">
        <v>2068</v>
      </c>
      <c r="D702" s="11" t="s">
        <v>26</v>
      </c>
      <c r="E702" s="11" t="s">
        <v>2069</v>
      </c>
      <c r="F702" s="11" t="s">
        <v>26</v>
      </c>
      <c r="G702" s="11" t="s">
        <v>35</v>
      </c>
      <c r="H702" s="12" t="s">
        <v>36</v>
      </c>
      <c r="I702" s="12" t="s">
        <v>27</v>
      </c>
      <c r="J702" s="12" t="s">
        <v>28</v>
      </c>
      <c r="K702" s="12" t="s">
        <v>29</v>
      </c>
      <c r="L702" s="13">
        <v>4.5999999999999996</v>
      </c>
      <c r="M702" s="13">
        <v>3</v>
      </c>
      <c r="N702" s="13">
        <v>1.533333333333333</v>
      </c>
      <c r="O702" s="13">
        <v>32</v>
      </c>
      <c r="P702" s="13" t="s">
        <v>30</v>
      </c>
      <c r="Q702" s="13">
        <v>0</v>
      </c>
      <c r="R702" s="15">
        <v>147.19999999999999</v>
      </c>
      <c r="S702" s="15">
        <v>0</v>
      </c>
      <c r="T702" s="15">
        <v>0</v>
      </c>
      <c r="U702" s="15">
        <v>147.19999999999999</v>
      </c>
      <c r="V702" s="15">
        <v>0</v>
      </c>
      <c r="W702" s="15">
        <v>147.19999999999999</v>
      </c>
      <c r="X702" s="15">
        <v>0</v>
      </c>
      <c r="Y702" s="16">
        <v>0</v>
      </c>
      <c r="Z702" s="67" t="s">
        <v>26</v>
      </c>
      <c r="AA702" s="12" t="s">
        <v>31</v>
      </c>
    </row>
    <row r="703" spans="1:27" x14ac:dyDescent="0.25">
      <c r="A703" s="10">
        <v>45670</v>
      </c>
      <c r="B703" s="11" t="s">
        <v>436</v>
      </c>
      <c r="C703" s="11" t="s">
        <v>2070</v>
      </c>
      <c r="D703" s="11" t="s">
        <v>26</v>
      </c>
      <c r="E703" s="11" t="s">
        <v>99</v>
      </c>
      <c r="F703" s="11" t="s">
        <v>26</v>
      </c>
      <c r="G703" s="11">
        <v>57977</v>
      </c>
      <c r="H703" s="12" t="s">
        <v>4423</v>
      </c>
      <c r="I703" s="12" t="s">
        <v>27</v>
      </c>
      <c r="J703" s="12" t="s">
        <v>47</v>
      </c>
      <c r="K703" s="12" t="s">
        <v>48</v>
      </c>
      <c r="L703" s="13">
        <v>32.340000000000003</v>
      </c>
      <c r="M703" s="13">
        <v>25</v>
      </c>
      <c r="N703" s="13">
        <v>1.2936000000000001</v>
      </c>
      <c r="O703" s="13">
        <v>46</v>
      </c>
      <c r="P703" s="13" t="s">
        <v>30</v>
      </c>
      <c r="Q703" s="13">
        <v>0</v>
      </c>
      <c r="R703" s="15">
        <v>1487.64</v>
      </c>
      <c r="S703" s="15">
        <v>0</v>
      </c>
      <c r="T703" s="15">
        <v>0</v>
      </c>
      <c r="U703" s="15">
        <v>1487.64</v>
      </c>
      <c r="V703" s="15">
        <v>1487.64</v>
      </c>
      <c r="W703" s="15">
        <v>0</v>
      </c>
      <c r="X703" s="15">
        <v>0</v>
      </c>
      <c r="Y703" s="16">
        <v>0</v>
      </c>
      <c r="Z703" s="67" t="s">
        <v>26</v>
      </c>
      <c r="AA703" s="12" t="s">
        <v>31</v>
      </c>
    </row>
    <row r="704" spans="1:27" x14ac:dyDescent="0.25">
      <c r="A704" s="10">
        <v>45670</v>
      </c>
      <c r="B704" s="11" t="s">
        <v>2071</v>
      </c>
      <c r="C704" s="11" t="s">
        <v>2072</v>
      </c>
      <c r="D704" s="11" t="s">
        <v>26</v>
      </c>
      <c r="E704" s="11" t="s">
        <v>68</v>
      </c>
      <c r="F704" s="11" t="s">
        <v>26</v>
      </c>
      <c r="G704" s="11">
        <v>76354</v>
      </c>
      <c r="H704" s="12" t="s">
        <v>4448</v>
      </c>
      <c r="I704" s="12" t="s">
        <v>27</v>
      </c>
      <c r="J704" s="12" t="s">
        <v>47</v>
      </c>
      <c r="K704" s="12" t="s">
        <v>48</v>
      </c>
      <c r="L704" s="13">
        <v>42.3</v>
      </c>
      <c r="M704" s="13">
        <v>29</v>
      </c>
      <c r="N704" s="13">
        <v>1.4586206896551721</v>
      </c>
      <c r="O704" s="13">
        <v>46.66</v>
      </c>
      <c r="P704" s="13" t="s">
        <v>30</v>
      </c>
      <c r="Q704" s="13">
        <v>0</v>
      </c>
      <c r="R704" s="14">
        <v>1973.7179999999996</v>
      </c>
      <c r="S704" s="15">
        <v>0</v>
      </c>
      <c r="T704" s="15">
        <v>0</v>
      </c>
      <c r="U704" s="15">
        <v>1973.7179999999996</v>
      </c>
      <c r="V704" s="15">
        <v>1480.2884999999997</v>
      </c>
      <c r="W704" s="15">
        <v>493.42949999999996</v>
      </c>
      <c r="X704" s="15">
        <v>0</v>
      </c>
      <c r="Y704" s="16">
        <v>0</v>
      </c>
      <c r="Z704" s="67" t="s">
        <v>26</v>
      </c>
      <c r="AA704" s="12" t="s">
        <v>31</v>
      </c>
    </row>
    <row r="705" spans="1:27" x14ac:dyDescent="0.25">
      <c r="A705" s="10">
        <v>45670</v>
      </c>
      <c r="B705" s="11" t="s">
        <v>2073</v>
      </c>
      <c r="C705" s="11" t="s">
        <v>2074</v>
      </c>
      <c r="D705" s="11" t="s">
        <v>26</v>
      </c>
      <c r="E705" s="11" t="s">
        <v>431</v>
      </c>
      <c r="F705" s="11" t="s">
        <v>26</v>
      </c>
      <c r="G705" s="11" t="s">
        <v>26</v>
      </c>
      <c r="H705" s="12" t="s">
        <v>4422</v>
      </c>
      <c r="I705" s="12" t="s">
        <v>27</v>
      </c>
      <c r="J705" s="12" t="s">
        <v>33</v>
      </c>
      <c r="K705" s="12" t="s">
        <v>34</v>
      </c>
      <c r="L705" s="13">
        <v>41.7</v>
      </c>
      <c r="M705" s="13">
        <v>28</v>
      </c>
      <c r="N705" s="13">
        <v>1.4892857142857141</v>
      </c>
      <c r="O705" s="13">
        <v>85</v>
      </c>
      <c r="P705" s="13" t="s">
        <v>30</v>
      </c>
      <c r="Q705" s="13">
        <v>0</v>
      </c>
      <c r="R705" s="15">
        <v>3544.5000000000005</v>
      </c>
      <c r="S705" s="15">
        <v>38</v>
      </c>
      <c r="T705" s="15">
        <v>1584.6000000000001</v>
      </c>
      <c r="U705" s="15">
        <v>1959.9000000000003</v>
      </c>
      <c r="V705" s="15">
        <v>1959.9000000000003</v>
      </c>
      <c r="W705" s="15">
        <v>0</v>
      </c>
      <c r="X705" s="15">
        <v>1501.2</v>
      </c>
      <c r="Y705" s="16">
        <v>83.400000000000091</v>
      </c>
      <c r="Z705" s="67" t="s">
        <v>6328</v>
      </c>
      <c r="AA705" s="12" t="s">
        <v>78</v>
      </c>
    </row>
    <row r="706" spans="1:27" x14ac:dyDescent="0.25">
      <c r="A706" s="10">
        <v>45670</v>
      </c>
      <c r="B706" s="11" t="s">
        <v>2075</v>
      </c>
      <c r="C706" s="11" t="s">
        <v>2076</v>
      </c>
      <c r="D706" s="11" t="s">
        <v>26</v>
      </c>
      <c r="E706" s="11" t="s">
        <v>552</v>
      </c>
      <c r="F706" s="11" t="s">
        <v>26</v>
      </c>
      <c r="G706" s="11">
        <v>69107</v>
      </c>
      <c r="H706" s="12" t="s">
        <v>4423</v>
      </c>
      <c r="I706" s="12" t="s">
        <v>27</v>
      </c>
      <c r="J706" s="12" t="s">
        <v>33</v>
      </c>
      <c r="K706" s="12" t="s">
        <v>34</v>
      </c>
      <c r="L706" s="13">
        <v>35.380000000000003</v>
      </c>
      <c r="M706" s="13">
        <v>25</v>
      </c>
      <c r="N706" s="13">
        <v>1.4152</v>
      </c>
      <c r="O706" s="13">
        <v>45</v>
      </c>
      <c r="P706" s="13" t="s">
        <v>30</v>
      </c>
      <c r="Q706" s="13">
        <v>0</v>
      </c>
      <c r="R706" s="15">
        <v>1592.1000000000001</v>
      </c>
      <c r="S706" s="15">
        <v>0</v>
      </c>
      <c r="T706" s="15">
        <v>0</v>
      </c>
      <c r="U706" s="15">
        <v>1592.1000000000001</v>
      </c>
      <c r="V706" s="15">
        <v>1592.1000000000001</v>
      </c>
      <c r="W706" s="15">
        <v>0</v>
      </c>
      <c r="X706" s="15">
        <v>0</v>
      </c>
      <c r="Y706" s="16">
        <v>0</v>
      </c>
      <c r="Z706" s="67" t="s">
        <v>26</v>
      </c>
      <c r="AA706" s="12" t="s">
        <v>31</v>
      </c>
    </row>
    <row r="707" spans="1:27" x14ac:dyDescent="0.25">
      <c r="A707" s="10">
        <v>45670</v>
      </c>
      <c r="B707" s="11" t="s">
        <v>2077</v>
      </c>
      <c r="C707" s="11" t="s">
        <v>2078</v>
      </c>
      <c r="D707" s="11" t="s">
        <v>26</v>
      </c>
      <c r="E707" s="11" t="s">
        <v>100</v>
      </c>
      <c r="F707" s="11" t="s">
        <v>26</v>
      </c>
      <c r="G707" s="11">
        <v>21707</v>
      </c>
      <c r="H707" s="12" t="s">
        <v>4448</v>
      </c>
      <c r="I707" s="12" t="s">
        <v>27</v>
      </c>
      <c r="J707" s="12" t="s">
        <v>47</v>
      </c>
      <c r="K707" s="12" t="s">
        <v>48</v>
      </c>
      <c r="L707" s="13">
        <v>36.92</v>
      </c>
      <c r="M707" s="13">
        <v>25</v>
      </c>
      <c r="N707" s="13">
        <v>1.4767999999999999</v>
      </c>
      <c r="O707" s="13">
        <v>46.66</v>
      </c>
      <c r="P707" s="13" t="s">
        <v>30</v>
      </c>
      <c r="Q707" s="13">
        <v>0</v>
      </c>
      <c r="R707" s="14">
        <v>1722.6871999999998</v>
      </c>
      <c r="S707" s="15">
        <v>0</v>
      </c>
      <c r="T707" s="15">
        <v>0</v>
      </c>
      <c r="U707" s="15">
        <v>1722.6871999999998</v>
      </c>
      <c r="V707" s="15">
        <v>1292.0153999999998</v>
      </c>
      <c r="W707" s="15">
        <v>430.67180000000008</v>
      </c>
      <c r="X707" s="15">
        <v>0</v>
      </c>
      <c r="Y707" s="16">
        <v>0</v>
      </c>
      <c r="Z707" s="67" t="s">
        <v>26</v>
      </c>
      <c r="AA707" s="12" t="s">
        <v>31</v>
      </c>
    </row>
    <row r="708" spans="1:27" x14ac:dyDescent="0.25">
      <c r="A708" s="10">
        <v>45670</v>
      </c>
      <c r="B708" s="11" t="s">
        <v>2079</v>
      </c>
      <c r="C708" s="11" t="s">
        <v>2080</v>
      </c>
      <c r="D708" s="11" t="s">
        <v>26</v>
      </c>
      <c r="E708" s="11" t="s">
        <v>506</v>
      </c>
      <c r="F708" s="11" t="s">
        <v>26</v>
      </c>
      <c r="G708" s="11" t="s">
        <v>35</v>
      </c>
      <c r="H708" s="12" t="s">
        <v>36</v>
      </c>
      <c r="I708" s="12" t="s">
        <v>55</v>
      </c>
      <c r="J708" s="12" t="s">
        <v>55</v>
      </c>
      <c r="K708" s="12" t="s">
        <v>56</v>
      </c>
      <c r="L708" s="13">
        <v>28.08</v>
      </c>
      <c r="M708" s="13">
        <v>20</v>
      </c>
      <c r="N708" s="13">
        <v>1.4039999999999999</v>
      </c>
      <c r="O708" s="13">
        <v>20</v>
      </c>
      <c r="P708" s="13" t="s">
        <v>30</v>
      </c>
      <c r="Q708" s="13">
        <v>0</v>
      </c>
      <c r="R708" s="14">
        <v>561.59999999999991</v>
      </c>
      <c r="S708" s="15">
        <v>0</v>
      </c>
      <c r="T708" s="15">
        <v>0</v>
      </c>
      <c r="U708" s="15">
        <v>561.59999999999991</v>
      </c>
      <c r="V708" s="15">
        <v>0</v>
      </c>
      <c r="W708" s="15">
        <v>561.59999999999991</v>
      </c>
      <c r="X708" s="15">
        <v>0</v>
      </c>
      <c r="Y708" s="16">
        <v>0</v>
      </c>
      <c r="Z708" s="67" t="s">
        <v>26</v>
      </c>
      <c r="AA708" s="12" t="s">
        <v>31</v>
      </c>
    </row>
    <row r="709" spans="1:27" x14ac:dyDescent="0.25">
      <c r="A709" s="10">
        <v>45670</v>
      </c>
      <c r="B709" s="11" t="s">
        <v>2081</v>
      </c>
      <c r="C709" s="11" t="s">
        <v>2082</v>
      </c>
      <c r="D709" s="11" t="s">
        <v>26</v>
      </c>
      <c r="E709" s="11" t="s">
        <v>501</v>
      </c>
      <c r="F709" s="11" t="s">
        <v>26</v>
      </c>
      <c r="G709" s="11">
        <v>643</v>
      </c>
      <c r="H709" s="12" t="s">
        <v>141</v>
      </c>
      <c r="I709" s="12" t="s">
        <v>27</v>
      </c>
      <c r="J709" s="12" t="s">
        <v>47</v>
      </c>
      <c r="K709" s="12" t="s">
        <v>48</v>
      </c>
      <c r="L709" s="13">
        <v>43.94</v>
      </c>
      <c r="M709" s="13">
        <v>30</v>
      </c>
      <c r="N709" s="13">
        <v>1.464666666666667</v>
      </c>
      <c r="O709" s="13">
        <v>40</v>
      </c>
      <c r="P709" s="13" t="s">
        <v>30</v>
      </c>
      <c r="Q709" s="13">
        <v>0</v>
      </c>
      <c r="R709" s="15">
        <v>1757.6</v>
      </c>
      <c r="S709" s="15">
        <v>0</v>
      </c>
      <c r="T709" s="15">
        <v>0</v>
      </c>
      <c r="U709" s="15">
        <v>1757.6</v>
      </c>
      <c r="V709" s="15">
        <v>0</v>
      </c>
      <c r="W709" s="15">
        <v>1757.6</v>
      </c>
      <c r="X709" s="15">
        <v>0</v>
      </c>
      <c r="Y709" s="16">
        <v>0</v>
      </c>
      <c r="Z709" s="67" t="s">
        <v>26</v>
      </c>
      <c r="AA709" s="12" t="s">
        <v>31</v>
      </c>
    </row>
    <row r="710" spans="1:27" x14ac:dyDescent="0.25">
      <c r="A710" s="10">
        <v>45670</v>
      </c>
      <c r="B710" s="11" t="s">
        <v>2083</v>
      </c>
      <c r="C710" s="11" t="s">
        <v>2084</v>
      </c>
      <c r="D710" s="11" t="s">
        <v>26</v>
      </c>
      <c r="E710" s="11" t="s">
        <v>53</v>
      </c>
      <c r="F710" s="11" t="s">
        <v>26</v>
      </c>
      <c r="G710" s="11" t="s">
        <v>26</v>
      </c>
      <c r="H710" s="12" t="s">
        <v>4422</v>
      </c>
      <c r="I710" s="12" t="s">
        <v>27</v>
      </c>
      <c r="J710" s="12" t="s">
        <v>33</v>
      </c>
      <c r="K710" s="12" t="s">
        <v>34</v>
      </c>
      <c r="L710" s="13">
        <v>45.46</v>
      </c>
      <c r="M710" s="13">
        <v>31</v>
      </c>
      <c r="N710" s="13">
        <v>1.4664516129032259</v>
      </c>
      <c r="O710" s="13">
        <v>85</v>
      </c>
      <c r="P710" s="13" t="s">
        <v>30</v>
      </c>
      <c r="Q710" s="13">
        <v>0</v>
      </c>
      <c r="R710" s="15">
        <v>3864.1</v>
      </c>
      <c r="S710" s="15">
        <v>38</v>
      </c>
      <c r="T710" s="15">
        <v>1727.48</v>
      </c>
      <c r="U710" s="15">
        <v>2136.62</v>
      </c>
      <c r="V710" s="15">
        <v>2136.62</v>
      </c>
      <c r="W710" s="15">
        <v>0</v>
      </c>
      <c r="X710" s="15">
        <v>1682.02</v>
      </c>
      <c r="Y710" s="16">
        <v>45.460000000000036</v>
      </c>
      <c r="Z710" s="67" t="s">
        <v>41</v>
      </c>
      <c r="AA710" s="12" t="s">
        <v>78</v>
      </c>
    </row>
    <row r="711" spans="1:27" x14ac:dyDescent="0.25">
      <c r="A711" s="10">
        <v>45670</v>
      </c>
      <c r="B711" s="11" t="s">
        <v>2085</v>
      </c>
      <c r="C711" s="11" t="s">
        <v>2086</v>
      </c>
      <c r="D711" s="11" t="s">
        <v>26</v>
      </c>
      <c r="E711" s="11" t="s">
        <v>184</v>
      </c>
      <c r="F711" s="11" t="s">
        <v>26</v>
      </c>
      <c r="G711" s="11" t="s">
        <v>26</v>
      </c>
      <c r="H711" s="12" t="s">
        <v>4422</v>
      </c>
      <c r="I711" s="12" t="s">
        <v>27</v>
      </c>
      <c r="J711" s="12" t="s">
        <v>47</v>
      </c>
      <c r="K711" s="12" t="s">
        <v>48</v>
      </c>
      <c r="L711" s="13">
        <v>38.86</v>
      </c>
      <c r="M711" s="13">
        <v>25</v>
      </c>
      <c r="N711" s="13">
        <v>1.5544</v>
      </c>
      <c r="O711" s="13">
        <v>87</v>
      </c>
      <c r="P711" s="13" t="s">
        <v>30</v>
      </c>
      <c r="Q711" s="13">
        <v>0</v>
      </c>
      <c r="R711" s="15">
        <v>3380.82</v>
      </c>
      <c r="S711" s="15">
        <v>38</v>
      </c>
      <c r="T711" s="15">
        <v>1476.68</v>
      </c>
      <c r="U711" s="15">
        <v>1904.14</v>
      </c>
      <c r="V711" s="15">
        <v>1904.14</v>
      </c>
      <c r="W711" s="15">
        <v>0</v>
      </c>
      <c r="X711" s="15">
        <v>1398.96</v>
      </c>
      <c r="Y711" s="16">
        <v>77.720000000000027</v>
      </c>
      <c r="Z711" s="67" t="s">
        <v>141</v>
      </c>
      <c r="AA711" s="12" t="s">
        <v>78</v>
      </c>
    </row>
    <row r="712" spans="1:27" x14ac:dyDescent="0.25">
      <c r="A712" s="10">
        <v>45670</v>
      </c>
      <c r="B712" s="11" t="s">
        <v>2087</v>
      </c>
      <c r="C712" s="11" t="s">
        <v>2088</v>
      </c>
      <c r="D712" s="11" t="s">
        <v>26</v>
      </c>
      <c r="E712" s="11" t="s">
        <v>180</v>
      </c>
      <c r="F712" s="11" t="s">
        <v>26</v>
      </c>
      <c r="G712" s="11" t="s">
        <v>35</v>
      </c>
      <c r="H712" s="12" t="s">
        <v>36</v>
      </c>
      <c r="I712" s="12" t="s">
        <v>55</v>
      </c>
      <c r="J712" s="12" t="s">
        <v>55</v>
      </c>
      <c r="K712" s="12" t="s">
        <v>56</v>
      </c>
      <c r="L712" s="13">
        <v>14.38</v>
      </c>
      <c r="M712" s="13">
        <v>10</v>
      </c>
      <c r="N712" s="13">
        <v>1.4379999999999999</v>
      </c>
      <c r="O712" s="13">
        <v>20</v>
      </c>
      <c r="P712" s="13" t="s">
        <v>30</v>
      </c>
      <c r="Q712" s="13">
        <v>0</v>
      </c>
      <c r="R712" s="14">
        <v>287.60000000000002</v>
      </c>
      <c r="S712" s="15">
        <v>0</v>
      </c>
      <c r="T712" s="15">
        <v>0</v>
      </c>
      <c r="U712" s="15">
        <v>287.60000000000002</v>
      </c>
      <c r="V712" s="15">
        <v>0</v>
      </c>
      <c r="W712" s="15">
        <v>287.60000000000002</v>
      </c>
      <c r="X712" s="15">
        <v>0</v>
      </c>
      <c r="Y712" s="16">
        <v>0</v>
      </c>
      <c r="Z712" s="67" t="s">
        <v>26</v>
      </c>
      <c r="AA712" s="12" t="s">
        <v>31</v>
      </c>
    </row>
    <row r="713" spans="1:27" x14ac:dyDescent="0.25">
      <c r="A713" s="10">
        <v>45670</v>
      </c>
      <c r="B713" s="11" t="s">
        <v>2089</v>
      </c>
      <c r="C713" s="11" t="s">
        <v>2090</v>
      </c>
      <c r="D713" s="11" t="s">
        <v>26</v>
      </c>
      <c r="E713" s="11" t="s">
        <v>605</v>
      </c>
      <c r="F713" s="11" t="s">
        <v>26</v>
      </c>
      <c r="G713" s="11" t="s">
        <v>26</v>
      </c>
      <c r="H713" s="12" t="s">
        <v>4422</v>
      </c>
      <c r="I713" s="12" t="s">
        <v>27</v>
      </c>
      <c r="J713" s="12" t="s">
        <v>33</v>
      </c>
      <c r="K713" s="12" t="s">
        <v>34</v>
      </c>
      <c r="L713" s="13">
        <v>40.96</v>
      </c>
      <c r="M713" s="13">
        <v>28</v>
      </c>
      <c r="N713" s="13">
        <v>1.4628571428571431</v>
      </c>
      <c r="O713" s="13">
        <v>85</v>
      </c>
      <c r="P713" s="13" t="s">
        <v>30</v>
      </c>
      <c r="Q713" s="13">
        <v>0</v>
      </c>
      <c r="R713" s="14">
        <v>3481.6</v>
      </c>
      <c r="S713" s="15">
        <v>38</v>
      </c>
      <c r="T713" s="15">
        <v>1556.48</v>
      </c>
      <c r="U713" s="15">
        <v>1925.12</v>
      </c>
      <c r="V713" s="15">
        <v>1925.12</v>
      </c>
      <c r="W713" s="15">
        <v>0</v>
      </c>
      <c r="X713" s="15">
        <v>1474.56</v>
      </c>
      <c r="Y713" s="16">
        <v>81.920000000000073</v>
      </c>
      <c r="Z713" s="67" t="s">
        <v>141</v>
      </c>
      <c r="AA713" s="12" t="s">
        <v>78</v>
      </c>
    </row>
    <row r="714" spans="1:27" x14ac:dyDescent="0.25">
      <c r="A714" s="10">
        <v>45670</v>
      </c>
      <c r="B714" s="11" t="s">
        <v>497</v>
      </c>
      <c r="C714" s="11" t="s">
        <v>2091</v>
      </c>
      <c r="D714" s="11" t="s">
        <v>26</v>
      </c>
      <c r="E714" s="11" t="s">
        <v>446</v>
      </c>
      <c r="F714" s="11" t="s">
        <v>26</v>
      </c>
      <c r="G714" s="11" t="s">
        <v>35</v>
      </c>
      <c r="H714" s="12" t="s">
        <v>36</v>
      </c>
      <c r="I714" s="12" t="s">
        <v>55</v>
      </c>
      <c r="J714" s="12" t="s">
        <v>55</v>
      </c>
      <c r="K714" s="12" t="s">
        <v>56</v>
      </c>
      <c r="L714" s="13">
        <v>29.08</v>
      </c>
      <c r="M714" s="13">
        <v>20</v>
      </c>
      <c r="N714" s="13">
        <v>1.454</v>
      </c>
      <c r="O714" s="13">
        <v>20</v>
      </c>
      <c r="P714" s="13" t="s">
        <v>30</v>
      </c>
      <c r="Q714" s="13">
        <v>0</v>
      </c>
      <c r="R714" s="15">
        <v>581.59999999999991</v>
      </c>
      <c r="S714" s="15">
        <v>0</v>
      </c>
      <c r="T714" s="15">
        <v>0</v>
      </c>
      <c r="U714" s="15">
        <v>581.59999999999991</v>
      </c>
      <c r="V714" s="15">
        <v>0</v>
      </c>
      <c r="W714" s="15">
        <v>581.59999999999991</v>
      </c>
      <c r="X714" s="15">
        <v>0</v>
      </c>
      <c r="Y714" s="16">
        <v>0</v>
      </c>
      <c r="Z714" s="67" t="s">
        <v>26</v>
      </c>
      <c r="AA714" s="12" t="s">
        <v>31</v>
      </c>
    </row>
    <row r="715" spans="1:27" x14ac:dyDescent="0.25">
      <c r="A715" s="10">
        <v>45670</v>
      </c>
      <c r="B715" s="11" t="s">
        <v>518</v>
      </c>
      <c r="C715" s="11" t="s">
        <v>2092</v>
      </c>
      <c r="D715" s="11" t="s">
        <v>26</v>
      </c>
      <c r="E715" s="11" t="s">
        <v>81</v>
      </c>
      <c r="F715" s="11" t="s">
        <v>26</v>
      </c>
      <c r="G715" s="11" t="s">
        <v>26</v>
      </c>
      <c r="H715" s="12" t="s">
        <v>4422</v>
      </c>
      <c r="I715" s="12" t="s">
        <v>27</v>
      </c>
      <c r="J715" s="12" t="s">
        <v>42</v>
      </c>
      <c r="K715" s="12" t="s">
        <v>43</v>
      </c>
      <c r="L715" s="13">
        <v>42.94</v>
      </c>
      <c r="M715" s="13">
        <v>25</v>
      </c>
      <c r="N715" s="13">
        <v>1.7176</v>
      </c>
      <c r="O715" s="13">
        <v>83</v>
      </c>
      <c r="P715" s="13" t="s">
        <v>30</v>
      </c>
      <c r="Q715" s="13">
        <v>0</v>
      </c>
      <c r="R715" s="14">
        <v>3564.02</v>
      </c>
      <c r="S715" s="15">
        <v>38</v>
      </c>
      <c r="T715" s="15">
        <v>1631.7199999999998</v>
      </c>
      <c r="U715" s="15">
        <v>1932.3000000000002</v>
      </c>
      <c r="V715" s="15">
        <v>1932.3000000000002</v>
      </c>
      <c r="W715" s="15">
        <v>0</v>
      </c>
      <c r="X715" s="15">
        <v>1545.84</v>
      </c>
      <c r="Y715" s="16">
        <v>85.879999999999882</v>
      </c>
      <c r="Z715" s="67" t="s">
        <v>141</v>
      </c>
      <c r="AA715" s="12" t="s">
        <v>78</v>
      </c>
    </row>
    <row r="716" spans="1:27" x14ac:dyDescent="0.25">
      <c r="A716" s="10">
        <v>45670</v>
      </c>
      <c r="B716" s="11" t="s">
        <v>512</v>
      </c>
      <c r="C716" s="11" t="s">
        <v>2093</v>
      </c>
      <c r="D716" s="11" t="s">
        <v>26</v>
      </c>
      <c r="E716" s="11" t="s">
        <v>80</v>
      </c>
      <c r="F716" s="11" t="s">
        <v>26</v>
      </c>
      <c r="G716" s="11">
        <v>10291</v>
      </c>
      <c r="H716" s="12" t="s">
        <v>140</v>
      </c>
      <c r="I716" s="12" t="s">
        <v>27</v>
      </c>
      <c r="J716" s="12" t="s">
        <v>33</v>
      </c>
      <c r="K716" s="12" t="s">
        <v>34</v>
      </c>
      <c r="L716" s="13">
        <v>42.62</v>
      </c>
      <c r="M716" s="13">
        <v>29</v>
      </c>
      <c r="N716" s="13">
        <v>1.469655172413793</v>
      </c>
      <c r="O716" s="13">
        <v>40</v>
      </c>
      <c r="P716" s="13"/>
      <c r="Q716" s="13">
        <v>0</v>
      </c>
      <c r="R716" s="14">
        <v>1704.8</v>
      </c>
      <c r="S716" s="15">
        <v>0</v>
      </c>
      <c r="T716" s="15">
        <v>0</v>
      </c>
      <c r="U716" s="15">
        <v>1704.8</v>
      </c>
      <c r="V716" s="15">
        <v>0</v>
      </c>
      <c r="W716" s="15">
        <v>1704.8</v>
      </c>
      <c r="X716" s="15">
        <v>0</v>
      </c>
      <c r="Y716" s="16">
        <v>0</v>
      </c>
      <c r="Z716" s="67" t="s">
        <v>26</v>
      </c>
      <c r="AA716" s="12" t="s">
        <v>31</v>
      </c>
    </row>
    <row r="717" spans="1:27" x14ac:dyDescent="0.25">
      <c r="A717" s="10">
        <v>45670</v>
      </c>
      <c r="B717" s="11" t="s">
        <v>2094</v>
      </c>
      <c r="C717" s="11" t="s">
        <v>2095</v>
      </c>
      <c r="D717" s="11" t="s">
        <v>26</v>
      </c>
      <c r="E717" s="11" t="s">
        <v>49</v>
      </c>
      <c r="F717" s="11" t="s">
        <v>26</v>
      </c>
      <c r="G717" s="11">
        <v>1500</v>
      </c>
      <c r="H717" s="12" t="s">
        <v>45</v>
      </c>
      <c r="I717" s="12" t="s">
        <v>27</v>
      </c>
      <c r="J717" s="12" t="s">
        <v>33</v>
      </c>
      <c r="K717" s="12" t="s">
        <v>34</v>
      </c>
      <c r="L717" s="13">
        <v>38.619999999999997</v>
      </c>
      <c r="M717" s="13">
        <v>25</v>
      </c>
      <c r="N717" s="13">
        <v>1.5448</v>
      </c>
      <c r="O717" s="13" t="s">
        <v>30</v>
      </c>
      <c r="P717" s="13">
        <v>58</v>
      </c>
      <c r="Q717" s="13">
        <v>0</v>
      </c>
      <c r="R717" s="15">
        <v>1450</v>
      </c>
      <c r="S717" s="15">
        <v>0</v>
      </c>
      <c r="T717" s="15">
        <v>0</v>
      </c>
      <c r="U717" s="15">
        <v>1450</v>
      </c>
      <c r="V717" s="15">
        <v>0</v>
      </c>
      <c r="W717" s="15">
        <v>1450</v>
      </c>
      <c r="X717" s="15">
        <v>0</v>
      </c>
      <c r="Y717" s="16">
        <v>0</v>
      </c>
      <c r="Z717" s="67" t="s">
        <v>26</v>
      </c>
      <c r="AA717" s="12" t="s">
        <v>31</v>
      </c>
    </row>
    <row r="718" spans="1:27" x14ac:dyDescent="0.25">
      <c r="A718" s="10">
        <v>45670</v>
      </c>
      <c r="B718" s="11" t="s">
        <v>652</v>
      </c>
      <c r="C718" s="11" t="s">
        <v>2096</v>
      </c>
      <c r="D718" s="11" t="s">
        <v>26</v>
      </c>
      <c r="E718" s="11" t="s">
        <v>44</v>
      </c>
      <c r="F718" s="11" t="s">
        <v>26</v>
      </c>
      <c r="G718" s="11">
        <v>1556</v>
      </c>
      <c r="H718" s="12" t="s">
        <v>45</v>
      </c>
      <c r="I718" s="12" t="s">
        <v>27</v>
      </c>
      <c r="J718" s="12" t="s">
        <v>33</v>
      </c>
      <c r="K718" s="12" t="s">
        <v>34</v>
      </c>
      <c r="L718" s="13">
        <v>38.54</v>
      </c>
      <c r="M718" s="13">
        <v>25</v>
      </c>
      <c r="N718" s="13">
        <v>1.5416000000000001</v>
      </c>
      <c r="O718" s="13" t="s">
        <v>30</v>
      </c>
      <c r="P718" s="13">
        <v>58</v>
      </c>
      <c r="Q718" s="13">
        <v>0</v>
      </c>
      <c r="R718" s="14">
        <v>1450</v>
      </c>
      <c r="S718" s="15">
        <v>0</v>
      </c>
      <c r="T718" s="15">
        <v>0</v>
      </c>
      <c r="U718" s="15">
        <v>1450</v>
      </c>
      <c r="V718" s="15">
        <v>0</v>
      </c>
      <c r="W718" s="15">
        <v>1450</v>
      </c>
      <c r="X718" s="15">
        <v>0</v>
      </c>
      <c r="Y718" s="16">
        <v>0</v>
      </c>
      <c r="Z718" s="67" t="s">
        <v>26</v>
      </c>
      <c r="AA718" s="12" t="s">
        <v>31</v>
      </c>
    </row>
    <row r="719" spans="1:27" x14ac:dyDescent="0.25">
      <c r="A719" s="10">
        <v>45670</v>
      </c>
      <c r="B719" s="11" t="s">
        <v>2097</v>
      </c>
      <c r="C719" s="11" t="s">
        <v>2098</v>
      </c>
      <c r="D719" s="11" t="s">
        <v>26</v>
      </c>
      <c r="E719" s="11" t="s">
        <v>63</v>
      </c>
      <c r="F719" s="11" t="s">
        <v>26</v>
      </c>
      <c r="G719" s="11" t="s">
        <v>26</v>
      </c>
      <c r="H719" s="12" t="s">
        <v>4422</v>
      </c>
      <c r="I719" s="12" t="s">
        <v>27</v>
      </c>
      <c r="J719" s="12" t="s">
        <v>42</v>
      </c>
      <c r="K719" s="12" t="s">
        <v>43</v>
      </c>
      <c r="L719" s="13">
        <v>43.1</v>
      </c>
      <c r="M719" s="13">
        <v>25</v>
      </c>
      <c r="N719" s="13">
        <v>1.724</v>
      </c>
      <c r="O719" s="13">
        <v>83</v>
      </c>
      <c r="P719" s="13" t="s">
        <v>30</v>
      </c>
      <c r="Q719" s="13">
        <v>0</v>
      </c>
      <c r="R719" s="14">
        <v>3577.3</v>
      </c>
      <c r="S719" s="15">
        <v>38</v>
      </c>
      <c r="T719" s="15">
        <v>1637.8</v>
      </c>
      <c r="U719" s="15">
        <v>1939.5000000000002</v>
      </c>
      <c r="V719" s="15">
        <v>1939.5000000000002</v>
      </c>
      <c r="W719" s="15">
        <v>0</v>
      </c>
      <c r="X719" s="15">
        <v>1551.6000000000001</v>
      </c>
      <c r="Y719" s="16">
        <v>86.199999999999818</v>
      </c>
      <c r="Z719" s="67" t="s">
        <v>140</v>
      </c>
      <c r="AA719" s="12" t="s">
        <v>78</v>
      </c>
    </row>
    <row r="720" spans="1:27" x14ac:dyDescent="0.25">
      <c r="A720" s="10">
        <v>45670</v>
      </c>
      <c r="B720" s="11" t="s">
        <v>503</v>
      </c>
      <c r="C720" s="11" t="s">
        <v>2099</v>
      </c>
      <c r="D720" s="11" t="s">
        <v>26</v>
      </c>
      <c r="E720" s="11" t="s">
        <v>224</v>
      </c>
      <c r="F720" s="11" t="s">
        <v>26</v>
      </c>
      <c r="G720" s="11">
        <v>57845</v>
      </c>
      <c r="H720" s="12" t="s">
        <v>4423</v>
      </c>
      <c r="I720" s="12" t="s">
        <v>27</v>
      </c>
      <c r="J720" s="12" t="s">
        <v>33</v>
      </c>
      <c r="K720" s="12" t="s">
        <v>34</v>
      </c>
      <c r="L720" s="13">
        <v>35.58</v>
      </c>
      <c r="M720" s="13">
        <v>25</v>
      </c>
      <c r="N720" s="13">
        <v>1.4232</v>
      </c>
      <c r="O720" s="13">
        <v>45</v>
      </c>
      <c r="P720" s="13" t="s">
        <v>30</v>
      </c>
      <c r="Q720" s="13">
        <v>0</v>
      </c>
      <c r="R720" s="14">
        <v>1601.1</v>
      </c>
      <c r="S720" s="15">
        <v>0</v>
      </c>
      <c r="T720" s="15">
        <v>0</v>
      </c>
      <c r="U720" s="15">
        <v>1601.1</v>
      </c>
      <c r="V720" s="15">
        <v>1601.1</v>
      </c>
      <c r="W720" s="15">
        <v>0</v>
      </c>
      <c r="X720" s="15">
        <v>0</v>
      </c>
      <c r="Y720" s="16">
        <v>0</v>
      </c>
      <c r="Z720" s="67" t="s">
        <v>26</v>
      </c>
      <c r="AA720" s="12" t="s">
        <v>31</v>
      </c>
    </row>
    <row r="721" spans="1:27" x14ac:dyDescent="0.25">
      <c r="A721" s="10">
        <v>45670</v>
      </c>
      <c r="B721" s="11" t="s">
        <v>608</v>
      </c>
      <c r="C721" s="11" t="s">
        <v>2100</v>
      </c>
      <c r="D721" s="11" t="s">
        <v>26</v>
      </c>
      <c r="E721" s="11" t="s">
        <v>520</v>
      </c>
      <c r="F721" s="11" t="s">
        <v>26</v>
      </c>
      <c r="G721" s="11" t="s">
        <v>26</v>
      </c>
      <c r="H721" s="12" t="s">
        <v>4422</v>
      </c>
      <c r="I721" s="12" t="s">
        <v>27</v>
      </c>
      <c r="J721" s="12" t="s">
        <v>47</v>
      </c>
      <c r="K721" s="12" t="s">
        <v>48</v>
      </c>
      <c r="L721" s="13">
        <v>43.2</v>
      </c>
      <c r="M721" s="13">
        <v>30</v>
      </c>
      <c r="N721" s="13">
        <v>1.44</v>
      </c>
      <c r="O721" s="13">
        <v>87</v>
      </c>
      <c r="P721" s="13" t="s">
        <v>30</v>
      </c>
      <c r="Q721" s="13">
        <v>0</v>
      </c>
      <c r="R721" s="14">
        <v>3758.4</v>
      </c>
      <c r="S721" s="15">
        <v>38</v>
      </c>
      <c r="T721" s="15">
        <v>1641.6000000000001</v>
      </c>
      <c r="U721" s="15">
        <v>2116.8000000000002</v>
      </c>
      <c r="V721" s="15">
        <v>2116.8000000000002</v>
      </c>
      <c r="W721" s="15">
        <v>0</v>
      </c>
      <c r="X721" s="15">
        <v>1555.2</v>
      </c>
      <c r="Y721" s="16">
        <v>86.400000000000091</v>
      </c>
      <c r="Z721" s="67" t="s">
        <v>140</v>
      </c>
      <c r="AA721" s="12" t="s">
        <v>78</v>
      </c>
    </row>
    <row r="722" spans="1:27" x14ac:dyDescent="0.25">
      <c r="A722" s="10">
        <v>45670</v>
      </c>
      <c r="B722" s="11" t="s">
        <v>2101</v>
      </c>
      <c r="C722" s="11" t="s">
        <v>2102</v>
      </c>
      <c r="D722" s="11" t="s">
        <v>26</v>
      </c>
      <c r="E722" s="11" t="s">
        <v>589</v>
      </c>
      <c r="F722" s="11" t="s">
        <v>26</v>
      </c>
      <c r="G722" s="11">
        <v>4574</v>
      </c>
      <c r="H722" s="12" t="s">
        <v>4423</v>
      </c>
      <c r="I722" s="12" t="s">
        <v>27</v>
      </c>
      <c r="J722" s="12" t="s">
        <v>33</v>
      </c>
      <c r="K722" s="12" t="s">
        <v>34</v>
      </c>
      <c r="L722" s="13">
        <v>33.619999999999997</v>
      </c>
      <c r="M722" s="13">
        <v>25</v>
      </c>
      <c r="N722" s="13">
        <v>1.3448</v>
      </c>
      <c r="O722" s="13">
        <v>45</v>
      </c>
      <c r="P722" s="13" t="s">
        <v>30</v>
      </c>
      <c r="Q722" s="13">
        <v>0</v>
      </c>
      <c r="R722" s="14">
        <v>1512.8999999999999</v>
      </c>
      <c r="S722" s="15">
        <v>0</v>
      </c>
      <c r="T722" s="15">
        <v>0</v>
      </c>
      <c r="U722" s="15">
        <v>1512.8999999999999</v>
      </c>
      <c r="V722" s="15">
        <v>1512.8999999999999</v>
      </c>
      <c r="W722" s="15">
        <v>0</v>
      </c>
      <c r="X722" s="15">
        <v>0</v>
      </c>
      <c r="Y722" s="16">
        <v>0</v>
      </c>
      <c r="Z722" s="67" t="s">
        <v>26</v>
      </c>
      <c r="AA722" s="12" t="s">
        <v>31</v>
      </c>
    </row>
    <row r="723" spans="1:27" x14ac:dyDescent="0.25">
      <c r="A723" s="10">
        <v>45670</v>
      </c>
      <c r="B723" s="11" t="s">
        <v>2103</v>
      </c>
      <c r="C723" s="11" t="s">
        <v>2104</v>
      </c>
      <c r="D723" s="11" t="s">
        <v>26</v>
      </c>
      <c r="E723" s="11" t="s">
        <v>240</v>
      </c>
      <c r="F723" s="11" t="s">
        <v>26</v>
      </c>
      <c r="G723" s="11" t="s">
        <v>26</v>
      </c>
      <c r="H723" s="12" t="s">
        <v>4422</v>
      </c>
      <c r="I723" s="12" t="s">
        <v>27</v>
      </c>
      <c r="J723" s="12" t="s">
        <v>42</v>
      </c>
      <c r="K723" s="12" t="s">
        <v>43</v>
      </c>
      <c r="L723" s="13">
        <v>44.52</v>
      </c>
      <c r="M723" s="13">
        <v>25</v>
      </c>
      <c r="N723" s="13">
        <v>1.7807999999999999</v>
      </c>
      <c r="O723" s="13">
        <v>83</v>
      </c>
      <c r="P723" s="13" t="s">
        <v>30</v>
      </c>
      <c r="Q723" s="13">
        <v>0</v>
      </c>
      <c r="R723" s="14">
        <v>3695.1600000000003</v>
      </c>
      <c r="S723" s="15">
        <v>38</v>
      </c>
      <c r="T723" s="15">
        <v>1691.7600000000002</v>
      </c>
      <c r="U723" s="15">
        <v>2003.4</v>
      </c>
      <c r="V723" s="15">
        <v>2003.4</v>
      </c>
      <c r="W723" s="15">
        <v>0</v>
      </c>
      <c r="X723" s="15">
        <v>1647.24</v>
      </c>
      <c r="Y723" s="16">
        <v>44.520000000000209</v>
      </c>
      <c r="Z723" s="67" t="s">
        <v>41</v>
      </c>
      <c r="AA723" s="12" t="s">
        <v>78</v>
      </c>
    </row>
    <row r="724" spans="1:27" x14ac:dyDescent="0.25">
      <c r="A724" s="10">
        <v>45670</v>
      </c>
      <c r="B724" s="11" t="s">
        <v>504</v>
      </c>
      <c r="C724" s="11" t="s">
        <v>2105</v>
      </c>
      <c r="D724" s="11" t="s">
        <v>26</v>
      </c>
      <c r="E724" s="11" t="s">
        <v>371</v>
      </c>
      <c r="F724" s="11" t="s">
        <v>26</v>
      </c>
      <c r="G724" s="11" t="s">
        <v>35</v>
      </c>
      <c r="H724" s="12" t="s">
        <v>36</v>
      </c>
      <c r="I724" s="12" t="s">
        <v>55</v>
      </c>
      <c r="J724" s="12" t="s">
        <v>55</v>
      </c>
      <c r="K724" s="12" t="s">
        <v>56</v>
      </c>
      <c r="L724" s="13">
        <v>14.38</v>
      </c>
      <c r="M724" s="13">
        <v>10</v>
      </c>
      <c r="N724" s="13">
        <v>1.4379999999999999</v>
      </c>
      <c r="O724" s="13">
        <v>20</v>
      </c>
      <c r="P724" s="13" t="s">
        <v>30</v>
      </c>
      <c r="Q724" s="13">
        <v>0</v>
      </c>
      <c r="R724" s="15">
        <v>287.60000000000002</v>
      </c>
      <c r="S724" s="15">
        <v>0</v>
      </c>
      <c r="T724" s="15">
        <v>0</v>
      </c>
      <c r="U724" s="15">
        <v>287.60000000000002</v>
      </c>
      <c r="V724" s="15">
        <v>0</v>
      </c>
      <c r="W724" s="15">
        <v>287.60000000000002</v>
      </c>
      <c r="X724" s="15">
        <v>0</v>
      </c>
      <c r="Y724" s="16">
        <v>0</v>
      </c>
      <c r="Z724" s="67" t="s">
        <v>26</v>
      </c>
      <c r="AA724" s="12" t="s">
        <v>31</v>
      </c>
    </row>
    <row r="725" spans="1:27" x14ac:dyDescent="0.25">
      <c r="A725" s="10">
        <v>45670</v>
      </c>
      <c r="B725" s="11" t="s">
        <v>2106</v>
      </c>
      <c r="C725" s="11" t="s">
        <v>2107</v>
      </c>
      <c r="D725" s="11" t="s">
        <v>26</v>
      </c>
      <c r="E725" s="11" t="s">
        <v>54</v>
      </c>
      <c r="F725" s="11" t="s">
        <v>26</v>
      </c>
      <c r="G725" s="11" t="s">
        <v>35</v>
      </c>
      <c r="H725" s="12" t="s">
        <v>36</v>
      </c>
      <c r="I725" s="12" t="s">
        <v>55</v>
      </c>
      <c r="J725" s="12" t="s">
        <v>55</v>
      </c>
      <c r="K725" s="12" t="s">
        <v>56</v>
      </c>
      <c r="L725" s="13">
        <v>35.880000000000003</v>
      </c>
      <c r="M725" s="13">
        <v>25</v>
      </c>
      <c r="N725" s="13">
        <v>1.4352</v>
      </c>
      <c r="O725" s="13">
        <v>20</v>
      </c>
      <c r="P725" s="13" t="s">
        <v>30</v>
      </c>
      <c r="Q725" s="13">
        <v>0</v>
      </c>
      <c r="R725" s="15">
        <v>717.6</v>
      </c>
      <c r="S725" s="15">
        <v>0</v>
      </c>
      <c r="T725" s="15">
        <v>0</v>
      </c>
      <c r="U725" s="15">
        <v>717.6</v>
      </c>
      <c r="V725" s="15">
        <v>0</v>
      </c>
      <c r="W725" s="15">
        <v>717.6</v>
      </c>
      <c r="X725" s="15">
        <v>0</v>
      </c>
      <c r="Y725" s="16">
        <v>0</v>
      </c>
      <c r="Z725" s="67" t="s">
        <v>26</v>
      </c>
      <c r="AA725" s="12" t="s">
        <v>31</v>
      </c>
    </row>
    <row r="726" spans="1:27" x14ac:dyDescent="0.25">
      <c r="A726" s="10">
        <v>45670</v>
      </c>
      <c r="B726" s="11" t="s">
        <v>653</v>
      </c>
      <c r="C726" s="11" t="s">
        <v>2108</v>
      </c>
      <c r="D726" s="11" t="s">
        <v>26</v>
      </c>
      <c r="E726" s="11" t="s">
        <v>2109</v>
      </c>
      <c r="F726" s="11" t="s">
        <v>26</v>
      </c>
      <c r="G726" s="11" t="s">
        <v>26</v>
      </c>
      <c r="H726" s="12" t="s">
        <v>4422</v>
      </c>
      <c r="I726" s="12" t="s">
        <v>27</v>
      </c>
      <c r="J726" s="12" t="s">
        <v>33</v>
      </c>
      <c r="K726" s="12" t="s">
        <v>34</v>
      </c>
      <c r="L726" s="13">
        <v>43.54</v>
      </c>
      <c r="M726" s="13">
        <v>30</v>
      </c>
      <c r="N726" s="13">
        <v>1.4513333333333329</v>
      </c>
      <c r="O726" s="13">
        <v>85</v>
      </c>
      <c r="P726" s="13" t="s">
        <v>30</v>
      </c>
      <c r="Q726" s="13">
        <v>0</v>
      </c>
      <c r="R726" s="15">
        <v>3700.9</v>
      </c>
      <c r="S726" s="15">
        <v>38</v>
      </c>
      <c r="T726" s="15">
        <v>1654.52</v>
      </c>
      <c r="U726" s="15">
        <v>2046.38</v>
      </c>
      <c r="V726" s="15">
        <v>2046.38</v>
      </c>
      <c r="W726" s="15">
        <v>0</v>
      </c>
      <c r="X726" s="15">
        <v>1567.44</v>
      </c>
      <c r="Y726" s="16">
        <v>87.079999999999927</v>
      </c>
      <c r="Z726" s="67" t="s">
        <v>140</v>
      </c>
      <c r="AA726" s="12" t="s">
        <v>78</v>
      </c>
    </row>
    <row r="727" spans="1:27" x14ac:dyDescent="0.25">
      <c r="A727" s="10">
        <v>45670</v>
      </c>
      <c r="B727" s="11" t="s">
        <v>600</v>
      </c>
      <c r="C727" s="11" t="s">
        <v>2110</v>
      </c>
      <c r="D727" s="11" t="s">
        <v>26</v>
      </c>
      <c r="E727" s="11" t="s">
        <v>65</v>
      </c>
      <c r="F727" s="11" t="s">
        <v>26</v>
      </c>
      <c r="G727" s="11">
        <v>1556</v>
      </c>
      <c r="H727" s="12" t="s">
        <v>66</v>
      </c>
      <c r="I727" s="12" t="s">
        <v>37</v>
      </c>
      <c r="J727" s="12" t="s">
        <v>1909</v>
      </c>
      <c r="K727" s="12" t="s">
        <v>82</v>
      </c>
      <c r="L727" s="13">
        <v>40.54</v>
      </c>
      <c r="M727" s="13">
        <v>25</v>
      </c>
      <c r="N727" s="13">
        <v>1.6215999999999999</v>
      </c>
      <c r="O727" s="13" t="s">
        <v>30</v>
      </c>
      <c r="P727" s="13">
        <v>54</v>
      </c>
      <c r="Q727" s="13">
        <v>0</v>
      </c>
      <c r="R727" s="15">
        <v>1350</v>
      </c>
      <c r="S727" s="15">
        <v>0</v>
      </c>
      <c r="T727" s="15">
        <v>0</v>
      </c>
      <c r="U727" s="15">
        <v>1350</v>
      </c>
      <c r="V727" s="15">
        <v>1350</v>
      </c>
      <c r="W727" s="15">
        <v>0</v>
      </c>
      <c r="X727" s="15">
        <v>0</v>
      </c>
      <c r="Y727" s="16">
        <v>0</v>
      </c>
      <c r="Z727" s="67" t="s">
        <v>26</v>
      </c>
      <c r="AA727" s="12" t="s">
        <v>31</v>
      </c>
    </row>
    <row r="728" spans="1:27" x14ac:dyDescent="0.25">
      <c r="A728" s="10">
        <v>45670</v>
      </c>
      <c r="B728" s="11" t="s">
        <v>2111</v>
      </c>
      <c r="C728" s="11" t="s">
        <v>2112</v>
      </c>
      <c r="D728" s="11" t="s">
        <v>26</v>
      </c>
      <c r="E728" s="11" t="s">
        <v>50</v>
      </c>
      <c r="F728" s="11" t="s">
        <v>26</v>
      </c>
      <c r="G728" s="11">
        <v>623</v>
      </c>
      <c r="H728" s="12" t="s">
        <v>163</v>
      </c>
      <c r="I728" s="12" t="s">
        <v>27</v>
      </c>
      <c r="J728" s="12" t="s">
        <v>42</v>
      </c>
      <c r="K728" s="12" t="s">
        <v>43</v>
      </c>
      <c r="L728" s="13">
        <v>44.98</v>
      </c>
      <c r="M728" s="13">
        <v>25</v>
      </c>
      <c r="N728" s="13">
        <v>1.7991999999999999</v>
      </c>
      <c r="O728" s="13" t="s">
        <v>30</v>
      </c>
      <c r="P728" s="13">
        <v>56</v>
      </c>
      <c r="Q728" s="13">
        <v>0</v>
      </c>
      <c r="R728" s="15">
        <v>1400</v>
      </c>
      <c r="S728" s="15">
        <v>0</v>
      </c>
      <c r="T728" s="15">
        <v>0</v>
      </c>
      <c r="U728" s="15">
        <v>1400</v>
      </c>
      <c r="V728" s="15">
        <v>0</v>
      </c>
      <c r="W728" s="15">
        <v>1400</v>
      </c>
      <c r="X728" s="15">
        <v>0</v>
      </c>
      <c r="Y728" s="16">
        <v>0</v>
      </c>
      <c r="Z728" s="67" t="s">
        <v>26</v>
      </c>
      <c r="AA728" s="12" t="s">
        <v>31</v>
      </c>
    </row>
    <row r="729" spans="1:27" x14ac:dyDescent="0.25">
      <c r="A729" s="10">
        <v>45670</v>
      </c>
      <c r="B729" s="11" t="s">
        <v>2113</v>
      </c>
      <c r="C729" s="11" t="s">
        <v>2114</v>
      </c>
      <c r="D729" s="11" t="s">
        <v>26</v>
      </c>
      <c r="E729" s="11" t="s">
        <v>61</v>
      </c>
      <c r="F729" s="11" t="s">
        <v>26</v>
      </c>
      <c r="G729" s="11" t="s">
        <v>35</v>
      </c>
      <c r="H729" s="12" t="s">
        <v>36</v>
      </c>
      <c r="I729" s="12" t="s">
        <v>27</v>
      </c>
      <c r="J729" s="12" t="s">
        <v>33</v>
      </c>
      <c r="K729" s="12" t="s">
        <v>34</v>
      </c>
      <c r="L729" s="13">
        <v>9.6</v>
      </c>
      <c r="M729" s="13">
        <v>6</v>
      </c>
      <c r="N729" s="13">
        <v>1.6</v>
      </c>
      <c r="O729" s="13">
        <v>50</v>
      </c>
      <c r="P729" s="13" t="s">
        <v>30</v>
      </c>
      <c r="Q729" s="13">
        <v>0</v>
      </c>
      <c r="R729" s="15">
        <v>480</v>
      </c>
      <c r="S729" s="15">
        <v>0</v>
      </c>
      <c r="T729" s="15">
        <v>0</v>
      </c>
      <c r="U729" s="15">
        <v>480</v>
      </c>
      <c r="V729" s="15">
        <v>0</v>
      </c>
      <c r="W729" s="15">
        <v>480</v>
      </c>
      <c r="X729" s="15">
        <v>0</v>
      </c>
      <c r="Y729" s="16">
        <v>0</v>
      </c>
      <c r="Z729" s="67" t="s">
        <v>26</v>
      </c>
      <c r="AA729" s="12" t="s">
        <v>31</v>
      </c>
    </row>
    <row r="730" spans="1:27" x14ac:dyDescent="0.25">
      <c r="A730" s="10">
        <v>45670</v>
      </c>
      <c r="B730" s="11" t="s">
        <v>2115</v>
      </c>
      <c r="C730" s="11" t="s">
        <v>2116</v>
      </c>
      <c r="D730" s="11" t="s">
        <v>26</v>
      </c>
      <c r="E730" s="11" t="s">
        <v>1200</v>
      </c>
      <c r="F730" s="11" t="s">
        <v>26</v>
      </c>
      <c r="G730" s="11">
        <v>983</v>
      </c>
      <c r="H730" s="12" t="s">
        <v>163</v>
      </c>
      <c r="I730" s="12" t="s">
        <v>27</v>
      </c>
      <c r="J730" s="12" t="s">
        <v>42</v>
      </c>
      <c r="K730" s="12" t="s">
        <v>43</v>
      </c>
      <c r="L730" s="13">
        <v>42.24</v>
      </c>
      <c r="M730" s="13">
        <v>25</v>
      </c>
      <c r="N730" s="13">
        <v>1.6896</v>
      </c>
      <c r="O730" s="13" t="s">
        <v>30</v>
      </c>
      <c r="P730" s="13">
        <v>56</v>
      </c>
      <c r="Q730" s="13">
        <v>0</v>
      </c>
      <c r="R730" s="14">
        <v>1400</v>
      </c>
      <c r="S730" s="15">
        <v>0</v>
      </c>
      <c r="T730" s="15">
        <v>0</v>
      </c>
      <c r="U730" s="15">
        <v>1400</v>
      </c>
      <c r="V730" s="15">
        <v>0</v>
      </c>
      <c r="W730" s="15">
        <v>1400</v>
      </c>
      <c r="X730" s="15">
        <v>0</v>
      </c>
      <c r="Y730" s="16">
        <v>0</v>
      </c>
      <c r="Z730" s="67" t="s">
        <v>26</v>
      </c>
      <c r="AA730" s="12" t="s">
        <v>31</v>
      </c>
    </row>
    <row r="731" spans="1:27" x14ac:dyDescent="0.25">
      <c r="A731" s="10">
        <v>45670</v>
      </c>
      <c r="B731" s="11" t="s">
        <v>580</v>
      </c>
      <c r="C731" s="11" t="s">
        <v>2117</v>
      </c>
      <c r="D731" s="11" t="s">
        <v>26</v>
      </c>
      <c r="E731" s="11" t="s">
        <v>604</v>
      </c>
      <c r="F731" s="11" t="s">
        <v>26</v>
      </c>
      <c r="G731" s="11">
        <v>644</v>
      </c>
      <c r="H731" s="12" t="s">
        <v>141</v>
      </c>
      <c r="I731" s="12" t="s">
        <v>27</v>
      </c>
      <c r="J731" s="12" t="s">
        <v>33</v>
      </c>
      <c r="K731" s="12" t="s">
        <v>34</v>
      </c>
      <c r="L731" s="13">
        <v>40.64</v>
      </c>
      <c r="M731" s="13">
        <v>28</v>
      </c>
      <c r="N731" s="13">
        <v>1.451428571428572</v>
      </c>
      <c r="O731" s="13">
        <v>40</v>
      </c>
      <c r="P731" s="13" t="s">
        <v>30</v>
      </c>
      <c r="Q731" s="13">
        <v>0</v>
      </c>
      <c r="R731" s="15">
        <v>1625.6</v>
      </c>
      <c r="S731" s="15">
        <v>0</v>
      </c>
      <c r="T731" s="15">
        <v>0</v>
      </c>
      <c r="U731" s="15">
        <v>1625.6</v>
      </c>
      <c r="V731" s="15">
        <v>0</v>
      </c>
      <c r="W731" s="15">
        <v>1625.6</v>
      </c>
      <c r="X731" s="15">
        <v>0</v>
      </c>
      <c r="Y731" s="16">
        <v>0</v>
      </c>
      <c r="Z731" s="67" t="s">
        <v>26</v>
      </c>
      <c r="AA731" s="12" t="s">
        <v>31</v>
      </c>
    </row>
    <row r="732" spans="1:27" x14ac:dyDescent="0.25">
      <c r="A732" s="10">
        <v>45670</v>
      </c>
      <c r="B732" s="11" t="s">
        <v>2118</v>
      </c>
      <c r="C732" s="11" t="s">
        <v>2119</v>
      </c>
      <c r="D732" s="11" t="s">
        <v>26</v>
      </c>
      <c r="E732" s="11" t="s">
        <v>432</v>
      </c>
      <c r="F732" s="11" t="s">
        <v>26</v>
      </c>
      <c r="G732" s="11" t="s">
        <v>35</v>
      </c>
      <c r="H732" s="12" t="s">
        <v>36</v>
      </c>
      <c r="I732" s="12" t="s">
        <v>27</v>
      </c>
      <c r="J732" s="12" t="s">
        <v>28</v>
      </c>
      <c r="K732" s="12" t="s">
        <v>29</v>
      </c>
      <c r="L732" s="13">
        <v>6.52</v>
      </c>
      <c r="M732" s="13">
        <v>4</v>
      </c>
      <c r="N732" s="13">
        <v>1.63</v>
      </c>
      <c r="O732" s="13">
        <v>32</v>
      </c>
      <c r="P732" s="13" t="s">
        <v>30</v>
      </c>
      <c r="Q732" s="13">
        <v>0</v>
      </c>
      <c r="R732" s="14">
        <v>208.64</v>
      </c>
      <c r="S732" s="15">
        <v>0</v>
      </c>
      <c r="T732" s="15">
        <v>0</v>
      </c>
      <c r="U732" s="15">
        <v>208.64</v>
      </c>
      <c r="V732" s="15">
        <v>0</v>
      </c>
      <c r="W732" s="15">
        <v>208.64</v>
      </c>
      <c r="X732" s="15">
        <v>0</v>
      </c>
      <c r="Y732" s="16">
        <v>0</v>
      </c>
      <c r="Z732" s="67" t="s">
        <v>26</v>
      </c>
      <c r="AA732" s="12" t="s">
        <v>31</v>
      </c>
    </row>
    <row r="733" spans="1:27" x14ac:dyDescent="0.25">
      <c r="A733" s="10">
        <v>45670</v>
      </c>
      <c r="B733" s="11" t="s">
        <v>2120</v>
      </c>
      <c r="C733" s="11" t="s">
        <v>2121</v>
      </c>
      <c r="D733" s="11" t="s">
        <v>26</v>
      </c>
      <c r="E733" s="11" t="s">
        <v>180</v>
      </c>
      <c r="F733" s="11" t="s">
        <v>26</v>
      </c>
      <c r="G733" s="11" t="s">
        <v>35</v>
      </c>
      <c r="H733" s="12" t="s">
        <v>36</v>
      </c>
      <c r="I733" s="12" t="s">
        <v>55</v>
      </c>
      <c r="J733" s="12" t="s">
        <v>55</v>
      </c>
      <c r="K733" s="12" t="s">
        <v>56</v>
      </c>
      <c r="L733" s="13">
        <v>14.4</v>
      </c>
      <c r="M733" s="13">
        <v>10</v>
      </c>
      <c r="N733" s="13">
        <v>1.44</v>
      </c>
      <c r="O733" s="13">
        <v>20</v>
      </c>
      <c r="P733" s="13" t="s">
        <v>30</v>
      </c>
      <c r="Q733" s="13">
        <v>0</v>
      </c>
      <c r="R733" s="14">
        <v>288</v>
      </c>
      <c r="S733" s="15">
        <v>0</v>
      </c>
      <c r="T733" s="15">
        <v>0</v>
      </c>
      <c r="U733" s="15">
        <v>288</v>
      </c>
      <c r="V733" s="15">
        <v>0</v>
      </c>
      <c r="W733" s="15">
        <v>288</v>
      </c>
      <c r="X733" s="15">
        <v>0</v>
      </c>
      <c r="Y733" s="16">
        <v>0</v>
      </c>
      <c r="Z733" s="67" t="s">
        <v>26</v>
      </c>
      <c r="AA733" s="12" t="s">
        <v>31</v>
      </c>
    </row>
    <row r="734" spans="1:27" x14ac:dyDescent="0.25">
      <c r="A734" s="10">
        <v>45670</v>
      </c>
      <c r="B734" s="11" t="s">
        <v>2122</v>
      </c>
      <c r="C734" s="11" t="s">
        <v>2123</v>
      </c>
      <c r="D734" s="11" t="s">
        <v>26</v>
      </c>
      <c r="E734" s="11" t="s">
        <v>561</v>
      </c>
      <c r="F734" s="11" t="s">
        <v>26</v>
      </c>
      <c r="G734" s="11">
        <v>111993</v>
      </c>
      <c r="H734" s="12" t="s">
        <v>4446</v>
      </c>
      <c r="I734" s="12" t="s">
        <v>27</v>
      </c>
      <c r="J734" s="12" t="s">
        <v>42</v>
      </c>
      <c r="K734" s="12" t="s">
        <v>43</v>
      </c>
      <c r="L734" s="13">
        <v>38.5</v>
      </c>
      <c r="M734" s="13">
        <v>24</v>
      </c>
      <c r="N734" s="13">
        <v>1.604166666666667</v>
      </c>
      <c r="O734" s="13">
        <v>42</v>
      </c>
      <c r="P734" s="13" t="s">
        <v>30</v>
      </c>
      <c r="Q734" s="13">
        <v>0</v>
      </c>
      <c r="R734" s="14">
        <v>1617</v>
      </c>
      <c r="S734" s="15">
        <v>0</v>
      </c>
      <c r="T734" s="15">
        <v>0</v>
      </c>
      <c r="U734" s="15">
        <v>1617</v>
      </c>
      <c r="V734" s="15">
        <v>1617</v>
      </c>
      <c r="W734" s="15">
        <v>0</v>
      </c>
      <c r="X734" s="15">
        <v>0</v>
      </c>
      <c r="Y734" s="16">
        <v>0</v>
      </c>
      <c r="Z734" s="67" t="s">
        <v>26</v>
      </c>
      <c r="AA734" s="12" t="s">
        <v>31</v>
      </c>
    </row>
    <row r="735" spans="1:27" x14ac:dyDescent="0.25">
      <c r="A735" s="10">
        <v>45670</v>
      </c>
      <c r="B735" s="11" t="s">
        <v>2124</v>
      </c>
      <c r="C735" s="11" t="s">
        <v>2125</v>
      </c>
      <c r="D735" s="11" t="s">
        <v>26</v>
      </c>
      <c r="E735" s="11" t="s">
        <v>2126</v>
      </c>
      <c r="F735" s="11" t="s">
        <v>26</v>
      </c>
      <c r="G735" s="11">
        <v>111986</v>
      </c>
      <c r="H735" s="12" t="s">
        <v>4446</v>
      </c>
      <c r="I735" s="12" t="s">
        <v>27</v>
      </c>
      <c r="J735" s="12" t="s">
        <v>42</v>
      </c>
      <c r="K735" s="12" t="s">
        <v>43</v>
      </c>
      <c r="L735" s="13">
        <v>39.58</v>
      </c>
      <c r="M735" s="13">
        <v>24</v>
      </c>
      <c r="N735" s="13">
        <v>1.6491666666666669</v>
      </c>
      <c r="O735" s="13">
        <v>42</v>
      </c>
      <c r="P735" s="13" t="s">
        <v>30</v>
      </c>
      <c r="Q735" s="13">
        <v>0</v>
      </c>
      <c r="R735" s="14">
        <v>1662.36</v>
      </c>
      <c r="S735" s="15">
        <v>0</v>
      </c>
      <c r="T735" s="15">
        <v>0</v>
      </c>
      <c r="U735" s="15">
        <v>1662.36</v>
      </c>
      <c r="V735" s="15">
        <v>1662.36</v>
      </c>
      <c r="W735" s="15">
        <v>0</v>
      </c>
      <c r="X735" s="15">
        <v>0</v>
      </c>
      <c r="Y735" s="16">
        <v>0</v>
      </c>
      <c r="Z735" s="67" t="s">
        <v>26</v>
      </c>
      <c r="AA735" s="12" t="s">
        <v>31</v>
      </c>
    </row>
    <row r="736" spans="1:27" x14ac:dyDescent="0.25">
      <c r="A736" s="10">
        <v>45670</v>
      </c>
      <c r="B736" s="11" t="s">
        <v>585</v>
      </c>
      <c r="C736" s="11" t="s">
        <v>2127</v>
      </c>
      <c r="D736" s="11" t="s">
        <v>26</v>
      </c>
      <c r="E736" s="11" t="s">
        <v>431</v>
      </c>
      <c r="F736" s="11" t="s">
        <v>26</v>
      </c>
      <c r="G736" s="11" t="s">
        <v>26</v>
      </c>
      <c r="H736" s="12" t="s">
        <v>4422</v>
      </c>
      <c r="I736" s="12" t="s">
        <v>27</v>
      </c>
      <c r="J736" s="12" t="s">
        <v>42</v>
      </c>
      <c r="K736" s="12" t="s">
        <v>43</v>
      </c>
      <c r="L736" s="13">
        <v>41.58</v>
      </c>
      <c r="M736" s="13">
        <v>25</v>
      </c>
      <c r="N736" s="13">
        <v>1.6632</v>
      </c>
      <c r="O736" s="13">
        <v>83</v>
      </c>
      <c r="P736" s="13" t="s">
        <v>30</v>
      </c>
      <c r="Q736" s="13">
        <v>0</v>
      </c>
      <c r="R736" s="15">
        <v>3451.14</v>
      </c>
      <c r="S736" s="15">
        <v>38</v>
      </c>
      <c r="T736" s="15">
        <v>1580.04</v>
      </c>
      <c r="U736" s="15">
        <v>1871.1</v>
      </c>
      <c r="V736" s="15">
        <v>1871.1</v>
      </c>
      <c r="W736" s="15">
        <v>0</v>
      </c>
      <c r="X736" s="15">
        <v>1496.8799999999999</v>
      </c>
      <c r="Y736" s="16">
        <v>83.160000000000082</v>
      </c>
      <c r="Z736" s="67" t="s">
        <v>6328</v>
      </c>
      <c r="AA736" s="12" t="s">
        <v>78</v>
      </c>
    </row>
    <row r="737" spans="1:27" x14ac:dyDescent="0.25">
      <c r="A737" s="10">
        <v>45670</v>
      </c>
      <c r="B737" s="11" t="s">
        <v>598</v>
      </c>
      <c r="C737" s="11" t="s">
        <v>2128</v>
      </c>
      <c r="D737" s="11" t="s">
        <v>26</v>
      </c>
      <c r="E737" s="11" t="s">
        <v>509</v>
      </c>
      <c r="F737" s="11" t="s">
        <v>26</v>
      </c>
      <c r="G737" s="11">
        <v>645</v>
      </c>
      <c r="H737" s="12" t="s">
        <v>141</v>
      </c>
      <c r="I737" s="12" t="s">
        <v>27</v>
      </c>
      <c r="J737" s="12" t="s">
        <v>33</v>
      </c>
      <c r="K737" s="12" t="s">
        <v>34</v>
      </c>
      <c r="L737" s="13">
        <v>43.24</v>
      </c>
      <c r="M737" s="13">
        <v>30</v>
      </c>
      <c r="N737" s="13">
        <v>1.4413333333333329</v>
      </c>
      <c r="O737" s="13">
        <v>40</v>
      </c>
      <c r="P737" s="13" t="s">
        <v>30</v>
      </c>
      <c r="Q737" s="13">
        <v>0</v>
      </c>
      <c r="R737" s="14">
        <v>1729.6000000000001</v>
      </c>
      <c r="S737" s="15">
        <v>0</v>
      </c>
      <c r="T737" s="15">
        <v>0</v>
      </c>
      <c r="U737" s="15">
        <v>1729.6000000000001</v>
      </c>
      <c r="V737" s="15">
        <v>0</v>
      </c>
      <c r="W737" s="15">
        <v>1729.6000000000001</v>
      </c>
      <c r="X737" s="15">
        <v>0</v>
      </c>
      <c r="Y737" s="16">
        <v>0</v>
      </c>
      <c r="Z737" s="67" t="s">
        <v>26</v>
      </c>
      <c r="AA737" s="12" t="s">
        <v>31</v>
      </c>
    </row>
    <row r="738" spans="1:27" x14ac:dyDescent="0.25">
      <c r="A738" s="10">
        <v>45670</v>
      </c>
      <c r="B738" s="11" t="s">
        <v>2129</v>
      </c>
      <c r="C738" s="11" t="s">
        <v>2130</v>
      </c>
      <c r="D738" s="11" t="s">
        <v>26</v>
      </c>
      <c r="E738" s="11" t="s">
        <v>371</v>
      </c>
      <c r="F738" s="11" t="s">
        <v>26</v>
      </c>
      <c r="G738" s="11" t="s">
        <v>35</v>
      </c>
      <c r="H738" s="12" t="s">
        <v>36</v>
      </c>
      <c r="I738" s="12" t="s">
        <v>55</v>
      </c>
      <c r="J738" s="12" t="s">
        <v>55</v>
      </c>
      <c r="K738" s="12" t="s">
        <v>56</v>
      </c>
      <c r="L738" s="13">
        <v>13.32</v>
      </c>
      <c r="M738" s="13">
        <v>10</v>
      </c>
      <c r="N738" s="13">
        <v>1.3320000000000001</v>
      </c>
      <c r="O738" s="13">
        <v>20</v>
      </c>
      <c r="P738" s="13" t="s">
        <v>30</v>
      </c>
      <c r="Q738" s="13">
        <v>0</v>
      </c>
      <c r="R738" s="15">
        <v>266.39999999999998</v>
      </c>
      <c r="S738" s="15">
        <v>0</v>
      </c>
      <c r="T738" s="15">
        <v>0</v>
      </c>
      <c r="U738" s="15">
        <v>266.39999999999998</v>
      </c>
      <c r="V738" s="15">
        <v>0</v>
      </c>
      <c r="W738" s="15">
        <v>266.39999999999998</v>
      </c>
      <c r="X738" s="15">
        <v>0</v>
      </c>
      <c r="Y738" s="16">
        <v>0</v>
      </c>
      <c r="Z738" s="67" t="s">
        <v>26</v>
      </c>
      <c r="AA738" s="12" t="s">
        <v>31</v>
      </c>
    </row>
    <row r="739" spans="1:27" x14ac:dyDescent="0.25">
      <c r="A739" s="10">
        <v>45670</v>
      </c>
      <c r="B739" s="11" t="s">
        <v>2131</v>
      </c>
      <c r="C739" s="11" t="s">
        <v>2132</v>
      </c>
      <c r="D739" s="11" t="s">
        <v>26</v>
      </c>
      <c r="E739" s="11" t="s">
        <v>57</v>
      </c>
      <c r="F739" s="11" t="s">
        <v>26</v>
      </c>
      <c r="G739" s="11" t="s">
        <v>26</v>
      </c>
      <c r="H739" s="12" t="s">
        <v>146</v>
      </c>
      <c r="I739" s="12" t="s">
        <v>27</v>
      </c>
      <c r="J739" s="12" t="s">
        <v>47</v>
      </c>
      <c r="K739" s="12" t="s">
        <v>48</v>
      </c>
      <c r="L739" s="13">
        <v>43.14</v>
      </c>
      <c r="M739" s="13">
        <v>30</v>
      </c>
      <c r="N739" s="13">
        <v>1.4379999999999999</v>
      </c>
      <c r="O739" s="13">
        <v>91</v>
      </c>
      <c r="P739" s="13" t="s">
        <v>30</v>
      </c>
      <c r="Q739" s="13">
        <v>0</v>
      </c>
      <c r="R739" s="14">
        <v>3925.7400000000002</v>
      </c>
      <c r="S739" s="15">
        <v>40</v>
      </c>
      <c r="T739" s="15">
        <v>1725.6</v>
      </c>
      <c r="U739" s="15">
        <v>2200.1400000000003</v>
      </c>
      <c r="V739" s="15">
        <v>2200.1400000000003</v>
      </c>
      <c r="W739" s="15">
        <v>0</v>
      </c>
      <c r="X739" s="15">
        <v>1596.18</v>
      </c>
      <c r="Y739" s="16">
        <v>129.41999999999985</v>
      </c>
      <c r="Z739" s="67" t="s">
        <v>41</v>
      </c>
      <c r="AA739" s="12" t="s">
        <v>79</v>
      </c>
    </row>
    <row r="740" spans="1:27" x14ac:dyDescent="0.25">
      <c r="A740" s="10">
        <v>45670</v>
      </c>
      <c r="B740" s="11" t="s">
        <v>543</v>
      </c>
      <c r="C740" s="11" t="s">
        <v>2133</v>
      </c>
      <c r="D740" s="11" t="s">
        <v>26</v>
      </c>
      <c r="E740" s="11" t="s">
        <v>68</v>
      </c>
      <c r="F740" s="11" t="s">
        <v>26</v>
      </c>
      <c r="G740" s="11">
        <v>1514</v>
      </c>
      <c r="H740" s="12" t="s">
        <v>45</v>
      </c>
      <c r="I740" s="12" t="s">
        <v>27</v>
      </c>
      <c r="J740" s="12" t="s">
        <v>42</v>
      </c>
      <c r="K740" s="12" t="s">
        <v>43</v>
      </c>
      <c r="L740" s="13">
        <v>42.36</v>
      </c>
      <c r="M740" s="13">
        <v>25</v>
      </c>
      <c r="N740" s="13">
        <v>1.6943999999999999</v>
      </c>
      <c r="O740" s="13" t="s">
        <v>30</v>
      </c>
      <c r="P740" s="13">
        <v>62</v>
      </c>
      <c r="Q740" s="13">
        <v>0</v>
      </c>
      <c r="R740" s="14">
        <v>1550</v>
      </c>
      <c r="S740" s="15">
        <v>0</v>
      </c>
      <c r="T740" s="15">
        <v>0</v>
      </c>
      <c r="U740" s="15">
        <v>1550</v>
      </c>
      <c r="V740" s="15">
        <v>0</v>
      </c>
      <c r="W740" s="15">
        <v>1550</v>
      </c>
      <c r="X740" s="15">
        <v>0</v>
      </c>
      <c r="Y740" s="16">
        <v>0</v>
      </c>
      <c r="Z740" s="67" t="s">
        <v>26</v>
      </c>
      <c r="AA740" s="12" t="s">
        <v>31</v>
      </c>
    </row>
    <row r="741" spans="1:27" x14ac:dyDescent="0.25">
      <c r="A741" s="10">
        <v>45670</v>
      </c>
      <c r="B741" s="11" t="s">
        <v>536</v>
      </c>
      <c r="C741" s="11" t="s">
        <v>2134</v>
      </c>
      <c r="D741" s="11" t="s">
        <v>26</v>
      </c>
      <c r="E741" s="11" t="s">
        <v>100</v>
      </c>
      <c r="F741" s="11" t="s">
        <v>26</v>
      </c>
      <c r="G741" s="11">
        <v>21708</v>
      </c>
      <c r="H741" s="12" t="s">
        <v>4448</v>
      </c>
      <c r="I741" s="12" t="s">
        <v>27</v>
      </c>
      <c r="J741" s="12" t="s">
        <v>42</v>
      </c>
      <c r="K741" s="12" t="s">
        <v>43</v>
      </c>
      <c r="L741" s="13">
        <v>42.2</v>
      </c>
      <c r="M741" s="13">
        <v>25</v>
      </c>
      <c r="N741" s="13">
        <v>1.6879999999999999</v>
      </c>
      <c r="O741" s="13">
        <v>42.5</v>
      </c>
      <c r="P741" s="13" t="s">
        <v>30</v>
      </c>
      <c r="Q741" s="13">
        <v>0</v>
      </c>
      <c r="R741" s="14">
        <v>1793.5000000000002</v>
      </c>
      <c r="S741" s="15">
        <v>0</v>
      </c>
      <c r="T741" s="15">
        <v>0</v>
      </c>
      <c r="U741" s="15">
        <v>1793.5000000000002</v>
      </c>
      <c r="V741" s="15">
        <v>1345.1250000000002</v>
      </c>
      <c r="W741" s="15">
        <v>448.375</v>
      </c>
      <c r="X741" s="15">
        <v>0</v>
      </c>
      <c r="Y741" s="16">
        <v>0</v>
      </c>
      <c r="Z741" s="67" t="s">
        <v>26</v>
      </c>
      <c r="AA741" s="12" t="s">
        <v>31</v>
      </c>
    </row>
    <row r="742" spans="1:27" x14ac:dyDescent="0.25">
      <c r="A742" s="10">
        <v>45670</v>
      </c>
      <c r="B742" s="11" t="s">
        <v>2135</v>
      </c>
      <c r="C742" s="11" t="s">
        <v>2136</v>
      </c>
      <c r="D742" s="11" t="s">
        <v>26</v>
      </c>
      <c r="E742" s="11" t="s">
        <v>593</v>
      </c>
      <c r="F742" s="11" t="s">
        <v>26</v>
      </c>
      <c r="G742" s="11">
        <v>59483</v>
      </c>
      <c r="H742" s="12" t="s">
        <v>4423</v>
      </c>
      <c r="I742" s="12" t="s">
        <v>27</v>
      </c>
      <c r="J742" s="12" t="s">
        <v>33</v>
      </c>
      <c r="K742" s="12" t="s">
        <v>34</v>
      </c>
      <c r="L742" s="13">
        <v>34.119999999999997</v>
      </c>
      <c r="M742" s="13">
        <v>25</v>
      </c>
      <c r="N742" s="13">
        <v>1.3648</v>
      </c>
      <c r="O742" s="13">
        <v>45</v>
      </c>
      <c r="P742" s="13" t="s">
        <v>30</v>
      </c>
      <c r="Q742" s="13">
        <v>0</v>
      </c>
      <c r="R742" s="15">
        <v>1535.3999999999999</v>
      </c>
      <c r="S742" s="15">
        <v>0</v>
      </c>
      <c r="T742" s="15">
        <v>0</v>
      </c>
      <c r="U742" s="15">
        <v>1535.3999999999999</v>
      </c>
      <c r="V742" s="15">
        <v>1535.3999999999999</v>
      </c>
      <c r="W742" s="15">
        <v>0</v>
      </c>
      <c r="X742" s="15">
        <v>0</v>
      </c>
      <c r="Y742" s="16">
        <v>0</v>
      </c>
      <c r="Z742" s="67" t="s">
        <v>26</v>
      </c>
      <c r="AA742" s="12" t="s">
        <v>31</v>
      </c>
    </row>
    <row r="743" spans="1:27" x14ac:dyDescent="0.25">
      <c r="A743" s="10">
        <v>45670</v>
      </c>
      <c r="B743" s="11" t="s">
        <v>2137</v>
      </c>
      <c r="C743" s="11" t="s">
        <v>2138</v>
      </c>
      <c r="D743" s="11" t="s">
        <v>26</v>
      </c>
      <c r="E743" s="11" t="s">
        <v>520</v>
      </c>
      <c r="F743" s="11" t="s">
        <v>26</v>
      </c>
      <c r="G743" s="11">
        <v>4368</v>
      </c>
      <c r="H743" s="12" t="s">
        <v>140</v>
      </c>
      <c r="I743" s="12" t="s">
        <v>27</v>
      </c>
      <c r="J743" s="12" t="s">
        <v>42</v>
      </c>
      <c r="K743" s="12" t="s">
        <v>43</v>
      </c>
      <c r="L743" s="13">
        <v>42.36</v>
      </c>
      <c r="M743" s="13">
        <v>25</v>
      </c>
      <c r="N743" s="13">
        <v>1.6943999999999999</v>
      </c>
      <c r="O743" s="13">
        <v>35</v>
      </c>
      <c r="P743" s="13"/>
      <c r="Q743" s="13">
        <v>0</v>
      </c>
      <c r="R743" s="14">
        <v>1482.6</v>
      </c>
      <c r="S743" s="15">
        <v>0</v>
      </c>
      <c r="T743" s="15">
        <v>0</v>
      </c>
      <c r="U743" s="15">
        <v>1482.6</v>
      </c>
      <c r="V743" s="15">
        <v>0</v>
      </c>
      <c r="W743" s="15">
        <v>1482.6</v>
      </c>
      <c r="X743" s="15">
        <v>0</v>
      </c>
      <c r="Y743" s="16">
        <v>0</v>
      </c>
      <c r="Z743" s="67" t="s">
        <v>26</v>
      </c>
      <c r="AA743" s="12" t="s">
        <v>31</v>
      </c>
    </row>
    <row r="744" spans="1:27" x14ac:dyDescent="0.25">
      <c r="A744" s="10">
        <v>45670</v>
      </c>
      <c r="B744" s="11" t="s">
        <v>2139</v>
      </c>
      <c r="C744" s="11" t="s">
        <v>2140</v>
      </c>
      <c r="D744" s="11" t="s">
        <v>26</v>
      </c>
      <c r="E744" s="11" t="s">
        <v>570</v>
      </c>
      <c r="F744" s="11" t="s">
        <v>26</v>
      </c>
      <c r="G744" s="11">
        <v>10320</v>
      </c>
      <c r="H744" s="12" t="s">
        <v>140</v>
      </c>
      <c r="I744" s="12" t="s">
        <v>27</v>
      </c>
      <c r="J744" s="12" t="s">
        <v>33</v>
      </c>
      <c r="K744" s="12" t="s">
        <v>34</v>
      </c>
      <c r="L744" s="13">
        <v>43.96</v>
      </c>
      <c r="M744" s="13">
        <v>30</v>
      </c>
      <c r="N744" s="13">
        <v>1.4653333333333329</v>
      </c>
      <c r="O744" s="13">
        <v>40</v>
      </c>
      <c r="P744" s="13"/>
      <c r="Q744" s="13">
        <v>0</v>
      </c>
      <c r="R744" s="14">
        <v>1758.4</v>
      </c>
      <c r="S744" s="15">
        <v>0</v>
      </c>
      <c r="T744" s="15">
        <v>0</v>
      </c>
      <c r="U744" s="15">
        <v>1758.4</v>
      </c>
      <c r="V744" s="15">
        <v>0</v>
      </c>
      <c r="W744" s="15">
        <v>1758.4</v>
      </c>
      <c r="X744" s="15">
        <v>0</v>
      </c>
      <c r="Y744" s="16">
        <v>0</v>
      </c>
      <c r="Z744" s="67" t="s">
        <v>26</v>
      </c>
      <c r="AA744" s="12" t="s">
        <v>31</v>
      </c>
    </row>
    <row r="745" spans="1:27" x14ac:dyDescent="0.25">
      <c r="A745" s="10">
        <v>45670</v>
      </c>
      <c r="B745" s="11" t="s">
        <v>2141</v>
      </c>
      <c r="C745" s="11" t="s">
        <v>2142</v>
      </c>
      <c r="D745" s="11" t="s">
        <v>26</v>
      </c>
      <c r="E745" s="11" t="s">
        <v>113</v>
      </c>
      <c r="F745" s="11" t="s">
        <v>26</v>
      </c>
      <c r="G745" s="11">
        <v>1</v>
      </c>
      <c r="H745" s="12" t="s">
        <v>6328</v>
      </c>
      <c r="I745" s="12" t="s">
        <v>55</v>
      </c>
      <c r="J745" s="12" t="s">
        <v>55</v>
      </c>
      <c r="K745" s="12" t="s">
        <v>56</v>
      </c>
      <c r="L745" s="13">
        <v>29.08</v>
      </c>
      <c r="M745" s="13">
        <v>20</v>
      </c>
      <c r="N745" s="13">
        <v>1.454</v>
      </c>
      <c r="O745" s="13">
        <v>15</v>
      </c>
      <c r="P745" s="13"/>
      <c r="Q745" s="13">
        <v>0</v>
      </c>
      <c r="R745" s="14">
        <v>436.2</v>
      </c>
      <c r="S745" s="15">
        <v>0</v>
      </c>
      <c r="T745" s="15">
        <v>0</v>
      </c>
      <c r="U745" s="15">
        <v>436.2</v>
      </c>
      <c r="V745" s="15">
        <v>0</v>
      </c>
      <c r="W745" s="15">
        <v>436.2</v>
      </c>
      <c r="X745" s="15">
        <v>0</v>
      </c>
      <c r="Y745" s="16">
        <v>0</v>
      </c>
      <c r="Z745" s="67" t="s">
        <v>26</v>
      </c>
      <c r="AA745" s="12" t="s">
        <v>31</v>
      </c>
    </row>
    <row r="746" spans="1:27" x14ac:dyDescent="0.25">
      <c r="A746" s="10">
        <v>45670</v>
      </c>
      <c r="B746" s="11" t="s">
        <v>2143</v>
      </c>
      <c r="C746" s="11" t="s">
        <v>2144</v>
      </c>
      <c r="D746" s="11" t="s">
        <v>26</v>
      </c>
      <c r="E746" s="11" t="s">
        <v>552</v>
      </c>
      <c r="F746" s="11" t="s">
        <v>26</v>
      </c>
      <c r="G746" s="11">
        <v>69108</v>
      </c>
      <c r="H746" s="12" t="s">
        <v>4423</v>
      </c>
      <c r="I746" s="12" t="s">
        <v>27</v>
      </c>
      <c r="J746" s="12" t="s">
        <v>33</v>
      </c>
      <c r="K746" s="12" t="s">
        <v>34</v>
      </c>
      <c r="L746" s="13">
        <v>33.159999999999997</v>
      </c>
      <c r="M746" s="13">
        <v>25</v>
      </c>
      <c r="N746" s="13">
        <v>1.3264</v>
      </c>
      <c r="O746" s="13">
        <v>45</v>
      </c>
      <c r="P746" s="13" t="s">
        <v>30</v>
      </c>
      <c r="Q746" s="13">
        <v>0</v>
      </c>
      <c r="R746" s="14">
        <v>1492.1999999999998</v>
      </c>
      <c r="S746" s="15">
        <v>0</v>
      </c>
      <c r="T746" s="15">
        <v>0</v>
      </c>
      <c r="U746" s="15">
        <v>1492.1999999999998</v>
      </c>
      <c r="V746" s="15">
        <v>1492.1999999999998</v>
      </c>
      <c r="W746" s="15">
        <v>0</v>
      </c>
      <c r="X746" s="15">
        <v>0</v>
      </c>
      <c r="Y746" s="16">
        <v>0</v>
      </c>
      <c r="Z746" s="67" t="s">
        <v>26</v>
      </c>
      <c r="AA746" s="12" t="s">
        <v>31</v>
      </c>
    </row>
    <row r="747" spans="1:27" x14ac:dyDescent="0.25">
      <c r="A747" s="10">
        <v>45670</v>
      </c>
      <c r="B747" s="11" t="s">
        <v>502</v>
      </c>
      <c r="C747" s="11" t="s">
        <v>2145</v>
      </c>
      <c r="D747" s="11" t="s">
        <v>26</v>
      </c>
      <c r="E747" s="11" t="s">
        <v>98</v>
      </c>
      <c r="F747" s="11" t="s">
        <v>26</v>
      </c>
      <c r="G747" s="11">
        <v>10133</v>
      </c>
      <c r="H747" s="12" t="s">
        <v>140</v>
      </c>
      <c r="I747" s="12" t="s">
        <v>27</v>
      </c>
      <c r="J747" s="12" t="s">
        <v>42</v>
      </c>
      <c r="K747" s="12" t="s">
        <v>43</v>
      </c>
      <c r="L747" s="13">
        <v>42.16</v>
      </c>
      <c r="M747" s="13">
        <v>25</v>
      </c>
      <c r="N747" s="13">
        <v>1.6863999999999999</v>
      </c>
      <c r="O747" s="13">
        <v>35</v>
      </c>
      <c r="P747" s="13"/>
      <c r="Q747" s="13">
        <v>0</v>
      </c>
      <c r="R747" s="15">
        <v>1475.6</v>
      </c>
      <c r="S747" s="15">
        <v>0</v>
      </c>
      <c r="T747" s="15">
        <v>0</v>
      </c>
      <c r="U747" s="15">
        <v>1475.6</v>
      </c>
      <c r="V747" s="15">
        <v>0</v>
      </c>
      <c r="W747" s="15">
        <v>1475.6</v>
      </c>
      <c r="X747" s="15">
        <v>0</v>
      </c>
      <c r="Y747" s="16">
        <v>0</v>
      </c>
      <c r="Z747" s="67" t="s">
        <v>26</v>
      </c>
      <c r="AA747" s="12" t="s">
        <v>31</v>
      </c>
    </row>
    <row r="748" spans="1:27" x14ac:dyDescent="0.25">
      <c r="A748" s="10">
        <v>45670</v>
      </c>
      <c r="B748" s="11" t="s">
        <v>2146</v>
      </c>
      <c r="C748" s="11" t="s">
        <v>2147</v>
      </c>
      <c r="D748" s="11" t="s">
        <v>26</v>
      </c>
      <c r="E748" s="11" t="s">
        <v>658</v>
      </c>
      <c r="F748" s="11" t="s">
        <v>26</v>
      </c>
      <c r="G748" s="11">
        <v>646</v>
      </c>
      <c r="H748" s="12" t="s">
        <v>141</v>
      </c>
      <c r="I748" s="12" t="s">
        <v>27</v>
      </c>
      <c r="J748" s="12" t="s">
        <v>47</v>
      </c>
      <c r="K748" s="12" t="s">
        <v>48</v>
      </c>
      <c r="L748" s="13">
        <v>40.36</v>
      </c>
      <c r="M748" s="13">
        <v>28</v>
      </c>
      <c r="N748" s="13">
        <v>1.4414285714285719</v>
      </c>
      <c r="O748" s="13">
        <v>40</v>
      </c>
      <c r="P748" s="13" t="s">
        <v>30</v>
      </c>
      <c r="Q748" s="13">
        <v>0</v>
      </c>
      <c r="R748" s="15">
        <v>1614.4</v>
      </c>
      <c r="S748" s="15">
        <v>0</v>
      </c>
      <c r="T748" s="15">
        <v>0</v>
      </c>
      <c r="U748" s="15">
        <v>1614.4</v>
      </c>
      <c r="V748" s="15">
        <v>0</v>
      </c>
      <c r="W748" s="15">
        <v>1614.4</v>
      </c>
      <c r="X748" s="15">
        <v>0</v>
      </c>
      <c r="Y748" s="16">
        <v>0</v>
      </c>
      <c r="Z748" s="67" t="s">
        <v>26</v>
      </c>
      <c r="AA748" s="12" t="s">
        <v>31</v>
      </c>
    </row>
    <row r="749" spans="1:27" x14ac:dyDescent="0.25">
      <c r="A749" s="10">
        <v>45670</v>
      </c>
      <c r="B749" s="11" t="s">
        <v>581</v>
      </c>
      <c r="C749" s="11" t="s">
        <v>2148</v>
      </c>
      <c r="D749" s="11" t="s">
        <v>26</v>
      </c>
      <c r="E749" s="11" t="s">
        <v>2109</v>
      </c>
      <c r="F749" s="11" t="s">
        <v>26</v>
      </c>
      <c r="G749" s="11">
        <v>10292</v>
      </c>
      <c r="H749" s="12" t="s">
        <v>140</v>
      </c>
      <c r="I749" s="12" t="s">
        <v>27</v>
      </c>
      <c r="J749" s="12" t="s">
        <v>42</v>
      </c>
      <c r="K749" s="12" t="s">
        <v>43</v>
      </c>
      <c r="L749" s="13">
        <v>42.14</v>
      </c>
      <c r="M749" s="13">
        <v>25</v>
      </c>
      <c r="N749" s="13">
        <v>1.6856</v>
      </c>
      <c r="O749" s="13">
        <v>35</v>
      </c>
      <c r="P749" s="13"/>
      <c r="Q749" s="13">
        <v>0</v>
      </c>
      <c r="R749" s="14">
        <v>1474.9</v>
      </c>
      <c r="S749" s="15">
        <v>0</v>
      </c>
      <c r="T749" s="15">
        <v>0</v>
      </c>
      <c r="U749" s="15">
        <v>1474.9</v>
      </c>
      <c r="V749" s="15">
        <v>0</v>
      </c>
      <c r="W749" s="15">
        <v>1474.9</v>
      </c>
      <c r="X749" s="15">
        <v>0</v>
      </c>
      <c r="Y749" s="16">
        <v>0</v>
      </c>
      <c r="Z749" s="67" t="s">
        <v>26</v>
      </c>
      <c r="AA749" s="12" t="s">
        <v>31</v>
      </c>
    </row>
    <row r="750" spans="1:27" x14ac:dyDescent="0.25">
      <c r="A750" s="10">
        <v>45670</v>
      </c>
      <c r="B750" s="11" t="s">
        <v>2149</v>
      </c>
      <c r="C750" s="11" t="s">
        <v>2150</v>
      </c>
      <c r="D750" s="11" t="s">
        <v>26</v>
      </c>
      <c r="E750" s="11" t="s">
        <v>506</v>
      </c>
      <c r="F750" s="11" t="s">
        <v>26</v>
      </c>
      <c r="G750" s="11">
        <v>1510</v>
      </c>
      <c r="H750" s="12" t="s">
        <v>45</v>
      </c>
      <c r="I750" s="12" t="s">
        <v>27</v>
      </c>
      <c r="J750" s="12" t="s">
        <v>33</v>
      </c>
      <c r="K750" s="12" t="s">
        <v>34</v>
      </c>
      <c r="L750" s="13">
        <v>37.380000000000003</v>
      </c>
      <c r="M750" s="13">
        <v>25</v>
      </c>
      <c r="N750" s="13">
        <v>1.4952000000000001</v>
      </c>
      <c r="O750" s="13" t="s">
        <v>30</v>
      </c>
      <c r="P750" s="13">
        <v>58</v>
      </c>
      <c r="Q750" s="13">
        <v>0</v>
      </c>
      <c r="R750" s="14">
        <v>1450</v>
      </c>
      <c r="S750" s="15">
        <v>0</v>
      </c>
      <c r="T750" s="15">
        <v>0</v>
      </c>
      <c r="U750" s="15">
        <v>1450</v>
      </c>
      <c r="V750" s="15">
        <v>0</v>
      </c>
      <c r="W750" s="15">
        <v>1450</v>
      </c>
      <c r="X750" s="15">
        <v>0</v>
      </c>
      <c r="Y750" s="16">
        <v>0</v>
      </c>
      <c r="Z750" s="67" t="s">
        <v>26</v>
      </c>
      <c r="AA750" s="12" t="s">
        <v>31</v>
      </c>
    </row>
    <row r="751" spans="1:27" x14ac:dyDescent="0.25">
      <c r="A751" s="10">
        <v>45670</v>
      </c>
      <c r="B751" s="11" t="s">
        <v>579</v>
      </c>
      <c r="C751" s="11" t="s">
        <v>2151</v>
      </c>
      <c r="D751" s="11" t="s">
        <v>26</v>
      </c>
      <c r="E751" s="11" t="s">
        <v>180</v>
      </c>
      <c r="F751" s="11" t="s">
        <v>26</v>
      </c>
      <c r="G751" s="11" t="s">
        <v>35</v>
      </c>
      <c r="H751" s="12" t="s">
        <v>36</v>
      </c>
      <c r="I751" s="12" t="s">
        <v>55</v>
      </c>
      <c r="J751" s="12" t="s">
        <v>55</v>
      </c>
      <c r="K751" s="12" t="s">
        <v>56</v>
      </c>
      <c r="L751" s="13">
        <v>14.56</v>
      </c>
      <c r="M751" s="13">
        <v>10</v>
      </c>
      <c r="N751" s="13">
        <v>1.456</v>
      </c>
      <c r="O751" s="13">
        <v>20</v>
      </c>
      <c r="P751" s="13" t="s">
        <v>30</v>
      </c>
      <c r="Q751" s="13">
        <v>0</v>
      </c>
      <c r="R751" s="14">
        <v>291.2</v>
      </c>
      <c r="S751" s="15">
        <v>0</v>
      </c>
      <c r="T751" s="15">
        <v>0</v>
      </c>
      <c r="U751" s="15">
        <v>291.2</v>
      </c>
      <c r="V751" s="15">
        <v>0</v>
      </c>
      <c r="W751" s="15">
        <v>291.2</v>
      </c>
      <c r="X751" s="15">
        <v>0</v>
      </c>
      <c r="Y751" s="16">
        <v>0</v>
      </c>
      <c r="Z751" s="67" t="s">
        <v>26</v>
      </c>
      <c r="AA751" s="12" t="s">
        <v>31</v>
      </c>
    </row>
    <row r="752" spans="1:27" x14ac:dyDescent="0.25">
      <c r="A752" s="10">
        <v>45670</v>
      </c>
      <c r="B752" s="11" t="s">
        <v>2152</v>
      </c>
      <c r="C752" s="11" t="s">
        <v>2153</v>
      </c>
      <c r="D752" s="11" t="s">
        <v>26</v>
      </c>
      <c r="E752" s="11" t="s">
        <v>68</v>
      </c>
      <c r="F752" s="11" t="s">
        <v>26</v>
      </c>
      <c r="G752" s="11">
        <v>1512</v>
      </c>
      <c r="H752" s="12" t="s">
        <v>45</v>
      </c>
      <c r="I752" s="12" t="s">
        <v>27</v>
      </c>
      <c r="J752" s="12" t="s">
        <v>28</v>
      </c>
      <c r="K752" s="12" t="s">
        <v>29</v>
      </c>
      <c r="L752" s="13">
        <v>38.32</v>
      </c>
      <c r="M752" s="13">
        <v>25</v>
      </c>
      <c r="N752" s="13">
        <v>1.5327999999999999</v>
      </c>
      <c r="O752" s="13" t="s">
        <v>30</v>
      </c>
      <c r="P752" s="13">
        <v>40</v>
      </c>
      <c r="Q752" s="13">
        <v>0</v>
      </c>
      <c r="R752" s="14">
        <v>1000</v>
      </c>
      <c r="S752" s="15">
        <v>0</v>
      </c>
      <c r="T752" s="15">
        <v>0</v>
      </c>
      <c r="U752" s="15">
        <v>1000</v>
      </c>
      <c r="V752" s="15">
        <v>0</v>
      </c>
      <c r="W752" s="15">
        <v>1000</v>
      </c>
      <c r="X752" s="15">
        <v>0</v>
      </c>
      <c r="Y752" s="16">
        <v>0</v>
      </c>
      <c r="Z752" s="67" t="s">
        <v>26</v>
      </c>
      <c r="AA752" s="12" t="s">
        <v>31</v>
      </c>
    </row>
    <row r="753" spans="1:27" x14ac:dyDescent="0.25">
      <c r="A753" s="10">
        <v>45670</v>
      </c>
      <c r="B753" s="11" t="s">
        <v>2154</v>
      </c>
      <c r="C753" s="11" t="s">
        <v>2155</v>
      </c>
      <c r="D753" s="11" t="s">
        <v>26</v>
      </c>
      <c r="E753" s="11" t="s">
        <v>371</v>
      </c>
      <c r="F753" s="11" t="s">
        <v>26</v>
      </c>
      <c r="G753" s="11" t="s">
        <v>35</v>
      </c>
      <c r="H753" s="12" t="s">
        <v>36</v>
      </c>
      <c r="I753" s="12" t="s">
        <v>55</v>
      </c>
      <c r="J753" s="12" t="s">
        <v>55</v>
      </c>
      <c r="K753" s="12" t="s">
        <v>56</v>
      </c>
      <c r="L753" s="13">
        <v>13.02</v>
      </c>
      <c r="M753" s="13">
        <v>10</v>
      </c>
      <c r="N753" s="13">
        <v>1.302</v>
      </c>
      <c r="O753" s="13">
        <v>20</v>
      </c>
      <c r="P753" s="13" t="s">
        <v>30</v>
      </c>
      <c r="Q753" s="13">
        <v>0</v>
      </c>
      <c r="R753" s="14">
        <v>260.39999999999998</v>
      </c>
      <c r="S753" s="15">
        <v>0</v>
      </c>
      <c r="T753" s="15">
        <v>0</v>
      </c>
      <c r="U753" s="15">
        <v>260.39999999999998</v>
      </c>
      <c r="V753" s="15">
        <v>0</v>
      </c>
      <c r="W753" s="15">
        <v>260.39999999999998</v>
      </c>
      <c r="X753" s="16">
        <v>0</v>
      </c>
      <c r="Y753" s="16">
        <v>0</v>
      </c>
      <c r="Z753" s="67" t="s">
        <v>26</v>
      </c>
      <c r="AA753" s="12" t="s">
        <v>31</v>
      </c>
    </row>
    <row r="754" spans="1:27" x14ac:dyDescent="0.25">
      <c r="A754" s="10">
        <v>45670</v>
      </c>
      <c r="B754" s="11" t="s">
        <v>601</v>
      </c>
      <c r="C754" s="11" t="s">
        <v>2156</v>
      </c>
      <c r="D754" s="11" t="s">
        <v>26</v>
      </c>
      <c r="E754" s="11" t="s">
        <v>44</v>
      </c>
      <c r="F754" s="11" t="s">
        <v>26</v>
      </c>
      <c r="G754" s="11">
        <v>1557</v>
      </c>
      <c r="H754" s="12" t="s">
        <v>45</v>
      </c>
      <c r="I754" s="12" t="s">
        <v>27</v>
      </c>
      <c r="J754" s="12" t="s">
        <v>33</v>
      </c>
      <c r="K754" s="12" t="s">
        <v>34</v>
      </c>
      <c r="L754" s="13">
        <v>38.1</v>
      </c>
      <c r="M754" s="13">
        <v>25</v>
      </c>
      <c r="N754" s="13">
        <v>1.524</v>
      </c>
      <c r="O754" s="13" t="s">
        <v>30</v>
      </c>
      <c r="P754" s="13">
        <v>58</v>
      </c>
      <c r="Q754" s="13">
        <v>0</v>
      </c>
      <c r="R754" s="14">
        <v>1450</v>
      </c>
      <c r="S754" s="15">
        <v>0</v>
      </c>
      <c r="T754" s="15">
        <v>0</v>
      </c>
      <c r="U754" s="15">
        <v>1450</v>
      </c>
      <c r="V754" s="15">
        <v>0</v>
      </c>
      <c r="W754" s="15">
        <v>1450</v>
      </c>
      <c r="X754" s="15">
        <v>0</v>
      </c>
      <c r="Y754" s="16">
        <v>0</v>
      </c>
      <c r="Z754" s="67" t="s">
        <v>26</v>
      </c>
      <c r="AA754" s="12" t="s">
        <v>31</v>
      </c>
    </row>
    <row r="755" spans="1:27" x14ac:dyDescent="0.25">
      <c r="A755" s="10">
        <v>45670</v>
      </c>
      <c r="B755" s="11" t="s">
        <v>587</v>
      </c>
      <c r="C755" s="11" t="s">
        <v>2157</v>
      </c>
      <c r="D755" s="11" t="s">
        <v>26</v>
      </c>
      <c r="E755" s="11" t="s">
        <v>53</v>
      </c>
      <c r="F755" s="11" t="s">
        <v>26</v>
      </c>
      <c r="G755" s="11" t="s">
        <v>26</v>
      </c>
      <c r="H755" s="12" t="s">
        <v>146</v>
      </c>
      <c r="I755" s="12" t="s">
        <v>27</v>
      </c>
      <c r="J755" s="12" t="s">
        <v>47</v>
      </c>
      <c r="K755" s="12" t="s">
        <v>48</v>
      </c>
      <c r="L755" s="13">
        <v>43.92</v>
      </c>
      <c r="M755" s="13">
        <v>30</v>
      </c>
      <c r="N755" s="13">
        <v>1.464</v>
      </c>
      <c r="O755" s="13">
        <v>91</v>
      </c>
      <c r="P755" s="13" t="s">
        <v>30</v>
      </c>
      <c r="Q755" s="13">
        <v>0</v>
      </c>
      <c r="R755" s="14">
        <v>3996.7200000000003</v>
      </c>
      <c r="S755" s="15">
        <v>40</v>
      </c>
      <c r="T755" s="15">
        <v>1756.8000000000002</v>
      </c>
      <c r="U755" s="15">
        <v>2239.92</v>
      </c>
      <c r="V755" s="15">
        <v>2239.92</v>
      </c>
      <c r="W755" s="15">
        <v>0</v>
      </c>
      <c r="X755" s="15">
        <v>1625.04</v>
      </c>
      <c r="Y755" s="16">
        <v>131.76000000000022</v>
      </c>
      <c r="Z755" s="67" t="s">
        <v>41</v>
      </c>
      <c r="AA755" s="12" t="s">
        <v>79</v>
      </c>
    </row>
    <row r="756" spans="1:27" x14ac:dyDescent="0.25">
      <c r="A756" s="10">
        <v>45670</v>
      </c>
      <c r="B756" s="11" t="s">
        <v>2158</v>
      </c>
      <c r="C756" s="11" t="s">
        <v>2159</v>
      </c>
      <c r="D756" s="11" t="s">
        <v>26</v>
      </c>
      <c r="E756" s="11" t="s">
        <v>50</v>
      </c>
      <c r="F756" s="11" t="s">
        <v>26</v>
      </c>
      <c r="G756" s="11">
        <v>624</v>
      </c>
      <c r="H756" s="12" t="s">
        <v>163</v>
      </c>
      <c r="I756" s="12" t="s">
        <v>27</v>
      </c>
      <c r="J756" s="12" t="s">
        <v>42</v>
      </c>
      <c r="K756" s="12" t="s">
        <v>43</v>
      </c>
      <c r="L756" s="13">
        <v>42.46</v>
      </c>
      <c r="M756" s="13">
        <v>25</v>
      </c>
      <c r="N756" s="13">
        <v>1.6983999999999999</v>
      </c>
      <c r="O756" s="13" t="s">
        <v>30</v>
      </c>
      <c r="P756" s="13">
        <v>56</v>
      </c>
      <c r="Q756" s="13">
        <v>0</v>
      </c>
      <c r="R756" s="14">
        <v>1400</v>
      </c>
      <c r="S756" s="15">
        <v>0</v>
      </c>
      <c r="T756" s="15">
        <v>0</v>
      </c>
      <c r="U756" s="15">
        <v>1400</v>
      </c>
      <c r="V756" s="15">
        <v>0</v>
      </c>
      <c r="W756" s="15">
        <v>1400</v>
      </c>
      <c r="X756" s="15">
        <v>0</v>
      </c>
      <c r="Y756" s="16">
        <v>0</v>
      </c>
      <c r="Z756" s="67" t="s">
        <v>26</v>
      </c>
      <c r="AA756" s="12" t="s">
        <v>31</v>
      </c>
    </row>
    <row r="757" spans="1:27" x14ac:dyDescent="0.25">
      <c r="A757" s="10">
        <v>45670</v>
      </c>
      <c r="B757" s="11" t="s">
        <v>2160</v>
      </c>
      <c r="C757" s="11" t="s">
        <v>2161</v>
      </c>
      <c r="D757" s="11" t="s">
        <v>26</v>
      </c>
      <c r="E757" s="11" t="s">
        <v>49</v>
      </c>
      <c r="F757" s="11" t="s">
        <v>26</v>
      </c>
      <c r="G757" s="11">
        <v>1555</v>
      </c>
      <c r="H757" s="12" t="s">
        <v>45</v>
      </c>
      <c r="I757" s="12" t="s">
        <v>27</v>
      </c>
      <c r="J757" s="12" t="s">
        <v>33</v>
      </c>
      <c r="K757" s="12" t="s">
        <v>34</v>
      </c>
      <c r="L757" s="13">
        <v>37.96</v>
      </c>
      <c r="M757" s="13">
        <v>25</v>
      </c>
      <c r="N757" s="13">
        <v>1.5184</v>
      </c>
      <c r="O757" s="13" t="s">
        <v>30</v>
      </c>
      <c r="P757" s="13">
        <v>58</v>
      </c>
      <c r="Q757" s="13">
        <v>0</v>
      </c>
      <c r="R757" s="15">
        <v>1450</v>
      </c>
      <c r="S757" s="15">
        <v>0</v>
      </c>
      <c r="T757" s="15">
        <v>0</v>
      </c>
      <c r="U757" s="15">
        <v>1450</v>
      </c>
      <c r="V757" s="15">
        <v>0</v>
      </c>
      <c r="W757" s="15">
        <v>1450</v>
      </c>
      <c r="X757" s="15">
        <v>0</v>
      </c>
      <c r="Y757" s="16">
        <v>0</v>
      </c>
      <c r="Z757" s="67" t="s">
        <v>26</v>
      </c>
      <c r="AA757" s="12" t="s">
        <v>31</v>
      </c>
    </row>
    <row r="758" spans="1:27" x14ac:dyDescent="0.25">
      <c r="A758" s="10">
        <v>45670</v>
      </c>
      <c r="B758" s="11" t="s">
        <v>2162</v>
      </c>
      <c r="C758" s="11" t="s">
        <v>2163</v>
      </c>
      <c r="D758" s="11" t="s">
        <v>26</v>
      </c>
      <c r="E758" s="11" t="s">
        <v>40</v>
      </c>
      <c r="F758" s="11" t="s">
        <v>26</v>
      </c>
      <c r="G758" s="11">
        <v>2439</v>
      </c>
      <c r="H758" s="12" t="s">
        <v>41</v>
      </c>
      <c r="I758" s="12" t="s">
        <v>37</v>
      </c>
      <c r="J758" s="12" t="s">
        <v>599</v>
      </c>
      <c r="K758" s="12" t="s">
        <v>82</v>
      </c>
      <c r="L758" s="13">
        <v>37.44</v>
      </c>
      <c r="M758" s="13">
        <v>25</v>
      </c>
      <c r="N758" s="13">
        <v>1.4976</v>
      </c>
      <c r="O758" s="13" t="s">
        <v>30</v>
      </c>
      <c r="P758" s="13">
        <v>43.5</v>
      </c>
      <c r="Q758" s="13">
        <v>0</v>
      </c>
      <c r="R758" s="14">
        <v>1087.5</v>
      </c>
      <c r="S758" s="15">
        <v>0</v>
      </c>
      <c r="T758" s="15">
        <v>0</v>
      </c>
      <c r="U758" s="15">
        <v>1087.5</v>
      </c>
      <c r="V758" s="15">
        <v>0</v>
      </c>
      <c r="W758" s="15">
        <v>1087.5</v>
      </c>
      <c r="X758" s="15">
        <v>0</v>
      </c>
      <c r="Y758" s="16">
        <v>0</v>
      </c>
      <c r="Z758" s="67" t="s">
        <v>26</v>
      </c>
      <c r="AA758" s="12" t="s">
        <v>31</v>
      </c>
    </row>
    <row r="759" spans="1:27" x14ac:dyDescent="0.25">
      <c r="A759" s="10">
        <v>45670</v>
      </c>
      <c r="B759" s="11" t="s">
        <v>2164</v>
      </c>
      <c r="C759" s="11" t="s">
        <v>2165</v>
      </c>
      <c r="D759" s="11" t="s">
        <v>26</v>
      </c>
      <c r="E759" s="11" t="s">
        <v>80</v>
      </c>
      <c r="F759" s="11" t="s">
        <v>26</v>
      </c>
      <c r="G759" s="11">
        <v>10293</v>
      </c>
      <c r="H759" s="12" t="s">
        <v>140</v>
      </c>
      <c r="I759" s="12" t="s">
        <v>27</v>
      </c>
      <c r="J759" s="12" t="s">
        <v>33</v>
      </c>
      <c r="K759" s="12" t="s">
        <v>34</v>
      </c>
      <c r="L759" s="13">
        <v>41.5</v>
      </c>
      <c r="M759" s="13">
        <v>28</v>
      </c>
      <c r="N759" s="13">
        <v>1.482142857142857</v>
      </c>
      <c r="O759" s="13">
        <v>40</v>
      </c>
      <c r="P759" s="13"/>
      <c r="Q759" s="13">
        <v>0</v>
      </c>
      <c r="R759" s="15">
        <v>1660</v>
      </c>
      <c r="S759" s="15">
        <v>0</v>
      </c>
      <c r="T759" s="15">
        <v>0</v>
      </c>
      <c r="U759" s="15">
        <v>1660</v>
      </c>
      <c r="V759" s="15">
        <v>0</v>
      </c>
      <c r="W759" s="15">
        <v>1660</v>
      </c>
      <c r="X759" s="15">
        <v>0</v>
      </c>
      <c r="Y759" s="16">
        <v>0</v>
      </c>
      <c r="Z759" s="67" t="s">
        <v>26</v>
      </c>
      <c r="AA759" s="12" t="s">
        <v>31</v>
      </c>
    </row>
    <row r="760" spans="1:27" x14ac:dyDescent="0.25">
      <c r="A760" s="10">
        <v>45670</v>
      </c>
      <c r="B760" s="11" t="s">
        <v>2166</v>
      </c>
      <c r="C760" s="11" t="s">
        <v>2167</v>
      </c>
      <c r="D760" s="11" t="s">
        <v>26</v>
      </c>
      <c r="E760" s="11" t="s">
        <v>58</v>
      </c>
      <c r="F760" s="11" t="s">
        <v>26</v>
      </c>
      <c r="G760" s="11">
        <v>45604</v>
      </c>
      <c r="H760" s="12" t="s">
        <v>4423</v>
      </c>
      <c r="I760" s="12" t="s">
        <v>27</v>
      </c>
      <c r="J760" s="12" t="s">
        <v>47</v>
      </c>
      <c r="K760" s="12" t="s">
        <v>48</v>
      </c>
      <c r="L760" s="13">
        <v>34.44</v>
      </c>
      <c r="M760" s="13">
        <v>25</v>
      </c>
      <c r="N760" s="13">
        <v>1.3775999999999999</v>
      </c>
      <c r="O760" s="13">
        <v>46</v>
      </c>
      <c r="P760" s="13" t="s">
        <v>30</v>
      </c>
      <c r="Q760" s="13">
        <v>0</v>
      </c>
      <c r="R760" s="14">
        <v>1584.2399999999998</v>
      </c>
      <c r="S760" s="15">
        <v>0</v>
      </c>
      <c r="T760" s="15">
        <v>0</v>
      </c>
      <c r="U760" s="15">
        <v>1584.2399999999998</v>
      </c>
      <c r="V760" s="15">
        <v>1584.2399999999998</v>
      </c>
      <c r="W760" s="15">
        <v>0</v>
      </c>
      <c r="X760" s="15">
        <v>0</v>
      </c>
      <c r="Y760" s="16">
        <v>0</v>
      </c>
      <c r="Z760" s="67" t="s">
        <v>26</v>
      </c>
      <c r="AA760" s="12" t="s">
        <v>31</v>
      </c>
    </row>
    <row r="761" spans="1:27" x14ac:dyDescent="0.25">
      <c r="A761" s="10">
        <v>45670</v>
      </c>
      <c r="B761" s="11" t="s">
        <v>2168</v>
      </c>
      <c r="C761" s="11" t="s">
        <v>2169</v>
      </c>
      <c r="D761" s="11" t="s">
        <v>26</v>
      </c>
      <c r="E761" s="11" t="s">
        <v>431</v>
      </c>
      <c r="F761" s="11" t="s">
        <v>26</v>
      </c>
      <c r="G761" s="11">
        <v>138</v>
      </c>
      <c r="H761" s="12" t="s">
        <v>6328</v>
      </c>
      <c r="I761" s="12" t="s">
        <v>27</v>
      </c>
      <c r="J761" s="12" t="s">
        <v>42</v>
      </c>
      <c r="K761" s="12" t="s">
        <v>43</v>
      </c>
      <c r="L761" s="13">
        <v>40.659999999999997</v>
      </c>
      <c r="M761" s="13">
        <v>25</v>
      </c>
      <c r="N761" s="13">
        <v>1.6264000000000001</v>
      </c>
      <c r="O761" s="13">
        <v>42.5</v>
      </c>
      <c r="P761" s="13"/>
      <c r="Q761" s="13">
        <v>0</v>
      </c>
      <c r="R761" s="15">
        <v>1728.05</v>
      </c>
      <c r="S761" s="15">
        <v>0</v>
      </c>
      <c r="T761" s="15">
        <v>0</v>
      </c>
      <c r="U761" s="15">
        <v>1728.05</v>
      </c>
      <c r="V761" s="15">
        <v>0</v>
      </c>
      <c r="W761" s="15">
        <v>1728.05</v>
      </c>
      <c r="X761" s="15">
        <v>0</v>
      </c>
      <c r="Y761" s="16">
        <v>0</v>
      </c>
      <c r="Z761" s="67" t="s">
        <v>26</v>
      </c>
      <c r="AA761" s="12" t="s">
        <v>31</v>
      </c>
    </row>
    <row r="762" spans="1:27" x14ac:dyDescent="0.25">
      <c r="A762" s="10">
        <v>45670</v>
      </c>
      <c r="B762" s="11" t="s">
        <v>2170</v>
      </c>
      <c r="C762" s="11" t="s">
        <v>2171</v>
      </c>
      <c r="D762" s="11" t="s">
        <v>26</v>
      </c>
      <c r="E762" s="11" t="s">
        <v>501</v>
      </c>
      <c r="F762" s="11" t="s">
        <v>26</v>
      </c>
      <c r="G762" s="11">
        <v>647</v>
      </c>
      <c r="H762" s="12" t="s">
        <v>141</v>
      </c>
      <c r="I762" s="12" t="s">
        <v>27</v>
      </c>
      <c r="J762" s="12" t="s">
        <v>33</v>
      </c>
      <c r="K762" s="12" t="s">
        <v>34</v>
      </c>
      <c r="L762" s="13">
        <v>42.76</v>
      </c>
      <c r="M762" s="13">
        <v>29</v>
      </c>
      <c r="N762" s="13">
        <v>1.4744827586206899</v>
      </c>
      <c r="O762" s="13">
        <v>40</v>
      </c>
      <c r="P762" s="13" t="s">
        <v>30</v>
      </c>
      <c r="Q762" s="13">
        <v>0</v>
      </c>
      <c r="R762" s="14">
        <v>1710.3999999999999</v>
      </c>
      <c r="S762" s="15">
        <v>0</v>
      </c>
      <c r="T762" s="15">
        <v>0</v>
      </c>
      <c r="U762" s="15">
        <v>1710.3999999999999</v>
      </c>
      <c r="V762" s="15">
        <v>0</v>
      </c>
      <c r="W762" s="15">
        <v>1710.3999999999999</v>
      </c>
      <c r="X762" s="15">
        <v>0</v>
      </c>
      <c r="Y762" s="16">
        <v>0</v>
      </c>
      <c r="Z762" s="67" t="s">
        <v>26</v>
      </c>
      <c r="AA762" s="12" t="s">
        <v>31</v>
      </c>
    </row>
    <row r="763" spans="1:27" x14ac:dyDescent="0.25">
      <c r="A763" s="10">
        <v>45670</v>
      </c>
      <c r="B763" s="11" t="s">
        <v>2172</v>
      </c>
      <c r="C763" s="11" t="s">
        <v>2173</v>
      </c>
      <c r="D763" s="11" t="s">
        <v>26</v>
      </c>
      <c r="E763" s="11" t="s">
        <v>69</v>
      </c>
      <c r="F763" s="11" t="s">
        <v>26</v>
      </c>
      <c r="G763" s="11">
        <v>4684</v>
      </c>
      <c r="H763" s="12" t="s">
        <v>70</v>
      </c>
      <c r="I763" s="12" t="s">
        <v>27</v>
      </c>
      <c r="J763" s="12" t="s">
        <v>42</v>
      </c>
      <c r="K763" s="12" t="s">
        <v>43</v>
      </c>
      <c r="L763" s="13">
        <v>44.38</v>
      </c>
      <c r="M763" s="13">
        <v>25</v>
      </c>
      <c r="N763" s="13">
        <v>1.7751999999999999</v>
      </c>
      <c r="O763" s="13" t="s">
        <v>30</v>
      </c>
      <c r="P763" s="13">
        <v>64</v>
      </c>
      <c r="Q763" s="13">
        <v>0</v>
      </c>
      <c r="R763" s="14">
        <v>1600</v>
      </c>
      <c r="S763" s="15">
        <v>0</v>
      </c>
      <c r="T763" s="15">
        <v>0</v>
      </c>
      <c r="U763" s="15">
        <v>1600</v>
      </c>
      <c r="V763" s="15">
        <v>0</v>
      </c>
      <c r="W763" s="15">
        <v>1600</v>
      </c>
      <c r="X763" s="16">
        <v>0</v>
      </c>
      <c r="Y763" s="16">
        <v>0</v>
      </c>
      <c r="Z763" s="67" t="s">
        <v>26</v>
      </c>
      <c r="AA763" s="12" t="s">
        <v>31</v>
      </c>
    </row>
    <row r="764" spans="1:27" x14ac:dyDescent="0.25">
      <c r="A764" s="10">
        <v>45670</v>
      </c>
      <c r="B764" s="11" t="s">
        <v>507</v>
      </c>
      <c r="C764" s="11" t="s">
        <v>2174</v>
      </c>
      <c r="D764" s="11" t="s">
        <v>26</v>
      </c>
      <c r="E764" s="11" t="s">
        <v>57</v>
      </c>
      <c r="F764" s="11" t="s">
        <v>26</v>
      </c>
      <c r="G764" s="11">
        <v>2722</v>
      </c>
      <c r="H764" s="12" t="s">
        <v>41</v>
      </c>
      <c r="I764" s="12" t="s">
        <v>55</v>
      </c>
      <c r="J764" s="12" t="s">
        <v>55</v>
      </c>
      <c r="K764" s="12" t="s">
        <v>56</v>
      </c>
      <c r="L764" s="13">
        <v>39.76</v>
      </c>
      <c r="M764" s="13">
        <v>25</v>
      </c>
      <c r="N764" s="13">
        <v>1.5904</v>
      </c>
      <c r="O764" s="13" t="s">
        <v>30</v>
      </c>
      <c r="P764" s="13">
        <v>24</v>
      </c>
      <c r="Q764" s="13">
        <v>0</v>
      </c>
      <c r="R764" s="15">
        <v>600</v>
      </c>
      <c r="S764" s="15">
        <v>0</v>
      </c>
      <c r="T764" s="15">
        <v>0</v>
      </c>
      <c r="U764" s="15">
        <v>600</v>
      </c>
      <c r="V764" s="15">
        <v>0</v>
      </c>
      <c r="W764" s="15">
        <v>600</v>
      </c>
      <c r="X764" s="15">
        <v>0</v>
      </c>
      <c r="Y764" s="16">
        <v>0</v>
      </c>
      <c r="Z764" s="67" t="s">
        <v>26</v>
      </c>
      <c r="AA764" s="12" t="s">
        <v>31</v>
      </c>
    </row>
    <row r="765" spans="1:27" x14ac:dyDescent="0.25">
      <c r="A765" s="10">
        <v>45670</v>
      </c>
      <c r="B765" s="11" t="s">
        <v>591</v>
      </c>
      <c r="C765" s="11" t="s">
        <v>2175</v>
      </c>
      <c r="D765" s="11" t="s">
        <v>26</v>
      </c>
      <c r="E765" s="11" t="s">
        <v>76</v>
      </c>
      <c r="F765" s="11" t="s">
        <v>26</v>
      </c>
      <c r="G765" s="11">
        <v>2227</v>
      </c>
      <c r="H765" s="12" t="s">
        <v>41</v>
      </c>
      <c r="I765" s="12" t="s">
        <v>37</v>
      </c>
      <c r="J765" s="12" t="s">
        <v>599</v>
      </c>
      <c r="K765" s="12" t="s">
        <v>82</v>
      </c>
      <c r="L765" s="13">
        <v>40.54</v>
      </c>
      <c r="M765" s="13">
        <v>25</v>
      </c>
      <c r="N765" s="13">
        <v>1.6215999999999999</v>
      </c>
      <c r="O765" s="13" t="s">
        <v>30</v>
      </c>
      <c r="P765" s="13">
        <v>43.5</v>
      </c>
      <c r="Q765" s="13">
        <v>0</v>
      </c>
      <c r="R765" s="14">
        <v>1087.5</v>
      </c>
      <c r="S765" s="15">
        <v>0</v>
      </c>
      <c r="T765" s="15">
        <v>0</v>
      </c>
      <c r="U765" s="15">
        <v>1087.5</v>
      </c>
      <c r="V765" s="15">
        <v>0</v>
      </c>
      <c r="W765" s="15">
        <v>1087.5</v>
      </c>
      <c r="X765" s="15">
        <v>0</v>
      </c>
      <c r="Y765" s="16">
        <v>0</v>
      </c>
      <c r="Z765" s="67" t="s">
        <v>26</v>
      </c>
      <c r="AA765" s="12" t="s">
        <v>31</v>
      </c>
    </row>
    <row r="766" spans="1:27" x14ac:dyDescent="0.25">
      <c r="A766" s="10">
        <v>45670</v>
      </c>
      <c r="B766" s="11" t="s">
        <v>2176</v>
      </c>
      <c r="C766" s="11" t="s">
        <v>2177</v>
      </c>
      <c r="D766" s="11" t="s">
        <v>26</v>
      </c>
      <c r="E766" s="11" t="s">
        <v>224</v>
      </c>
      <c r="F766" s="11" t="s">
        <v>26</v>
      </c>
      <c r="G766" s="11">
        <v>57846</v>
      </c>
      <c r="H766" s="12" t="s">
        <v>4423</v>
      </c>
      <c r="I766" s="12" t="s">
        <v>27</v>
      </c>
      <c r="J766" s="12" t="s">
        <v>33</v>
      </c>
      <c r="K766" s="12" t="s">
        <v>34</v>
      </c>
      <c r="L766" s="13">
        <v>35.06</v>
      </c>
      <c r="M766" s="13">
        <v>25</v>
      </c>
      <c r="N766" s="13">
        <v>1.4024000000000001</v>
      </c>
      <c r="O766" s="13">
        <v>45</v>
      </c>
      <c r="P766" s="13" t="s">
        <v>30</v>
      </c>
      <c r="Q766" s="13">
        <v>0</v>
      </c>
      <c r="R766" s="15">
        <v>1577.7</v>
      </c>
      <c r="S766" s="15">
        <v>0</v>
      </c>
      <c r="T766" s="15">
        <v>0</v>
      </c>
      <c r="U766" s="15">
        <v>1577.7</v>
      </c>
      <c r="V766" s="15">
        <v>1577.7</v>
      </c>
      <c r="W766" s="15">
        <v>0</v>
      </c>
      <c r="X766" s="15">
        <v>0</v>
      </c>
      <c r="Y766" s="16">
        <v>0</v>
      </c>
      <c r="Z766" s="67" t="s">
        <v>26</v>
      </c>
      <c r="AA766" s="12" t="s">
        <v>31</v>
      </c>
    </row>
    <row r="767" spans="1:27" x14ac:dyDescent="0.25">
      <c r="A767" s="10">
        <v>45670</v>
      </c>
      <c r="B767" s="11" t="s">
        <v>2178</v>
      </c>
      <c r="C767" s="11" t="s">
        <v>2179</v>
      </c>
      <c r="D767" s="11" t="s">
        <v>26</v>
      </c>
      <c r="E767" s="11" t="s">
        <v>180</v>
      </c>
      <c r="F767" s="11" t="s">
        <v>26</v>
      </c>
      <c r="G767" s="11" t="s">
        <v>35</v>
      </c>
      <c r="H767" s="12" t="s">
        <v>36</v>
      </c>
      <c r="I767" s="12" t="s">
        <v>55</v>
      </c>
      <c r="J767" s="12" t="s">
        <v>55</v>
      </c>
      <c r="K767" s="12" t="s">
        <v>56</v>
      </c>
      <c r="L767" s="13">
        <v>14.58</v>
      </c>
      <c r="M767" s="13">
        <v>10</v>
      </c>
      <c r="N767" s="13">
        <v>1.458</v>
      </c>
      <c r="O767" s="13">
        <v>20</v>
      </c>
      <c r="P767" s="13" t="s">
        <v>30</v>
      </c>
      <c r="Q767" s="13">
        <v>0</v>
      </c>
      <c r="R767" s="14">
        <v>291.60000000000002</v>
      </c>
      <c r="S767" s="15">
        <v>0</v>
      </c>
      <c r="T767" s="15">
        <v>0</v>
      </c>
      <c r="U767" s="15">
        <v>291.60000000000002</v>
      </c>
      <c r="V767" s="15">
        <v>0</v>
      </c>
      <c r="W767" s="15">
        <v>291.60000000000002</v>
      </c>
      <c r="X767" s="15">
        <v>0</v>
      </c>
      <c r="Y767" s="16">
        <v>0</v>
      </c>
      <c r="Z767" s="67" t="s">
        <v>26</v>
      </c>
      <c r="AA767" s="12" t="s">
        <v>31</v>
      </c>
    </row>
    <row r="768" spans="1:27" x14ac:dyDescent="0.25">
      <c r="A768" s="10">
        <v>45670</v>
      </c>
      <c r="B768" s="11" t="s">
        <v>2180</v>
      </c>
      <c r="C768" s="11" t="s">
        <v>2181</v>
      </c>
      <c r="D768" s="11" t="s">
        <v>26</v>
      </c>
      <c r="E768" s="11" t="s">
        <v>486</v>
      </c>
      <c r="F768" s="11" t="s">
        <v>26</v>
      </c>
      <c r="G768" s="11">
        <v>72877</v>
      </c>
      <c r="H768" s="12" t="s">
        <v>4448</v>
      </c>
      <c r="I768" s="12" t="s">
        <v>27</v>
      </c>
      <c r="J768" s="12" t="s">
        <v>42</v>
      </c>
      <c r="K768" s="12" t="s">
        <v>43</v>
      </c>
      <c r="L768" s="13">
        <v>48.48</v>
      </c>
      <c r="M768" s="13">
        <v>30</v>
      </c>
      <c r="N768" s="13">
        <v>1.6160000000000001</v>
      </c>
      <c r="O768" s="13">
        <v>42.5</v>
      </c>
      <c r="P768" s="13" t="s">
        <v>30</v>
      </c>
      <c r="Q768" s="13">
        <v>0</v>
      </c>
      <c r="R768" s="14">
        <v>2060.4</v>
      </c>
      <c r="S768" s="15">
        <v>0</v>
      </c>
      <c r="T768" s="15">
        <v>0</v>
      </c>
      <c r="U768" s="15">
        <v>2060.4</v>
      </c>
      <c r="V768" s="15">
        <v>1545.3000000000002</v>
      </c>
      <c r="W768" s="15">
        <v>515.09999999999991</v>
      </c>
      <c r="X768" s="15">
        <v>0</v>
      </c>
      <c r="Y768" s="16">
        <v>0</v>
      </c>
      <c r="Z768" s="67" t="s">
        <v>26</v>
      </c>
      <c r="AA768" s="12" t="s">
        <v>31</v>
      </c>
    </row>
    <row r="769" spans="1:27" x14ac:dyDescent="0.25">
      <c r="A769" s="10">
        <v>45670</v>
      </c>
      <c r="B769" s="11" t="s">
        <v>2182</v>
      </c>
      <c r="C769" s="11" t="s">
        <v>2183</v>
      </c>
      <c r="D769" s="11" t="s">
        <v>26</v>
      </c>
      <c r="E769" s="11" t="s">
        <v>2184</v>
      </c>
      <c r="F769" s="11" t="s">
        <v>26</v>
      </c>
      <c r="G769" s="11" t="s">
        <v>35</v>
      </c>
      <c r="H769" s="12" t="s">
        <v>36</v>
      </c>
      <c r="I769" s="12" t="s">
        <v>55</v>
      </c>
      <c r="J769" s="12" t="s">
        <v>55</v>
      </c>
      <c r="K769" s="12" t="s">
        <v>56</v>
      </c>
      <c r="L769" s="13">
        <v>14.26</v>
      </c>
      <c r="M769" s="13">
        <v>10</v>
      </c>
      <c r="N769" s="13">
        <v>1.4259999999999999</v>
      </c>
      <c r="O769" s="13">
        <v>20</v>
      </c>
      <c r="P769" s="13" t="s">
        <v>30</v>
      </c>
      <c r="Q769" s="13">
        <v>0</v>
      </c>
      <c r="R769" s="14">
        <v>285.2</v>
      </c>
      <c r="S769" s="15">
        <v>0</v>
      </c>
      <c r="T769" s="15">
        <v>0</v>
      </c>
      <c r="U769" s="15">
        <v>285.2</v>
      </c>
      <c r="V769" s="15">
        <v>0</v>
      </c>
      <c r="W769" s="15">
        <v>285.2</v>
      </c>
      <c r="X769" s="15">
        <v>0</v>
      </c>
      <c r="Y769" s="16">
        <v>0</v>
      </c>
      <c r="Z769" s="67" t="s">
        <v>26</v>
      </c>
      <c r="AA769" s="12" t="s">
        <v>31</v>
      </c>
    </row>
    <row r="770" spans="1:27" x14ac:dyDescent="0.25">
      <c r="A770" s="10">
        <v>45670</v>
      </c>
      <c r="B770" s="11" t="s">
        <v>2185</v>
      </c>
      <c r="C770" s="11" t="s">
        <v>2186</v>
      </c>
      <c r="D770" s="11" t="s">
        <v>26</v>
      </c>
      <c r="E770" s="11" t="s">
        <v>46</v>
      </c>
      <c r="F770" s="11" t="s">
        <v>26</v>
      </c>
      <c r="G770" s="11">
        <v>111960</v>
      </c>
      <c r="H770" s="12" t="s">
        <v>4446</v>
      </c>
      <c r="I770" s="12" t="s">
        <v>27</v>
      </c>
      <c r="J770" s="12" t="s">
        <v>42</v>
      </c>
      <c r="K770" s="12" t="s">
        <v>43</v>
      </c>
      <c r="L770" s="13">
        <v>42.22</v>
      </c>
      <c r="M770" s="13">
        <v>25</v>
      </c>
      <c r="N770" s="13">
        <v>1.6888000000000001</v>
      </c>
      <c r="O770" s="13">
        <v>42</v>
      </c>
      <c r="P770" s="13" t="s">
        <v>30</v>
      </c>
      <c r="Q770" s="13">
        <v>0</v>
      </c>
      <c r="R770" s="15">
        <v>1773.24</v>
      </c>
      <c r="S770" s="15">
        <v>0</v>
      </c>
      <c r="T770" s="15">
        <v>0</v>
      </c>
      <c r="U770" s="15">
        <v>1773.24</v>
      </c>
      <c r="V770" s="15">
        <v>1773.24</v>
      </c>
      <c r="W770" s="15">
        <v>0</v>
      </c>
      <c r="X770" s="15">
        <v>0</v>
      </c>
      <c r="Y770" s="16">
        <v>0</v>
      </c>
      <c r="Z770" s="67" t="s">
        <v>26</v>
      </c>
      <c r="AA770" s="12" t="s">
        <v>31</v>
      </c>
    </row>
    <row r="771" spans="1:27" x14ac:dyDescent="0.25">
      <c r="A771" s="10">
        <v>45670</v>
      </c>
      <c r="B771" s="11" t="s">
        <v>2187</v>
      </c>
      <c r="C771" s="11" t="s">
        <v>2188</v>
      </c>
      <c r="D771" s="11" t="s">
        <v>26</v>
      </c>
      <c r="E771" s="11" t="s">
        <v>371</v>
      </c>
      <c r="F771" s="11" t="s">
        <v>26</v>
      </c>
      <c r="G771" s="11" t="s">
        <v>35</v>
      </c>
      <c r="H771" s="12" t="s">
        <v>36</v>
      </c>
      <c r="I771" s="12" t="s">
        <v>55</v>
      </c>
      <c r="J771" s="12" t="s">
        <v>55</v>
      </c>
      <c r="K771" s="12" t="s">
        <v>56</v>
      </c>
      <c r="L771" s="13">
        <v>13.16</v>
      </c>
      <c r="M771" s="13">
        <v>10</v>
      </c>
      <c r="N771" s="13">
        <v>1.3160000000000001</v>
      </c>
      <c r="O771" s="13">
        <v>20</v>
      </c>
      <c r="P771" s="13" t="s">
        <v>30</v>
      </c>
      <c r="Q771" s="13">
        <v>0</v>
      </c>
      <c r="R771" s="14">
        <v>263.2</v>
      </c>
      <c r="S771" s="15">
        <v>0</v>
      </c>
      <c r="T771" s="15">
        <v>0</v>
      </c>
      <c r="U771" s="15">
        <v>263.2</v>
      </c>
      <c r="V771" s="15">
        <v>0</v>
      </c>
      <c r="W771" s="15">
        <v>263.2</v>
      </c>
      <c r="X771" s="15">
        <v>0</v>
      </c>
      <c r="Y771" s="16">
        <v>0</v>
      </c>
      <c r="Z771" s="67" t="s">
        <v>26</v>
      </c>
      <c r="AA771" s="12" t="s">
        <v>31</v>
      </c>
    </row>
    <row r="772" spans="1:27" x14ac:dyDescent="0.25">
      <c r="A772" s="10">
        <v>45670</v>
      </c>
      <c r="B772" s="11" t="s">
        <v>2189</v>
      </c>
      <c r="C772" s="11" t="s">
        <v>2190</v>
      </c>
      <c r="D772" s="11" t="s">
        <v>26</v>
      </c>
      <c r="E772" s="11" t="s">
        <v>98</v>
      </c>
      <c r="F772" s="11" t="s">
        <v>26</v>
      </c>
      <c r="G772" s="11">
        <v>10134</v>
      </c>
      <c r="H772" s="12" t="s">
        <v>140</v>
      </c>
      <c r="I772" s="12" t="s">
        <v>27</v>
      </c>
      <c r="J772" s="12" t="s">
        <v>42</v>
      </c>
      <c r="K772" s="12" t="s">
        <v>43</v>
      </c>
      <c r="L772" s="13">
        <v>44.6</v>
      </c>
      <c r="M772" s="13">
        <v>25</v>
      </c>
      <c r="N772" s="13">
        <v>1.784</v>
      </c>
      <c r="O772" s="13">
        <v>35</v>
      </c>
      <c r="P772" s="13"/>
      <c r="Q772" s="13">
        <v>0</v>
      </c>
      <c r="R772" s="15">
        <v>1561</v>
      </c>
      <c r="S772" s="15">
        <v>0</v>
      </c>
      <c r="T772" s="15">
        <v>0</v>
      </c>
      <c r="U772" s="15">
        <v>1561</v>
      </c>
      <c r="V772" s="15">
        <v>0</v>
      </c>
      <c r="W772" s="15">
        <v>1561</v>
      </c>
      <c r="X772" s="15">
        <v>0</v>
      </c>
      <c r="Y772" s="16">
        <v>0</v>
      </c>
      <c r="Z772" s="67" t="s">
        <v>26</v>
      </c>
      <c r="AA772" s="12" t="s">
        <v>31</v>
      </c>
    </row>
    <row r="773" spans="1:27" x14ac:dyDescent="0.25">
      <c r="A773" s="10">
        <v>45670</v>
      </c>
      <c r="B773" s="11" t="s">
        <v>2191</v>
      </c>
      <c r="C773" s="11" t="s">
        <v>2192</v>
      </c>
      <c r="D773" s="11" t="s">
        <v>26</v>
      </c>
      <c r="E773" s="11" t="s">
        <v>97</v>
      </c>
      <c r="F773" s="11" t="s">
        <v>26</v>
      </c>
      <c r="G773" s="11">
        <v>5446</v>
      </c>
      <c r="H773" s="12" t="s">
        <v>4447</v>
      </c>
      <c r="I773" s="12" t="s">
        <v>27</v>
      </c>
      <c r="J773" s="12" t="s">
        <v>42</v>
      </c>
      <c r="K773" s="12" t="s">
        <v>43</v>
      </c>
      <c r="L773" s="13">
        <v>21.28</v>
      </c>
      <c r="M773" s="13">
        <v>13</v>
      </c>
      <c r="N773" s="13">
        <v>1.6369230769230769</v>
      </c>
      <c r="O773" s="13" t="s">
        <v>30</v>
      </c>
      <c r="P773" s="13">
        <v>65.599999999999994</v>
      </c>
      <c r="Q773" s="13">
        <v>0</v>
      </c>
      <c r="R773" s="14">
        <v>852.8</v>
      </c>
      <c r="S773" s="15">
        <v>0</v>
      </c>
      <c r="T773" s="15">
        <v>0</v>
      </c>
      <c r="U773" s="15">
        <v>852.8</v>
      </c>
      <c r="V773" s="15">
        <v>852.8</v>
      </c>
      <c r="W773" s="15">
        <v>0</v>
      </c>
      <c r="X773" s="15">
        <v>0</v>
      </c>
      <c r="Y773" s="16">
        <v>0</v>
      </c>
      <c r="Z773" s="67" t="s">
        <v>26</v>
      </c>
      <c r="AA773" s="12" t="s">
        <v>31</v>
      </c>
    </row>
    <row r="774" spans="1:27" x14ac:dyDescent="0.25">
      <c r="A774" s="10">
        <v>45670</v>
      </c>
      <c r="B774" s="11" t="s">
        <v>2193</v>
      </c>
      <c r="C774" s="11" t="s">
        <v>2194</v>
      </c>
      <c r="D774" s="11" t="s">
        <v>26</v>
      </c>
      <c r="E774" s="11" t="s">
        <v>570</v>
      </c>
      <c r="F774" s="11" t="s">
        <v>26</v>
      </c>
      <c r="G774" s="11">
        <v>10321</v>
      </c>
      <c r="H774" s="12" t="s">
        <v>140</v>
      </c>
      <c r="I774" s="12" t="s">
        <v>27</v>
      </c>
      <c r="J774" s="12" t="s">
        <v>42</v>
      </c>
      <c r="K774" s="12" t="s">
        <v>43</v>
      </c>
      <c r="L774" s="13">
        <v>43.48</v>
      </c>
      <c r="M774" s="13">
        <v>25</v>
      </c>
      <c r="N774" s="13">
        <v>1.7392000000000001</v>
      </c>
      <c r="O774" s="13">
        <v>35</v>
      </c>
      <c r="P774" s="13"/>
      <c r="Q774" s="13">
        <v>0</v>
      </c>
      <c r="R774" s="14">
        <v>1521.8</v>
      </c>
      <c r="S774" s="15">
        <v>0</v>
      </c>
      <c r="T774" s="15">
        <v>0</v>
      </c>
      <c r="U774" s="15">
        <v>1521.8</v>
      </c>
      <c r="V774" s="15">
        <v>0</v>
      </c>
      <c r="W774" s="15">
        <v>1521.8</v>
      </c>
      <c r="X774" s="15">
        <v>0</v>
      </c>
      <c r="Y774" s="16">
        <v>0</v>
      </c>
      <c r="Z774" s="67" t="s">
        <v>26</v>
      </c>
      <c r="AA774" s="12" t="s">
        <v>31</v>
      </c>
    </row>
    <row r="775" spans="1:27" x14ac:dyDescent="0.25">
      <c r="A775" s="10">
        <v>45670</v>
      </c>
      <c r="B775" s="11" t="s">
        <v>2195</v>
      </c>
      <c r="C775" s="11" t="s">
        <v>2196</v>
      </c>
      <c r="D775" s="11" t="s">
        <v>26</v>
      </c>
      <c r="E775" s="11" t="s">
        <v>574</v>
      </c>
      <c r="F775" s="11" t="s">
        <v>26</v>
      </c>
      <c r="G775" s="11">
        <v>648</v>
      </c>
      <c r="H775" s="12" t="s">
        <v>141</v>
      </c>
      <c r="I775" s="12" t="s">
        <v>55</v>
      </c>
      <c r="J775" s="12" t="s">
        <v>566</v>
      </c>
      <c r="K775" s="12" t="s">
        <v>550</v>
      </c>
      <c r="L775" s="13">
        <v>40.46</v>
      </c>
      <c r="M775" s="13">
        <v>25</v>
      </c>
      <c r="N775" s="13">
        <v>1.6184000000000001</v>
      </c>
      <c r="O775" s="13">
        <v>25</v>
      </c>
      <c r="P775" s="13" t="s">
        <v>30</v>
      </c>
      <c r="Q775" s="13">
        <v>0</v>
      </c>
      <c r="R775" s="15">
        <v>1011.5</v>
      </c>
      <c r="S775" s="15">
        <v>0</v>
      </c>
      <c r="T775" s="15">
        <v>0</v>
      </c>
      <c r="U775" s="15">
        <v>1011.5</v>
      </c>
      <c r="V775" s="15">
        <v>0</v>
      </c>
      <c r="W775" s="15">
        <v>1011.5</v>
      </c>
      <c r="X775" s="15">
        <v>0</v>
      </c>
      <c r="Y775" s="16">
        <v>0</v>
      </c>
      <c r="Z775" s="67" t="s">
        <v>26</v>
      </c>
      <c r="AA775" s="12" t="s">
        <v>31</v>
      </c>
    </row>
    <row r="776" spans="1:27" x14ac:dyDescent="0.25">
      <c r="A776" s="10">
        <v>45670</v>
      </c>
      <c r="B776" s="11" t="s">
        <v>2197</v>
      </c>
      <c r="C776" s="11" t="s">
        <v>2198</v>
      </c>
      <c r="D776" s="11" t="s">
        <v>26</v>
      </c>
      <c r="E776" s="11" t="s">
        <v>2109</v>
      </c>
      <c r="F776" s="11" t="s">
        <v>26</v>
      </c>
      <c r="G776" s="11">
        <v>10135</v>
      </c>
      <c r="H776" s="12" t="s">
        <v>140</v>
      </c>
      <c r="I776" s="12" t="s">
        <v>27</v>
      </c>
      <c r="J776" s="12" t="s">
        <v>42</v>
      </c>
      <c r="K776" s="12" t="s">
        <v>43</v>
      </c>
      <c r="L776" s="13">
        <v>43.66</v>
      </c>
      <c r="M776" s="13">
        <v>25</v>
      </c>
      <c r="N776" s="13">
        <v>1.7464</v>
      </c>
      <c r="O776" s="13">
        <v>35</v>
      </c>
      <c r="P776" s="13"/>
      <c r="Q776" s="13">
        <v>0</v>
      </c>
      <c r="R776" s="14">
        <v>1528.1</v>
      </c>
      <c r="S776" s="15">
        <v>0</v>
      </c>
      <c r="T776" s="15">
        <v>0</v>
      </c>
      <c r="U776" s="15">
        <v>1528.1</v>
      </c>
      <c r="V776" s="15">
        <v>0</v>
      </c>
      <c r="W776" s="15">
        <v>1528.1</v>
      </c>
      <c r="X776" s="15">
        <v>0</v>
      </c>
      <c r="Y776" s="16">
        <v>0</v>
      </c>
      <c r="Z776" s="67" t="s">
        <v>26</v>
      </c>
      <c r="AA776" s="12" t="s">
        <v>31</v>
      </c>
    </row>
    <row r="777" spans="1:27" x14ac:dyDescent="0.25">
      <c r="A777" s="10">
        <v>45670</v>
      </c>
      <c r="B777" s="11" t="s">
        <v>2199</v>
      </c>
      <c r="C777" s="11" t="s">
        <v>2200</v>
      </c>
      <c r="D777" s="11" t="s">
        <v>26</v>
      </c>
      <c r="E777" s="11" t="s">
        <v>490</v>
      </c>
      <c r="F777" s="11" t="s">
        <v>26</v>
      </c>
      <c r="G777" s="11">
        <v>77540</v>
      </c>
      <c r="H777" s="12" t="s">
        <v>4448</v>
      </c>
      <c r="I777" s="12" t="s">
        <v>27</v>
      </c>
      <c r="J777" s="12" t="s">
        <v>42</v>
      </c>
      <c r="K777" s="12" t="s">
        <v>43</v>
      </c>
      <c r="L777" s="13">
        <v>43.98</v>
      </c>
      <c r="M777" s="13">
        <v>25</v>
      </c>
      <c r="N777" s="13">
        <v>1.7592000000000001</v>
      </c>
      <c r="O777" s="13">
        <v>42.5</v>
      </c>
      <c r="P777" s="13" t="s">
        <v>30</v>
      </c>
      <c r="Q777" s="13">
        <v>0</v>
      </c>
      <c r="R777" s="14">
        <v>1869.1499999999999</v>
      </c>
      <c r="S777" s="15">
        <v>0</v>
      </c>
      <c r="T777" s="15">
        <v>0</v>
      </c>
      <c r="U777" s="15">
        <v>1869.1499999999999</v>
      </c>
      <c r="V777" s="15">
        <v>1401.8625</v>
      </c>
      <c r="W777" s="15">
        <v>467.28749999999991</v>
      </c>
      <c r="X777" s="15">
        <v>0</v>
      </c>
      <c r="Y777" s="16">
        <v>0</v>
      </c>
      <c r="Z777" s="67" t="s">
        <v>26</v>
      </c>
      <c r="AA777" s="12" t="s">
        <v>31</v>
      </c>
    </row>
    <row r="778" spans="1:27" x14ac:dyDescent="0.25">
      <c r="A778" s="10">
        <v>45670</v>
      </c>
      <c r="B778" s="11" t="s">
        <v>2201</v>
      </c>
      <c r="C778" s="11" t="s">
        <v>2202</v>
      </c>
      <c r="D778" s="11" t="s">
        <v>26</v>
      </c>
      <c r="E778" s="11" t="s">
        <v>604</v>
      </c>
      <c r="F778" s="11" t="s">
        <v>26</v>
      </c>
      <c r="G778" s="11">
        <v>649</v>
      </c>
      <c r="H778" s="12" t="s">
        <v>141</v>
      </c>
      <c r="I778" s="12" t="s">
        <v>27</v>
      </c>
      <c r="J778" s="12" t="s">
        <v>47</v>
      </c>
      <c r="K778" s="12" t="s">
        <v>48</v>
      </c>
      <c r="L778" s="13">
        <v>40.08</v>
      </c>
      <c r="M778" s="13">
        <v>28</v>
      </c>
      <c r="N778" s="13">
        <v>1.4314285714285711</v>
      </c>
      <c r="O778" s="13">
        <v>40</v>
      </c>
      <c r="P778" s="13" t="s">
        <v>30</v>
      </c>
      <c r="Q778" s="13">
        <v>0</v>
      </c>
      <c r="R778" s="15">
        <v>1603.1999999999998</v>
      </c>
      <c r="S778" s="15">
        <v>0</v>
      </c>
      <c r="T778" s="15">
        <v>0</v>
      </c>
      <c r="U778" s="15">
        <v>1603.1999999999998</v>
      </c>
      <c r="V778" s="15">
        <v>0</v>
      </c>
      <c r="W778" s="15">
        <v>1603.1999999999998</v>
      </c>
      <c r="X778" s="15">
        <v>0</v>
      </c>
      <c r="Y778" s="16">
        <v>0</v>
      </c>
      <c r="Z778" s="67" t="s">
        <v>26</v>
      </c>
      <c r="AA778" s="12" t="s">
        <v>31</v>
      </c>
    </row>
    <row r="779" spans="1:27" x14ac:dyDescent="0.25">
      <c r="A779" s="10">
        <v>45670</v>
      </c>
      <c r="B779" s="11" t="s">
        <v>2203</v>
      </c>
      <c r="C779" s="11" t="s">
        <v>2204</v>
      </c>
      <c r="D779" s="11" t="s">
        <v>26</v>
      </c>
      <c r="E779" s="11" t="s">
        <v>589</v>
      </c>
      <c r="F779" s="11" t="s">
        <v>26</v>
      </c>
      <c r="G779" s="11">
        <v>4575</v>
      </c>
      <c r="H779" s="12" t="s">
        <v>4423</v>
      </c>
      <c r="I779" s="12" t="s">
        <v>27</v>
      </c>
      <c r="J779" s="12" t="s">
        <v>33</v>
      </c>
      <c r="K779" s="12" t="s">
        <v>34</v>
      </c>
      <c r="L779" s="13">
        <v>35.04</v>
      </c>
      <c r="M779" s="13">
        <v>25</v>
      </c>
      <c r="N779" s="13">
        <v>1.4016</v>
      </c>
      <c r="O779" s="13">
        <v>45</v>
      </c>
      <c r="P779" s="13" t="s">
        <v>30</v>
      </c>
      <c r="Q779" s="13">
        <v>0</v>
      </c>
      <c r="R779" s="14">
        <v>1576.8</v>
      </c>
      <c r="S779" s="15">
        <v>0</v>
      </c>
      <c r="T779" s="15">
        <v>0</v>
      </c>
      <c r="U779" s="15">
        <v>1576.8</v>
      </c>
      <c r="V779" s="15">
        <v>1576.8</v>
      </c>
      <c r="W779" s="15">
        <v>0</v>
      </c>
      <c r="X779" s="15">
        <v>0</v>
      </c>
      <c r="Y779" s="16">
        <v>0</v>
      </c>
      <c r="Z779" s="67" t="s">
        <v>26</v>
      </c>
      <c r="AA779" s="12" t="s">
        <v>31</v>
      </c>
    </row>
    <row r="780" spans="1:27" x14ac:dyDescent="0.25">
      <c r="A780" s="10">
        <v>45670</v>
      </c>
      <c r="B780" s="11" t="s">
        <v>2205</v>
      </c>
      <c r="C780" s="11" t="s">
        <v>2206</v>
      </c>
      <c r="D780" s="11" t="s">
        <v>26</v>
      </c>
      <c r="E780" s="11" t="s">
        <v>53</v>
      </c>
      <c r="F780" s="11" t="s">
        <v>26</v>
      </c>
      <c r="G780" s="11">
        <v>2398</v>
      </c>
      <c r="H780" s="12" t="s">
        <v>41</v>
      </c>
      <c r="I780" s="12" t="s">
        <v>27</v>
      </c>
      <c r="J780" s="12" t="s">
        <v>42</v>
      </c>
      <c r="K780" s="12" t="s">
        <v>43</v>
      </c>
      <c r="L780" s="13">
        <v>43.96</v>
      </c>
      <c r="M780" s="13">
        <v>25</v>
      </c>
      <c r="N780" s="13">
        <v>1.7584</v>
      </c>
      <c r="O780" s="13" t="s">
        <v>30</v>
      </c>
      <c r="P780" s="13">
        <v>64</v>
      </c>
      <c r="Q780" s="13">
        <v>0</v>
      </c>
      <c r="R780" s="14">
        <v>1600</v>
      </c>
      <c r="S780" s="15">
        <v>0</v>
      </c>
      <c r="T780" s="15">
        <v>0</v>
      </c>
      <c r="U780" s="15">
        <v>1600</v>
      </c>
      <c r="V780" s="15">
        <v>0</v>
      </c>
      <c r="W780" s="15">
        <v>1600</v>
      </c>
      <c r="X780" s="15">
        <v>0</v>
      </c>
      <c r="Y780" s="16">
        <v>0</v>
      </c>
      <c r="Z780" s="67" t="s">
        <v>26</v>
      </c>
      <c r="AA780" s="12" t="s">
        <v>31</v>
      </c>
    </row>
    <row r="781" spans="1:27" x14ac:dyDescent="0.25">
      <c r="A781" s="10">
        <v>45670</v>
      </c>
      <c r="B781" s="11" t="s">
        <v>511</v>
      </c>
      <c r="C781" s="11" t="s">
        <v>2207</v>
      </c>
      <c r="D781" s="11" t="s">
        <v>26</v>
      </c>
      <c r="E781" s="11" t="s">
        <v>539</v>
      </c>
      <c r="F781" s="11" t="s">
        <v>26</v>
      </c>
      <c r="G781" s="11">
        <v>3701</v>
      </c>
      <c r="H781" s="12" t="s">
        <v>41</v>
      </c>
      <c r="I781" s="12" t="s">
        <v>55</v>
      </c>
      <c r="J781" s="12" t="s">
        <v>55</v>
      </c>
      <c r="K781" s="12" t="s">
        <v>56</v>
      </c>
      <c r="L781" s="13">
        <v>39.4</v>
      </c>
      <c r="M781" s="13">
        <v>24</v>
      </c>
      <c r="N781" s="13">
        <v>1.6416666666666671</v>
      </c>
      <c r="O781" s="13" t="s">
        <v>30</v>
      </c>
      <c r="P781" s="13">
        <v>24</v>
      </c>
      <c r="Q781" s="13">
        <v>0</v>
      </c>
      <c r="R781" s="15">
        <v>576</v>
      </c>
      <c r="S781" s="15">
        <v>0</v>
      </c>
      <c r="T781" s="15">
        <v>0</v>
      </c>
      <c r="U781" s="15">
        <v>576</v>
      </c>
      <c r="V781" s="15">
        <v>0</v>
      </c>
      <c r="W781" s="15">
        <v>576</v>
      </c>
      <c r="X781" s="15">
        <v>0</v>
      </c>
      <c r="Y781" s="16">
        <v>0</v>
      </c>
      <c r="Z781" s="67" t="s">
        <v>26</v>
      </c>
      <c r="AA781" s="12" t="s">
        <v>31</v>
      </c>
    </row>
    <row r="782" spans="1:27" x14ac:dyDescent="0.25">
      <c r="A782" s="10">
        <v>45670</v>
      </c>
      <c r="B782" s="11" t="s">
        <v>596</v>
      </c>
      <c r="C782" s="11" t="s">
        <v>2208</v>
      </c>
      <c r="D782" s="11" t="s">
        <v>26</v>
      </c>
      <c r="E782" s="11" t="s">
        <v>509</v>
      </c>
      <c r="F782" s="11" t="s">
        <v>26</v>
      </c>
      <c r="G782" s="11">
        <v>650</v>
      </c>
      <c r="H782" s="12" t="s">
        <v>141</v>
      </c>
      <c r="I782" s="12" t="s">
        <v>27</v>
      </c>
      <c r="J782" s="12" t="s">
        <v>33</v>
      </c>
      <c r="K782" s="12" t="s">
        <v>34</v>
      </c>
      <c r="L782" s="13">
        <v>43</v>
      </c>
      <c r="M782" s="13">
        <v>29</v>
      </c>
      <c r="N782" s="13">
        <v>1.482758620689655</v>
      </c>
      <c r="O782" s="13">
        <v>40</v>
      </c>
      <c r="P782" s="13" t="s">
        <v>30</v>
      </c>
      <c r="Q782" s="13">
        <v>0</v>
      </c>
      <c r="R782" s="15">
        <v>1720</v>
      </c>
      <c r="S782" s="15">
        <v>0</v>
      </c>
      <c r="T782" s="15">
        <v>0</v>
      </c>
      <c r="U782" s="15">
        <v>1720</v>
      </c>
      <c r="V782" s="15">
        <v>0</v>
      </c>
      <c r="W782" s="15">
        <v>1720</v>
      </c>
      <c r="X782" s="15">
        <v>0</v>
      </c>
      <c r="Y782" s="16">
        <v>0</v>
      </c>
      <c r="Z782" s="67" t="s">
        <v>26</v>
      </c>
      <c r="AA782" s="12" t="s">
        <v>31</v>
      </c>
    </row>
    <row r="783" spans="1:27" x14ac:dyDescent="0.25">
      <c r="A783" s="10">
        <v>45670</v>
      </c>
      <c r="B783" s="11" t="s">
        <v>500</v>
      </c>
      <c r="C783" s="11" t="s">
        <v>2209</v>
      </c>
      <c r="D783" s="11" t="s">
        <v>26</v>
      </c>
      <c r="E783" s="11" t="s">
        <v>40</v>
      </c>
      <c r="F783" s="11" t="s">
        <v>26</v>
      </c>
      <c r="G783" s="11">
        <v>2441</v>
      </c>
      <c r="H783" s="12" t="s">
        <v>41</v>
      </c>
      <c r="I783" s="12" t="s">
        <v>55</v>
      </c>
      <c r="J783" s="12" t="s">
        <v>55</v>
      </c>
      <c r="K783" s="12" t="s">
        <v>56</v>
      </c>
      <c r="L783" s="13">
        <v>38.08</v>
      </c>
      <c r="M783" s="13">
        <v>23</v>
      </c>
      <c r="N783" s="13">
        <v>1.655652173913043</v>
      </c>
      <c r="O783" s="13" t="s">
        <v>30</v>
      </c>
      <c r="P783" s="13">
        <v>24</v>
      </c>
      <c r="Q783" s="13">
        <v>0</v>
      </c>
      <c r="R783" s="14">
        <v>552</v>
      </c>
      <c r="S783" s="15">
        <v>0</v>
      </c>
      <c r="T783" s="15">
        <v>0</v>
      </c>
      <c r="U783" s="15">
        <v>552</v>
      </c>
      <c r="V783" s="15">
        <v>0</v>
      </c>
      <c r="W783" s="15">
        <v>552</v>
      </c>
      <c r="X783" s="15">
        <v>0</v>
      </c>
      <c r="Y783" s="16">
        <v>0</v>
      </c>
      <c r="Z783" s="67" t="s">
        <v>26</v>
      </c>
      <c r="AA783" s="12" t="s">
        <v>31</v>
      </c>
    </row>
    <row r="784" spans="1:27" x14ac:dyDescent="0.25">
      <c r="A784" s="10">
        <v>45670</v>
      </c>
      <c r="B784" s="11" t="s">
        <v>2210</v>
      </c>
      <c r="C784" s="11" t="s">
        <v>2211</v>
      </c>
      <c r="D784" s="11" t="s">
        <v>26</v>
      </c>
      <c r="E784" s="11" t="s">
        <v>80</v>
      </c>
      <c r="F784" s="11" t="s">
        <v>26</v>
      </c>
      <c r="G784" s="11">
        <v>10294</v>
      </c>
      <c r="H784" s="12" t="s">
        <v>140</v>
      </c>
      <c r="I784" s="12" t="s">
        <v>27</v>
      </c>
      <c r="J784" s="12" t="s">
        <v>42</v>
      </c>
      <c r="K784" s="12" t="s">
        <v>43</v>
      </c>
      <c r="L784" s="13">
        <v>44.52</v>
      </c>
      <c r="M784" s="13">
        <v>25</v>
      </c>
      <c r="N784" s="13">
        <v>1.7807999999999999</v>
      </c>
      <c r="O784" s="13">
        <v>35</v>
      </c>
      <c r="P784" s="13"/>
      <c r="Q784" s="13">
        <v>0</v>
      </c>
      <c r="R784" s="15">
        <v>1558.2</v>
      </c>
      <c r="S784" s="15">
        <v>0</v>
      </c>
      <c r="T784" s="15">
        <v>0</v>
      </c>
      <c r="U784" s="15">
        <v>1558.2</v>
      </c>
      <c r="V784" s="15">
        <v>0</v>
      </c>
      <c r="W784" s="15">
        <v>1558.2</v>
      </c>
      <c r="X784" s="15">
        <v>0</v>
      </c>
      <c r="Y784" s="16">
        <v>0</v>
      </c>
      <c r="Z784" s="67" t="s">
        <v>26</v>
      </c>
      <c r="AA784" s="12" t="s">
        <v>31</v>
      </c>
    </row>
    <row r="785" spans="1:27" x14ac:dyDescent="0.25">
      <c r="A785" s="10">
        <v>45670</v>
      </c>
      <c r="B785" s="11" t="s">
        <v>235</v>
      </c>
      <c r="C785" s="11" t="s">
        <v>2212</v>
      </c>
      <c r="D785" s="11" t="s">
        <v>26</v>
      </c>
      <c r="E785" s="11" t="s">
        <v>1200</v>
      </c>
      <c r="F785" s="11" t="s">
        <v>26</v>
      </c>
      <c r="G785" s="11">
        <v>984</v>
      </c>
      <c r="H785" s="12" t="s">
        <v>163</v>
      </c>
      <c r="I785" s="12" t="s">
        <v>27</v>
      </c>
      <c r="J785" s="12" t="s">
        <v>47</v>
      </c>
      <c r="K785" s="12" t="s">
        <v>48</v>
      </c>
      <c r="L785" s="13">
        <v>38.06</v>
      </c>
      <c r="M785" s="13">
        <v>25</v>
      </c>
      <c r="N785" s="13">
        <v>1.5224</v>
      </c>
      <c r="O785" s="13" t="s">
        <v>30</v>
      </c>
      <c r="P785" s="13">
        <v>58</v>
      </c>
      <c r="Q785" s="13">
        <v>0</v>
      </c>
      <c r="R785" s="14">
        <v>1450</v>
      </c>
      <c r="S785" s="15">
        <v>0</v>
      </c>
      <c r="T785" s="15">
        <v>0</v>
      </c>
      <c r="U785" s="15">
        <v>1450</v>
      </c>
      <c r="V785" s="15">
        <v>0</v>
      </c>
      <c r="W785" s="15">
        <v>1450</v>
      </c>
      <c r="X785" s="15">
        <v>0</v>
      </c>
      <c r="Y785" s="16">
        <v>0</v>
      </c>
      <c r="Z785" s="67" t="s">
        <v>26</v>
      </c>
      <c r="AA785" s="12" t="s">
        <v>31</v>
      </c>
    </row>
    <row r="786" spans="1:27" x14ac:dyDescent="0.25">
      <c r="A786" s="10">
        <v>45670</v>
      </c>
      <c r="B786" s="11" t="s">
        <v>2213</v>
      </c>
      <c r="C786" s="11" t="s">
        <v>2214</v>
      </c>
      <c r="D786" s="11" t="s">
        <v>26</v>
      </c>
      <c r="E786" s="11" t="s">
        <v>658</v>
      </c>
      <c r="F786" s="11" t="s">
        <v>26</v>
      </c>
      <c r="G786" s="11">
        <v>751</v>
      </c>
      <c r="H786" s="12" t="s">
        <v>141</v>
      </c>
      <c r="I786" s="12" t="s">
        <v>27</v>
      </c>
      <c r="J786" s="12" t="s">
        <v>33</v>
      </c>
      <c r="K786" s="12" t="s">
        <v>34</v>
      </c>
      <c r="L786" s="13">
        <v>40.58</v>
      </c>
      <c r="M786" s="13">
        <v>28</v>
      </c>
      <c r="N786" s="13">
        <v>1.4492857142857141</v>
      </c>
      <c r="O786" s="13">
        <v>40</v>
      </c>
      <c r="P786" s="13" t="s">
        <v>30</v>
      </c>
      <c r="Q786" s="13">
        <v>0</v>
      </c>
      <c r="R786" s="15">
        <v>1623.1999999999998</v>
      </c>
      <c r="S786" s="15">
        <v>0</v>
      </c>
      <c r="T786" s="15">
        <v>0</v>
      </c>
      <c r="U786" s="15">
        <v>1623.1999999999998</v>
      </c>
      <c r="V786" s="15">
        <v>0</v>
      </c>
      <c r="W786" s="15">
        <v>1623.1999999999998</v>
      </c>
      <c r="X786" s="15">
        <v>0</v>
      </c>
      <c r="Y786" s="16">
        <v>0</v>
      </c>
      <c r="Z786" s="67" t="s">
        <v>26</v>
      </c>
      <c r="AA786" s="12" t="s">
        <v>31</v>
      </c>
    </row>
    <row r="787" spans="1:27" x14ac:dyDescent="0.25">
      <c r="A787" s="10">
        <v>45670</v>
      </c>
      <c r="B787" s="11" t="s">
        <v>2215</v>
      </c>
      <c r="C787" s="11" t="s">
        <v>2216</v>
      </c>
      <c r="D787" s="11" t="s">
        <v>26</v>
      </c>
      <c r="E787" s="11" t="s">
        <v>246</v>
      </c>
      <c r="F787" s="11" t="s">
        <v>26</v>
      </c>
      <c r="G787" s="11">
        <v>2045</v>
      </c>
      <c r="H787" s="12" t="s">
        <v>41</v>
      </c>
      <c r="I787" s="12" t="s">
        <v>55</v>
      </c>
      <c r="J787" s="12" t="s">
        <v>55</v>
      </c>
      <c r="K787" s="12" t="s">
        <v>56</v>
      </c>
      <c r="L787" s="13">
        <v>40.299999999999997</v>
      </c>
      <c r="M787" s="13">
        <v>25</v>
      </c>
      <c r="N787" s="13">
        <v>1.6120000000000001</v>
      </c>
      <c r="O787" s="13" t="s">
        <v>30</v>
      </c>
      <c r="P787" s="13">
        <v>24</v>
      </c>
      <c r="Q787" s="13">
        <v>0</v>
      </c>
      <c r="R787" s="14">
        <v>600</v>
      </c>
      <c r="S787" s="15">
        <v>0</v>
      </c>
      <c r="T787" s="15">
        <v>0</v>
      </c>
      <c r="U787" s="15">
        <v>600</v>
      </c>
      <c r="V787" s="15">
        <v>0</v>
      </c>
      <c r="W787" s="15">
        <v>600</v>
      </c>
      <c r="X787" s="15">
        <v>0</v>
      </c>
      <c r="Y787" s="16">
        <v>0</v>
      </c>
      <c r="Z787" s="67" t="s">
        <v>26</v>
      </c>
      <c r="AA787" s="12" t="s">
        <v>31</v>
      </c>
    </row>
    <row r="788" spans="1:27" x14ac:dyDescent="0.25">
      <c r="A788" s="10">
        <v>45670</v>
      </c>
      <c r="B788" s="11" t="s">
        <v>2217</v>
      </c>
      <c r="C788" s="11" t="s">
        <v>2218</v>
      </c>
      <c r="D788" s="11" t="s">
        <v>26</v>
      </c>
      <c r="E788" s="11" t="s">
        <v>552</v>
      </c>
      <c r="F788" s="11" t="s">
        <v>26</v>
      </c>
      <c r="G788" s="11">
        <v>69109</v>
      </c>
      <c r="H788" s="12" t="s">
        <v>4423</v>
      </c>
      <c r="I788" s="12" t="s">
        <v>27</v>
      </c>
      <c r="J788" s="12" t="s">
        <v>33</v>
      </c>
      <c r="K788" s="12" t="s">
        <v>34</v>
      </c>
      <c r="L788" s="13">
        <v>33.72</v>
      </c>
      <c r="M788" s="13">
        <v>24</v>
      </c>
      <c r="N788" s="13">
        <v>1.405</v>
      </c>
      <c r="O788" s="13">
        <v>45</v>
      </c>
      <c r="P788" s="13" t="s">
        <v>30</v>
      </c>
      <c r="Q788" s="13">
        <v>0</v>
      </c>
      <c r="R788" s="14">
        <v>1517.3999999999999</v>
      </c>
      <c r="S788" s="15">
        <v>0</v>
      </c>
      <c r="T788" s="15">
        <v>0</v>
      </c>
      <c r="U788" s="15">
        <v>1517.3999999999999</v>
      </c>
      <c r="V788" s="15">
        <v>1517.3999999999999</v>
      </c>
      <c r="W788" s="15">
        <v>0</v>
      </c>
      <c r="X788" s="16">
        <v>0</v>
      </c>
      <c r="Y788" s="16">
        <v>0</v>
      </c>
      <c r="Z788" s="67" t="s">
        <v>26</v>
      </c>
      <c r="AA788" s="12" t="s">
        <v>31</v>
      </c>
    </row>
    <row r="789" spans="1:27" x14ac:dyDescent="0.25">
      <c r="A789" s="10">
        <v>45670</v>
      </c>
      <c r="B789" s="11" t="s">
        <v>491</v>
      </c>
      <c r="C789" s="11" t="s">
        <v>2219</v>
      </c>
      <c r="D789" s="11" t="s">
        <v>26</v>
      </c>
      <c r="E789" s="11" t="s">
        <v>76</v>
      </c>
      <c r="F789" s="11" t="s">
        <v>26</v>
      </c>
      <c r="G789" s="11">
        <v>2230</v>
      </c>
      <c r="H789" s="12" t="s">
        <v>41</v>
      </c>
      <c r="I789" s="12" t="s">
        <v>27</v>
      </c>
      <c r="J789" s="12" t="s">
        <v>28</v>
      </c>
      <c r="K789" s="12" t="s">
        <v>29</v>
      </c>
      <c r="L789" s="13">
        <v>37.4</v>
      </c>
      <c r="M789" s="13">
        <v>25</v>
      </c>
      <c r="N789" s="13">
        <v>1.496</v>
      </c>
      <c r="O789" s="13" t="s">
        <v>30</v>
      </c>
      <c r="P789" s="13">
        <v>40.5</v>
      </c>
      <c r="Q789" s="13">
        <v>0</v>
      </c>
      <c r="R789" s="14">
        <v>1012.5</v>
      </c>
      <c r="S789" s="15">
        <v>0</v>
      </c>
      <c r="T789" s="15">
        <v>0</v>
      </c>
      <c r="U789" s="15">
        <v>1012.5</v>
      </c>
      <c r="V789" s="15">
        <v>0</v>
      </c>
      <c r="W789" s="15">
        <v>1012.5</v>
      </c>
      <c r="X789" s="15">
        <v>0</v>
      </c>
      <c r="Y789" s="16">
        <v>0</v>
      </c>
      <c r="Z789" s="67" t="s">
        <v>26</v>
      </c>
      <c r="AA789" s="12" t="s">
        <v>31</v>
      </c>
    </row>
    <row r="790" spans="1:27" x14ac:dyDescent="0.25">
      <c r="A790" s="10">
        <v>45670</v>
      </c>
      <c r="B790" s="11" t="s">
        <v>2220</v>
      </c>
      <c r="C790" s="11" t="s">
        <v>2221</v>
      </c>
      <c r="D790" s="11" t="s">
        <v>26</v>
      </c>
      <c r="E790" s="11" t="s">
        <v>57</v>
      </c>
      <c r="F790" s="11" t="s">
        <v>26</v>
      </c>
      <c r="G790" s="11">
        <v>2724</v>
      </c>
      <c r="H790" s="12" t="s">
        <v>41</v>
      </c>
      <c r="I790" s="12" t="s">
        <v>27</v>
      </c>
      <c r="J790" s="12" t="s">
        <v>47</v>
      </c>
      <c r="K790" s="12" t="s">
        <v>48</v>
      </c>
      <c r="L790" s="13">
        <v>36.840000000000003</v>
      </c>
      <c r="M790" s="13">
        <v>25</v>
      </c>
      <c r="N790" s="13">
        <v>1.4736</v>
      </c>
      <c r="O790" s="13" t="s">
        <v>30</v>
      </c>
      <c r="P790" s="13">
        <v>60</v>
      </c>
      <c r="Q790" s="13">
        <v>0</v>
      </c>
      <c r="R790" s="14">
        <v>1500</v>
      </c>
      <c r="S790" s="15">
        <v>0</v>
      </c>
      <c r="T790" s="15">
        <v>0</v>
      </c>
      <c r="U790" s="15">
        <v>1500</v>
      </c>
      <c r="V790" s="15">
        <v>0</v>
      </c>
      <c r="W790" s="15">
        <v>1500</v>
      </c>
      <c r="X790" s="16">
        <v>0</v>
      </c>
      <c r="Y790" s="16">
        <v>0</v>
      </c>
      <c r="Z790" s="67" t="s">
        <v>26</v>
      </c>
      <c r="AA790" s="12" t="s">
        <v>31</v>
      </c>
    </row>
    <row r="791" spans="1:27" x14ac:dyDescent="0.25">
      <c r="A791" s="10">
        <v>45670</v>
      </c>
      <c r="B791" s="11" t="s">
        <v>583</v>
      </c>
      <c r="C791" s="11" t="s">
        <v>2222</v>
      </c>
      <c r="D791" s="11" t="s">
        <v>26</v>
      </c>
      <c r="E791" s="11" t="s">
        <v>325</v>
      </c>
      <c r="F791" s="11" t="s">
        <v>26</v>
      </c>
      <c r="G791" s="11" t="s">
        <v>35</v>
      </c>
      <c r="H791" s="12" t="s">
        <v>36</v>
      </c>
      <c r="I791" s="12" t="s">
        <v>27</v>
      </c>
      <c r="J791" s="12" t="s">
        <v>42</v>
      </c>
      <c r="K791" s="12" t="s">
        <v>43</v>
      </c>
      <c r="L791" s="13">
        <v>8</v>
      </c>
      <c r="M791" s="13">
        <v>5</v>
      </c>
      <c r="N791" s="13">
        <v>1.6</v>
      </c>
      <c r="O791" s="13">
        <v>45</v>
      </c>
      <c r="P791" s="13" t="s">
        <v>30</v>
      </c>
      <c r="Q791" s="13">
        <v>0</v>
      </c>
      <c r="R791" s="15">
        <v>360</v>
      </c>
      <c r="S791" s="15">
        <v>0</v>
      </c>
      <c r="T791" s="15">
        <v>0</v>
      </c>
      <c r="U791" s="15">
        <v>360</v>
      </c>
      <c r="V791" s="15">
        <v>0</v>
      </c>
      <c r="W791" s="15">
        <v>360</v>
      </c>
      <c r="X791" s="15">
        <v>0</v>
      </c>
      <c r="Y791" s="16">
        <v>0</v>
      </c>
      <c r="Z791" s="67" t="s">
        <v>26</v>
      </c>
      <c r="AA791" s="12" t="s">
        <v>31</v>
      </c>
    </row>
    <row r="792" spans="1:27" x14ac:dyDescent="0.25">
      <c r="A792" s="10">
        <v>45670</v>
      </c>
      <c r="B792" s="11" t="s">
        <v>602</v>
      </c>
      <c r="C792" s="11" t="s">
        <v>2223</v>
      </c>
      <c r="D792" s="11" t="s">
        <v>26</v>
      </c>
      <c r="E792" s="11" t="s">
        <v>50</v>
      </c>
      <c r="F792" s="11" t="s">
        <v>26</v>
      </c>
      <c r="G792" s="11">
        <v>625</v>
      </c>
      <c r="H792" s="12" t="s">
        <v>163</v>
      </c>
      <c r="I792" s="12" t="s">
        <v>27</v>
      </c>
      <c r="J792" s="12" t="s">
        <v>33</v>
      </c>
      <c r="K792" s="12" t="s">
        <v>34</v>
      </c>
      <c r="L792" s="13">
        <v>38.18</v>
      </c>
      <c r="M792" s="13">
        <v>25</v>
      </c>
      <c r="N792" s="13">
        <v>1.5271999999999999</v>
      </c>
      <c r="O792" s="13" t="s">
        <v>30</v>
      </c>
      <c r="P792" s="13">
        <v>58</v>
      </c>
      <c r="Q792" s="13">
        <v>0</v>
      </c>
      <c r="R792" s="15">
        <v>1450</v>
      </c>
      <c r="S792" s="15">
        <v>0</v>
      </c>
      <c r="T792" s="15">
        <v>0</v>
      </c>
      <c r="U792" s="15">
        <v>1450</v>
      </c>
      <c r="V792" s="15">
        <v>0</v>
      </c>
      <c r="W792" s="15">
        <v>1450</v>
      </c>
      <c r="X792" s="15">
        <v>0</v>
      </c>
      <c r="Y792" s="16">
        <v>0</v>
      </c>
      <c r="Z792" s="67" t="s">
        <v>26</v>
      </c>
      <c r="AA792" s="12" t="s">
        <v>31</v>
      </c>
    </row>
    <row r="793" spans="1:27" x14ac:dyDescent="0.25">
      <c r="A793" s="10">
        <v>45671</v>
      </c>
      <c r="B793" s="11" t="s">
        <v>133</v>
      </c>
      <c r="C793" s="11" t="s">
        <v>2224</v>
      </c>
      <c r="D793" s="11" t="s">
        <v>26</v>
      </c>
      <c r="E793" s="11" t="s">
        <v>100</v>
      </c>
      <c r="F793" s="11" t="s">
        <v>26</v>
      </c>
      <c r="G793" s="11">
        <v>21710</v>
      </c>
      <c r="H793" s="12" t="s">
        <v>4448</v>
      </c>
      <c r="I793" s="12" t="s">
        <v>27</v>
      </c>
      <c r="J793" s="12" t="s">
        <v>47</v>
      </c>
      <c r="K793" s="12" t="s">
        <v>48</v>
      </c>
      <c r="L793" s="13">
        <v>37.200000000000003</v>
      </c>
      <c r="M793" s="13">
        <v>25</v>
      </c>
      <c r="N793" s="13">
        <v>1.488</v>
      </c>
      <c r="O793" s="13">
        <v>46.66</v>
      </c>
      <c r="P793" s="13" t="s">
        <v>30</v>
      </c>
      <c r="Q793" s="13">
        <v>0</v>
      </c>
      <c r="R793" s="14">
        <v>1735.752</v>
      </c>
      <c r="S793" s="15">
        <v>0</v>
      </c>
      <c r="T793" s="15">
        <v>0</v>
      </c>
      <c r="U793" s="15">
        <v>1735.752</v>
      </c>
      <c r="V793" s="15">
        <v>1301.8139999999999</v>
      </c>
      <c r="W793" s="15">
        <v>433.9380000000001</v>
      </c>
      <c r="X793" s="15">
        <v>0</v>
      </c>
      <c r="Y793" s="16">
        <v>0</v>
      </c>
      <c r="Z793" s="67" t="s">
        <v>26</v>
      </c>
      <c r="AA793" s="12" t="s">
        <v>31</v>
      </c>
    </row>
    <row r="794" spans="1:27" x14ac:dyDescent="0.25">
      <c r="A794" s="10">
        <v>45671</v>
      </c>
      <c r="B794" s="11" t="s">
        <v>622</v>
      </c>
      <c r="C794" s="11" t="s">
        <v>2225</v>
      </c>
      <c r="D794" s="11" t="s">
        <v>26</v>
      </c>
      <c r="E794" s="11" t="s">
        <v>68</v>
      </c>
      <c r="F794" s="11" t="s">
        <v>26</v>
      </c>
      <c r="G794" s="11">
        <v>76355</v>
      </c>
      <c r="H794" s="12" t="s">
        <v>4448</v>
      </c>
      <c r="I794" s="12" t="s">
        <v>27</v>
      </c>
      <c r="J794" s="12" t="s">
        <v>47</v>
      </c>
      <c r="K794" s="12" t="s">
        <v>48</v>
      </c>
      <c r="L794" s="13">
        <v>38.4</v>
      </c>
      <c r="M794" s="13">
        <v>25</v>
      </c>
      <c r="N794" s="13">
        <v>1.536</v>
      </c>
      <c r="O794" s="13">
        <v>46.66</v>
      </c>
      <c r="P794" s="13" t="s">
        <v>30</v>
      </c>
      <c r="Q794" s="13">
        <v>0</v>
      </c>
      <c r="R794" s="15">
        <v>1791.7439999999999</v>
      </c>
      <c r="S794" s="15">
        <v>0</v>
      </c>
      <c r="T794" s="15">
        <v>0</v>
      </c>
      <c r="U794" s="15">
        <v>1791.7439999999999</v>
      </c>
      <c r="V794" s="15">
        <v>1343.808</v>
      </c>
      <c r="W794" s="15">
        <v>447.93599999999992</v>
      </c>
      <c r="X794" s="15">
        <v>0</v>
      </c>
      <c r="Y794" s="16">
        <v>0</v>
      </c>
      <c r="Z794" s="67" t="s">
        <v>26</v>
      </c>
      <c r="AA794" s="12" t="s">
        <v>31</v>
      </c>
    </row>
    <row r="795" spans="1:27" x14ac:dyDescent="0.25">
      <c r="A795" s="10">
        <v>45671</v>
      </c>
      <c r="B795" s="11" t="s">
        <v>2226</v>
      </c>
      <c r="C795" s="11" t="s">
        <v>2227</v>
      </c>
      <c r="D795" s="11" t="s">
        <v>26</v>
      </c>
      <c r="E795" s="11" t="s">
        <v>431</v>
      </c>
      <c r="F795" s="11" t="s">
        <v>26</v>
      </c>
      <c r="G795" s="11">
        <v>139</v>
      </c>
      <c r="H795" s="12" t="s">
        <v>6328</v>
      </c>
      <c r="I795" s="12" t="s">
        <v>37</v>
      </c>
      <c r="J795" s="12" t="s">
        <v>85</v>
      </c>
      <c r="K795" s="12" t="s">
        <v>86</v>
      </c>
      <c r="L795" s="13">
        <v>36.020000000000003</v>
      </c>
      <c r="M795" s="13">
        <v>25</v>
      </c>
      <c r="N795" s="13">
        <v>1.4408000000000001</v>
      </c>
      <c r="O795" s="13">
        <v>30</v>
      </c>
      <c r="P795" s="13"/>
      <c r="Q795" s="13">
        <v>0</v>
      </c>
      <c r="R795" s="15">
        <v>1080.6000000000001</v>
      </c>
      <c r="S795" s="15">
        <v>0</v>
      </c>
      <c r="T795" s="15">
        <v>0</v>
      </c>
      <c r="U795" s="15">
        <v>1080.6000000000001</v>
      </c>
      <c r="V795" s="15">
        <v>0</v>
      </c>
      <c r="W795" s="15">
        <v>1080.6000000000001</v>
      </c>
      <c r="X795" s="15">
        <v>0</v>
      </c>
      <c r="Y795" s="16">
        <v>0</v>
      </c>
      <c r="Z795" s="67" t="s">
        <v>26</v>
      </c>
      <c r="AA795" s="12" t="s">
        <v>31</v>
      </c>
    </row>
    <row r="796" spans="1:27" x14ac:dyDescent="0.25">
      <c r="A796" s="10">
        <v>45671</v>
      </c>
      <c r="B796" s="11" t="s">
        <v>462</v>
      </c>
      <c r="C796" s="11" t="s">
        <v>2228</v>
      </c>
      <c r="D796" s="11" t="s">
        <v>26</v>
      </c>
      <c r="E796" s="11" t="s">
        <v>552</v>
      </c>
      <c r="F796" s="11" t="s">
        <v>26</v>
      </c>
      <c r="G796" s="11">
        <v>69110</v>
      </c>
      <c r="H796" s="12" t="s">
        <v>4423</v>
      </c>
      <c r="I796" s="12" t="s">
        <v>27</v>
      </c>
      <c r="J796" s="12" t="s">
        <v>33</v>
      </c>
      <c r="K796" s="12" t="s">
        <v>34</v>
      </c>
      <c r="L796" s="13">
        <v>35.58</v>
      </c>
      <c r="M796" s="13">
        <v>25</v>
      </c>
      <c r="N796" s="13">
        <v>1.4232</v>
      </c>
      <c r="O796" s="13">
        <v>45</v>
      </c>
      <c r="P796" s="13" t="s">
        <v>30</v>
      </c>
      <c r="Q796" s="13">
        <v>0</v>
      </c>
      <c r="R796" s="15">
        <v>1601.1</v>
      </c>
      <c r="S796" s="15">
        <v>0</v>
      </c>
      <c r="T796" s="15">
        <v>0</v>
      </c>
      <c r="U796" s="15">
        <v>1601.1</v>
      </c>
      <c r="V796" s="15">
        <v>1601.1</v>
      </c>
      <c r="W796" s="15">
        <v>0</v>
      </c>
      <c r="X796" s="15">
        <v>0</v>
      </c>
      <c r="Y796" s="16">
        <v>0</v>
      </c>
      <c r="Z796" s="67" t="s">
        <v>26</v>
      </c>
      <c r="AA796" s="12" t="s">
        <v>31</v>
      </c>
    </row>
    <row r="797" spans="1:27" x14ac:dyDescent="0.25">
      <c r="A797" s="10">
        <v>45671</v>
      </c>
      <c r="B797" s="11" t="s">
        <v>2229</v>
      </c>
      <c r="C797" s="11" t="s">
        <v>2230</v>
      </c>
      <c r="D797" s="11" t="s">
        <v>26</v>
      </c>
      <c r="E797" s="11" t="s">
        <v>501</v>
      </c>
      <c r="F797" s="11" t="s">
        <v>26</v>
      </c>
      <c r="G797" s="11" t="s">
        <v>26</v>
      </c>
      <c r="H797" s="12" t="s">
        <v>4422</v>
      </c>
      <c r="I797" s="12" t="s">
        <v>27</v>
      </c>
      <c r="J797" s="12" t="s">
        <v>47</v>
      </c>
      <c r="K797" s="12" t="s">
        <v>48</v>
      </c>
      <c r="L797" s="13">
        <v>43.26</v>
      </c>
      <c r="M797" s="13">
        <v>30</v>
      </c>
      <c r="N797" s="13">
        <v>1.4419999999999999</v>
      </c>
      <c r="O797" s="13">
        <v>87</v>
      </c>
      <c r="P797" s="13" t="s">
        <v>30</v>
      </c>
      <c r="Q797" s="14">
        <v>0</v>
      </c>
      <c r="R797" s="15">
        <v>3763.62</v>
      </c>
      <c r="S797" s="15">
        <v>38</v>
      </c>
      <c r="T797" s="15">
        <v>1643.8799999999999</v>
      </c>
      <c r="U797" s="15">
        <v>2119.7399999999998</v>
      </c>
      <c r="V797" s="15">
        <v>2119.7399999999998</v>
      </c>
      <c r="W797" s="15">
        <v>0</v>
      </c>
      <c r="X797" s="15">
        <v>1557.36</v>
      </c>
      <c r="Y797" s="16">
        <v>86.519999999999982</v>
      </c>
      <c r="Z797" s="67" t="s">
        <v>141</v>
      </c>
      <c r="AA797" s="12" t="s">
        <v>78</v>
      </c>
    </row>
    <row r="798" spans="1:27" x14ac:dyDescent="0.25">
      <c r="A798" s="10">
        <v>45671</v>
      </c>
      <c r="B798" s="11" t="s">
        <v>2231</v>
      </c>
      <c r="C798" s="11" t="s">
        <v>2232</v>
      </c>
      <c r="D798" s="11" t="s">
        <v>26</v>
      </c>
      <c r="E798" s="11" t="s">
        <v>53</v>
      </c>
      <c r="F798" s="11" t="s">
        <v>26</v>
      </c>
      <c r="G798" s="11" t="s">
        <v>26</v>
      </c>
      <c r="H798" s="12" t="s">
        <v>146</v>
      </c>
      <c r="I798" s="12" t="s">
        <v>27</v>
      </c>
      <c r="J798" s="12" t="s">
        <v>33</v>
      </c>
      <c r="K798" s="12" t="s">
        <v>34</v>
      </c>
      <c r="L798" s="13">
        <v>44.78</v>
      </c>
      <c r="M798" s="13">
        <v>30</v>
      </c>
      <c r="N798" s="13">
        <v>1.492666666666667</v>
      </c>
      <c r="O798" s="13">
        <v>91</v>
      </c>
      <c r="P798" s="13" t="s">
        <v>30</v>
      </c>
      <c r="Q798" s="13">
        <v>0</v>
      </c>
      <c r="R798" s="15">
        <v>4074.98</v>
      </c>
      <c r="S798" s="15">
        <v>40</v>
      </c>
      <c r="T798" s="15">
        <v>1791.2</v>
      </c>
      <c r="U798" s="15">
        <v>2283.7799999999997</v>
      </c>
      <c r="V798" s="15">
        <v>2283.7799999999997</v>
      </c>
      <c r="W798" s="15">
        <v>0</v>
      </c>
      <c r="X798" s="15">
        <v>1656.8600000000001</v>
      </c>
      <c r="Y798" s="16">
        <v>134.33999999999992</v>
      </c>
      <c r="Z798" s="67" t="s">
        <v>41</v>
      </c>
      <c r="AA798" s="12" t="s">
        <v>79</v>
      </c>
    </row>
    <row r="799" spans="1:27" x14ac:dyDescent="0.25">
      <c r="A799" s="10">
        <v>45671</v>
      </c>
      <c r="B799" s="11" t="s">
        <v>136</v>
      </c>
      <c r="C799" s="11" t="s">
        <v>2233</v>
      </c>
      <c r="D799" s="11" t="s">
        <v>26</v>
      </c>
      <c r="E799" s="11" t="s">
        <v>483</v>
      </c>
      <c r="F799" s="11" t="s">
        <v>26</v>
      </c>
      <c r="G799" s="11" t="s">
        <v>26</v>
      </c>
      <c r="H799" s="12" t="s">
        <v>146</v>
      </c>
      <c r="I799" s="12" t="s">
        <v>27</v>
      </c>
      <c r="J799" s="12" t="s">
        <v>47</v>
      </c>
      <c r="K799" s="12" t="s">
        <v>48</v>
      </c>
      <c r="L799" s="13">
        <v>42.02</v>
      </c>
      <c r="M799" s="13">
        <v>29</v>
      </c>
      <c r="N799" s="13">
        <v>1.4489655172413789</v>
      </c>
      <c r="O799" s="13">
        <v>91</v>
      </c>
      <c r="P799" s="13" t="s">
        <v>30</v>
      </c>
      <c r="Q799" s="13">
        <v>0</v>
      </c>
      <c r="R799" s="14">
        <v>3823.82</v>
      </c>
      <c r="S799" s="15">
        <v>40</v>
      </c>
      <c r="T799" s="15">
        <v>1680.8000000000002</v>
      </c>
      <c r="U799" s="15">
        <v>2143.02</v>
      </c>
      <c r="V799" s="15">
        <v>2143.02</v>
      </c>
      <c r="W799" s="15">
        <v>0</v>
      </c>
      <c r="X799" s="16">
        <v>1554.74</v>
      </c>
      <c r="Y799" s="16">
        <v>126.06000000000017</v>
      </c>
      <c r="Z799" s="67" t="s">
        <v>41</v>
      </c>
      <c r="AA799" s="12" t="s">
        <v>79</v>
      </c>
    </row>
    <row r="800" spans="1:27" x14ac:dyDescent="0.25">
      <c r="A800" s="10">
        <v>45671</v>
      </c>
      <c r="B800" s="11" t="s">
        <v>173</v>
      </c>
      <c r="C800" s="11" t="s">
        <v>2234</v>
      </c>
      <c r="D800" s="11" t="s">
        <v>26</v>
      </c>
      <c r="E800" s="11" t="s">
        <v>184</v>
      </c>
      <c r="F800" s="11" t="s">
        <v>26</v>
      </c>
      <c r="G800" s="11" t="s">
        <v>26</v>
      </c>
      <c r="H800" s="12" t="s">
        <v>4422</v>
      </c>
      <c r="I800" s="12" t="s">
        <v>27</v>
      </c>
      <c r="J800" s="12" t="s">
        <v>33</v>
      </c>
      <c r="K800" s="12" t="s">
        <v>34</v>
      </c>
      <c r="L800" s="13">
        <v>42.22</v>
      </c>
      <c r="M800" s="13">
        <v>29</v>
      </c>
      <c r="N800" s="13">
        <v>1.4558620689655171</v>
      </c>
      <c r="O800" s="13">
        <v>85</v>
      </c>
      <c r="P800" s="13" t="s">
        <v>30</v>
      </c>
      <c r="Q800" s="13">
        <v>0</v>
      </c>
      <c r="R800" s="14">
        <v>3588.7</v>
      </c>
      <c r="S800" s="15">
        <v>38</v>
      </c>
      <c r="T800" s="15">
        <v>1604.36</v>
      </c>
      <c r="U800" s="15">
        <v>1984.34</v>
      </c>
      <c r="V800" s="15">
        <v>1984.34</v>
      </c>
      <c r="W800" s="15">
        <v>0</v>
      </c>
      <c r="X800" s="15">
        <v>1519.92</v>
      </c>
      <c r="Y800" s="16">
        <v>84.439999999999827</v>
      </c>
      <c r="Z800" s="67" t="s">
        <v>141</v>
      </c>
      <c r="AA800" s="12" t="s">
        <v>78</v>
      </c>
    </row>
    <row r="801" spans="1:27" x14ac:dyDescent="0.25">
      <c r="A801" s="10">
        <v>45671</v>
      </c>
      <c r="B801" s="11" t="s">
        <v>2235</v>
      </c>
      <c r="C801" s="11" t="s">
        <v>2236</v>
      </c>
      <c r="D801" s="11" t="s">
        <v>26</v>
      </c>
      <c r="E801" s="11" t="s">
        <v>605</v>
      </c>
      <c r="F801" s="11" t="s">
        <v>26</v>
      </c>
      <c r="G801" s="11" t="s">
        <v>26</v>
      </c>
      <c r="H801" s="12" t="s">
        <v>4422</v>
      </c>
      <c r="I801" s="12" t="s">
        <v>27</v>
      </c>
      <c r="J801" s="12" t="s">
        <v>42</v>
      </c>
      <c r="K801" s="12" t="s">
        <v>43</v>
      </c>
      <c r="L801" s="13">
        <v>45.58</v>
      </c>
      <c r="M801" s="13">
        <v>28</v>
      </c>
      <c r="N801" s="13">
        <v>1.6278571428571429</v>
      </c>
      <c r="O801" s="13">
        <v>83</v>
      </c>
      <c r="P801" s="13" t="s">
        <v>30</v>
      </c>
      <c r="Q801" s="13">
        <v>0</v>
      </c>
      <c r="R801" s="15">
        <v>3783.14</v>
      </c>
      <c r="S801" s="15">
        <v>38</v>
      </c>
      <c r="T801" s="15">
        <v>1732.04</v>
      </c>
      <c r="U801" s="15">
        <v>2051.1</v>
      </c>
      <c r="V801" s="15">
        <v>2051.1</v>
      </c>
      <c r="W801" s="15">
        <v>0</v>
      </c>
      <c r="X801" s="15">
        <v>1640.8799999999999</v>
      </c>
      <c r="Y801" s="16">
        <v>91.160000000000082</v>
      </c>
      <c r="Z801" s="67" t="s">
        <v>141</v>
      </c>
      <c r="AA801" s="12" t="s">
        <v>78</v>
      </c>
    </row>
    <row r="802" spans="1:27" x14ac:dyDescent="0.25">
      <c r="A802" s="10">
        <v>45671</v>
      </c>
      <c r="B802" s="11" t="s">
        <v>2237</v>
      </c>
      <c r="C802" s="11" t="s">
        <v>2238</v>
      </c>
      <c r="D802" s="11" t="s">
        <v>26</v>
      </c>
      <c r="E802" s="11" t="s">
        <v>50</v>
      </c>
      <c r="F802" s="11" t="s">
        <v>26</v>
      </c>
      <c r="G802" s="11">
        <v>626</v>
      </c>
      <c r="H802" s="12" t="s">
        <v>163</v>
      </c>
      <c r="I802" s="12" t="s">
        <v>27</v>
      </c>
      <c r="J802" s="12" t="s">
        <v>33</v>
      </c>
      <c r="K802" s="12" t="s">
        <v>34</v>
      </c>
      <c r="L802" s="13">
        <v>37.76</v>
      </c>
      <c r="M802" s="13">
        <v>25</v>
      </c>
      <c r="N802" s="13">
        <v>1.5104</v>
      </c>
      <c r="O802" s="13" t="s">
        <v>30</v>
      </c>
      <c r="P802" s="13">
        <v>58</v>
      </c>
      <c r="Q802" s="13">
        <v>0</v>
      </c>
      <c r="R802" s="14">
        <v>1450</v>
      </c>
      <c r="S802" s="15">
        <v>0</v>
      </c>
      <c r="T802" s="15">
        <v>0</v>
      </c>
      <c r="U802" s="15">
        <v>1450</v>
      </c>
      <c r="V802" s="15">
        <v>0</v>
      </c>
      <c r="W802" s="15">
        <v>1450</v>
      </c>
      <c r="X802" s="15">
        <v>0</v>
      </c>
      <c r="Y802" s="16">
        <v>0</v>
      </c>
      <c r="Z802" s="67" t="s">
        <v>26</v>
      </c>
      <c r="AA802" s="12" t="s">
        <v>31</v>
      </c>
    </row>
    <row r="803" spans="1:27" x14ac:dyDescent="0.25">
      <c r="A803" s="10">
        <v>45671</v>
      </c>
      <c r="B803" s="11" t="s">
        <v>2239</v>
      </c>
      <c r="C803" s="11" t="s">
        <v>2240</v>
      </c>
      <c r="D803" s="11" t="s">
        <v>26</v>
      </c>
      <c r="E803" s="11" t="s">
        <v>57</v>
      </c>
      <c r="F803" s="11" t="s">
        <v>26</v>
      </c>
      <c r="G803" s="11" t="s">
        <v>26</v>
      </c>
      <c r="H803" s="12" t="s">
        <v>4422</v>
      </c>
      <c r="I803" s="12" t="s">
        <v>27</v>
      </c>
      <c r="J803" s="12" t="s">
        <v>33</v>
      </c>
      <c r="K803" s="12" t="s">
        <v>34</v>
      </c>
      <c r="L803" s="13">
        <v>43.78</v>
      </c>
      <c r="M803" s="13">
        <v>30</v>
      </c>
      <c r="N803" s="13">
        <v>1.4593333333333329</v>
      </c>
      <c r="O803" s="13">
        <v>85</v>
      </c>
      <c r="P803" s="13" t="s">
        <v>30</v>
      </c>
      <c r="Q803" s="13">
        <v>0</v>
      </c>
      <c r="R803" s="14">
        <v>3721.3</v>
      </c>
      <c r="S803" s="15">
        <v>38</v>
      </c>
      <c r="T803" s="15">
        <v>1663.64</v>
      </c>
      <c r="U803" s="15">
        <v>2057.66</v>
      </c>
      <c r="V803" s="15">
        <v>2057.66</v>
      </c>
      <c r="W803" s="15">
        <v>0</v>
      </c>
      <c r="X803" s="16">
        <v>1619.8600000000001</v>
      </c>
      <c r="Y803" s="16">
        <v>43.779999999999973</v>
      </c>
      <c r="Z803" s="67" t="s">
        <v>41</v>
      </c>
      <c r="AA803" s="12" t="s">
        <v>78</v>
      </c>
    </row>
    <row r="804" spans="1:27" x14ac:dyDescent="0.25">
      <c r="A804" s="10">
        <v>45671</v>
      </c>
      <c r="B804" s="11" t="s">
        <v>2241</v>
      </c>
      <c r="C804" s="11" t="s">
        <v>2242</v>
      </c>
      <c r="D804" s="11" t="s">
        <v>26</v>
      </c>
      <c r="E804" s="11" t="s">
        <v>553</v>
      </c>
      <c r="F804" s="11" t="s">
        <v>26</v>
      </c>
      <c r="G804" s="11">
        <v>44139</v>
      </c>
      <c r="H804" s="12" t="s">
        <v>4423</v>
      </c>
      <c r="I804" s="12" t="s">
        <v>27</v>
      </c>
      <c r="J804" s="12" t="s">
        <v>33</v>
      </c>
      <c r="K804" s="12" t="s">
        <v>34</v>
      </c>
      <c r="L804" s="13">
        <v>33.9</v>
      </c>
      <c r="M804" s="13">
        <v>25</v>
      </c>
      <c r="N804" s="13">
        <v>1.3560000000000001</v>
      </c>
      <c r="O804" s="13">
        <v>45</v>
      </c>
      <c r="P804" s="13" t="s">
        <v>30</v>
      </c>
      <c r="Q804" s="13">
        <v>0</v>
      </c>
      <c r="R804" s="15">
        <v>1525.5</v>
      </c>
      <c r="S804" s="15">
        <v>0</v>
      </c>
      <c r="T804" s="15">
        <v>0</v>
      </c>
      <c r="U804" s="15">
        <v>1525.5</v>
      </c>
      <c r="V804" s="15">
        <v>1525.5</v>
      </c>
      <c r="W804" s="15">
        <v>0</v>
      </c>
      <c r="X804" s="15">
        <v>0</v>
      </c>
      <c r="Y804" s="16">
        <v>0</v>
      </c>
      <c r="Z804" s="67" t="s">
        <v>26</v>
      </c>
      <c r="AA804" s="12" t="s">
        <v>31</v>
      </c>
    </row>
    <row r="805" spans="1:27" x14ac:dyDescent="0.25">
      <c r="A805" s="10">
        <v>45671</v>
      </c>
      <c r="B805" s="11" t="s">
        <v>1166</v>
      </c>
      <c r="C805" s="11" t="s">
        <v>2243</v>
      </c>
      <c r="D805" s="11" t="s">
        <v>26</v>
      </c>
      <c r="E805" s="11" t="s">
        <v>63</v>
      </c>
      <c r="F805" s="11" t="s">
        <v>26</v>
      </c>
      <c r="G805" s="11" t="s">
        <v>26</v>
      </c>
      <c r="H805" s="12" t="s">
        <v>4422</v>
      </c>
      <c r="I805" s="12" t="s">
        <v>27</v>
      </c>
      <c r="J805" s="12" t="s">
        <v>42</v>
      </c>
      <c r="K805" s="12" t="s">
        <v>43</v>
      </c>
      <c r="L805" s="13">
        <v>43.24</v>
      </c>
      <c r="M805" s="13">
        <v>25</v>
      </c>
      <c r="N805" s="13">
        <v>1.7296</v>
      </c>
      <c r="O805" s="13">
        <v>83</v>
      </c>
      <c r="P805" s="13" t="s">
        <v>30</v>
      </c>
      <c r="Q805" s="13">
        <v>0</v>
      </c>
      <c r="R805" s="15">
        <v>3588.92</v>
      </c>
      <c r="S805" s="15">
        <v>38</v>
      </c>
      <c r="T805" s="15">
        <v>1643.1200000000001</v>
      </c>
      <c r="U805" s="15">
        <v>1945.8</v>
      </c>
      <c r="V805" s="15">
        <v>1945.8</v>
      </c>
      <c r="W805" s="15">
        <v>0</v>
      </c>
      <c r="X805" s="15">
        <v>1556.64</v>
      </c>
      <c r="Y805" s="16">
        <v>86.480000000000018</v>
      </c>
      <c r="Z805" s="67" t="s">
        <v>140</v>
      </c>
      <c r="AA805" s="12" t="s">
        <v>78</v>
      </c>
    </row>
    <row r="806" spans="1:27" x14ac:dyDescent="0.25">
      <c r="A806" s="10">
        <v>45671</v>
      </c>
      <c r="B806" s="11" t="s">
        <v>2244</v>
      </c>
      <c r="C806" s="11" t="s">
        <v>2245</v>
      </c>
      <c r="D806" s="11" t="s">
        <v>26</v>
      </c>
      <c r="E806" s="11" t="s">
        <v>49</v>
      </c>
      <c r="F806" s="11" t="s">
        <v>26</v>
      </c>
      <c r="G806" s="11">
        <v>1551</v>
      </c>
      <c r="H806" s="12" t="s">
        <v>45</v>
      </c>
      <c r="I806" s="12" t="s">
        <v>27</v>
      </c>
      <c r="J806" s="12" t="s">
        <v>33</v>
      </c>
      <c r="K806" s="12" t="s">
        <v>34</v>
      </c>
      <c r="L806" s="13">
        <v>38.14</v>
      </c>
      <c r="M806" s="13">
        <v>25</v>
      </c>
      <c r="N806" s="13">
        <v>1.5256000000000001</v>
      </c>
      <c r="O806" s="13" t="s">
        <v>30</v>
      </c>
      <c r="P806" s="13">
        <v>58</v>
      </c>
      <c r="Q806" s="13">
        <v>0</v>
      </c>
      <c r="R806" s="14">
        <v>1450</v>
      </c>
      <c r="S806" s="15">
        <v>0</v>
      </c>
      <c r="T806" s="15">
        <v>0</v>
      </c>
      <c r="U806" s="15">
        <v>1450</v>
      </c>
      <c r="V806" s="15">
        <v>0</v>
      </c>
      <c r="W806" s="15">
        <v>1450</v>
      </c>
      <c r="X806" s="15">
        <v>0</v>
      </c>
      <c r="Y806" s="16">
        <v>0</v>
      </c>
      <c r="Z806" s="67" t="s">
        <v>26</v>
      </c>
      <c r="AA806" s="12" t="s">
        <v>31</v>
      </c>
    </row>
    <row r="807" spans="1:27" x14ac:dyDescent="0.25">
      <c r="A807" s="10">
        <v>45671</v>
      </c>
      <c r="B807" s="11" t="s">
        <v>2246</v>
      </c>
      <c r="C807" s="11" t="s">
        <v>2247</v>
      </c>
      <c r="D807" s="11" t="s">
        <v>26</v>
      </c>
      <c r="E807" s="11" t="s">
        <v>224</v>
      </c>
      <c r="F807" s="11" t="s">
        <v>26</v>
      </c>
      <c r="G807" s="11">
        <v>57847</v>
      </c>
      <c r="H807" s="12" t="s">
        <v>4423</v>
      </c>
      <c r="I807" s="12" t="s">
        <v>27</v>
      </c>
      <c r="J807" s="12" t="s">
        <v>33</v>
      </c>
      <c r="K807" s="12" t="s">
        <v>34</v>
      </c>
      <c r="L807" s="13">
        <v>35.619999999999997</v>
      </c>
      <c r="M807" s="13">
        <v>25</v>
      </c>
      <c r="N807" s="13">
        <v>1.4248000000000001</v>
      </c>
      <c r="O807" s="13">
        <v>45</v>
      </c>
      <c r="P807" s="13" t="s">
        <v>30</v>
      </c>
      <c r="Q807" s="13">
        <v>0</v>
      </c>
      <c r="R807" s="15">
        <v>1602.8999999999999</v>
      </c>
      <c r="S807" s="15">
        <v>0</v>
      </c>
      <c r="T807" s="15">
        <v>0</v>
      </c>
      <c r="U807" s="15">
        <v>1602.8999999999999</v>
      </c>
      <c r="V807" s="15">
        <v>1602.8999999999999</v>
      </c>
      <c r="W807" s="15">
        <v>0</v>
      </c>
      <c r="X807" s="15">
        <v>0</v>
      </c>
      <c r="Y807" s="16">
        <v>0</v>
      </c>
      <c r="Z807" s="67" t="s">
        <v>26</v>
      </c>
      <c r="AA807" s="12" t="s">
        <v>31</v>
      </c>
    </row>
    <row r="808" spans="1:27" x14ac:dyDescent="0.25">
      <c r="A808" s="10">
        <v>45671</v>
      </c>
      <c r="B808" s="11" t="s">
        <v>2248</v>
      </c>
      <c r="C808" s="11" t="s">
        <v>2249</v>
      </c>
      <c r="D808" s="11" t="s">
        <v>26</v>
      </c>
      <c r="E808" s="11" t="s">
        <v>604</v>
      </c>
      <c r="F808" s="11" t="s">
        <v>26</v>
      </c>
      <c r="G808" s="11">
        <v>752</v>
      </c>
      <c r="H808" s="12" t="s">
        <v>141</v>
      </c>
      <c r="I808" s="12" t="s">
        <v>27</v>
      </c>
      <c r="J808" s="12" t="s">
        <v>33</v>
      </c>
      <c r="K808" s="12" t="s">
        <v>34</v>
      </c>
      <c r="L808" s="13">
        <v>40.24</v>
      </c>
      <c r="M808" s="13">
        <v>28</v>
      </c>
      <c r="N808" s="13">
        <v>1.4371428571428571</v>
      </c>
      <c r="O808" s="13">
        <v>40</v>
      </c>
      <c r="P808" s="13" t="s">
        <v>30</v>
      </c>
      <c r="Q808" s="13">
        <v>0</v>
      </c>
      <c r="R808" s="15">
        <v>1609.6000000000001</v>
      </c>
      <c r="S808" s="15">
        <v>0</v>
      </c>
      <c r="T808" s="15">
        <v>0</v>
      </c>
      <c r="U808" s="15">
        <v>1609.6000000000001</v>
      </c>
      <c r="V808" s="15">
        <v>0</v>
      </c>
      <c r="W808" s="15">
        <v>1609.6000000000001</v>
      </c>
      <c r="X808" s="15">
        <v>0</v>
      </c>
      <c r="Y808" s="16">
        <v>0</v>
      </c>
      <c r="Z808" s="67" t="s">
        <v>26</v>
      </c>
      <c r="AA808" s="12" t="s">
        <v>31</v>
      </c>
    </row>
    <row r="809" spans="1:27" x14ac:dyDescent="0.25">
      <c r="A809" s="10">
        <v>45671</v>
      </c>
      <c r="B809" s="11" t="s">
        <v>2250</v>
      </c>
      <c r="C809" s="11" t="s">
        <v>2251</v>
      </c>
      <c r="D809" s="11" t="s">
        <v>26</v>
      </c>
      <c r="E809" s="11" t="s">
        <v>240</v>
      </c>
      <c r="F809" s="11" t="s">
        <v>26</v>
      </c>
      <c r="G809" s="11">
        <v>2915</v>
      </c>
      <c r="H809" s="12" t="s">
        <v>41</v>
      </c>
      <c r="I809" s="12" t="s">
        <v>55</v>
      </c>
      <c r="J809" s="12" t="s">
        <v>55</v>
      </c>
      <c r="K809" s="12" t="s">
        <v>56</v>
      </c>
      <c r="L809" s="13">
        <v>39.06</v>
      </c>
      <c r="M809" s="13">
        <v>25</v>
      </c>
      <c r="N809" s="13">
        <v>1.5624</v>
      </c>
      <c r="O809" s="13" t="s">
        <v>30</v>
      </c>
      <c r="P809" s="13">
        <v>24</v>
      </c>
      <c r="Q809" s="13">
        <v>0</v>
      </c>
      <c r="R809" s="15">
        <v>600</v>
      </c>
      <c r="S809" s="15">
        <v>0</v>
      </c>
      <c r="T809" s="15">
        <v>0</v>
      </c>
      <c r="U809" s="15">
        <v>600</v>
      </c>
      <c r="V809" s="15">
        <v>0</v>
      </c>
      <c r="W809" s="15">
        <v>600</v>
      </c>
      <c r="X809" s="15">
        <v>0</v>
      </c>
      <c r="Y809" s="16">
        <v>0</v>
      </c>
      <c r="Z809" s="67" t="s">
        <v>26</v>
      </c>
      <c r="AA809" s="12" t="s">
        <v>31</v>
      </c>
    </row>
    <row r="810" spans="1:27" x14ac:dyDescent="0.25">
      <c r="A810" s="10">
        <v>45671</v>
      </c>
      <c r="B810" s="11" t="s">
        <v>2042</v>
      </c>
      <c r="C810" s="11" t="s">
        <v>2252</v>
      </c>
      <c r="D810" s="11" t="s">
        <v>26</v>
      </c>
      <c r="E810" s="11" t="s">
        <v>44</v>
      </c>
      <c r="F810" s="11" t="s">
        <v>26</v>
      </c>
      <c r="G810" s="11">
        <v>1561</v>
      </c>
      <c r="H810" s="12" t="s">
        <v>45</v>
      </c>
      <c r="I810" s="12" t="s">
        <v>27</v>
      </c>
      <c r="J810" s="12" t="s">
        <v>33</v>
      </c>
      <c r="K810" s="12" t="s">
        <v>34</v>
      </c>
      <c r="L810" s="13">
        <v>38.54</v>
      </c>
      <c r="M810" s="13">
        <v>25</v>
      </c>
      <c r="N810" s="13">
        <v>1.5416000000000001</v>
      </c>
      <c r="O810" s="13" t="s">
        <v>30</v>
      </c>
      <c r="P810" s="13">
        <v>58</v>
      </c>
      <c r="Q810" s="13">
        <v>0</v>
      </c>
      <c r="R810" s="15">
        <v>1450</v>
      </c>
      <c r="S810" s="15">
        <v>0</v>
      </c>
      <c r="T810" s="15">
        <v>0</v>
      </c>
      <c r="U810" s="15">
        <v>1450</v>
      </c>
      <c r="V810" s="15">
        <v>0</v>
      </c>
      <c r="W810" s="15">
        <v>1450</v>
      </c>
      <c r="X810" s="15">
        <v>0</v>
      </c>
      <c r="Y810" s="16">
        <v>0</v>
      </c>
      <c r="Z810" s="67" t="s">
        <v>26</v>
      </c>
      <c r="AA810" s="12" t="s">
        <v>31</v>
      </c>
    </row>
    <row r="811" spans="1:27" x14ac:dyDescent="0.25">
      <c r="A811" s="10">
        <v>45671</v>
      </c>
      <c r="B811" s="11" t="s">
        <v>704</v>
      </c>
      <c r="C811" s="11" t="s">
        <v>2253</v>
      </c>
      <c r="D811" s="11" t="s">
        <v>26</v>
      </c>
      <c r="E811" s="11" t="s">
        <v>461</v>
      </c>
      <c r="F811" s="11" t="s">
        <v>26</v>
      </c>
      <c r="G811" s="11" t="s">
        <v>35</v>
      </c>
      <c r="H811" s="12" t="s">
        <v>36</v>
      </c>
      <c r="I811" s="12" t="s">
        <v>55</v>
      </c>
      <c r="J811" s="12" t="s">
        <v>55</v>
      </c>
      <c r="K811" s="12" t="s">
        <v>56</v>
      </c>
      <c r="L811" s="13">
        <v>27.78</v>
      </c>
      <c r="M811" s="13">
        <v>17</v>
      </c>
      <c r="N811" s="13">
        <v>1.6341176470588239</v>
      </c>
      <c r="O811" s="13">
        <v>20</v>
      </c>
      <c r="P811" s="13" t="s">
        <v>30</v>
      </c>
      <c r="Q811" s="13">
        <v>0</v>
      </c>
      <c r="R811" s="15">
        <v>555.6</v>
      </c>
      <c r="S811" s="15">
        <v>0</v>
      </c>
      <c r="T811" s="15">
        <v>0</v>
      </c>
      <c r="U811" s="15">
        <v>555.6</v>
      </c>
      <c r="V811" s="15">
        <v>0</v>
      </c>
      <c r="W811" s="15">
        <v>555.6</v>
      </c>
      <c r="X811" s="15">
        <v>0</v>
      </c>
      <c r="Y811" s="16">
        <v>0</v>
      </c>
      <c r="Z811" s="67" t="s">
        <v>26</v>
      </c>
      <c r="AA811" s="12" t="s">
        <v>31</v>
      </c>
    </row>
    <row r="812" spans="1:27" x14ac:dyDescent="0.25">
      <c r="A812" s="10">
        <v>45671</v>
      </c>
      <c r="B812" s="11" t="s">
        <v>2254</v>
      </c>
      <c r="C812" s="11" t="s">
        <v>2255</v>
      </c>
      <c r="D812" s="11" t="s">
        <v>26</v>
      </c>
      <c r="E812" s="11" t="s">
        <v>589</v>
      </c>
      <c r="F812" s="11" t="s">
        <v>26</v>
      </c>
      <c r="G812" s="11">
        <v>4576</v>
      </c>
      <c r="H812" s="12" t="s">
        <v>4423</v>
      </c>
      <c r="I812" s="12" t="s">
        <v>27</v>
      </c>
      <c r="J812" s="12" t="s">
        <v>33</v>
      </c>
      <c r="K812" s="12" t="s">
        <v>34</v>
      </c>
      <c r="L812" s="13">
        <v>30.92</v>
      </c>
      <c r="M812" s="13">
        <v>25</v>
      </c>
      <c r="N812" s="13">
        <v>1.2367999999999999</v>
      </c>
      <c r="O812" s="13">
        <v>45</v>
      </c>
      <c r="P812" s="13" t="s">
        <v>30</v>
      </c>
      <c r="Q812" s="13">
        <v>0</v>
      </c>
      <c r="R812" s="15">
        <v>1391.4</v>
      </c>
      <c r="S812" s="15">
        <v>0</v>
      </c>
      <c r="T812" s="15">
        <v>0</v>
      </c>
      <c r="U812" s="15">
        <v>1391.4</v>
      </c>
      <c r="V812" s="15">
        <v>1391.4</v>
      </c>
      <c r="W812" s="15">
        <v>0</v>
      </c>
      <c r="X812" s="15">
        <v>0</v>
      </c>
      <c r="Y812" s="16">
        <v>0</v>
      </c>
      <c r="Z812" s="67" t="s">
        <v>26</v>
      </c>
      <c r="AA812" s="12" t="s">
        <v>31</v>
      </c>
    </row>
    <row r="813" spans="1:27" x14ac:dyDescent="0.25">
      <c r="A813" s="10">
        <v>45671</v>
      </c>
      <c r="B813" s="11" t="s">
        <v>2256</v>
      </c>
      <c r="C813" s="11" t="s">
        <v>2257</v>
      </c>
      <c r="D813" s="11" t="s">
        <v>26</v>
      </c>
      <c r="E813" s="11" t="s">
        <v>570</v>
      </c>
      <c r="F813" s="11" t="s">
        <v>26</v>
      </c>
      <c r="G813" s="11">
        <v>10322</v>
      </c>
      <c r="H813" s="12" t="s">
        <v>140</v>
      </c>
      <c r="I813" s="12" t="s">
        <v>27</v>
      </c>
      <c r="J813" s="12" t="s">
        <v>47</v>
      </c>
      <c r="K813" s="12" t="s">
        <v>48</v>
      </c>
      <c r="L813" s="13">
        <v>43.06</v>
      </c>
      <c r="M813" s="13">
        <v>30</v>
      </c>
      <c r="N813" s="13">
        <v>1.4353333333333329</v>
      </c>
      <c r="O813" s="13">
        <v>40</v>
      </c>
      <c r="P813" s="13"/>
      <c r="Q813" s="13">
        <v>0</v>
      </c>
      <c r="R813" s="15">
        <v>1722.4</v>
      </c>
      <c r="S813" s="15">
        <v>0</v>
      </c>
      <c r="T813" s="15">
        <v>0</v>
      </c>
      <c r="U813" s="15">
        <v>1722.4</v>
      </c>
      <c r="V813" s="15">
        <v>0</v>
      </c>
      <c r="W813" s="15">
        <v>1722.4</v>
      </c>
      <c r="X813" s="15">
        <v>0</v>
      </c>
      <c r="Y813" s="16">
        <v>0</v>
      </c>
      <c r="Z813" s="67" t="s">
        <v>26</v>
      </c>
      <c r="AA813" s="12" t="s">
        <v>31</v>
      </c>
    </row>
    <row r="814" spans="1:27" x14ac:dyDescent="0.25">
      <c r="A814" s="10">
        <v>45671</v>
      </c>
      <c r="B814" s="11" t="s">
        <v>1194</v>
      </c>
      <c r="C814" s="11" t="s">
        <v>2258</v>
      </c>
      <c r="D814" s="11" t="s">
        <v>26</v>
      </c>
      <c r="E814" s="11" t="s">
        <v>75</v>
      </c>
      <c r="F814" s="11" t="s">
        <v>26</v>
      </c>
      <c r="G814" s="11">
        <v>42007</v>
      </c>
      <c r="H814" s="12" t="s">
        <v>565</v>
      </c>
      <c r="I814" s="12" t="s">
        <v>27</v>
      </c>
      <c r="J814" s="12" t="s">
        <v>42</v>
      </c>
      <c r="K814" s="12" t="s">
        <v>43</v>
      </c>
      <c r="L814" s="13">
        <v>43.18</v>
      </c>
      <c r="M814" s="13">
        <v>25</v>
      </c>
      <c r="N814" s="13">
        <v>1.7272000000000001</v>
      </c>
      <c r="O814" s="13"/>
      <c r="P814" s="13">
        <v>64</v>
      </c>
      <c r="Q814" s="13">
        <v>0</v>
      </c>
      <c r="R814" s="14">
        <v>1600</v>
      </c>
      <c r="S814" s="15">
        <v>0</v>
      </c>
      <c r="T814" s="15">
        <v>0</v>
      </c>
      <c r="U814" s="15">
        <v>1600</v>
      </c>
      <c r="V814" s="15">
        <v>0</v>
      </c>
      <c r="W814" s="15">
        <v>1600</v>
      </c>
      <c r="X814" s="15">
        <v>0</v>
      </c>
      <c r="Y814" s="16">
        <v>0</v>
      </c>
      <c r="Z814" s="67" t="s">
        <v>26</v>
      </c>
      <c r="AA814" s="12" t="s">
        <v>31</v>
      </c>
    </row>
    <row r="815" spans="1:27" x14ac:dyDescent="0.25">
      <c r="A815" s="10">
        <v>45671</v>
      </c>
      <c r="B815" s="11" t="s">
        <v>2259</v>
      </c>
      <c r="C815" s="11" t="s">
        <v>2260</v>
      </c>
      <c r="D815" s="11" t="s">
        <v>26</v>
      </c>
      <c r="E815" s="11" t="s">
        <v>520</v>
      </c>
      <c r="F815" s="11" t="s">
        <v>26</v>
      </c>
      <c r="G815" s="11" t="s">
        <v>26</v>
      </c>
      <c r="H815" s="12" t="s">
        <v>4422</v>
      </c>
      <c r="I815" s="12" t="s">
        <v>27</v>
      </c>
      <c r="J815" s="12" t="s">
        <v>33</v>
      </c>
      <c r="K815" s="12" t="s">
        <v>34</v>
      </c>
      <c r="L815" s="13">
        <v>40.799999999999997</v>
      </c>
      <c r="M815" s="13">
        <v>28</v>
      </c>
      <c r="N815" s="13">
        <v>1.4571428571428571</v>
      </c>
      <c r="O815" s="13">
        <v>85</v>
      </c>
      <c r="P815" s="13" t="s">
        <v>30</v>
      </c>
      <c r="Q815" s="13">
        <v>0</v>
      </c>
      <c r="R815" s="14">
        <v>3467.9999999999995</v>
      </c>
      <c r="S815" s="15">
        <v>38</v>
      </c>
      <c r="T815" s="15">
        <v>1550.3999999999999</v>
      </c>
      <c r="U815" s="15">
        <v>1917.5999999999997</v>
      </c>
      <c r="V815" s="15">
        <v>1917.5999999999997</v>
      </c>
      <c r="W815" s="15">
        <v>0</v>
      </c>
      <c r="X815" s="15">
        <v>1468.8</v>
      </c>
      <c r="Y815" s="16">
        <v>81.599999999999909</v>
      </c>
      <c r="Z815" s="67" t="s">
        <v>140</v>
      </c>
      <c r="AA815" s="12" t="s">
        <v>78</v>
      </c>
    </row>
    <row r="816" spans="1:27" x14ac:dyDescent="0.25">
      <c r="A816" s="10">
        <v>45671</v>
      </c>
      <c r="B816" s="11" t="s">
        <v>2261</v>
      </c>
      <c r="C816" s="11" t="s">
        <v>2262</v>
      </c>
      <c r="D816" s="11" t="s">
        <v>26</v>
      </c>
      <c r="E816" s="11" t="s">
        <v>509</v>
      </c>
      <c r="F816" s="11" t="s">
        <v>26</v>
      </c>
      <c r="G816" s="11">
        <v>753</v>
      </c>
      <c r="H816" s="12" t="s">
        <v>141</v>
      </c>
      <c r="I816" s="12" t="s">
        <v>27</v>
      </c>
      <c r="J816" s="12" t="s">
        <v>33</v>
      </c>
      <c r="K816" s="12" t="s">
        <v>34</v>
      </c>
      <c r="L816" s="13">
        <v>41.54</v>
      </c>
      <c r="M816" s="13">
        <v>28</v>
      </c>
      <c r="N816" s="13">
        <v>1.483571428571429</v>
      </c>
      <c r="O816" s="13">
        <v>40</v>
      </c>
      <c r="P816" s="13" t="s">
        <v>30</v>
      </c>
      <c r="Q816" s="13">
        <v>0</v>
      </c>
      <c r="R816" s="14">
        <v>1661.6</v>
      </c>
      <c r="S816" s="15">
        <v>0</v>
      </c>
      <c r="T816" s="15">
        <v>0</v>
      </c>
      <c r="U816" s="15">
        <v>1661.6</v>
      </c>
      <c r="V816" s="15">
        <v>0</v>
      </c>
      <c r="W816" s="15">
        <v>1661.6</v>
      </c>
      <c r="X816" s="15">
        <v>0</v>
      </c>
      <c r="Y816" s="16">
        <v>0</v>
      </c>
      <c r="Z816" s="67" t="s">
        <v>26</v>
      </c>
      <c r="AA816" s="12" t="s">
        <v>31</v>
      </c>
    </row>
    <row r="817" spans="1:27" x14ac:dyDescent="0.25">
      <c r="A817" s="10">
        <v>45671</v>
      </c>
      <c r="B817" s="11" t="s">
        <v>455</v>
      </c>
      <c r="C817" s="11" t="s">
        <v>2263</v>
      </c>
      <c r="D817" s="11" t="s">
        <v>26</v>
      </c>
      <c r="E817" s="11" t="s">
        <v>519</v>
      </c>
      <c r="F817" s="11" t="s">
        <v>26</v>
      </c>
      <c r="G817" s="11">
        <v>70253</v>
      </c>
      <c r="H817" s="12" t="s">
        <v>4448</v>
      </c>
      <c r="I817" s="12" t="s">
        <v>27</v>
      </c>
      <c r="J817" s="12" t="s">
        <v>42</v>
      </c>
      <c r="K817" s="12" t="s">
        <v>43</v>
      </c>
      <c r="L817" s="13">
        <v>43.16</v>
      </c>
      <c r="M817" s="13">
        <v>25</v>
      </c>
      <c r="N817" s="13">
        <v>1.7263999999999999</v>
      </c>
      <c r="O817" s="13">
        <v>42.5</v>
      </c>
      <c r="P817" s="13" t="s">
        <v>30</v>
      </c>
      <c r="Q817" s="13">
        <v>0</v>
      </c>
      <c r="R817" s="14">
        <v>1834.3</v>
      </c>
      <c r="S817" s="15">
        <v>0</v>
      </c>
      <c r="T817" s="15">
        <v>0</v>
      </c>
      <c r="U817" s="15">
        <v>1834.3</v>
      </c>
      <c r="V817" s="15">
        <v>1375.7249999999999</v>
      </c>
      <c r="W817" s="15">
        <v>458.57500000000005</v>
      </c>
      <c r="X817" s="15">
        <v>0</v>
      </c>
      <c r="Y817" s="16">
        <v>0</v>
      </c>
      <c r="Z817" s="67" t="s">
        <v>26</v>
      </c>
      <c r="AA817" s="12" t="s">
        <v>31</v>
      </c>
    </row>
    <row r="818" spans="1:27" x14ac:dyDescent="0.25">
      <c r="A818" s="10">
        <v>45671</v>
      </c>
      <c r="B818" s="11" t="s">
        <v>2264</v>
      </c>
      <c r="C818" s="11" t="s">
        <v>2265</v>
      </c>
      <c r="D818" s="11" t="s">
        <v>26</v>
      </c>
      <c r="E818" s="11" t="s">
        <v>2109</v>
      </c>
      <c r="F818" s="11" t="s">
        <v>26</v>
      </c>
      <c r="G818" s="11" t="s">
        <v>26</v>
      </c>
      <c r="H818" s="12" t="s">
        <v>4422</v>
      </c>
      <c r="I818" s="12" t="s">
        <v>27</v>
      </c>
      <c r="J818" s="12" t="s">
        <v>47</v>
      </c>
      <c r="K818" s="12" t="s">
        <v>48</v>
      </c>
      <c r="L818" s="13">
        <v>42.38</v>
      </c>
      <c r="M818" s="13">
        <v>29</v>
      </c>
      <c r="N818" s="13">
        <v>1.461379310344828</v>
      </c>
      <c r="O818" s="13">
        <v>87</v>
      </c>
      <c r="P818" s="13" t="s">
        <v>30</v>
      </c>
      <c r="Q818" s="13">
        <v>0</v>
      </c>
      <c r="R818" s="15">
        <v>3687.0600000000004</v>
      </c>
      <c r="S818" s="15">
        <v>38</v>
      </c>
      <c r="T818" s="15">
        <v>1610.44</v>
      </c>
      <c r="U818" s="15">
        <v>2076.6200000000003</v>
      </c>
      <c r="V818" s="15">
        <v>2076.6200000000003</v>
      </c>
      <c r="W818" s="15">
        <v>0</v>
      </c>
      <c r="X818" s="15">
        <v>1525.68</v>
      </c>
      <c r="Y818" s="16">
        <v>84.759999999999991</v>
      </c>
      <c r="Z818" s="67" t="s">
        <v>140</v>
      </c>
      <c r="AA818" s="12" t="s">
        <v>78</v>
      </c>
    </row>
    <row r="819" spans="1:27" x14ac:dyDescent="0.25">
      <c r="A819" s="10">
        <v>45671</v>
      </c>
      <c r="B819" s="11" t="s">
        <v>2266</v>
      </c>
      <c r="C819" s="11" t="s">
        <v>2267</v>
      </c>
      <c r="D819" s="11" t="s">
        <v>26</v>
      </c>
      <c r="E819" s="11" t="s">
        <v>76</v>
      </c>
      <c r="F819" s="11" t="s">
        <v>26</v>
      </c>
      <c r="G819" s="11" t="s">
        <v>26</v>
      </c>
      <c r="H819" s="12" t="s">
        <v>4422</v>
      </c>
      <c r="I819" s="12" t="s">
        <v>27</v>
      </c>
      <c r="J819" s="12" t="s">
        <v>33</v>
      </c>
      <c r="K819" s="12" t="s">
        <v>34</v>
      </c>
      <c r="L819" s="13">
        <v>42.26</v>
      </c>
      <c r="M819" s="13">
        <v>29</v>
      </c>
      <c r="N819" s="13">
        <v>1.4572413793103449</v>
      </c>
      <c r="O819" s="13">
        <v>85</v>
      </c>
      <c r="P819" s="13" t="s">
        <v>30</v>
      </c>
      <c r="Q819" s="13">
        <v>0</v>
      </c>
      <c r="R819" s="14">
        <v>3592.1</v>
      </c>
      <c r="S819" s="15">
        <v>38</v>
      </c>
      <c r="T819" s="15">
        <v>1605.8799999999999</v>
      </c>
      <c r="U819" s="15">
        <v>1986.22</v>
      </c>
      <c r="V819" s="15">
        <v>1986.22</v>
      </c>
      <c r="W819" s="15">
        <v>0</v>
      </c>
      <c r="X819" s="15">
        <v>1563.62</v>
      </c>
      <c r="Y819" s="16">
        <v>42.259999999999991</v>
      </c>
      <c r="Z819" s="67" t="s">
        <v>41</v>
      </c>
      <c r="AA819" s="12" t="s">
        <v>78</v>
      </c>
    </row>
    <row r="820" spans="1:27" x14ac:dyDescent="0.25">
      <c r="A820" s="10">
        <v>45671</v>
      </c>
      <c r="B820" s="11" t="s">
        <v>466</v>
      </c>
      <c r="C820" s="11" t="s">
        <v>2268</v>
      </c>
      <c r="D820" s="11" t="s">
        <v>26</v>
      </c>
      <c r="E820" s="11" t="s">
        <v>46</v>
      </c>
      <c r="F820" s="11" t="s">
        <v>26</v>
      </c>
      <c r="G820" s="11">
        <v>111999</v>
      </c>
      <c r="H820" s="12" t="s">
        <v>4446</v>
      </c>
      <c r="I820" s="12" t="s">
        <v>27</v>
      </c>
      <c r="J820" s="12" t="s">
        <v>42</v>
      </c>
      <c r="K820" s="12" t="s">
        <v>43</v>
      </c>
      <c r="L820" s="13">
        <v>41.68</v>
      </c>
      <c r="M820" s="13">
        <v>25</v>
      </c>
      <c r="N820" s="13">
        <v>1.6672</v>
      </c>
      <c r="O820" s="13">
        <v>42</v>
      </c>
      <c r="P820" s="13" t="s">
        <v>30</v>
      </c>
      <c r="Q820" s="13">
        <v>0</v>
      </c>
      <c r="R820" s="15">
        <v>1750.56</v>
      </c>
      <c r="S820" s="15">
        <v>0</v>
      </c>
      <c r="T820" s="15">
        <v>0</v>
      </c>
      <c r="U820" s="15">
        <v>1750.56</v>
      </c>
      <c r="V820" s="15">
        <v>1750.56</v>
      </c>
      <c r="W820" s="15">
        <v>0</v>
      </c>
      <c r="X820" s="15">
        <v>0</v>
      </c>
      <c r="Y820" s="16">
        <v>0</v>
      </c>
      <c r="Z820" s="67" t="s">
        <v>26</v>
      </c>
      <c r="AA820" s="12" t="s">
        <v>31</v>
      </c>
    </row>
    <row r="821" spans="1:27" x14ac:dyDescent="0.25">
      <c r="A821" s="10">
        <v>45671</v>
      </c>
      <c r="B821" s="11" t="s">
        <v>2269</v>
      </c>
      <c r="C821" s="11" t="s">
        <v>2270</v>
      </c>
      <c r="D821" s="11" t="s">
        <v>26</v>
      </c>
      <c r="E821" s="11" t="s">
        <v>461</v>
      </c>
      <c r="F821" s="11" t="s">
        <v>26</v>
      </c>
      <c r="G821" s="11" t="s">
        <v>35</v>
      </c>
      <c r="H821" s="12" t="s">
        <v>36</v>
      </c>
      <c r="I821" s="12" t="s">
        <v>55</v>
      </c>
      <c r="J821" s="12" t="s">
        <v>55</v>
      </c>
      <c r="K821" s="12" t="s">
        <v>56</v>
      </c>
      <c r="L821" s="13">
        <v>27.78</v>
      </c>
      <c r="M821" s="13">
        <v>17</v>
      </c>
      <c r="N821" s="13">
        <v>1.6341176470588239</v>
      </c>
      <c r="O821" s="13">
        <v>20</v>
      </c>
      <c r="P821" s="13" t="s">
        <v>30</v>
      </c>
      <c r="Q821" s="13">
        <v>0</v>
      </c>
      <c r="R821" s="14">
        <v>555.6</v>
      </c>
      <c r="S821" s="15">
        <v>0</v>
      </c>
      <c r="T821" s="15">
        <v>0</v>
      </c>
      <c r="U821" s="15">
        <v>555.6</v>
      </c>
      <c r="V821" s="15">
        <v>0</v>
      </c>
      <c r="W821" s="15">
        <v>555.6</v>
      </c>
      <c r="X821" s="15">
        <v>0</v>
      </c>
      <c r="Y821" s="16">
        <v>0</v>
      </c>
      <c r="Z821" s="67" t="s">
        <v>26</v>
      </c>
      <c r="AA821" s="12" t="s">
        <v>31</v>
      </c>
    </row>
    <row r="822" spans="1:27" x14ac:dyDescent="0.25">
      <c r="A822" s="10">
        <v>45671</v>
      </c>
      <c r="B822" s="11" t="s">
        <v>1120</v>
      </c>
      <c r="C822" s="11" t="s">
        <v>2271</v>
      </c>
      <c r="D822" s="11" t="s">
        <v>26</v>
      </c>
      <c r="E822" s="11" t="s">
        <v>50</v>
      </c>
      <c r="F822" s="11" t="s">
        <v>26</v>
      </c>
      <c r="G822" s="11">
        <v>627</v>
      </c>
      <c r="H822" s="12" t="s">
        <v>163</v>
      </c>
      <c r="I822" s="12" t="s">
        <v>27</v>
      </c>
      <c r="J822" s="12" t="s">
        <v>42</v>
      </c>
      <c r="K822" s="12" t="s">
        <v>43</v>
      </c>
      <c r="L822" s="13">
        <v>40.72</v>
      </c>
      <c r="M822" s="13">
        <v>25</v>
      </c>
      <c r="N822" s="13">
        <v>1.6288</v>
      </c>
      <c r="O822" s="13" t="s">
        <v>30</v>
      </c>
      <c r="P822" s="13">
        <v>56</v>
      </c>
      <c r="Q822" s="13">
        <v>0</v>
      </c>
      <c r="R822" s="15">
        <v>1400</v>
      </c>
      <c r="S822" s="15">
        <v>0</v>
      </c>
      <c r="T822" s="15">
        <v>0</v>
      </c>
      <c r="U822" s="15">
        <v>1400</v>
      </c>
      <c r="V822" s="15">
        <v>0</v>
      </c>
      <c r="W822" s="15">
        <v>1400</v>
      </c>
      <c r="X822" s="15">
        <v>0</v>
      </c>
      <c r="Y822" s="16">
        <v>0</v>
      </c>
      <c r="Z822" s="67" t="s">
        <v>26</v>
      </c>
      <c r="AA822" s="12" t="s">
        <v>31</v>
      </c>
    </row>
    <row r="823" spans="1:27" x14ac:dyDescent="0.25">
      <c r="A823" s="10">
        <v>45671</v>
      </c>
      <c r="B823" s="11" t="s">
        <v>2272</v>
      </c>
      <c r="C823" s="11" t="s">
        <v>2273</v>
      </c>
      <c r="D823" s="11" t="s">
        <v>26</v>
      </c>
      <c r="E823" s="11" t="s">
        <v>593</v>
      </c>
      <c r="F823" s="11" t="s">
        <v>26</v>
      </c>
      <c r="G823" s="11">
        <v>59485</v>
      </c>
      <c r="H823" s="12" t="s">
        <v>4423</v>
      </c>
      <c r="I823" s="12" t="s">
        <v>27</v>
      </c>
      <c r="J823" s="12" t="s">
        <v>33</v>
      </c>
      <c r="K823" s="12" t="s">
        <v>34</v>
      </c>
      <c r="L823" s="13">
        <v>35.340000000000003</v>
      </c>
      <c r="M823" s="13">
        <v>25</v>
      </c>
      <c r="N823" s="13">
        <v>1.4136</v>
      </c>
      <c r="O823" s="13">
        <v>45</v>
      </c>
      <c r="P823" s="13" t="s">
        <v>30</v>
      </c>
      <c r="Q823" s="13">
        <v>0</v>
      </c>
      <c r="R823" s="14">
        <v>1590.3000000000002</v>
      </c>
      <c r="S823" s="15">
        <v>0</v>
      </c>
      <c r="T823" s="15">
        <v>0</v>
      </c>
      <c r="U823" s="15">
        <v>1590.3000000000002</v>
      </c>
      <c r="V823" s="15">
        <v>1590.3000000000002</v>
      </c>
      <c r="W823" s="15">
        <v>0</v>
      </c>
      <c r="X823" s="15">
        <v>0</v>
      </c>
      <c r="Y823" s="16">
        <v>0</v>
      </c>
      <c r="Z823" s="67" t="s">
        <v>26</v>
      </c>
      <c r="AA823" s="12" t="s">
        <v>31</v>
      </c>
    </row>
    <row r="824" spans="1:27" x14ac:dyDescent="0.25">
      <c r="A824" s="10">
        <v>45671</v>
      </c>
      <c r="B824" s="11" t="s">
        <v>2274</v>
      </c>
      <c r="C824" s="11" t="s">
        <v>2275</v>
      </c>
      <c r="D824" s="11" t="s">
        <v>26</v>
      </c>
      <c r="E824" s="11" t="s">
        <v>658</v>
      </c>
      <c r="F824" s="11" t="s">
        <v>26</v>
      </c>
      <c r="G824" s="11">
        <v>754</v>
      </c>
      <c r="H824" s="12" t="s">
        <v>141</v>
      </c>
      <c r="I824" s="12" t="s">
        <v>27</v>
      </c>
      <c r="J824" s="12" t="s">
        <v>33</v>
      </c>
      <c r="K824" s="12" t="s">
        <v>34</v>
      </c>
      <c r="L824" s="13">
        <v>39.340000000000003</v>
      </c>
      <c r="M824" s="13">
        <v>27</v>
      </c>
      <c r="N824" s="13">
        <v>1.4570370370370369</v>
      </c>
      <c r="O824" s="13">
        <v>40</v>
      </c>
      <c r="P824" s="13" t="s">
        <v>30</v>
      </c>
      <c r="Q824" s="13">
        <v>0</v>
      </c>
      <c r="R824" s="14">
        <v>1573.6000000000001</v>
      </c>
      <c r="S824" s="15">
        <v>0</v>
      </c>
      <c r="T824" s="15">
        <v>0</v>
      </c>
      <c r="U824" s="15">
        <v>1573.6000000000001</v>
      </c>
      <c r="V824" s="15">
        <v>0</v>
      </c>
      <c r="W824" s="15">
        <v>1573.6000000000001</v>
      </c>
      <c r="X824" s="15">
        <v>0</v>
      </c>
      <c r="Y824" s="16">
        <v>0</v>
      </c>
      <c r="Z824" s="67" t="s">
        <v>26</v>
      </c>
      <c r="AA824" s="12" t="s">
        <v>31</v>
      </c>
    </row>
    <row r="825" spans="1:27" x14ac:dyDescent="0.25">
      <c r="A825" s="10">
        <v>45671</v>
      </c>
      <c r="B825" s="11" t="s">
        <v>2276</v>
      </c>
      <c r="C825" s="11" t="s">
        <v>2277</v>
      </c>
      <c r="D825" s="11" t="s">
        <v>26</v>
      </c>
      <c r="E825" s="11" t="s">
        <v>244</v>
      </c>
      <c r="F825" s="11" t="s">
        <v>26</v>
      </c>
      <c r="G825" s="11">
        <v>755</v>
      </c>
      <c r="H825" s="12" t="s">
        <v>141</v>
      </c>
      <c r="I825" s="12" t="s">
        <v>27</v>
      </c>
      <c r="J825" s="12" t="s">
        <v>47</v>
      </c>
      <c r="K825" s="12" t="s">
        <v>48</v>
      </c>
      <c r="L825" s="13">
        <v>39.22</v>
      </c>
      <c r="M825" s="13">
        <v>27</v>
      </c>
      <c r="N825" s="13">
        <v>1.4525925925925931</v>
      </c>
      <c r="O825" s="13">
        <v>40</v>
      </c>
      <c r="P825" s="13" t="s">
        <v>30</v>
      </c>
      <c r="Q825" s="13">
        <v>0</v>
      </c>
      <c r="R825" s="14">
        <v>1568.8</v>
      </c>
      <c r="S825" s="15">
        <v>0</v>
      </c>
      <c r="T825" s="15">
        <v>0</v>
      </c>
      <c r="U825" s="15">
        <v>1568.8</v>
      </c>
      <c r="V825" s="15">
        <v>0</v>
      </c>
      <c r="W825" s="15">
        <v>1568.8</v>
      </c>
      <c r="X825" s="15">
        <v>0</v>
      </c>
      <c r="Y825" s="16">
        <v>0</v>
      </c>
      <c r="Z825" s="67" t="s">
        <v>26</v>
      </c>
      <c r="AA825" s="12" t="s">
        <v>31</v>
      </c>
    </row>
    <row r="826" spans="1:27" x14ac:dyDescent="0.25">
      <c r="A826" s="10">
        <v>45671</v>
      </c>
      <c r="B826" s="11" t="s">
        <v>2278</v>
      </c>
      <c r="C826" s="11" t="s">
        <v>2279</v>
      </c>
      <c r="D826" s="11" t="s">
        <v>26</v>
      </c>
      <c r="E826" s="11" t="s">
        <v>520</v>
      </c>
      <c r="F826" s="11" t="s">
        <v>26</v>
      </c>
      <c r="G826" s="11">
        <v>4369</v>
      </c>
      <c r="H826" s="12" t="s">
        <v>140</v>
      </c>
      <c r="I826" s="12" t="s">
        <v>27</v>
      </c>
      <c r="J826" s="12" t="s">
        <v>42</v>
      </c>
      <c r="K826" s="12" t="s">
        <v>43</v>
      </c>
      <c r="L826" s="13">
        <v>41.96</v>
      </c>
      <c r="M826" s="13">
        <v>25</v>
      </c>
      <c r="N826" s="13">
        <v>1.6783999999999999</v>
      </c>
      <c r="O826" s="13">
        <v>35</v>
      </c>
      <c r="P826" s="13"/>
      <c r="Q826" s="13">
        <v>0</v>
      </c>
      <c r="R826" s="15">
        <v>1468.6000000000001</v>
      </c>
      <c r="S826" s="15">
        <v>0</v>
      </c>
      <c r="T826" s="15">
        <v>0</v>
      </c>
      <c r="U826" s="15">
        <v>1468.6000000000001</v>
      </c>
      <c r="V826" s="15">
        <v>0</v>
      </c>
      <c r="W826" s="15">
        <v>1468.6000000000001</v>
      </c>
      <c r="X826" s="15">
        <v>0</v>
      </c>
      <c r="Y826" s="16">
        <v>0</v>
      </c>
      <c r="Z826" s="67" t="s">
        <v>26</v>
      </c>
      <c r="AA826" s="12" t="s">
        <v>31</v>
      </c>
    </row>
    <row r="827" spans="1:27" x14ac:dyDescent="0.25">
      <c r="A827" s="10">
        <v>45671</v>
      </c>
      <c r="B827" s="11" t="s">
        <v>2280</v>
      </c>
      <c r="C827" s="11" t="s">
        <v>2281</v>
      </c>
      <c r="D827" s="11" t="s">
        <v>26</v>
      </c>
      <c r="E827" s="11" t="s">
        <v>501</v>
      </c>
      <c r="F827" s="11" t="s">
        <v>26</v>
      </c>
      <c r="G827" s="11">
        <v>756</v>
      </c>
      <c r="H827" s="12" t="s">
        <v>141</v>
      </c>
      <c r="I827" s="12" t="s">
        <v>27</v>
      </c>
      <c r="J827" s="12" t="s">
        <v>42</v>
      </c>
      <c r="K827" s="12" t="s">
        <v>43</v>
      </c>
      <c r="L827" s="13">
        <v>43.3</v>
      </c>
      <c r="M827" s="13">
        <v>25</v>
      </c>
      <c r="N827" s="13">
        <v>1.732</v>
      </c>
      <c r="O827" s="13">
        <v>40</v>
      </c>
      <c r="P827" s="13" t="s">
        <v>30</v>
      </c>
      <c r="Q827" s="13">
        <v>0</v>
      </c>
      <c r="R827" s="15">
        <v>1732</v>
      </c>
      <c r="S827" s="15">
        <v>0</v>
      </c>
      <c r="T827" s="15">
        <v>0</v>
      </c>
      <c r="U827" s="15">
        <v>1732</v>
      </c>
      <c r="V827" s="15">
        <v>0</v>
      </c>
      <c r="W827" s="15">
        <v>1732</v>
      </c>
      <c r="X827" s="15">
        <v>0</v>
      </c>
      <c r="Y827" s="16">
        <v>0</v>
      </c>
      <c r="Z827" s="67" t="s">
        <v>26</v>
      </c>
      <c r="AA827" s="12" t="s">
        <v>31</v>
      </c>
    </row>
    <row r="828" spans="1:27" x14ac:dyDescent="0.25">
      <c r="A828" s="10">
        <v>45671</v>
      </c>
      <c r="B828" s="11" t="s">
        <v>2282</v>
      </c>
      <c r="C828" s="11" t="s">
        <v>2283</v>
      </c>
      <c r="D828" s="11" t="s">
        <v>26</v>
      </c>
      <c r="E828" s="11" t="s">
        <v>230</v>
      </c>
      <c r="F828" s="11" t="s">
        <v>26</v>
      </c>
      <c r="G828" s="11">
        <v>23128</v>
      </c>
      <c r="H828" s="12" t="s">
        <v>565</v>
      </c>
      <c r="I828" s="12" t="s">
        <v>27</v>
      </c>
      <c r="J828" s="12" t="s">
        <v>33</v>
      </c>
      <c r="K828" s="12" t="s">
        <v>34</v>
      </c>
      <c r="L828" s="13">
        <v>42.38</v>
      </c>
      <c r="M828" s="13">
        <v>29</v>
      </c>
      <c r="N828" s="13">
        <v>1.461379310344828</v>
      </c>
      <c r="O828" s="13"/>
      <c r="P828" s="13">
        <v>60</v>
      </c>
      <c r="Q828" s="13">
        <v>0</v>
      </c>
      <c r="R828" s="15">
        <v>1740</v>
      </c>
      <c r="S828" s="15">
        <v>0</v>
      </c>
      <c r="T828" s="15">
        <v>0</v>
      </c>
      <c r="U828" s="15">
        <v>1740</v>
      </c>
      <c r="V828" s="15">
        <v>0</v>
      </c>
      <c r="W828" s="15">
        <v>1740</v>
      </c>
      <c r="X828" s="15">
        <v>0</v>
      </c>
      <c r="Y828" s="16">
        <v>0</v>
      </c>
      <c r="Z828" s="67" t="s">
        <v>26</v>
      </c>
      <c r="AA828" s="12" t="s">
        <v>31</v>
      </c>
    </row>
    <row r="829" spans="1:27" x14ac:dyDescent="0.25">
      <c r="A829" s="10">
        <v>45671</v>
      </c>
      <c r="B829" s="11" t="s">
        <v>477</v>
      </c>
      <c r="C829" s="11" t="s">
        <v>2284</v>
      </c>
      <c r="D829" s="11" t="s">
        <v>26</v>
      </c>
      <c r="E829" s="11" t="s">
        <v>98</v>
      </c>
      <c r="F829" s="11" t="s">
        <v>26</v>
      </c>
      <c r="G829" s="11">
        <v>10137</v>
      </c>
      <c r="H829" s="12" t="s">
        <v>140</v>
      </c>
      <c r="I829" s="12" t="s">
        <v>27</v>
      </c>
      <c r="J829" s="12" t="s">
        <v>42</v>
      </c>
      <c r="K829" s="12" t="s">
        <v>43</v>
      </c>
      <c r="L829" s="13">
        <v>40.92</v>
      </c>
      <c r="M829" s="13">
        <v>25</v>
      </c>
      <c r="N829" s="13">
        <v>1.6368</v>
      </c>
      <c r="O829" s="13">
        <v>35</v>
      </c>
      <c r="P829" s="13"/>
      <c r="Q829" s="13">
        <v>0</v>
      </c>
      <c r="R829" s="15">
        <v>1432.2</v>
      </c>
      <c r="S829" s="15">
        <v>0</v>
      </c>
      <c r="T829" s="15">
        <v>0</v>
      </c>
      <c r="U829" s="15">
        <v>1432.2</v>
      </c>
      <c r="V829" s="15">
        <v>0</v>
      </c>
      <c r="W829" s="15">
        <v>1432.2</v>
      </c>
      <c r="X829" s="15">
        <v>0</v>
      </c>
      <c r="Y829" s="16">
        <v>0</v>
      </c>
      <c r="Z829" s="67" t="s">
        <v>26</v>
      </c>
      <c r="AA829" s="12" t="s">
        <v>31</v>
      </c>
    </row>
    <row r="830" spans="1:27" x14ac:dyDescent="0.25">
      <c r="A830" s="10">
        <v>45671</v>
      </c>
      <c r="B830" s="11" t="s">
        <v>336</v>
      </c>
      <c r="C830" s="11" t="s">
        <v>2285</v>
      </c>
      <c r="D830" s="11" t="s">
        <v>26</v>
      </c>
      <c r="E830" s="11" t="s">
        <v>431</v>
      </c>
      <c r="F830" s="11" t="s">
        <v>26</v>
      </c>
      <c r="G830" s="11">
        <v>140</v>
      </c>
      <c r="H830" s="12" t="s">
        <v>6328</v>
      </c>
      <c r="I830" s="12" t="s">
        <v>37</v>
      </c>
      <c r="J830" s="12" t="s">
        <v>85</v>
      </c>
      <c r="K830" s="12" t="s">
        <v>86</v>
      </c>
      <c r="L830" s="13">
        <v>37.4</v>
      </c>
      <c r="M830" s="13">
        <v>25</v>
      </c>
      <c r="N830" s="13">
        <v>1.496</v>
      </c>
      <c r="O830" s="13">
        <v>30</v>
      </c>
      <c r="P830" s="13"/>
      <c r="Q830" s="13">
        <v>0</v>
      </c>
      <c r="R830" s="15">
        <v>1122</v>
      </c>
      <c r="S830" s="15">
        <v>0</v>
      </c>
      <c r="T830" s="15">
        <v>0</v>
      </c>
      <c r="U830" s="15">
        <v>1122</v>
      </c>
      <c r="V830" s="15">
        <v>0</v>
      </c>
      <c r="W830" s="15">
        <v>1122</v>
      </c>
      <c r="X830" s="15">
        <v>0</v>
      </c>
      <c r="Y830" s="16">
        <v>0</v>
      </c>
      <c r="Z830" s="67" t="s">
        <v>26</v>
      </c>
      <c r="AA830" s="12" t="s">
        <v>31</v>
      </c>
    </row>
    <row r="831" spans="1:27" x14ac:dyDescent="0.25">
      <c r="A831" s="10">
        <v>45671</v>
      </c>
      <c r="B831" s="11" t="s">
        <v>2286</v>
      </c>
      <c r="C831" s="11" t="s">
        <v>2287</v>
      </c>
      <c r="D831" s="11" t="s">
        <v>26</v>
      </c>
      <c r="E831" s="11" t="s">
        <v>76</v>
      </c>
      <c r="F831" s="11" t="s">
        <v>26</v>
      </c>
      <c r="G831" s="11">
        <v>2231</v>
      </c>
      <c r="H831" s="12" t="s">
        <v>41</v>
      </c>
      <c r="I831" s="12" t="s">
        <v>27</v>
      </c>
      <c r="J831" s="12" t="s">
        <v>42</v>
      </c>
      <c r="K831" s="12" t="s">
        <v>43</v>
      </c>
      <c r="L831" s="13">
        <v>43.36</v>
      </c>
      <c r="M831" s="13">
        <v>25</v>
      </c>
      <c r="N831" s="13">
        <v>1.7343999999999999</v>
      </c>
      <c r="O831" s="13" t="s">
        <v>30</v>
      </c>
      <c r="P831" s="13">
        <v>64</v>
      </c>
      <c r="Q831" s="13">
        <v>0</v>
      </c>
      <c r="R831" s="15">
        <v>1600</v>
      </c>
      <c r="S831" s="15">
        <v>0</v>
      </c>
      <c r="T831" s="15">
        <v>0</v>
      </c>
      <c r="U831" s="15">
        <v>1600</v>
      </c>
      <c r="V831" s="15">
        <v>0</v>
      </c>
      <c r="W831" s="15">
        <v>1600</v>
      </c>
      <c r="X831" s="15">
        <v>0</v>
      </c>
      <c r="Y831" s="16">
        <v>0</v>
      </c>
      <c r="Z831" s="67" t="s">
        <v>26</v>
      </c>
      <c r="AA831" s="12" t="s">
        <v>31</v>
      </c>
    </row>
    <row r="832" spans="1:27" x14ac:dyDescent="0.25">
      <c r="A832" s="10">
        <v>45671</v>
      </c>
      <c r="B832" s="11" t="s">
        <v>2288</v>
      </c>
      <c r="C832" s="11" t="s">
        <v>2289</v>
      </c>
      <c r="D832" s="11" t="s">
        <v>26</v>
      </c>
      <c r="E832" s="11" t="s">
        <v>184</v>
      </c>
      <c r="F832" s="11" t="s">
        <v>26</v>
      </c>
      <c r="G832" s="11">
        <v>757</v>
      </c>
      <c r="H832" s="12" t="s">
        <v>141</v>
      </c>
      <c r="I832" s="12" t="s">
        <v>27</v>
      </c>
      <c r="J832" s="12" t="s">
        <v>33</v>
      </c>
      <c r="K832" s="12" t="s">
        <v>34</v>
      </c>
      <c r="L832" s="13">
        <v>36.520000000000003</v>
      </c>
      <c r="M832" s="13">
        <v>25</v>
      </c>
      <c r="N832" s="13">
        <v>1.4608000000000001</v>
      </c>
      <c r="O832" s="13">
        <v>40</v>
      </c>
      <c r="P832" s="13" t="s">
        <v>30</v>
      </c>
      <c r="Q832" s="13">
        <v>0</v>
      </c>
      <c r="R832" s="15">
        <v>1460.8000000000002</v>
      </c>
      <c r="S832" s="15">
        <v>0</v>
      </c>
      <c r="T832" s="15">
        <v>0</v>
      </c>
      <c r="U832" s="15">
        <v>1460.8000000000002</v>
      </c>
      <c r="V832" s="15">
        <v>0</v>
      </c>
      <c r="W832" s="15">
        <v>1460.8000000000002</v>
      </c>
      <c r="X832" s="15">
        <v>0</v>
      </c>
      <c r="Y832" s="16">
        <v>0</v>
      </c>
      <c r="Z832" s="67" t="s">
        <v>26</v>
      </c>
      <c r="AA832" s="12" t="s">
        <v>31</v>
      </c>
    </row>
    <row r="833" spans="1:27" x14ac:dyDescent="0.25">
      <c r="A833" s="10">
        <v>45671</v>
      </c>
      <c r="B833" s="11" t="s">
        <v>401</v>
      </c>
      <c r="C833" s="11" t="s">
        <v>2290</v>
      </c>
      <c r="D833" s="11" t="s">
        <v>26</v>
      </c>
      <c r="E833" s="11" t="s">
        <v>63</v>
      </c>
      <c r="F833" s="11" t="s">
        <v>26</v>
      </c>
      <c r="G833" s="11">
        <v>10164</v>
      </c>
      <c r="H833" s="12" t="s">
        <v>140</v>
      </c>
      <c r="I833" s="12" t="s">
        <v>27</v>
      </c>
      <c r="J833" s="12" t="s">
        <v>42</v>
      </c>
      <c r="K833" s="12" t="s">
        <v>43</v>
      </c>
      <c r="L833" s="13">
        <v>43.44</v>
      </c>
      <c r="M833" s="13">
        <v>25</v>
      </c>
      <c r="N833" s="13">
        <v>1.7376</v>
      </c>
      <c r="O833" s="13">
        <v>35</v>
      </c>
      <c r="P833" s="13"/>
      <c r="Q833" s="13">
        <v>0</v>
      </c>
      <c r="R833" s="15">
        <v>1520.3999999999999</v>
      </c>
      <c r="S833" s="15">
        <v>0</v>
      </c>
      <c r="T833" s="15">
        <v>0</v>
      </c>
      <c r="U833" s="15">
        <v>1520.3999999999999</v>
      </c>
      <c r="V833" s="15">
        <v>0</v>
      </c>
      <c r="W833" s="15">
        <v>1520.3999999999999</v>
      </c>
      <c r="X833" s="15">
        <v>0</v>
      </c>
      <c r="Y833" s="16">
        <v>0</v>
      </c>
      <c r="Z833" s="67" t="s">
        <v>26</v>
      </c>
      <c r="AA833" s="12" t="s">
        <v>31</v>
      </c>
    </row>
    <row r="834" spans="1:27" x14ac:dyDescent="0.25">
      <c r="A834" s="10">
        <v>45671</v>
      </c>
      <c r="B834" s="11" t="s">
        <v>319</v>
      </c>
      <c r="C834" s="11" t="s">
        <v>2291</v>
      </c>
      <c r="D834" s="11" t="s">
        <v>26</v>
      </c>
      <c r="E834" s="11" t="s">
        <v>486</v>
      </c>
      <c r="F834" s="11" t="s">
        <v>26</v>
      </c>
      <c r="G834" s="11">
        <v>72879</v>
      </c>
      <c r="H834" s="12" t="s">
        <v>4448</v>
      </c>
      <c r="I834" s="12" t="s">
        <v>27</v>
      </c>
      <c r="J834" s="12" t="s">
        <v>42</v>
      </c>
      <c r="K834" s="12" t="s">
        <v>43</v>
      </c>
      <c r="L834" s="13">
        <v>44.14</v>
      </c>
      <c r="M834" s="13">
        <v>25</v>
      </c>
      <c r="N834" s="13">
        <v>1.7656000000000001</v>
      </c>
      <c r="O834" s="13">
        <v>42.5</v>
      </c>
      <c r="P834" s="13" t="s">
        <v>30</v>
      </c>
      <c r="Q834" s="13">
        <v>0</v>
      </c>
      <c r="R834" s="14">
        <v>1875.95</v>
      </c>
      <c r="S834" s="15">
        <v>0</v>
      </c>
      <c r="T834" s="15">
        <v>0</v>
      </c>
      <c r="U834" s="15">
        <v>1875.95</v>
      </c>
      <c r="V834" s="15">
        <v>1406.9625000000001</v>
      </c>
      <c r="W834" s="15">
        <v>468.98749999999995</v>
      </c>
      <c r="X834" s="15">
        <v>0</v>
      </c>
      <c r="Y834" s="16">
        <v>0</v>
      </c>
      <c r="Z834" s="67" t="s">
        <v>26</v>
      </c>
      <c r="AA834" s="12" t="s">
        <v>31</v>
      </c>
    </row>
    <row r="835" spans="1:27" x14ac:dyDescent="0.25">
      <c r="A835" s="10">
        <v>45671</v>
      </c>
      <c r="B835" s="11" t="s">
        <v>2292</v>
      </c>
      <c r="C835" s="11" t="s">
        <v>2293</v>
      </c>
      <c r="D835" s="11" t="s">
        <v>26</v>
      </c>
      <c r="E835" s="11" t="s">
        <v>483</v>
      </c>
      <c r="F835" s="11" t="s">
        <v>26</v>
      </c>
      <c r="G835" s="11" t="s">
        <v>26</v>
      </c>
      <c r="H835" s="12" t="s">
        <v>4422</v>
      </c>
      <c r="I835" s="12" t="s">
        <v>27</v>
      </c>
      <c r="J835" s="12" t="s">
        <v>33</v>
      </c>
      <c r="K835" s="12" t="s">
        <v>34</v>
      </c>
      <c r="L835" s="13">
        <v>43.4</v>
      </c>
      <c r="M835" s="13">
        <v>30</v>
      </c>
      <c r="N835" s="13">
        <v>1.446666666666667</v>
      </c>
      <c r="O835" s="13">
        <v>85</v>
      </c>
      <c r="P835" s="13" t="s">
        <v>30</v>
      </c>
      <c r="Q835" s="13">
        <v>0</v>
      </c>
      <c r="R835" s="15">
        <v>3689</v>
      </c>
      <c r="S835" s="15">
        <v>38</v>
      </c>
      <c r="T835" s="15">
        <v>1649.2</v>
      </c>
      <c r="U835" s="15">
        <v>2039.8</v>
      </c>
      <c r="V835" s="15">
        <v>2039.8</v>
      </c>
      <c r="W835" s="15">
        <v>0</v>
      </c>
      <c r="X835" s="15">
        <v>1605.8</v>
      </c>
      <c r="Y835" s="16">
        <v>43.400000000000091</v>
      </c>
      <c r="Z835" s="67" t="s">
        <v>41</v>
      </c>
      <c r="AA835" s="12" t="s">
        <v>78</v>
      </c>
    </row>
    <row r="836" spans="1:27" x14ac:dyDescent="0.25">
      <c r="A836" s="10">
        <v>45671</v>
      </c>
      <c r="B836" s="11" t="s">
        <v>2005</v>
      </c>
      <c r="C836" s="11" t="s">
        <v>2294</v>
      </c>
      <c r="D836" s="11" t="s">
        <v>26</v>
      </c>
      <c r="E836" s="11" t="s">
        <v>69</v>
      </c>
      <c r="F836" s="11" t="s">
        <v>26</v>
      </c>
      <c r="G836" s="11">
        <v>4685</v>
      </c>
      <c r="H836" s="12" t="s">
        <v>70</v>
      </c>
      <c r="I836" s="12" t="s">
        <v>27</v>
      </c>
      <c r="J836" s="12" t="s">
        <v>42</v>
      </c>
      <c r="K836" s="12" t="s">
        <v>43</v>
      </c>
      <c r="L836" s="13">
        <v>44.66</v>
      </c>
      <c r="M836" s="13">
        <v>25</v>
      </c>
      <c r="N836" s="13">
        <v>1.7864</v>
      </c>
      <c r="O836" s="13" t="s">
        <v>30</v>
      </c>
      <c r="P836" s="13">
        <v>64</v>
      </c>
      <c r="Q836" s="13">
        <v>0</v>
      </c>
      <c r="R836" s="15">
        <v>1600</v>
      </c>
      <c r="S836" s="15">
        <v>0</v>
      </c>
      <c r="T836" s="15">
        <v>0</v>
      </c>
      <c r="U836" s="15">
        <v>1600</v>
      </c>
      <c r="V836" s="15">
        <v>0</v>
      </c>
      <c r="W836" s="15">
        <v>1600</v>
      </c>
      <c r="X836" s="15">
        <v>0</v>
      </c>
      <c r="Y836" s="16">
        <v>0</v>
      </c>
      <c r="Z836" s="67" t="s">
        <v>26</v>
      </c>
      <c r="AA836" s="12" t="s">
        <v>31</v>
      </c>
    </row>
    <row r="837" spans="1:27" x14ac:dyDescent="0.25">
      <c r="A837" s="10">
        <v>45671</v>
      </c>
      <c r="B837" s="11" t="s">
        <v>2295</v>
      </c>
      <c r="C837" s="11" t="s">
        <v>2296</v>
      </c>
      <c r="D837" s="11" t="s">
        <v>26</v>
      </c>
      <c r="E837" s="11" t="s">
        <v>53</v>
      </c>
      <c r="F837" s="11" t="s">
        <v>26</v>
      </c>
      <c r="G837" s="11" t="s">
        <v>26</v>
      </c>
      <c r="H837" s="12" t="s">
        <v>146</v>
      </c>
      <c r="I837" s="12" t="s">
        <v>27</v>
      </c>
      <c r="J837" s="12" t="s">
        <v>47</v>
      </c>
      <c r="K837" s="12" t="s">
        <v>48</v>
      </c>
      <c r="L837" s="13">
        <v>44.68</v>
      </c>
      <c r="M837" s="13">
        <v>30</v>
      </c>
      <c r="N837" s="13">
        <v>1.489333333333333</v>
      </c>
      <c r="O837" s="13">
        <v>91</v>
      </c>
      <c r="P837" s="13" t="s">
        <v>30</v>
      </c>
      <c r="Q837" s="13">
        <v>0</v>
      </c>
      <c r="R837" s="15">
        <v>4065.88</v>
      </c>
      <c r="S837" s="15">
        <v>40</v>
      </c>
      <c r="T837" s="15">
        <v>1787.2</v>
      </c>
      <c r="U837" s="15">
        <v>2278.6800000000003</v>
      </c>
      <c r="V837" s="15">
        <v>2278.6800000000003</v>
      </c>
      <c r="W837" s="15">
        <v>0</v>
      </c>
      <c r="X837" s="15">
        <v>1653.16</v>
      </c>
      <c r="Y837" s="16">
        <v>134.03999999999996</v>
      </c>
      <c r="Z837" s="67" t="s">
        <v>41</v>
      </c>
      <c r="AA837" s="12" t="s">
        <v>79</v>
      </c>
    </row>
    <row r="838" spans="1:27" x14ac:dyDescent="0.25">
      <c r="A838" s="10">
        <v>45671</v>
      </c>
      <c r="B838" s="11" t="s">
        <v>2297</v>
      </c>
      <c r="C838" s="11" t="s">
        <v>2298</v>
      </c>
      <c r="D838" s="11" t="s">
        <v>26</v>
      </c>
      <c r="E838" s="11" t="s">
        <v>604</v>
      </c>
      <c r="F838" s="11" t="s">
        <v>26</v>
      </c>
      <c r="G838" s="11">
        <v>758</v>
      </c>
      <c r="H838" s="12" t="s">
        <v>141</v>
      </c>
      <c r="I838" s="12" t="s">
        <v>27</v>
      </c>
      <c r="J838" s="12" t="s">
        <v>33</v>
      </c>
      <c r="K838" s="12" t="s">
        <v>34</v>
      </c>
      <c r="L838" s="13">
        <v>40.26</v>
      </c>
      <c r="M838" s="13">
        <v>28</v>
      </c>
      <c r="N838" s="13">
        <v>1.4378571428571429</v>
      </c>
      <c r="O838" s="13">
        <v>40</v>
      </c>
      <c r="P838" s="13" t="s">
        <v>30</v>
      </c>
      <c r="Q838" s="13">
        <v>0</v>
      </c>
      <c r="R838" s="15">
        <v>1610.3999999999999</v>
      </c>
      <c r="S838" s="15">
        <v>0</v>
      </c>
      <c r="T838" s="15">
        <v>0</v>
      </c>
      <c r="U838" s="15">
        <v>1610.3999999999999</v>
      </c>
      <c r="V838" s="15">
        <v>0</v>
      </c>
      <c r="W838" s="15">
        <v>1610.3999999999999</v>
      </c>
      <c r="X838" s="15">
        <v>0</v>
      </c>
      <c r="Y838" s="16">
        <v>0</v>
      </c>
      <c r="Z838" s="67" t="s">
        <v>26</v>
      </c>
      <c r="AA838" s="12" t="s">
        <v>31</v>
      </c>
    </row>
    <row r="839" spans="1:27" x14ac:dyDescent="0.25">
      <c r="A839" s="10">
        <v>45671</v>
      </c>
      <c r="B839" s="11" t="s">
        <v>323</v>
      </c>
      <c r="C839" s="11" t="s">
        <v>2299</v>
      </c>
      <c r="D839" s="11" t="s">
        <v>26</v>
      </c>
      <c r="E839" s="11" t="s">
        <v>100</v>
      </c>
      <c r="F839" s="11" t="s">
        <v>26</v>
      </c>
      <c r="G839" s="11">
        <v>21712</v>
      </c>
      <c r="H839" s="12" t="s">
        <v>4448</v>
      </c>
      <c r="I839" s="12" t="s">
        <v>27</v>
      </c>
      <c r="J839" s="12" t="s">
        <v>42</v>
      </c>
      <c r="K839" s="12" t="s">
        <v>43</v>
      </c>
      <c r="L839" s="13">
        <v>43.08</v>
      </c>
      <c r="M839" s="13">
        <v>25</v>
      </c>
      <c r="N839" s="13">
        <v>1.7232000000000001</v>
      </c>
      <c r="O839" s="13">
        <v>42.5</v>
      </c>
      <c r="P839" s="13" t="s">
        <v>30</v>
      </c>
      <c r="Q839" s="13">
        <v>0</v>
      </c>
      <c r="R839" s="15">
        <v>1830.8999999999999</v>
      </c>
      <c r="S839" s="15">
        <v>0</v>
      </c>
      <c r="T839" s="15">
        <v>0</v>
      </c>
      <c r="U839" s="15">
        <v>1830.8999999999999</v>
      </c>
      <c r="V839" s="15">
        <v>1373.175</v>
      </c>
      <c r="W839" s="15">
        <v>457.72499999999991</v>
      </c>
      <c r="X839" s="15">
        <v>0</v>
      </c>
      <c r="Y839" s="16">
        <v>0</v>
      </c>
      <c r="Z839" s="67" t="s">
        <v>26</v>
      </c>
      <c r="AA839" s="12" t="s">
        <v>31</v>
      </c>
    </row>
    <row r="840" spans="1:27" x14ac:dyDescent="0.25">
      <c r="A840" s="10">
        <v>45671</v>
      </c>
      <c r="B840" s="11" t="s">
        <v>2300</v>
      </c>
      <c r="C840" s="11" t="s">
        <v>2301</v>
      </c>
      <c r="D840" s="11" t="s">
        <v>26</v>
      </c>
      <c r="E840" s="11" t="s">
        <v>506</v>
      </c>
      <c r="F840" s="11" t="s">
        <v>26</v>
      </c>
      <c r="G840" s="11">
        <v>1511</v>
      </c>
      <c r="H840" s="12" t="s">
        <v>45</v>
      </c>
      <c r="I840" s="12" t="s">
        <v>27</v>
      </c>
      <c r="J840" s="12" t="s">
        <v>33</v>
      </c>
      <c r="K840" s="12" t="s">
        <v>34</v>
      </c>
      <c r="L840" s="13">
        <v>39.68</v>
      </c>
      <c r="M840" s="13">
        <v>25</v>
      </c>
      <c r="N840" s="13">
        <v>1.5871999999999999</v>
      </c>
      <c r="O840" s="13" t="s">
        <v>30</v>
      </c>
      <c r="P840" s="13">
        <v>58</v>
      </c>
      <c r="Q840" s="13">
        <v>0</v>
      </c>
      <c r="R840" s="14">
        <v>1450</v>
      </c>
      <c r="S840" s="15">
        <v>0</v>
      </c>
      <c r="T840" s="15">
        <v>0</v>
      </c>
      <c r="U840" s="15">
        <v>1450</v>
      </c>
      <c r="V840" s="15">
        <v>0</v>
      </c>
      <c r="W840" s="15">
        <v>1450</v>
      </c>
      <c r="X840" s="15">
        <v>0</v>
      </c>
      <c r="Y840" s="16">
        <v>0</v>
      </c>
      <c r="Z840" s="67" t="s">
        <v>26</v>
      </c>
      <c r="AA840" s="12" t="s">
        <v>31</v>
      </c>
    </row>
    <row r="841" spans="1:27" x14ac:dyDescent="0.25">
      <c r="A841" s="10">
        <v>45671</v>
      </c>
      <c r="B841" s="11" t="s">
        <v>2302</v>
      </c>
      <c r="C841" s="11" t="s">
        <v>2303</v>
      </c>
      <c r="D841" s="11" t="s">
        <v>26</v>
      </c>
      <c r="E841" s="11" t="s">
        <v>605</v>
      </c>
      <c r="F841" s="11" t="s">
        <v>26</v>
      </c>
      <c r="G841" s="11">
        <v>759</v>
      </c>
      <c r="H841" s="12" t="s">
        <v>141</v>
      </c>
      <c r="I841" s="12" t="s">
        <v>27</v>
      </c>
      <c r="J841" s="12" t="s">
        <v>47</v>
      </c>
      <c r="K841" s="12" t="s">
        <v>48</v>
      </c>
      <c r="L841" s="13">
        <v>39.880000000000003</v>
      </c>
      <c r="M841" s="13">
        <v>28</v>
      </c>
      <c r="N841" s="13">
        <v>1.4242857142857139</v>
      </c>
      <c r="O841" s="13">
        <v>40</v>
      </c>
      <c r="P841" s="13" t="s">
        <v>30</v>
      </c>
      <c r="Q841" s="13">
        <v>0</v>
      </c>
      <c r="R841" s="14">
        <v>1595.2</v>
      </c>
      <c r="S841" s="15">
        <v>0</v>
      </c>
      <c r="T841" s="15">
        <v>0</v>
      </c>
      <c r="U841" s="15">
        <v>1595.2</v>
      </c>
      <c r="V841" s="15">
        <v>0</v>
      </c>
      <c r="W841" s="15">
        <v>1595.2</v>
      </c>
      <c r="X841" s="16">
        <v>0</v>
      </c>
      <c r="Y841" s="16">
        <v>0</v>
      </c>
      <c r="Z841" s="67" t="s">
        <v>26</v>
      </c>
      <c r="AA841" s="12" t="s">
        <v>31</v>
      </c>
    </row>
    <row r="842" spans="1:27" x14ac:dyDescent="0.25">
      <c r="A842" s="10">
        <v>45671</v>
      </c>
      <c r="B842" s="11" t="s">
        <v>447</v>
      </c>
      <c r="C842" s="11" t="s">
        <v>2304</v>
      </c>
      <c r="D842" s="11" t="s">
        <v>26</v>
      </c>
      <c r="E842" s="11" t="s">
        <v>75</v>
      </c>
      <c r="F842" s="11" t="s">
        <v>26</v>
      </c>
      <c r="G842" s="11">
        <v>42008</v>
      </c>
      <c r="H842" s="12" t="s">
        <v>565</v>
      </c>
      <c r="I842" s="12" t="s">
        <v>55</v>
      </c>
      <c r="J842" s="12" t="s">
        <v>55</v>
      </c>
      <c r="K842" s="12" t="s">
        <v>56</v>
      </c>
      <c r="L842" s="13">
        <v>40.799999999999997</v>
      </c>
      <c r="M842" s="13">
        <v>25</v>
      </c>
      <c r="N842" s="13">
        <v>1.6319999999999999</v>
      </c>
      <c r="O842" s="13"/>
      <c r="P842" s="13">
        <v>24</v>
      </c>
      <c r="Q842" s="13">
        <v>0</v>
      </c>
      <c r="R842" s="15">
        <v>600</v>
      </c>
      <c r="S842" s="15">
        <v>0</v>
      </c>
      <c r="T842" s="15">
        <v>0</v>
      </c>
      <c r="U842" s="15">
        <v>600</v>
      </c>
      <c r="V842" s="15">
        <v>0</v>
      </c>
      <c r="W842" s="15">
        <v>600</v>
      </c>
      <c r="X842" s="15">
        <v>0</v>
      </c>
      <c r="Y842" s="16">
        <v>0</v>
      </c>
      <c r="Z842" s="67" t="s">
        <v>26</v>
      </c>
      <c r="AA842" s="12" t="s">
        <v>31</v>
      </c>
    </row>
    <row r="843" spans="1:27" x14ac:dyDescent="0.25">
      <c r="A843" s="10">
        <v>45671</v>
      </c>
      <c r="B843" s="11" t="s">
        <v>2305</v>
      </c>
      <c r="C843" s="11" t="s">
        <v>2306</v>
      </c>
      <c r="D843" s="11" t="s">
        <v>26</v>
      </c>
      <c r="E843" s="11" t="s">
        <v>589</v>
      </c>
      <c r="F843" s="11" t="s">
        <v>26</v>
      </c>
      <c r="G843" s="11">
        <v>4577</v>
      </c>
      <c r="H843" s="12" t="s">
        <v>4423</v>
      </c>
      <c r="I843" s="12" t="s">
        <v>27</v>
      </c>
      <c r="J843" s="12" t="s">
        <v>33</v>
      </c>
      <c r="K843" s="12" t="s">
        <v>34</v>
      </c>
      <c r="L843" s="13">
        <v>32.04</v>
      </c>
      <c r="M843" s="13">
        <v>25</v>
      </c>
      <c r="N843" s="13">
        <v>1.2816000000000001</v>
      </c>
      <c r="O843" s="13">
        <v>45</v>
      </c>
      <c r="P843" s="13" t="s">
        <v>30</v>
      </c>
      <c r="Q843" s="13">
        <v>0</v>
      </c>
      <c r="R843" s="15">
        <v>1441.8</v>
      </c>
      <c r="S843" s="15">
        <v>0</v>
      </c>
      <c r="T843" s="15">
        <v>0</v>
      </c>
      <c r="U843" s="15">
        <v>1441.8</v>
      </c>
      <c r="V843" s="15">
        <v>1441.8</v>
      </c>
      <c r="W843" s="15">
        <v>0</v>
      </c>
      <c r="X843" s="15">
        <v>0</v>
      </c>
      <c r="Y843" s="16">
        <v>0</v>
      </c>
      <c r="Z843" s="67" t="s">
        <v>26</v>
      </c>
      <c r="AA843" s="12" t="s">
        <v>31</v>
      </c>
    </row>
    <row r="844" spans="1:27" x14ac:dyDescent="0.25">
      <c r="A844" s="10">
        <v>45671</v>
      </c>
      <c r="B844" s="11" t="s">
        <v>2307</v>
      </c>
      <c r="C844" s="11" t="s">
        <v>2308</v>
      </c>
      <c r="D844" s="11" t="s">
        <v>26</v>
      </c>
      <c r="E844" s="11" t="s">
        <v>224</v>
      </c>
      <c r="F844" s="11" t="s">
        <v>26</v>
      </c>
      <c r="G844" s="11">
        <v>57848</v>
      </c>
      <c r="H844" s="12" t="s">
        <v>4423</v>
      </c>
      <c r="I844" s="12" t="s">
        <v>27</v>
      </c>
      <c r="J844" s="12" t="s">
        <v>33</v>
      </c>
      <c r="K844" s="12" t="s">
        <v>34</v>
      </c>
      <c r="L844" s="13">
        <v>34.659999999999997</v>
      </c>
      <c r="M844" s="13">
        <v>25</v>
      </c>
      <c r="N844" s="13">
        <v>1.3864000000000001</v>
      </c>
      <c r="O844" s="13">
        <v>45</v>
      </c>
      <c r="P844" s="13" t="s">
        <v>30</v>
      </c>
      <c r="Q844" s="13">
        <v>0</v>
      </c>
      <c r="R844" s="14">
        <v>1559.6999999999998</v>
      </c>
      <c r="S844" s="15">
        <v>0</v>
      </c>
      <c r="T844" s="15">
        <v>0</v>
      </c>
      <c r="U844" s="15">
        <v>1559.6999999999998</v>
      </c>
      <c r="V844" s="15">
        <v>1559.6999999999998</v>
      </c>
      <c r="W844" s="15">
        <v>0</v>
      </c>
      <c r="X844" s="15">
        <v>0</v>
      </c>
      <c r="Y844" s="16">
        <v>0</v>
      </c>
      <c r="Z844" s="67" t="s">
        <v>26</v>
      </c>
      <c r="AA844" s="12" t="s">
        <v>31</v>
      </c>
    </row>
    <row r="845" spans="1:27" x14ac:dyDescent="0.25">
      <c r="A845" s="10">
        <v>45671</v>
      </c>
      <c r="B845" s="11" t="s">
        <v>2309</v>
      </c>
      <c r="C845" s="11" t="s">
        <v>2310</v>
      </c>
      <c r="D845" s="11" t="s">
        <v>26</v>
      </c>
      <c r="E845" s="11" t="s">
        <v>230</v>
      </c>
      <c r="F845" s="11" t="s">
        <v>26</v>
      </c>
      <c r="G845" s="11">
        <v>23129</v>
      </c>
      <c r="H845" s="12" t="s">
        <v>565</v>
      </c>
      <c r="I845" s="12" t="s">
        <v>55</v>
      </c>
      <c r="J845" s="12" t="s">
        <v>566</v>
      </c>
      <c r="K845" s="12" t="s">
        <v>550</v>
      </c>
      <c r="L845" s="13">
        <v>40.46</v>
      </c>
      <c r="M845" s="13">
        <v>25</v>
      </c>
      <c r="N845" s="13">
        <v>1.6184000000000001</v>
      </c>
      <c r="O845" s="13">
        <v>25</v>
      </c>
      <c r="P845" s="13" t="s">
        <v>30</v>
      </c>
      <c r="Q845" s="13">
        <v>0</v>
      </c>
      <c r="R845" s="15">
        <v>1011.5</v>
      </c>
      <c r="S845" s="15">
        <v>0</v>
      </c>
      <c r="T845" s="15">
        <v>0</v>
      </c>
      <c r="U845" s="15">
        <v>1011.5</v>
      </c>
      <c r="V845" s="15">
        <v>0</v>
      </c>
      <c r="W845" s="15">
        <v>1011.5</v>
      </c>
      <c r="X845" s="15">
        <v>0</v>
      </c>
      <c r="Y845" s="16">
        <v>0</v>
      </c>
      <c r="Z845" s="67" t="s">
        <v>26</v>
      </c>
      <c r="AA845" s="12" t="s">
        <v>31</v>
      </c>
    </row>
    <row r="846" spans="1:27" x14ac:dyDescent="0.25">
      <c r="A846" s="10">
        <v>45671</v>
      </c>
      <c r="B846" s="11" t="s">
        <v>2311</v>
      </c>
      <c r="C846" s="11" t="s">
        <v>2312</v>
      </c>
      <c r="D846" s="11" t="s">
        <v>26</v>
      </c>
      <c r="E846" s="11" t="s">
        <v>570</v>
      </c>
      <c r="F846" s="11" t="s">
        <v>26</v>
      </c>
      <c r="G846" s="11">
        <v>10323</v>
      </c>
      <c r="H846" s="12" t="s">
        <v>140</v>
      </c>
      <c r="I846" s="12" t="s">
        <v>27</v>
      </c>
      <c r="J846" s="12" t="s">
        <v>33</v>
      </c>
      <c r="K846" s="12" t="s">
        <v>34</v>
      </c>
      <c r="L846" s="13">
        <v>41.8</v>
      </c>
      <c r="M846" s="13">
        <v>29</v>
      </c>
      <c r="N846" s="13">
        <v>1.441379310344828</v>
      </c>
      <c r="O846" s="13">
        <v>40</v>
      </c>
      <c r="P846" s="13"/>
      <c r="Q846" s="13">
        <v>0</v>
      </c>
      <c r="R846" s="15">
        <v>1672</v>
      </c>
      <c r="S846" s="15">
        <v>0</v>
      </c>
      <c r="T846" s="15">
        <v>0</v>
      </c>
      <c r="U846" s="15">
        <v>1672</v>
      </c>
      <c r="V846" s="15">
        <v>0</v>
      </c>
      <c r="W846" s="15">
        <v>1672</v>
      </c>
      <c r="X846" s="15">
        <v>0</v>
      </c>
      <c r="Y846" s="16">
        <v>0</v>
      </c>
      <c r="Z846" s="67" t="s">
        <v>26</v>
      </c>
      <c r="AA846" s="12" t="s">
        <v>31</v>
      </c>
    </row>
    <row r="847" spans="1:27" x14ac:dyDescent="0.25">
      <c r="A847" s="10">
        <v>45671</v>
      </c>
      <c r="B847" s="11" t="s">
        <v>2313</v>
      </c>
      <c r="C847" s="11" t="s">
        <v>2314</v>
      </c>
      <c r="D847" s="11" t="s">
        <v>26</v>
      </c>
      <c r="E847" s="11" t="s">
        <v>483</v>
      </c>
      <c r="F847" s="11" t="s">
        <v>26</v>
      </c>
      <c r="G847" s="11">
        <v>2141</v>
      </c>
      <c r="H847" s="12" t="s">
        <v>41</v>
      </c>
      <c r="I847" s="12" t="s">
        <v>55</v>
      </c>
      <c r="J847" s="12" t="s">
        <v>566</v>
      </c>
      <c r="K847" s="12" t="s">
        <v>550</v>
      </c>
      <c r="L847" s="13">
        <v>39.68</v>
      </c>
      <c r="M847" s="13">
        <v>24</v>
      </c>
      <c r="N847" s="13">
        <v>1.6533333333333331</v>
      </c>
      <c r="O847" s="13">
        <v>25</v>
      </c>
      <c r="P847" s="13"/>
      <c r="Q847" s="13">
        <v>0</v>
      </c>
      <c r="R847" s="14">
        <v>992</v>
      </c>
      <c r="S847" s="15">
        <v>0</v>
      </c>
      <c r="T847" s="15">
        <v>0</v>
      </c>
      <c r="U847" s="15">
        <v>992</v>
      </c>
      <c r="V847" s="15">
        <v>0</v>
      </c>
      <c r="W847" s="15">
        <v>992</v>
      </c>
      <c r="X847" s="15">
        <v>0</v>
      </c>
      <c r="Y847" s="16">
        <v>0</v>
      </c>
      <c r="Z847" s="67" t="s">
        <v>26</v>
      </c>
      <c r="AA847" s="12" t="s">
        <v>31</v>
      </c>
    </row>
    <row r="848" spans="1:27" x14ac:dyDescent="0.25">
      <c r="A848" s="10">
        <v>45671</v>
      </c>
      <c r="B848" s="11" t="s">
        <v>2315</v>
      </c>
      <c r="C848" s="11" t="s">
        <v>2316</v>
      </c>
      <c r="D848" s="11" t="s">
        <v>26</v>
      </c>
      <c r="E848" s="11" t="s">
        <v>50</v>
      </c>
      <c r="F848" s="11" t="s">
        <v>26</v>
      </c>
      <c r="G848" s="11">
        <v>628</v>
      </c>
      <c r="H848" s="12" t="s">
        <v>163</v>
      </c>
      <c r="I848" s="12" t="s">
        <v>27</v>
      </c>
      <c r="J848" s="12" t="s">
        <v>47</v>
      </c>
      <c r="K848" s="12" t="s">
        <v>48</v>
      </c>
      <c r="L848" s="13">
        <v>37.979999999999997</v>
      </c>
      <c r="M848" s="13">
        <v>25</v>
      </c>
      <c r="N848" s="13">
        <v>1.5192000000000001</v>
      </c>
      <c r="O848" s="13" t="s">
        <v>30</v>
      </c>
      <c r="P848" s="13">
        <v>58</v>
      </c>
      <c r="Q848" s="13">
        <v>0</v>
      </c>
      <c r="R848" s="14">
        <v>1450</v>
      </c>
      <c r="S848" s="15">
        <v>0</v>
      </c>
      <c r="T848" s="15">
        <v>0</v>
      </c>
      <c r="U848" s="15">
        <v>1450</v>
      </c>
      <c r="V848" s="15">
        <v>0</v>
      </c>
      <c r="W848" s="15">
        <v>1450</v>
      </c>
      <c r="X848" s="15">
        <v>0</v>
      </c>
      <c r="Y848" s="16">
        <v>0</v>
      </c>
      <c r="Z848" s="67" t="s">
        <v>26</v>
      </c>
      <c r="AA848" s="12" t="s">
        <v>31</v>
      </c>
    </row>
    <row r="849" spans="1:27" x14ac:dyDescent="0.25">
      <c r="A849" s="10">
        <v>45671</v>
      </c>
      <c r="B849" s="11" t="s">
        <v>2317</v>
      </c>
      <c r="C849" s="11" t="s">
        <v>2318</v>
      </c>
      <c r="D849" s="11" t="s">
        <v>26</v>
      </c>
      <c r="E849" s="11" t="s">
        <v>80</v>
      </c>
      <c r="F849" s="11" t="s">
        <v>26</v>
      </c>
      <c r="G849" s="11">
        <v>10295</v>
      </c>
      <c r="H849" s="12" t="s">
        <v>140</v>
      </c>
      <c r="I849" s="12" t="s">
        <v>27</v>
      </c>
      <c r="J849" s="12" t="s">
        <v>33</v>
      </c>
      <c r="K849" s="12" t="s">
        <v>34</v>
      </c>
      <c r="L849" s="13">
        <v>42.08</v>
      </c>
      <c r="M849" s="13">
        <v>29</v>
      </c>
      <c r="N849" s="13">
        <v>1.451034482758621</v>
      </c>
      <c r="O849" s="13">
        <v>40</v>
      </c>
      <c r="P849" s="13"/>
      <c r="Q849" s="13">
        <v>0</v>
      </c>
      <c r="R849" s="14">
        <v>1683.1999999999998</v>
      </c>
      <c r="S849" s="15">
        <v>0</v>
      </c>
      <c r="T849" s="15">
        <v>0</v>
      </c>
      <c r="U849" s="15">
        <v>1683.1999999999998</v>
      </c>
      <c r="V849" s="15">
        <v>0</v>
      </c>
      <c r="W849" s="15">
        <v>1683.1999999999998</v>
      </c>
      <c r="X849" s="16">
        <v>0</v>
      </c>
      <c r="Y849" s="16">
        <v>0</v>
      </c>
      <c r="Z849" s="67" t="s">
        <v>26</v>
      </c>
      <c r="AA849" s="12" t="s">
        <v>31</v>
      </c>
    </row>
    <row r="850" spans="1:27" x14ac:dyDescent="0.25">
      <c r="A850" s="10">
        <v>45671</v>
      </c>
      <c r="B850" s="11" t="s">
        <v>2319</v>
      </c>
      <c r="C850" s="11" t="s">
        <v>2320</v>
      </c>
      <c r="D850" s="11" t="s">
        <v>26</v>
      </c>
      <c r="E850" s="11" t="s">
        <v>53</v>
      </c>
      <c r="F850" s="11" t="s">
        <v>26</v>
      </c>
      <c r="G850" s="11">
        <v>2399</v>
      </c>
      <c r="H850" s="12" t="s">
        <v>41</v>
      </c>
      <c r="I850" s="12" t="s">
        <v>55</v>
      </c>
      <c r="J850" s="12" t="s">
        <v>55</v>
      </c>
      <c r="K850" s="12" t="s">
        <v>56</v>
      </c>
      <c r="L850" s="13">
        <v>41.24</v>
      </c>
      <c r="M850" s="13">
        <v>25</v>
      </c>
      <c r="N850" s="13">
        <v>1.6496</v>
      </c>
      <c r="O850" s="13" t="s">
        <v>30</v>
      </c>
      <c r="P850" s="13">
        <v>24</v>
      </c>
      <c r="Q850" s="13">
        <v>0</v>
      </c>
      <c r="R850" s="15">
        <v>600</v>
      </c>
      <c r="S850" s="15">
        <v>0</v>
      </c>
      <c r="T850" s="15">
        <v>0</v>
      </c>
      <c r="U850" s="15">
        <v>600</v>
      </c>
      <c r="V850" s="15">
        <v>0</v>
      </c>
      <c r="W850" s="15">
        <v>600</v>
      </c>
      <c r="X850" s="15">
        <v>0</v>
      </c>
      <c r="Y850" s="16">
        <v>0</v>
      </c>
      <c r="Z850" s="67" t="s">
        <v>26</v>
      </c>
      <c r="AA850" s="12" t="s">
        <v>31</v>
      </c>
    </row>
    <row r="851" spans="1:27" x14ac:dyDescent="0.25">
      <c r="A851" s="10">
        <v>45671</v>
      </c>
      <c r="B851" s="11" t="s">
        <v>2321</v>
      </c>
      <c r="C851" s="11" t="s">
        <v>2322</v>
      </c>
      <c r="D851" s="11" t="s">
        <v>26</v>
      </c>
      <c r="E851" s="11" t="s">
        <v>57</v>
      </c>
      <c r="F851" s="11" t="s">
        <v>26</v>
      </c>
      <c r="G851" s="11">
        <v>2726</v>
      </c>
      <c r="H851" s="12" t="s">
        <v>41</v>
      </c>
      <c r="I851" s="12" t="s">
        <v>27</v>
      </c>
      <c r="J851" s="12" t="s">
        <v>33</v>
      </c>
      <c r="K851" s="12" t="s">
        <v>34</v>
      </c>
      <c r="L851" s="13">
        <v>37.700000000000003</v>
      </c>
      <c r="M851" s="13">
        <v>25</v>
      </c>
      <c r="N851" s="13">
        <v>1.508</v>
      </c>
      <c r="O851" s="13" t="s">
        <v>30</v>
      </c>
      <c r="P851" s="13">
        <v>60</v>
      </c>
      <c r="Q851" s="13">
        <v>0</v>
      </c>
      <c r="R851" s="15">
        <v>1500</v>
      </c>
      <c r="S851" s="15">
        <v>0</v>
      </c>
      <c r="T851" s="15">
        <v>0</v>
      </c>
      <c r="U851" s="15">
        <v>1500</v>
      </c>
      <c r="V851" s="15">
        <v>0</v>
      </c>
      <c r="W851" s="15">
        <v>1500</v>
      </c>
      <c r="X851" s="15">
        <v>0</v>
      </c>
      <c r="Y851" s="16">
        <v>0</v>
      </c>
      <c r="Z851" s="67" t="s">
        <v>26</v>
      </c>
      <c r="AA851" s="12" t="s">
        <v>31</v>
      </c>
    </row>
    <row r="852" spans="1:27" x14ac:dyDescent="0.25">
      <c r="A852" s="10">
        <v>45672</v>
      </c>
      <c r="B852" s="11" t="s">
        <v>2323</v>
      </c>
      <c r="C852" s="11" t="s">
        <v>2324</v>
      </c>
      <c r="D852" s="11" t="s">
        <v>26</v>
      </c>
      <c r="E852" s="11" t="s">
        <v>99</v>
      </c>
      <c r="F852" s="11" t="s">
        <v>26</v>
      </c>
      <c r="G852" s="11">
        <v>57982</v>
      </c>
      <c r="H852" s="12" t="s">
        <v>4423</v>
      </c>
      <c r="I852" s="12" t="s">
        <v>27</v>
      </c>
      <c r="J852" s="12" t="s">
        <v>47</v>
      </c>
      <c r="K852" s="12" t="s">
        <v>48</v>
      </c>
      <c r="L852" s="13">
        <v>37.82</v>
      </c>
      <c r="M852" s="13">
        <v>25</v>
      </c>
      <c r="N852" s="13">
        <v>1.5127999999999999</v>
      </c>
      <c r="O852" s="13">
        <v>46</v>
      </c>
      <c r="P852" s="13" t="s">
        <v>30</v>
      </c>
      <c r="Q852" s="13">
        <v>0</v>
      </c>
      <c r="R852" s="15">
        <v>1739.72</v>
      </c>
      <c r="S852" s="15">
        <v>0</v>
      </c>
      <c r="T852" s="15">
        <v>0</v>
      </c>
      <c r="U852" s="15">
        <v>1739.72</v>
      </c>
      <c r="V852" s="15">
        <v>1739.72</v>
      </c>
      <c r="W852" s="15">
        <v>0</v>
      </c>
      <c r="X852" s="15">
        <v>0</v>
      </c>
      <c r="Y852" s="16">
        <v>0</v>
      </c>
      <c r="Z852" s="67" t="s">
        <v>26</v>
      </c>
      <c r="AA852" s="12" t="s">
        <v>31</v>
      </c>
    </row>
    <row r="853" spans="1:27" x14ac:dyDescent="0.25">
      <c r="A853" s="10">
        <v>45672</v>
      </c>
      <c r="B853" s="11" t="s">
        <v>2325</v>
      </c>
      <c r="C853" s="11" t="s">
        <v>2326</v>
      </c>
      <c r="D853" s="11" t="s">
        <v>26</v>
      </c>
      <c r="E853" s="11" t="s">
        <v>100</v>
      </c>
      <c r="F853" s="11" t="s">
        <v>26</v>
      </c>
      <c r="G853" s="11">
        <v>21714</v>
      </c>
      <c r="H853" s="12" t="s">
        <v>4448</v>
      </c>
      <c r="I853" s="12" t="s">
        <v>27</v>
      </c>
      <c r="J853" s="12" t="s">
        <v>47</v>
      </c>
      <c r="K853" s="12" t="s">
        <v>48</v>
      </c>
      <c r="L853" s="13">
        <v>37.22</v>
      </c>
      <c r="M853" s="13">
        <v>25</v>
      </c>
      <c r="N853" s="13">
        <v>1.4887999999999999</v>
      </c>
      <c r="O853" s="13">
        <v>46.66</v>
      </c>
      <c r="P853" s="13" t="s">
        <v>30</v>
      </c>
      <c r="Q853" s="13">
        <v>0</v>
      </c>
      <c r="R853" s="15">
        <v>1736.6851999999999</v>
      </c>
      <c r="S853" s="15">
        <v>0</v>
      </c>
      <c r="T853" s="15">
        <v>0</v>
      </c>
      <c r="U853" s="15">
        <v>1736.6851999999999</v>
      </c>
      <c r="V853" s="15">
        <v>1302.5138999999999</v>
      </c>
      <c r="W853" s="15">
        <v>434.17129999999997</v>
      </c>
      <c r="X853" s="15">
        <v>0</v>
      </c>
      <c r="Y853" s="16">
        <v>0</v>
      </c>
      <c r="Z853" s="67" t="s">
        <v>26</v>
      </c>
      <c r="AA853" s="12" t="s">
        <v>31</v>
      </c>
    </row>
    <row r="854" spans="1:27" x14ac:dyDescent="0.25">
      <c r="A854" s="10">
        <v>45672</v>
      </c>
      <c r="B854" s="11" t="s">
        <v>549</v>
      </c>
      <c r="C854" s="11" t="s">
        <v>2327</v>
      </c>
      <c r="D854" s="11" t="s">
        <v>26</v>
      </c>
      <c r="E854" s="11" t="s">
        <v>431</v>
      </c>
      <c r="F854" s="11" t="s">
        <v>26</v>
      </c>
      <c r="G854" s="11">
        <v>141</v>
      </c>
      <c r="H854" s="12" t="s">
        <v>6328</v>
      </c>
      <c r="I854" s="12" t="s">
        <v>37</v>
      </c>
      <c r="J854" s="12" t="s">
        <v>85</v>
      </c>
      <c r="K854" s="12" t="s">
        <v>86</v>
      </c>
      <c r="L854" s="13">
        <v>35.22</v>
      </c>
      <c r="M854" s="13">
        <v>25</v>
      </c>
      <c r="N854" s="13">
        <v>1.4088000000000001</v>
      </c>
      <c r="O854" s="13">
        <v>30</v>
      </c>
      <c r="P854" s="13"/>
      <c r="Q854" s="13">
        <v>0</v>
      </c>
      <c r="R854" s="15">
        <v>1056.5999999999999</v>
      </c>
      <c r="S854" s="15">
        <v>0</v>
      </c>
      <c r="T854" s="15">
        <v>0</v>
      </c>
      <c r="U854" s="15">
        <v>1056.5999999999999</v>
      </c>
      <c r="V854" s="15">
        <v>0</v>
      </c>
      <c r="W854" s="15">
        <v>1056.5999999999999</v>
      </c>
      <c r="X854" s="15">
        <v>0</v>
      </c>
      <c r="Y854" s="16">
        <v>0</v>
      </c>
      <c r="Z854" s="67" t="s">
        <v>26</v>
      </c>
      <c r="AA854" s="12" t="s">
        <v>31</v>
      </c>
    </row>
    <row r="855" spans="1:27" x14ac:dyDescent="0.25">
      <c r="A855" s="10">
        <v>45672</v>
      </c>
      <c r="B855" s="11" t="s">
        <v>554</v>
      </c>
      <c r="C855" s="11" t="s">
        <v>2328</v>
      </c>
      <c r="D855" s="11" t="s">
        <v>26</v>
      </c>
      <c r="E855" s="11" t="s">
        <v>552</v>
      </c>
      <c r="F855" s="11" t="s">
        <v>26</v>
      </c>
      <c r="G855" s="11">
        <v>69112</v>
      </c>
      <c r="H855" s="12" t="s">
        <v>4423</v>
      </c>
      <c r="I855" s="12" t="s">
        <v>27</v>
      </c>
      <c r="J855" s="12" t="s">
        <v>33</v>
      </c>
      <c r="K855" s="12" t="s">
        <v>34</v>
      </c>
      <c r="L855" s="13">
        <v>33.14</v>
      </c>
      <c r="M855" s="13">
        <v>25</v>
      </c>
      <c r="N855" s="13">
        <v>1.3256000000000001</v>
      </c>
      <c r="O855" s="13">
        <v>45</v>
      </c>
      <c r="P855" s="13" t="s">
        <v>30</v>
      </c>
      <c r="Q855" s="13">
        <v>0</v>
      </c>
      <c r="R855" s="15">
        <v>1491.3</v>
      </c>
      <c r="S855" s="15">
        <v>0</v>
      </c>
      <c r="T855" s="15">
        <v>0</v>
      </c>
      <c r="U855" s="15">
        <v>1491.3</v>
      </c>
      <c r="V855" s="15">
        <v>1491.3</v>
      </c>
      <c r="W855" s="15">
        <v>0</v>
      </c>
      <c r="X855" s="15">
        <v>0</v>
      </c>
      <c r="Y855" s="16">
        <v>0</v>
      </c>
      <c r="Z855" s="67" t="s">
        <v>26</v>
      </c>
      <c r="AA855" s="12" t="s">
        <v>31</v>
      </c>
    </row>
    <row r="856" spans="1:27" x14ac:dyDescent="0.25">
      <c r="A856" s="10">
        <v>45672</v>
      </c>
      <c r="B856" s="11" t="s">
        <v>2329</v>
      </c>
      <c r="C856" s="11" t="s">
        <v>2330</v>
      </c>
      <c r="D856" s="11" t="s">
        <v>26</v>
      </c>
      <c r="E856" s="11" t="s">
        <v>68</v>
      </c>
      <c r="F856" s="11" t="s">
        <v>26</v>
      </c>
      <c r="G856" s="11">
        <v>76356</v>
      </c>
      <c r="H856" s="12" t="s">
        <v>4448</v>
      </c>
      <c r="I856" s="12" t="s">
        <v>27</v>
      </c>
      <c r="J856" s="12" t="s">
        <v>47</v>
      </c>
      <c r="K856" s="12" t="s">
        <v>48</v>
      </c>
      <c r="L856" s="13">
        <v>38.56</v>
      </c>
      <c r="M856" s="13">
        <v>25</v>
      </c>
      <c r="N856" s="13">
        <v>1.5424</v>
      </c>
      <c r="O856" s="13">
        <v>46.66</v>
      </c>
      <c r="P856" s="13" t="s">
        <v>30</v>
      </c>
      <c r="Q856" s="13">
        <v>0</v>
      </c>
      <c r="R856" s="15">
        <v>1799.2095999999999</v>
      </c>
      <c r="S856" s="15">
        <v>0</v>
      </c>
      <c r="T856" s="15">
        <v>0</v>
      </c>
      <c r="U856" s="15">
        <v>1799.2095999999999</v>
      </c>
      <c r="V856" s="15">
        <v>1349.4071999999999</v>
      </c>
      <c r="W856" s="15">
        <v>449.80240000000003</v>
      </c>
      <c r="X856" s="15">
        <v>0</v>
      </c>
      <c r="Y856" s="16">
        <v>0</v>
      </c>
      <c r="Z856" s="67" t="s">
        <v>26</v>
      </c>
      <c r="AA856" s="12" t="s">
        <v>31</v>
      </c>
    </row>
    <row r="857" spans="1:27" x14ac:dyDescent="0.25">
      <c r="A857" s="10">
        <v>45672</v>
      </c>
      <c r="B857" s="11" t="s">
        <v>2331</v>
      </c>
      <c r="C857" s="11" t="s">
        <v>2332</v>
      </c>
      <c r="D857" s="11" t="s">
        <v>26</v>
      </c>
      <c r="E857" s="11" t="s">
        <v>501</v>
      </c>
      <c r="F857" s="11" t="s">
        <v>26</v>
      </c>
      <c r="G857" s="11" t="s">
        <v>26</v>
      </c>
      <c r="H857" s="12" t="s">
        <v>4422</v>
      </c>
      <c r="I857" s="12" t="s">
        <v>27</v>
      </c>
      <c r="J857" s="12" t="s">
        <v>33</v>
      </c>
      <c r="K857" s="12" t="s">
        <v>34</v>
      </c>
      <c r="L857" s="13">
        <v>44.06</v>
      </c>
      <c r="M857" s="13">
        <v>30</v>
      </c>
      <c r="N857" s="13">
        <v>1.4686666666666668</v>
      </c>
      <c r="O857" s="13">
        <v>85</v>
      </c>
      <c r="P857" s="13" t="s">
        <v>30</v>
      </c>
      <c r="Q857" s="13">
        <v>0</v>
      </c>
      <c r="R857" s="15">
        <v>3745.1000000000004</v>
      </c>
      <c r="S857" s="15">
        <v>38</v>
      </c>
      <c r="T857" s="15">
        <v>1674.2800000000002</v>
      </c>
      <c r="U857" s="15">
        <v>2070.8200000000002</v>
      </c>
      <c r="V857" s="15">
        <v>2070.8200000000002</v>
      </c>
      <c r="W857" s="15">
        <v>0</v>
      </c>
      <c r="X857" s="15">
        <v>1586.16</v>
      </c>
      <c r="Y857" s="16">
        <v>88.120000000000118</v>
      </c>
      <c r="Z857" s="67" t="s">
        <v>141</v>
      </c>
      <c r="AA857" s="12" t="s">
        <v>78</v>
      </c>
    </row>
    <row r="858" spans="1:27" x14ac:dyDescent="0.25">
      <c r="A858" s="10">
        <v>45672</v>
      </c>
      <c r="B858" s="11" t="s">
        <v>2333</v>
      </c>
      <c r="C858" s="11" t="s">
        <v>2334</v>
      </c>
      <c r="D858" s="11" t="s">
        <v>26</v>
      </c>
      <c r="E858" s="11" t="s">
        <v>50</v>
      </c>
      <c r="F858" s="11" t="s">
        <v>26</v>
      </c>
      <c r="G858" s="11">
        <v>629</v>
      </c>
      <c r="H858" s="12" t="s">
        <v>163</v>
      </c>
      <c r="I858" s="12" t="s">
        <v>27</v>
      </c>
      <c r="J858" s="12" t="s">
        <v>33</v>
      </c>
      <c r="K858" s="12" t="s">
        <v>34</v>
      </c>
      <c r="L858" s="13">
        <v>36.76</v>
      </c>
      <c r="M858" s="13">
        <v>25</v>
      </c>
      <c r="N858" s="13">
        <v>1.4703999999999999</v>
      </c>
      <c r="O858" s="13" t="s">
        <v>30</v>
      </c>
      <c r="P858" s="13">
        <v>58</v>
      </c>
      <c r="Q858" s="13">
        <v>0</v>
      </c>
      <c r="R858" s="14">
        <v>1450</v>
      </c>
      <c r="S858" s="15">
        <v>0</v>
      </c>
      <c r="T858" s="15">
        <v>0</v>
      </c>
      <c r="U858" s="15">
        <v>1450</v>
      </c>
      <c r="V858" s="15">
        <v>0</v>
      </c>
      <c r="W858" s="15">
        <v>1450</v>
      </c>
      <c r="X858" s="15">
        <v>0</v>
      </c>
      <c r="Y858" s="16">
        <v>0</v>
      </c>
      <c r="Z858" s="67" t="s">
        <v>26</v>
      </c>
      <c r="AA858" s="12" t="s">
        <v>31</v>
      </c>
    </row>
    <row r="859" spans="1:27" x14ac:dyDescent="0.25">
      <c r="A859" s="10">
        <v>45672</v>
      </c>
      <c r="B859" s="11" t="s">
        <v>2335</v>
      </c>
      <c r="C859" s="11" t="s">
        <v>2336</v>
      </c>
      <c r="D859" s="11" t="s">
        <v>26</v>
      </c>
      <c r="E859" s="11" t="s">
        <v>2109</v>
      </c>
      <c r="F859" s="11" t="s">
        <v>26</v>
      </c>
      <c r="G859" s="11" t="s">
        <v>26</v>
      </c>
      <c r="H859" s="12" t="s">
        <v>4422</v>
      </c>
      <c r="I859" s="12" t="s">
        <v>27</v>
      </c>
      <c r="J859" s="12" t="s">
        <v>42</v>
      </c>
      <c r="K859" s="12" t="s">
        <v>43</v>
      </c>
      <c r="L859" s="13">
        <v>44.26</v>
      </c>
      <c r="M859" s="13">
        <v>25</v>
      </c>
      <c r="N859" s="13">
        <v>1.7704</v>
      </c>
      <c r="O859" s="13">
        <v>83</v>
      </c>
      <c r="P859" s="13" t="s">
        <v>30</v>
      </c>
      <c r="Q859" s="13">
        <v>0</v>
      </c>
      <c r="R859" s="15">
        <v>3673.58</v>
      </c>
      <c r="S859" s="15">
        <v>38</v>
      </c>
      <c r="T859" s="15">
        <v>1681.8799999999999</v>
      </c>
      <c r="U859" s="15">
        <v>1991.7</v>
      </c>
      <c r="V859" s="15">
        <v>1991.7</v>
      </c>
      <c r="W859" s="15">
        <v>0</v>
      </c>
      <c r="X859" s="15">
        <v>1593.36</v>
      </c>
      <c r="Y859" s="16">
        <v>88.519999999999982</v>
      </c>
      <c r="Z859" s="67" t="s">
        <v>140</v>
      </c>
      <c r="AA859" s="12" t="s">
        <v>78</v>
      </c>
    </row>
    <row r="860" spans="1:27" x14ac:dyDescent="0.25">
      <c r="A860" s="10">
        <v>45672</v>
      </c>
      <c r="B860" s="11" t="s">
        <v>2337</v>
      </c>
      <c r="C860" s="11" t="s">
        <v>2338</v>
      </c>
      <c r="D860" s="11" t="s">
        <v>26</v>
      </c>
      <c r="E860" s="11" t="s">
        <v>180</v>
      </c>
      <c r="F860" s="11" t="s">
        <v>26</v>
      </c>
      <c r="G860" s="11" t="s">
        <v>35</v>
      </c>
      <c r="H860" s="12" t="s">
        <v>36</v>
      </c>
      <c r="I860" s="12" t="s">
        <v>55</v>
      </c>
      <c r="J860" s="12" t="s">
        <v>55</v>
      </c>
      <c r="K860" s="12" t="s">
        <v>56</v>
      </c>
      <c r="L860" s="13">
        <v>15.04</v>
      </c>
      <c r="M860" s="13">
        <v>10</v>
      </c>
      <c r="N860" s="13">
        <v>1.504</v>
      </c>
      <c r="O860" s="13">
        <v>20</v>
      </c>
      <c r="P860" s="13" t="s">
        <v>30</v>
      </c>
      <c r="Q860" s="13">
        <v>0</v>
      </c>
      <c r="R860" s="15">
        <v>300.79999999999995</v>
      </c>
      <c r="S860" s="15">
        <v>0</v>
      </c>
      <c r="T860" s="15">
        <v>0</v>
      </c>
      <c r="U860" s="15">
        <v>300.79999999999995</v>
      </c>
      <c r="V860" s="15">
        <v>0</v>
      </c>
      <c r="W860" s="15">
        <v>300.79999999999995</v>
      </c>
      <c r="X860" s="15">
        <v>0</v>
      </c>
      <c r="Y860" s="16">
        <v>0</v>
      </c>
      <c r="Z860" s="67" t="s">
        <v>26</v>
      </c>
      <c r="AA860" s="12" t="s">
        <v>31</v>
      </c>
    </row>
    <row r="861" spans="1:27" x14ac:dyDescent="0.25">
      <c r="A861" s="10">
        <v>45672</v>
      </c>
      <c r="B861" s="11" t="s">
        <v>232</v>
      </c>
      <c r="C861" s="11" t="s">
        <v>2339</v>
      </c>
      <c r="D861" s="11" t="s">
        <v>26</v>
      </c>
      <c r="E861" s="11" t="s">
        <v>53</v>
      </c>
      <c r="F861" s="11" t="s">
        <v>26</v>
      </c>
      <c r="G861" s="11" t="s">
        <v>26</v>
      </c>
      <c r="H861" s="12" t="s">
        <v>4422</v>
      </c>
      <c r="I861" s="12" t="s">
        <v>27</v>
      </c>
      <c r="J861" s="12" t="s">
        <v>33</v>
      </c>
      <c r="K861" s="12" t="s">
        <v>34</v>
      </c>
      <c r="L861" s="13">
        <v>42.98</v>
      </c>
      <c r="M861" s="13">
        <v>30</v>
      </c>
      <c r="N861" s="13">
        <v>1.4326666666666665</v>
      </c>
      <c r="O861" s="13">
        <v>85</v>
      </c>
      <c r="P861" s="13" t="s">
        <v>30</v>
      </c>
      <c r="Q861" s="13">
        <v>0</v>
      </c>
      <c r="R861" s="14">
        <v>3653.2999999999997</v>
      </c>
      <c r="S861" s="15">
        <v>38</v>
      </c>
      <c r="T861" s="15">
        <v>1633.2399999999998</v>
      </c>
      <c r="U861" s="15">
        <v>2020.06</v>
      </c>
      <c r="V861" s="15">
        <v>2020.06</v>
      </c>
      <c r="W861" s="15">
        <v>0</v>
      </c>
      <c r="X861" s="15">
        <v>1590.26</v>
      </c>
      <c r="Y861" s="16">
        <v>42.979999999999791</v>
      </c>
      <c r="Z861" s="67" t="s">
        <v>41</v>
      </c>
      <c r="AA861" s="12" t="s">
        <v>78</v>
      </c>
    </row>
    <row r="862" spans="1:27" x14ac:dyDescent="0.25">
      <c r="A862" s="10">
        <v>45672</v>
      </c>
      <c r="B862" s="11" t="s">
        <v>2340</v>
      </c>
      <c r="C862" s="11" t="s">
        <v>2341</v>
      </c>
      <c r="D862" s="11" t="s">
        <v>26</v>
      </c>
      <c r="E862" s="11" t="s">
        <v>371</v>
      </c>
      <c r="F862" s="11" t="s">
        <v>26</v>
      </c>
      <c r="G862" s="11" t="s">
        <v>35</v>
      </c>
      <c r="H862" s="12" t="s">
        <v>36</v>
      </c>
      <c r="I862" s="12" t="s">
        <v>55</v>
      </c>
      <c r="J862" s="12" t="s">
        <v>55</v>
      </c>
      <c r="K862" s="12" t="s">
        <v>56</v>
      </c>
      <c r="L862" s="13">
        <v>13.44</v>
      </c>
      <c r="M862" s="13">
        <v>10</v>
      </c>
      <c r="N862" s="13">
        <v>1.3439999999999999</v>
      </c>
      <c r="O862" s="13">
        <v>20</v>
      </c>
      <c r="P862" s="13" t="s">
        <v>30</v>
      </c>
      <c r="Q862" s="13">
        <v>0</v>
      </c>
      <c r="R862" s="15">
        <v>268.8</v>
      </c>
      <c r="S862" s="15">
        <v>0</v>
      </c>
      <c r="T862" s="15">
        <v>0</v>
      </c>
      <c r="U862" s="15">
        <v>268.8</v>
      </c>
      <c r="V862" s="15">
        <v>0</v>
      </c>
      <c r="W862" s="15">
        <v>268.8</v>
      </c>
      <c r="X862" s="15">
        <v>0</v>
      </c>
      <c r="Y862" s="16">
        <v>0</v>
      </c>
      <c r="Z862" s="67" t="s">
        <v>26</v>
      </c>
      <c r="AA862" s="12" t="s">
        <v>31</v>
      </c>
    </row>
    <row r="863" spans="1:27" x14ac:dyDescent="0.25">
      <c r="A863" s="10">
        <v>45672</v>
      </c>
      <c r="B863" s="11" t="s">
        <v>441</v>
      </c>
      <c r="C863" s="11" t="s">
        <v>2342</v>
      </c>
      <c r="D863" s="11" t="s">
        <v>26</v>
      </c>
      <c r="E863" s="11" t="s">
        <v>559</v>
      </c>
      <c r="F863" s="11" t="s">
        <v>26</v>
      </c>
      <c r="G863" s="11">
        <v>2564</v>
      </c>
      <c r="H863" s="12" t="s">
        <v>41</v>
      </c>
      <c r="I863" s="12" t="s">
        <v>55</v>
      </c>
      <c r="J863" s="12" t="s">
        <v>55</v>
      </c>
      <c r="K863" s="12" t="s">
        <v>56</v>
      </c>
      <c r="L863" s="13">
        <v>31.62</v>
      </c>
      <c r="M863" s="13">
        <v>20</v>
      </c>
      <c r="N863" s="13">
        <v>1.581</v>
      </c>
      <c r="O863" s="13" t="s">
        <v>30</v>
      </c>
      <c r="P863" s="13">
        <v>24</v>
      </c>
      <c r="Q863" s="13">
        <v>0</v>
      </c>
      <c r="R863" s="15">
        <v>480</v>
      </c>
      <c r="S863" s="15">
        <v>0</v>
      </c>
      <c r="T863" s="15">
        <v>0</v>
      </c>
      <c r="U863" s="15">
        <v>480</v>
      </c>
      <c r="V863" s="15">
        <v>0</v>
      </c>
      <c r="W863" s="15">
        <v>480</v>
      </c>
      <c r="X863" s="15">
        <v>0</v>
      </c>
      <c r="Y863" s="16">
        <v>0</v>
      </c>
      <c r="Z863" s="67" t="s">
        <v>26</v>
      </c>
      <c r="AA863" s="12" t="s">
        <v>31</v>
      </c>
    </row>
    <row r="864" spans="1:27" x14ac:dyDescent="0.25">
      <c r="A864" s="10">
        <v>45672</v>
      </c>
      <c r="B864" s="11" t="s">
        <v>545</v>
      </c>
      <c r="C864" s="11" t="s">
        <v>2343</v>
      </c>
      <c r="D864" s="11" t="s">
        <v>26</v>
      </c>
      <c r="E864" s="11" t="s">
        <v>49</v>
      </c>
      <c r="F864" s="11" t="s">
        <v>26</v>
      </c>
      <c r="G864" s="11">
        <v>1554</v>
      </c>
      <c r="H864" s="12" t="s">
        <v>45</v>
      </c>
      <c r="I864" s="12" t="s">
        <v>27</v>
      </c>
      <c r="J864" s="12" t="s">
        <v>33</v>
      </c>
      <c r="K864" s="12" t="s">
        <v>34</v>
      </c>
      <c r="L864" s="13">
        <v>39.619999999999997</v>
      </c>
      <c r="M864" s="13">
        <v>25</v>
      </c>
      <c r="N864" s="13">
        <v>1.5848</v>
      </c>
      <c r="O864" s="13" t="s">
        <v>30</v>
      </c>
      <c r="P864" s="13">
        <v>58</v>
      </c>
      <c r="Q864" s="13">
        <v>0</v>
      </c>
      <c r="R864" s="15">
        <v>1450</v>
      </c>
      <c r="S864" s="15">
        <v>0</v>
      </c>
      <c r="T864" s="15">
        <v>0</v>
      </c>
      <c r="U864" s="15">
        <v>1450</v>
      </c>
      <c r="V864" s="15">
        <v>0</v>
      </c>
      <c r="W864" s="15">
        <v>1450</v>
      </c>
      <c r="X864" s="15">
        <v>0</v>
      </c>
      <c r="Y864" s="16">
        <v>0</v>
      </c>
      <c r="Z864" s="67" t="s">
        <v>26</v>
      </c>
      <c r="AA864" s="12" t="s">
        <v>31</v>
      </c>
    </row>
    <row r="865" spans="1:27" x14ac:dyDescent="0.25">
      <c r="A865" s="10">
        <v>45672</v>
      </c>
      <c r="B865" s="11" t="s">
        <v>438</v>
      </c>
      <c r="C865" s="11" t="s">
        <v>2344</v>
      </c>
      <c r="D865" s="11" t="s">
        <v>26</v>
      </c>
      <c r="E865" s="11" t="s">
        <v>604</v>
      </c>
      <c r="F865" s="11" t="s">
        <v>26</v>
      </c>
      <c r="G865" s="11" t="s">
        <v>26</v>
      </c>
      <c r="H865" s="12" t="s">
        <v>4422</v>
      </c>
      <c r="I865" s="12" t="s">
        <v>27</v>
      </c>
      <c r="J865" s="12" t="s">
        <v>42</v>
      </c>
      <c r="K865" s="12" t="s">
        <v>43</v>
      </c>
      <c r="L865" s="13">
        <v>43.14</v>
      </c>
      <c r="M865" s="13">
        <v>25</v>
      </c>
      <c r="N865" s="13">
        <v>1.7256</v>
      </c>
      <c r="O865" s="13">
        <v>83</v>
      </c>
      <c r="P865" s="13" t="s">
        <v>30</v>
      </c>
      <c r="Q865" s="13">
        <v>0</v>
      </c>
      <c r="R865" s="14">
        <v>3580.62</v>
      </c>
      <c r="S865" s="15">
        <v>38</v>
      </c>
      <c r="T865" s="15">
        <v>1639.32</v>
      </c>
      <c r="U865" s="15">
        <v>1941.3</v>
      </c>
      <c r="V865" s="15">
        <v>1941.3</v>
      </c>
      <c r="W865" s="15">
        <v>0</v>
      </c>
      <c r="X865" s="15">
        <v>1553.04</v>
      </c>
      <c r="Y865" s="16">
        <v>86.279999999999973</v>
      </c>
      <c r="Z865" s="67" t="s">
        <v>141</v>
      </c>
      <c r="AA865" s="12" t="s">
        <v>78</v>
      </c>
    </row>
    <row r="866" spans="1:27" x14ac:dyDescent="0.25">
      <c r="A866" s="10">
        <v>45672</v>
      </c>
      <c r="B866" s="11" t="s">
        <v>2345</v>
      </c>
      <c r="C866" s="11" t="s">
        <v>2346</v>
      </c>
      <c r="D866" s="11" t="s">
        <v>26</v>
      </c>
      <c r="E866" s="11" t="s">
        <v>44</v>
      </c>
      <c r="F866" s="11" t="s">
        <v>26</v>
      </c>
      <c r="G866" s="11">
        <v>1560</v>
      </c>
      <c r="H866" s="12" t="s">
        <v>45</v>
      </c>
      <c r="I866" s="12" t="s">
        <v>27</v>
      </c>
      <c r="J866" s="12" t="s">
        <v>42</v>
      </c>
      <c r="K866" s="12" t="s">
        <v>43</v>
      </c>
      <c r="L866" s="13">
        <v>44.22</v>
      </c>
      <c r="M866" s="13">
        <v>25</v>
      </c>
      <c r="N866" s="13">
        <v>1.7687999999999999</v>
      </c>
      <c r="O866" s="13" t="s">
        <v>30</v>
      </c>
      <c r="P866" s="13">
        <v>62</v>
      </c>
      <c r="Q866" s="13">
        <v>0</v>
      </c>
      <c r="R866" s="15">
        <v>1550</v>
      </c>
      <c r="S866" s="15">
        <v>0</v>
      </c>
      <c r="T866" s="15">
        <v>0</v>
      </c>
      <c r="U866" s="15">
        <v>1550</v>
      </c>
      <c r="V866" s="15">
        <v>0</v>
      </c>
      <c r="W866" s="15">
        <v>1550</v>
      </c>
      <c r="X866" s="15">
        <v>0</v>
      </c>
      <c r="Y866" s="16">
        <v>0</v>
      </c>
      <c r="Z866" s="67" t="s">
        <v>26</v>
      </c>
      <c r="AA866" s="12" t="s">
        <v>31</v>
      </c>
    </row>
    <row r="867" spans="1:27" x14ac:dyDescent="0.25">
      <c r="A867" s="10">
        <v>45672</v>
      </c>
      <c r="B867" s="11" t="s">
        <v>564</v>
      </c>
      <c r="C867" s="11" t="s">
        <v>2347</v>
      </c>
      <c r="D867" s="11" t="s">
        <v>26</v>
      </c>
      <c r="E867" s="11" t="s">
        <v>57</v>
      </c>
      <c r="F867" s="11" t="s">
        <v>26</v>
      </c>
      <c r="G867" s="11" t="s">
        <v>26</v>
      </c>
      <c r="H867" s="12" t="s">
        <v>4422</v>
      </c>
      <c r="I867" s="12" t="s">
        <v>27</v>
      </c>
      <c r="J867" s="12" t="s">
        <v>42</v>
      </c>
      <c r="K867" s="12" t="s">
        <v>43</v>
      </c>
      <c r="L867" s="13">
        <v>43.28</v>
      </c>
      <c r="M867" s="13">
        <v>25</v>
      </c>
      <c r="N867" s="13">
        <v>1.7312000000000001</v>
      </c>
      <c r="O867" s="13">
        <v>83</v>
      </c>
      <c r="P867" s="13" t="s">
        <v>30</v>
      </c>
      <c r="Q867" s="13">
        <v>0</v>
      </c>
      <c r="R867" s="15">
        <v>3592.2400000000002</v>
      </c>
      <c r="S867" s="15">
        <v>38</v>
      </c>
      <c r="T867" s="15">
        <v>1644.64</v>
      </c>
      <c r="U867" s="15">
        <v>1947.6000000000001</v>
      </c>
      <c r="V867" s="15">
        <v>1947.6000000000001</v>
      </c>
      <c r="W867" s="15">
        <v>0</v>
      </c>
      <c r="X867" s="15">
        <v>1601.3600000000001</v>
      </c>
      <c r="Y867" s="16">
        <v>43.279999999999973</v>
      </c>
      <c r="Z867" s="67" t="s">
        <v>41</v>
      </c>
      <c r="AA867" s="12" t="s">
        <v>78</v>
      </c>
    </row>
    <row r="868" spans="1:27" x14ac:dyDescent="0.25">
      <c r="A868" s="10">
        <v>45672</v>
      </c>
      <c r="B868" s="11" t="s">
        <v>535</v>
      </c>
      <c r="C868" s="11" t="s">
        <v>2348</v>
      </c>
      <c r="D868" s="11" t="s">
        <v>26</v>
      </c>
      <c r="E868" s="11" t="s">
        <v>98</v>
      </c>
      <c r="F868" s="11" t="s">
        <v>26</v>
      </c>
      <c r="G868" s="11" t="s">
        <v>26</v>
      </c>
      <c r="H868" s="12" t="s">
        <v>4422</v>
      </c>
      <c r="I868" s="12" t="s">
        <v>27</v>
      </c>
      <c r="J868" s="12" t="s">
        <v>33</v>
      </c>
      <c r="K868" s="12" t="s">
        <v>34</v>
      </c>
      <c r="L868" s="13">
        <v>43.38</v>
      </c>
      <c r="M868" s="13">
        <v>30</v>
      </c>
      <c r="N868" s="13">
        <v>1.4460000000000002</v>
      </c>
      <c r="O868" s="13">
        <v>85</v>
      </c>
      <c r="P868" s="13" t="s">
        <v>30</v>
      </c>
      <c r="Q868" s="13">
        <v>0</v>
      </c>
      <c r="R868" s="15">
        <v>3687.3</v>
      </c>
      <c r="S868" s="15">
        <v>38</v>
      </c>
      <c r="T868" s="15">
        <v>1648.44</v>
      </c>
      <c r="U868" s="15">
        <v>2038.8600000000001</v>
      </c>
      <c r="V868" s="15">
        <v>2038.8600000000001</v>
      </c>
      <c r="W868" s="15">
        <v>0</v>
      </c>
      <c r="X868" s="15">
        <v>1561.68</v>
      </c>
      <c r="Y868" s="16">
        <v>86.759999999999991</v>
      </c>
      <c r="Z868" s="67" t="s">
        <v>140</v>
      </c>
      <c r="AA868" s="12" t="s">
        <v>78</v>
      </c>
    </row>
    <row r="869" spans="1:27" x14ac:dyDescent="0.25">
      <c r="A869" s="10">
        <v>45672</v>
      </c>
      <c r="B869" s="11" t="s">
        <v>2349</v>
      </c>
      <c r="C869" s="11" t="s">
        <v>2350</v>
      </c>
      <c r="D869" s="11" t="s">
        <v>26</v>
      </c>
      <c r="E869" s="11" t="s">
        <v>520</v>
      </c>
      <c r="F869" s="11" t="s">
        <v>26</v>
      </c>
      <c r="G869" s="11" t="s">
        <v>26</v>
      </c>
      <c r="H869" s="12" t="s">
        <v>4422</v>
      </c>
      <c r="I869" s="12" t="s">
        <v>27</v>
      </c>
      <c r="J869" s="12" t="s">
        <v>33</v>
      </c>
      <c r="K869" s="12" t="s">
        <v>34</v>
      </c>
      <c r="L869" s="13">
        <v>42.38</v>
      </c>
      <c r="M869" s="13">
        <v>29</v>
      </c>
      <c r="N869" s="13">
        <v>1.4613793103448276</v>
      </c>
      <c r="O869" s="13">
        <v>85</v>
      </c>
      <c r="P869" s="13" t="s">
        <v>30</v>
      </c>
      <c r="Q869" s="13">
        <v>0</v>
      </c>
      <c r="R869" s="15">
        <v>3602.3</v>
      </c>
      <c r="S869" s="15">
        <v>38</v>
      </c>
      <c r="T869" s="15">
        <v>1610.44</v>
      </c>
      <c r="U869" s="15">
        <v>1991.8600000000001</v>
      </c>
      <c r="V869" s="15">
        <v>1991.8600000000001</v>
      </c>
      <c r="W869" s="15">
        <v>0</v>
      </c>
      <c r="X869" s="15">
        <v>1525.68</v>
      </c>
      <c r="Y869" s="16">
        <v>84.759999999999991</v>
      </c>
      <c r="Z869" s="67" t="s">
        <v>140</v>
      </c>
      <c r="AA869" s="12" t="s">
        <v>78</v>
      </c>
    </row>
    <row r="870" spans="1:27" x14ac:dyDescent="0.25">
      <c r="A870" s="10">
        <v>45672</v>
      </c>
      <c r="B870" s="11" t="s">
        <v>2351</v>
      </c>
      <c r="C870" s="11" t="s">
        <v>2352</v>
      </c>
      <c r="D870" s="11" t="s">
        <v>26</v>
      </c>
      <c r="E870" s="11" t="s">
        <v>46</v>
      </c>
      <c r="F870" s="11" t="s">
        <v>26</v>
      </c>
      <c r="G870" s="11">
        <v>112108</v>
      </c>
      <c r="H870" s="12" t="s">
        <v>4446</v>
      </c>
      <c r="I870" s="12" t="s">
        <v>27</v>
      </c>
      <c r="J870" s="12" t="s">
        <v>42</v>
      </c>
      <c r="K870" s="12" t="s">
        <v>43</v>
      </c>
      <c r="L870" s="13">
        <v>42.6</v>
      </c>
      <c r="M870" s="13">
        <v>25</v>
      </c>
      <c r="N870" s="13">
        <v>1.704</v>
      </c>
      <c r="O870" s="13">
        <v>42</v>
      </c>
      <c r="P870" s="13" t="s">
        <v>30</v>
      </c>
      <c r="Q870" s="13">
        <v>0</v>
      </c>
      <c r="R870" s="14">
        <v>1789.2</v>
      </c>
      <c r="S870" s="15">
        <v>0</v>
      </c>
      <c r="T870" s="15">
        <v>0</v>
      </c>
      <c r="U870" s="15">
        <v>1789.2</v>
      </c>
      <c r="V870" s="15">
        <v>1789.2</v>
      </c>
      <c r="W870" s="15">
        <v>0</v>
      </c>
      <c r="X870" s="15">
        <v>0</v>
      </c>
      <c r="Y870" s="16">
        <v>0</v>
      </c>
      <c r="Z870" s="67" t="s">
        <v>26</v>
      </c>
      <c r="AA870" s="12" t="s">
        <v>31</v>
      </c>
    </row>
    <row r="871" spans="1:27" x14ac:dyDescent="0.25">
      <c r="A871" s="10">
        <v>45672</v>
      </c>
      <c r="B871" s="11" t="s">
        <v>492</v>
      </c>
      <c r="C871" s="11" t="s">
        <v>2353</v>
      </c>
      <c r="D871" s="11" t="s">
        <v>26</v>
      </c>
      <c r="E871" s="11" t="s">
        <v>509</v>
      </c>
      <c r="F871" s="11" t="s">
        <v>26</v>
      </c>
      <c r="G871" s="11" t="s">
        <v>26</v>
      </c>
      <c r="H871" s="12" t="s">
        <v>4422</v>
      </c>
      <c r="I871" s="12" t="s">
        <v>27</v>
      </c>
      <c r="J871" s="12" t="s">
        <v>33</v>
      </c>
      <c r="K871" s="12" t="s">
        <v>34</v>
      </c>
      <c r="L871" s="13">
        <v>43.98</v>
      </c>
      <c r="M871" s="13">
        <v>30</v>
      </c>
      <c r="N871" s="13">
        <v>1.466</v>
      </c>
      <c r="O871" s="13">
        <v>85</v>
      </c>
      <c r="P871" s="13" t="s">
        <v>30</v>
      </c>
      <c r="Q871" s="13">
        <v>0</v>
      </c>
      <c r="R871" s="15">
        <v>3738.2999999999997</v>
      </c>
      <c r="S871" s="15">
        <v>38</v>
      </c>
      <c r="T871" s="15">
        <v>1671.2399999999998</v>
      </c>
      <c r="U871" s="15">
        <v>2067.06</v>
      </c>
      <c r="V871" s="15">
        <v>2067.06</v>
      </c>
      <c r="W871" s="15">
        <v>0</v>
      </c>
      <c r="X871" s="15">
        <v>1583.28</v>
      </c>
      <c r="Y871" s="16">
        <v>87.959999999999809</v>
      </c>
      <c r="Z871" s="67" t="s">
        <v>141</v>
      </c>
      <c r="AA871" s="12" t="s">
        <v>78</v>
      </c>
    </row>
    <row r="872" spans="1:27" x14ac:dyDescent="0.25">
      <c r="A872" s="10">
        <v>45672</v>
      </c>
      <c r="B872" s="11" t="s">
        <v>2354</v>
      </c>
      <c r="C872" s="11" t="s">
        <v>2355</v>
      </c>
      <c r="D872" s="11" t="s">
        <v>26</v>
      </c>
      <c r="E872" s="11" t="s">
        <v>573</v>
      </c>
      <c r="F872" s="11" t="s">
        <v>26</v>
      </c>
      <c r="G872" s="11">
        <v>112061</v>
      </c>
      <c r="H872" s="12" t="s">
        <v>4446</v>
      </c>
      <c r="I872" s="12" t="s">
        <v>27</v>
      </c>
      <c r="J872" s="12" t="s">
        <v>42</v>
      </c>
      <c r="K872" s="12" t="s">
        <v>43</v>
      </c>
      <c r="L872" s="13">
        <v>41.22</v>
      </c>
      <c r="M872" s="13">
        <v>25</v>
      </c>
      <c r="N872" s="13">
        <v>1.6488</v>
      </c>
      <c r="O872" s="13">
        <v>42</v>
      </c>
      <c r="P872" s="13" t="s">
        <v>30</v>
      </c>
      <c r="Q872" s="13">
        <v>0</v>
      </c>
      <c r="R872" s="14">
        <v>1731.24</v>
      </c>
      <c r="S872" s="15">
        <v>0</v>
      </c>
      <c r="T872" s="15">
        <v>0</v>
      </c>
      <c r="U872" s="15">
        <v>1731.24</v>
      </c>
      <c r="V872" s="15">
        <v>1731.24</v>
      </c>
      <c r="W872" s="15">
        <v>0</v>
      </c>
      <c r="X872" s="15">
        <v>0</v>
      </c>
      <c r="Y872" s="16">
        <v>0</v>
      </c>
      <c r="Z872" s="67" t="s">
        <v>26</v>
      </c>
      <c r="AA872" s="12" t="s">
        <v>31</v>
      </c>
    </row>
    <row r="873" spans="1:27" x14ac:dyDescent="0.25">
      <c r="A873" s="10">
        <v>45672</v>
      </c>
      <c r="B873" s="11" t="s">
        <v>603</v>
      </c>
      <c r="C873" s="11" t="s">
        <v>2356</v>
      </c>
      <c r="D873" s="11" t="s">
        <v>26</v>
      </c>
      <c r="E873" s="11" t="s">
        <v>224</v>
      </c>
      <c r="F873" s="11" t="s">
        <v>26</v>
      </c>
      <c r="G873" s="11">
        <v>57849</v>
      </c>
      <c r="H873" s="12" t="s">
        <v>4423</v>
      </c>
      <c r="I873" s="12" t="s">
        <v>27</v>
      </c>
      <c r="J873" s="12" t="s">
        <v>33</v>
      </c>
      <c r="K873" s="12" t="s">
        <v>34</v>
      </c>
      <c r="L873" s="13">
        <v>34.200000000000003</v>
      </c>
      <c r="M873" s="13">
        <v>25</v>
      </c>
      <c r="N873" s="13">
        <v>1.3680000000000001</v>
      </c>
      <c r="O873" s="13">
        <v>45</v>
      </c>
      <c r="P873" s="13" t="s">
        <v>30</v>
      </c>
      <c r="Q873" s="13">
        <v>0</v>
      </c>
      <c r="R873" s="15">
        <v>1539.0000000000002</v>
      </c>
      <c r="S873" s="15">
        <v>0</v>
      </c>
      <c r="T873" s="15">
        <v>0</v>
      </c>
      <c r="U873" s="15">
        <v>1539.0000000000002</v>
      </c>
      <c r="V873" s="15">
        <v>1539.0000000000002</v>
      </c>
      <c r="W873" s="15">
        <v>0</v>
      </c>
      <c r="X873" s="15">
        <v>0</v>
      </c>
      <c r="Y873" s="16">
        <v>0</v>
      </c>
      <c r="Z873" s="67" t="s">
        <v>26</v>
      </c>
      <c r="AA873" s="12" t="s">
        <v>31</v>
      </c>
    </row>
    <row r="874" spans="1:27" x14ac:dyDescent="0.25">
      <c r="A874" s="10">
        <v>45672</v>
      </c>
      <c r="B874" s="11" t="s">
        <v>2357</v>
      </c>
      <c r="C874" s="11" t="s">
        <v>2358</v>
      </c>
      <c r="D874" s="11" t="s">
        <v>26</v>
      </c>
      <c r="E874" s="11" t="s">
        <v>75</v>
      </c>
      <c r="F874" s="11" t="s">
        <v>26</v>
      </c>
      <c r="G874" s="11">
        <v>42009</v>
      </c>
      <c r="H874" s="12" t="s">
        <v>565</v>
      </c>
      <c r="I874" s="12" t="s">
        <v>55</v>
      </c>
      <c r="J874" s="12" t="s">
        <v>55</v>
      </c>
      <c r="K874" s="12" t="s">
        <v>56</v>
      </c>
      <c r="L874" s="13">
        <v>39.04</v>
      </c>
      <c r="M874" s="13">
        <v>25</v>
      </c>
      <c r="N874" s="13">
        <v>1.5615999999999999</v>
      </c>
      <c r="O874" s="13"/>
      <c r="P874" s="13">
        <v>24</v>
      </c>
      <c r="Q874" s="13">
        <v>0</v>
      </c>
      <c r="R874" s="15">
        <v>600</v>
      </c>
      <c r="S874" s="15">
        <v>0</v>
      </c>
      <c r="T874" s="15">
        <v>0</v>
      </c>
      <c r="U874" s="15">
        <v>600</v>
      </c>
      <c r="V874" s="15">
        <v>0</v>
      </c>
      <c r="W874" s="15">
        <v>600</v>
      </c>
      <c r="X874" s="15">
        <v>0</v>
      </c>
      <c r="Y874" s="16">
        <v>0</v>
      </c>
      <c r="Z874" s="67" t="s">
        <v>26</v>
      </c>
      <c r="AA874" s="12" t="s">
        <v>31</v>
      </c>
    </row>
    <row r="875" spans="1:27" x14ac:dyDescent="0.25">
      <c r="A875" s="10">
        <v>45672</v>
      </c>
      <c r="B875" s="11" t="s">
        <v>2359</v>
      </c>
      <c r="C875" s="11" t="s">
        <v>2360</v>
      </c>
      <c r="D875" s="11" t="s">
        <v>26</v>
      </c>
      <c r="E875" s="11" t="s">
        <v>230</v>
      </c>
      <c r="F875" s="11" t="s">
        <v>26</v>
      </c>
      <c r="G875" s="11">
        <v>23130</v>
      </c>
      <c r="H875" s="12" t="s">
        <v>565</v>
      </c>
      <c r="I875" s="12" t="s">
        <v>55</v>
      </c>
      <c r="J875" s="12" t="s">
        <v>55</v>
      </c>
      <c r="K875" s="12" t="s">
        <v>56</v>
      </c>
      <c r="L875" s="13">
        <v>40.119999999999997</v>
      </c>
      <c r="M875" s="13">
        <v>25</v>
      </c>
      <c r="N875" s="13">
        <v>1.6048</v>
      </c>
      <c r="O875" s="13"/>
      <c r="P875" s="13">
        <v>24</v>
      </c>
      <c r="Q875" s="13">
        <v>0</v>
      </c>
      <c r="R875" s="15">
        <v>600</v>
      </c>
      <c r="S875" s="15">
        <v>0</v>
      </c>
      <c r="T875" s="15">
        <v>0</v>
      </c>
      <c r="U875" s="15">
        <v>600</v>
      </c>
      <c r="V875" s="15">
        <v>0</v>
      </c>
      <c r="W875" s="15">
        <v>600</v>
      </c>
      <c r="X875" s="15">
        <v>0</v>
      </c>
      <c r="Y875" s="16">
        <v>0</v>
      </c>
      <c r="Z875" s="67" t="s">
        <v>26</v>
      </c>
      <c r="AA875" s="12" t="s">
        <v>31</v>
      </c>
    </row>
    <row r="876" spans="1:27" x14ac:dyDescent="0.25">
      <c r="A876" s="10">
        <v>45672</v>
      </c>
      <c r="B876" s="11" t="s">
        <v>2361</v>
      </c>
      <c r="C876" s="11" t="s">
        <v>2362</v>
      </c>
      <c r="D876" s="11" t="s">
        <v>26</v>
      </c>
      <c r="E876" s="11" t="s">
        <v>570</v>
      </c>
      <c r="F876" s="11" t="s">
        <v>26</v>
      </c>
      <c r="G876" s="11">
        <v>10324</v>
      </c>
      <c r="H876" s="12" t="s">
        <v>140</v>
      </c>
      <c r="I876" s="12" t="s">
        <v>27</v>
      </c>
      <c r="J876" s="12" t="s">
        <v>47</v>
      </c>
      <c r="K876" s="12" t="s">
        <v>48</v>
      </c>
      <c r="L876" s="13">
        <v>42.92</v>
      </c>
      <c r="M876" s="13">
        <v>30</v>
      </c>
      <c r="N876" s="13">
        <v>1.4306666666666668</v>
      </c>
      <c r="O876" s="13">
        <v>40</v>
      </c>
      <c r="P876" s="13"/>
      <c r="Q876" s="13">
        <v>0</v>
      </c>
      <c r="R876" s="15">
        <v>1716.8000000000002</v>
      </c>
      <c r="S876" s="15">
        <v>0</v>
      </c>
      <c r="T876" s="15">
        <v>0</v>
      </c>
      <c r="U876" s="15">
        <v>1716.8000000000002</v>
      </c>
      <c r="V876" s="15">
        <v>0</v>
      </c>
      <c r="W876" s="15">
        <v>1716.8000000000002</v>
      </c>
      <c r="X876" s="15">
        <v>0</v>
      </c>
      <c r="Y876" s="16">
        <v>0</v>
      </c>
      <c r="Z876" s="67" t="s">
        <v>26</v>
      </c>
      <c r="AA876" s="12" t="s">
        <v>31</v>
      </c>
    </row>
    <row r="877" spans="1:27" x14ac:dyDescent="0.25">
      <c r="A877" s="10">
        <v>45672</v>
      </c>
      <c r="B877" s="11" t="s">
        <v>2363</v>
      </c>
      <c r="C877" s="11" t="s">
        <v>2364</v>
      </c>
      <c r="D877" s="11" t="s">
        <v>26</v>
      </c>
      <c r="E877" s="11" t="s">
        <v>180</v>
      </c>
      <c r="F877" s="11" t="s">
        <v>26</v>
      </c>
      <c r="G877" s="11" t="s">
        <v>35</v>
      </c>
      <c r="H877" s="12" t="s">
        <v>36</v>
      </c>
      <c r="I877" s="12" t="s">
        <v>55</v>
      </c>
      <c r="J877" s="12" t="s">
        <v>55</v>
      </c>
      <c r="K877" s="12" t="s">
        <v>56</v>
      </c>
      <c r="L877" s="13">
        <v>14.72</v>
      </c>
      <c r="M877" s="13">
        <v>10</v>
      </c>
      <c r="N877" s="13">
        <v>1.472</v>
      </c>
      <c r="O877" s="13">
        <v>20</v>
      </c>
      <c r="P877" s="13" t="s">
        <v>30</v>
      </c>
      <c r="Q877" s="13">
        <v>0</v>
      </c>
      <c r="R877" s="15">
        <v>294.40000000000003</v>
      </c>
      <c r="S877" s="15">
        <v>0</v>
      </c>
      <c r="T877" s="15">
        <v>0</v>
      </c>
      <c r="U877" s="15">
        <v>294.40000000000003</v>
      </c>
      <c r="V877" s="15">
        <v>0</v>
      </c>
      <c r="W877" s="15">
        <v>294.40000000000003</v>
      </c>
      <c r="X877" s="15">
        <v>0</v>
      </c>
      <c r="Y877" s="16">
        <v>0</v>
      </c>
      <c r="Z877" s="67" t="s">
        <v>26</v>
      </c>
      <c r="AA877" s="12" t="s">
        <v>31</v>
      </c>
    </row>
    <row r="878" spans="1:27" x14ac:dyDescent="0.25">
      <c r="A878" s="10">
        <v>45672</v>
      </c>
      <c r="B878" s="11" t="s">
        <v>2365</v>
      </c>
      <c r="C878" s="11" t="s">
        <v>2366</v>
      </c>
      <c r="D878" s="11" t="s">
        <v>26</v>
      </c>
      <c r="E878" s="11" t="s">
        <v>658</v>
      </c>
      <c r="F878" s="11" t="s">
        <v>26</v>
      </c>
      <c r="G878" s="11">
        <v>760</v>
      </c>
      <c r="H878" s="12" t="s">
        <v>141</v>
      </c>
      <c r="I878" s="12" t="s">
        <v>27</v>
      </c>
      <c r="J878" s="12" t="s">
        <v>33</v>
      </c>
      <c r="K878" s="12" t="s">
        <v>34</v>
      </c>
      <c r="L878" s="13">
        <v>40.26</v>
      </c>
      <c r="M878" s="13">
        <v>28</v>
      </c>
      <c r="N878" s="13">
        <v>1.4378571428571427</v>
      </c>
      <c r="O878" s="13">
        <v>40</v>
      </c>
      <c r="P878" s="13" t="s">
        <v>30</v>
      </c>
      <c r="Q878" s="13">
        <v>0</v>
      </c>
      <c r="R878" s="15">
        <v>1610.3999999999999</v>
      </c>
      <c r="S878" s="15">
        <v>0</v>
      </c>
      <c r="T878" s="15">
        <v>0</v>
      </c>
      <c r="U878" s="15">
        <v>1610.3999999999999</v>
      </c>
      <c r="V878" s="15">
        <v>0</v>
      </c>
      <c r="W878" s="15">
        <v>1610.3999999999999</v>
      </c>
      <c r="X878" s="15">
        <v>0</v>
      </c>
      <c r="Y878" s="16">
        <v>0</v>
      </c>
      <c r="Z878" s="67" t="s">
        <v>26</v>
      </c>
      <c r="AA878" s="12" t="s">
        <v>31</v>
      </c>
    </row>
    <row r="879" spans="1:27" x14ac:dyDescent="0.25">
      <c r="A879" s="10">
        <v>45672</v>
      </c>
      <c r="B879" s="11" t="s">
        <v>93</v>
      </c>
      <c r="C879" s="11" t="s">
        <v>2367</v>
      </c>
      <c r="D879" s="11" t="s">
        <v>26</v>
      </c>
      <c r="E879" s="11" t="s">
        <v>100</v>
      </c>
      <c r="F879" s="11" t="s">
        <v>26</v>
      </c>
      <c r="G879" s="11">
        <v>21715</v>
      </c>
      <c r="H879" s="12" t="s">
        <v>4448</v>
      </c>
      <c r="I879" s="12" t="s">
        <v>55</v>
      </c>
      <c r="J879" s="12" t="s">
        <v>55</v>
      </c>
      <c r="K879" s="12" t="s">
        <v>56</v>
      </c>
      <c r="L879" s="13">
        <v>38.06</v>
      </c>
      <c r="M879" s="13">
        <v>25</v>
      </c>
      <c r="N879" s="13">
        <v>1.5224000000000002</v>
      </c>
      <c r="O879" s="13">
        <v>15</v>
      </c>
      <c r="P879" s="13" t="s">
        <v>30</v>
      </c>
      <c r="Q879" s="13">
        <v>0</v>
      </c>
      <c r="R879" s="15">
        <v>570.90000000000009</v>
      </c>
      <c r="S879" s="15">
        <v>0</v>
      </c>
      <c r="T879" s="15">
        <v>0</v>
      </c>
      <c r="U879" s="15">
        <v>570.90000000000009</v>
      </c>
      <c r="V879" s="15">
        <v>428.17500000000007</v>
      </c>
      <c r="W879" s="15">
        <v>142.72500000000002</v>
      </c>
      <c r="X879" s="15">
        <v>0</v>
      </c>
      <c r="Y879" s="16">
        <v>0</v>
      </c>
      <c r="Z879" s="67" t="s">
        <v>26</v>
      </c>
      <c r="AA879" s="12" t="s">
        <v>31</v>
      </c>
    </row>
    <row r="880" spans="1:27" x14ac:dyDescent="0.25">
      <c r="A880" s="10">
        <v>45672</v>
      </c>
      <c r="B880" s="11" t="s">
        <v>2368</v>
      </c>
      <c r="C880" s="11" t="s">
        <v>2369</v>
      </c>
      <c r="D880" s="11" t="s">
        <v>26</v>
      </c>
      <c r="E880" s="11" t="s">
        <v>59</v>
      </c>
      <c r="F880" s="11" t="s">
        <v>26</v>
      </c>
      <c r="G880" s="11">
        <v>112109</v>
      </c>
      <c r="H880" s="12" t="s">
        <v>4446</v>
      </c>
      <c r="I880" s="12" t="s">
        <v>27</v>
      </c>
      <c r="J880" s="12" t="s">
        <v>33</v>
      </c>
      <c r="K880" s="12" t="s">
        <v>34</v>
      </c>
      <c r="L880" s="13">
        <v>34.619999999999997</v>
      </c>
      <c r="M880" s="13">
        <v>25</v>
      </c>
      <c r="N880" s="13">
        <v>1.3847999999999998</v>
      </c>
      <c r="O880" s="13">
        <v>44</v>
      </c>
      <c r="P880" s="13" t="s">
        <v>30</v>
      </c>
      <c r="Q880" s="13">
        <v>0</v>
      </c>
      <c r="R880" s="14">
        <v>1523.28</v>
      </c>
      <c r="S880" s="15">
        <v>0</v>
      </c>
      <c r="T880" s="15">
        <v>0</v>
      </c>
      <c r="U880" s="15">
        <v>1523.28</v>
      </c>
      <c r="V880" s="15">
        <v>1523.28</v>
      </c>
      <c r="W880" s="15">
        <v>0</v>
      </c>
      <c r="X880" s="15">
        <v>0</v>
      </c>
      <c r="Y880" s="16">
        <v>0</v>
      </c>
      <c r="Z880" s="67" t="s">
        <v>26</v>
      </c>
      <c r="AA880" s="12" t="s">
        <v>31</v>
      </c>
    </row>
    <row r="881" spans="1:27" x14ac:dyDescent="0.25">
      <c r="A881" s="10">
        <v>45672</v>
      </c>
      <c r="B881" s="11" t="s">
        <v>2370</v>
      </c>
      <c r="C881" s="11" t="s">
        <v>2371</v>
      </c>
      <c r="D881" s="11" t="s">
        <v>26</v>
      </c>
      <c r="E881" s="11" t="s">
        <v>485</v>
      </c>
      <c r="F881" s="11" t="s">
        <v>26</v>
      </c>
      <c r="G881" s="11">
        <v>72136</v>
      </c>
      <c r="H881" s="12" t="s">
        <v>4448</v>
      </c>
      <c r="I881" s="12" t="s">
        <v>55</v>
      </c>
      <c r="J881" s="12" t="s">
        <v>55</v>
      </c>
      <c r="K881" s="12" t="s">
        <v>56</v>
      </c>
      <c r="L881" s="13">
        <v>39</v>
      </c>
      <c r="M881" s="13">
        <v>25</v>
      </c>
      <c r="N881" s="13">
        <v>1.56</v>
      </c>
      <c r="O881" s="13">
        <v>15</v>
      </c>
      <c r="P881" s="13" t="s">
        <v>30</v>
      </c>
      <c r="Q881" s="13">
        <v>0</v>
      </c>
      <c r="R881" s="14">
        <v>585</v>
      </c>
      <c r="S881" s="15">
        <v>0</v>
      </c>
      <c r="T881" s="15">
        <v>0</v>
      </c>
      <c r="U881" s="15">
        <v>585</v>
      </c>
      <c r="V881" s="15">
        <v>438.75</v>
      </c>
      <c r="W881" s="15">
        <v>146.25</v>
      </c>
      <c r="X881" s="15">
        <v>0</v>
      </c>
      <c r="Y881" s="16">
        <v>0</v>
      </c>
      <c r="Z881" s="67" t="s">
        <v>26</v>
      </c>
      <c r="AA881" s="12" t="s">
        <v>31</v>
      </c>
    </row>
    <row r="882" spans="1:27" x14ac:dyDescent="0.25">
      <c r="A882" s="10">
        <v>45672</v>
      </c>
      <c r="B882" s="11" t="s">
        <v>2372</v>
      </c>
      <c r="C882" s="11" t="s">
        <v>2373</v>
      </c>
      <c r="D882" s="11" t="s">
        <v>26</v>
      </c>
      <c r="E882" s="11" t="s">
        <v>50</v>
      </c>
      <c r="F882" s="11" t="s">
        <v>26</v>
      </c>
      <c r="G882" s="11">
        <v>631</v>
      </c>
      <c r="H882" s="12" t="s">
        <v>163</v>
      </c>
      <c r="I882" s="12" t="s">
        <v>27</v>
      </c>
      <c r="J882" s="12" t="s">
        <v>42</v>
      </c>
      <c r="K882" s="12" t="s">
        <v>43</v>
      </c>
      <c r="L882" s="13">
        <v>42.06</v>
      </c>
      <c r="M882" s="13">
        <v>25</v>
      </c>
      <c r="N882" s="13">
        <v>1.6824000000000001</v>
      </c>
      <c r="O882" s="13" t="s">
        <v>30</v>
      </c>
      <c r="P882" s="13">
        <v>56</v>
      </c>
      <c r="Q882" s="13">
        <v>0</v>
      </c>
      <c r="R882" s="14">
        <v>1400</v>
      </c>
      <c r="S882" s="15">
        <v>0</v>
      </c>
      <c r="T882" s="15">
        <v>0</v>
      </c>
      <c r="U882" s="15">
        <v>1400</v>
      </c>
      <c r="V882" s="15">
        <v>0</v>
      </c>
      <c r="W882" s="15">
        <v>1400</v>
      </c>
      <c r="X882" s="15">
        <v>0</v>
      </c>
      <c r="Y882" s="16">
        <v>0</v>
      </c>
      <c r="Z882" s="67" t="s">
        <v>26</v>
      </c>
      <c r="AA882" s="12" t="s">
        <v>31</v>
      </c>
    </row>
    <row r="883" spans="1:27" x14ac:dyDescent="0.25">
      <c r="A883" s="10">
        <v>45672</v>
      </c>
      <c r="B883" s="11" t="s">
        <v>493</v>
      </c>
      <c r="C883" s="11" t="s">
        <v>2374</v>
      </c>
      <c r="D883" s="11" t="s">
        <v>26</v>
      </c>
      <c r="E883" s="11" t="s">
        <v>486</v>
      </c>
      <c r="F883" s="11" t="s">
        <v>26</v>
      </c>
      <c r="G883" s="11">
        <v>72881</v>
      </c>
      <c r="H883" s="12" t="s">
        <v>4448</v>
      </c>
      <c r="I883" s="12" t="s">
        <v>27</v>
      </c>
      <c r="J883" s="12" t="s">
        <v>42</v>
      </c>
      <c r="K883" s="12" t="s">
        <v>43</v>
      </c>
      <c r="L883" s="13">
        <v>45.22</v>
      </c>
      <c r="M883" s="13">
        <v>28</v>
      </c>
      <c r="N883" s="13">
        <v>1.615</v>
      </c>
      <c r="O883" s="13">
        <v>42.5</v>
      </c>
      <c r="P883" s="13" t="s">
        <v>30</v>
      </c>
      <c r="Q883" s="13">
        <v>0</v>
      </c>
      <c r="R883" s="15">
        <v>1921.85</v>
      </c>
      <c r="S883" s="15">
        <v>0</v>
      </c>
      <c r="T883" s="15">
        <v>0</v>
      </c>
      <c r="U883" s="15">
        <v>1921.85</v>
      </c>
      <c r="V883" s="15">
        <v>1441.3874999999998</v>
      </c>
      <c r="W883" s="15">
        <v>480.46250000000009</v>
      </c>
      <c r="X883" s="15">
        <v>0</v>
      </c>
      <c r="Y883" s="16">
        <v>0</v>
      </c>
      <c r="Z883" s="67" t="s">
        <v>26</v>
      </c>
      <c r="AA883" s="12" t="s">
        <v>31</v>
      </c>
    </row>
    <row r="884" spans="1:27" x14ac:dyDescent="0.25">
      <c r="A884" s="10">
        <v>45672</v>
      </c>
      <c r="B884" s="11" t="s">
        <v>537</v>
      </c>
      <c r="C884" s="11" t="s">
        <v>2375</v>
      </c>
      <c r="D884" s="11" t="s">
        <v>26</v>
      </c>
      <c r="E884" s="11" t="s">
        <v>57</v>
      </c>
      <c r="F884" s="11" t="s">
        <v>26</v>
      </c>
      <c r="G884" s="11">
        <v>2727</v>
      </c>
      <c r="H884" s="12" t="s">
        <v>41</v>
      </c>
      <c r="I884" s="12" t="s">
        <v>27</v>
      </c>
      <c r="J884" s="12" t="s">
        <v>557</v>
      </c>
      <c r="K884" s="12" t="s">
        <v>558</v>
      </c>
      <c r="L884" s="13">
        <v>39.159999999999997</v>
      </c>
      <c r="M884" s="13">
        <v>25</v>
      </c>
      <c r="N884" s="13">
        <v>1.5663999999999998</v>
      </c>
      <c r="O884" s="13">
        <v>45</v>
      </c>
      <c r="P884" s="13"/>
      <c r="Q884" s="13">
        <v>0</v>
      </c>
      <c r="R884" s="15">
        <v>1762.1999999999998</v>
      </c>
      <c r="S884" s="15">
        <v>0</v>
      </c>
      <c r="T884" s="15">
        <v>0</v>
      </c>
      <c r="U884" s="15">
        <v>1762.1999999999998</v>
      </c>
      <c r="V884" s="15">
        <v>0</v>
      </c>
      <c r="W884" s="15">
        <v>1762.1999999999998</v>
      </c>
      <c r="X884" s="15">
        <v>0</v>
      </c>
      <c r="Y884" s="16">
        <v>0</v>
      </c>
      <c r="Z884" s="67" t="s">
        <v>26</v>
      </c>
      <c r="AA884" s="12" t="s">
        <v>31</v>
      </c>
    </row>
    <row r="885" spans="1:27" x14ac:dyDescent="0.25">
      <c r="A885" s="10">
        <v>45672</v>
      </c>
      <c r="B885" s="11" t="s">
        <v>478</v>
      </c>
      <c r="C885" s="11" t="s">
        <v>2376</v>
      </c>
      <c r="D885" s="11" t="s">
        <v>26</v>
      </c>
      <c r="E885" s="11" t="s">
        <v>552</v>
      </c>
      <c r="F885" s="11" t="s">
        <v>26</v>
      </c>
      <c r="G885" s="11">
        <v>69113</v>
      </c>
      <c r="H885" s="12" t="s">
        <v>4423</v>
      </c>
      <c r="I885" s="12" t="s">
        <v>27</v>
      </c>
      <c r="J885" s="12" t="s">
        <v>33</v>
      </c>
      <c r="K885" s="12" t="s">
        <v>34</v>
      </c>
      <c r="L885" s="13">
        <v>32.200000000000003</v>
      </c>
      <c r="M885" s="13">
        <v>25</v>
      </c>
      <c r="N885" s="13">
        <v>1.288</v>
      </c>
      <c r="O885" s="13">
        <v>45</v>
      </c>
      <c r="P885" s="13" t="s">
        <v>30</v>
      </c>
      <c r="Q885" s="13">
        <v>0</v>
      </c>
      <c r="R885" s="15">
        <v>1449.0000000000002</v>
      </c>
      <c r="S885" s="15">
        <v>0</v>
      </c>
      <c r="T885" s="15">
        <v>0</v>
      </c>
      <c r="U885" s="15">
        <v>1449.0000000000002</v>
      </c>
      <c r="V885" s="15">
        <v>1449.0000000000002</v>
      </c>
      <c r="W885" s="15">
        <v>0</v>
      </c>
      <c r="X885" s="15">
        <v>0</v>
      </c>
      <c r="Y885" s="16">
        <v>0</v>
      </c>
      <c r="Z885" s="67" t="s">
        <v>26</v>
      </c>
      <c r="AA885" s="12" t="s">
        <v>31</v>
      </c>
    </row>
    <row r="886" spans="1:27" x14ac:dyDescent="0.25">
      <c r="A886" s="10">
        <v>45672</v>
      </c>
      <c r="B886" s="11" t="s">
        <v>2377</v>
      </c>
      <c r="C886" s="11" t="s">
        <v>2378</v>
      </c>
      <c r="D886" s="11" t="s">
        <v>26</v>
      </c>
      <c r="E886" s="11" t="s">
        <v>80</v>
      </c>
      <c r="F886" s="11" t="s">
        <v>26</v>
      </c>
      <c r="G886" s="11">
        <v>10296</v>
      </c>
      <c r="H886" s="12" t="s">
        <v>140</v>
      </c>
      <c r="I886" s="12" t="s">
        <v>27</v>
      </c>
      <c r="J886" s="12" t="s">
        <v>47</v>
      </c>
      <c r="K886" s="12" t="s">
        <v>48</v>
      </c>
      <c r="L886" s="13">
        <v>42.98</v>
      </c>
      <c r="M886" s="13">
        <v>30</v>
      </c>
      <c r="N886" s="13">
        <v>1.4326666666666665</v>
      </c>
      <c r="O886" s="13">
        <v>40</v>
      </c>
      <c r="P886" s="13"/>
      <c r="Q886" s="13">
        <v>0</v>
      </c>
      <c r="R886" s="15">
        <v>1719.1999999999998</v>
      </c>
      <c r="S886" s="15">
        <v>0</v>
      </c>
      <c r="T886" s="15">
        <v>0</v>
      </c>
      <c r="U886" s="15">
        <v>1719.1999999999998</v>
      </c>
      <c r="V886" s="15">
        <v>0</v>
      </c>
      <c r="W886" s="15">
        <v>1719.1999999999998</v>
      </c>
      <c r="X886" s="15">
        <v>0</v>
      </c>
      <c r="Y886" s="16">
        <v>0</v>
      </c>
      <c r="Z886" s="67" t="s">
        <v>26</v>
      </c>
      <c r="AA886" s="12" t="s">
        <v>31</v>
      </c>
    </row>
    <row r="887" spans="1:27" x14ac:dyDescent="0.25">
      <c r="A887" s="10">
        <v>45672</v>
      </c>
      <c r="B887" s="11" t="s">
        <v>523</v>
      </c>
      <c r="C887" s="11" t="s">
        <v>2379</v>
      </c>
      <c r="D887" s="11" t="s">
        <v>26</v>
      </c>
      <c r="E887" s="11" t="s">
        <v>240</v>
      </c>
      <c r="F887" s="11" t="s">
        <v>26</v>
      </c>
      <c r="G887" s="11">
        <v>2917</v>
      </c>
      <c r="H887" s="12" t="s">
        <v>41</v>
      </c>
      <c r="I887" s="12" t="s">
        <v>55</v>
      </c>
      <c r="J887" s="12" t="s">
        <v>566</v>
      </c>
      <c r="K887" s="12" t="s">
        <v>550</v>
      </c>
      <c r="L887" s="13">
        <v>38.979999999999997</v>
      </c>
      <c r="M887" s="13">
        <v>25</v>
      </c>
      <c r="N887" s="13">
        <v>1.5591999999999999</v>
      </c>
      <c r="O887" s="13">
        <v>25</v>
      </c>
      <c r="P887" s="13"/>
      <c r="Q887" s="13">
        <v>0</v>
      </c>
      <c r="R887" s="15">
        <v>974.49999999999989</v>
      </c>
      <c r="S887" s="15">
        <v>0</v>
      </c>
      <c r="T887" s="15">
        <v>0</v>
      </c>
      <c r="U887" s="15">
        <v>974.49999999999989</v>
      </c>
      <c r="V887" s="15">
        <v>0</v>
      </c>
      <c r="W887" s="15">
        <v>974.49999999999989</v>
      </c>
      <c r="X887" s="15">
        <v>0</v>
      </c>
      <c r="Y887" s="16">
        <v>0</v>
      </c>
      <c r="Z887" s="67" t="s">
        <v>26</v>
      </c>
      <c r="AA887" s="12" t="s">
        <v>31</v>
      </c>
    </row>
    <row r="888" spans="1:27" x14ac:dyDescent="0.25">
      <c r="A888" s="10">
        <v>45672</v>
      </c>
      <c r="B888" s="11" t="s">
        <v>528</v>
      </c>
      <c r="C888" s="11" t="s">
        <v>2380</v>
      </c>
      <c r="D888" s="11" t="s">
        <v>26</v>
      </c>
      <c r="E888" s="11" t="s">
        <v>68</v>
      </c>
      <c r="F888" s="11" t="s">
        <v>26</v>
      </c>
      <c r="G888" s="11">
        <v>1513</v>
      </c>
      <c r="H888" s="12" t="s">
        <v>45</v>
      </c>
      <c r="I888" s="12" t="s">
        <v>27</v>
      </c>
      <c r="J888" s="12" t="s">
        <v>33</v>
      </c>
      <c r="K888" s="12" t="s">
        <v>34</v>
      </c>
      <c r="L888" s="13">
        <v>38.68</v>
      </c>
      <c r="M888" s="13">
        <v>25</v>
      </c>
      <c r="N888" s="13">
        <v>1.5471999999999999</v>
      </c>
      <c r="O888" s="13" t="s">
        <v>30</v>
      </c>
      <c r="P888" s="13">
        <v>58</v>
      </c>
      <c r="Q888" s="13">
        <v>0</v>
      </c>
      <c r="R888" s="14">
        <v>1450</v>
      </c>
      <c r="S888" s="15">
        <v>0</v>
      </c>
      <c r="T888" s="15">
        <v>0</v>
      </c>
      <c r="U888" s="15">
        <v>1450</v>
      </c>
      <c r="V888" s="15">
        <v>0</v>
      </c>
      <c r="W888" s="15">
        <v>1450</v>
      </c>
      <c r="X888" s="15">
        <v>0</v>
      </c>
      <c r="Y888" s="16">
        <v>0</v>
      </c>
      <c r="Z888" s="67" t="s">
        <v>26</v>
      </c>
      <c r="AA888" s="12" t="s">
        <v>31</v>
      </c>
    </row>
    <row r="889" spans="1:27" x14ac:dyDescent="0.25">
      <c r="A889" s="10">
        <v>45672</v>
      </c>
      <c r="B889" s="11" t="s">
        <v>2381</v>
      </c>
      <c r="C889" s="11" t="s">
        <v>2382</v>
      </c>
      <c r="D889" s="11" t="s">
        <v>26</v>
      </c>
      <c r="E889" s="11" t="s">
        <v>589</v>
      </c>
      <c r="F889" s="11" t="s">
        <v>26</v>
      </c>
      <c r="G889" s="11">
        <v>4578</v>
      </c>
      <c r="H889" s="12" t="s">
        <v>4423</v>
      </c>
      <c r="I889" s="12" t="s">
        <v>27</v>
      </c>
      <c r="J889" s="12" t="s">
        <v>33</v>
      </c>
      <c r="K889" s="12" t="s">
        <v>34</v>
      </c>
      <c r="L889" s="13">
        <v>38.28</v>
      </c>
      <c r="M889" s="13">
        <v>25</v>
      </c>
      <c r="N889" s="13">
        <v>1.5312000000000001</v>
      </c>
      <c r="O889" s="13">
        <v>45</v>
      </c>
      <c r="P889" s="13" t="s">
        <v>30</v>
      </c>
      <c r="Q889" s="13">
        <v>0</v>
      </c>
      <c r="R889" s="15">
        <v>1722.6000000000001</v>
      </c>
      <c r="S889" s="15">
        <v>0</v>
      </c>
      <c r="T889" s="15">
        <v>0</v>
      </c>
      <c r="U889" s="15">
        <v>1722.6000000000001</v>
      </c>
      <c r="V889" s="15">
        <v>1722.6000000000001</v>
      </c>
      <c r="W889" s="15">
        <v>0</v>
      </c>
      <c r="X889" s="15">
        <v>0</v>
      </c>
      <c r="Y889" s="16">
        <v>0</v>
      </c>
      <c r="Z889" s="67" t="s">
        <v>26</v>
      </c>
      <c r="AA889" s="12" t="s">
        <v>31</v>
      </c>
    </row>
    <row r="890" spans="1:27" x14ac:dyDescent="0.25">
      <c r="A890" s="10">
        <v>45672</v>
      </c>
      <c r="B890" s="11" t="s">
        <v>2383</v>
      </c>
      <c r="C890" s="11" t="s">
        <v>2384</v>
      </c>
      <c r="D890" s="11" t="s">
        <v>26</v>
      </c>
      <c r="E890" s="11" t="s">
        <v>113</v>
      </c>
      <c r="F890" s="11" t="s">
        <v>26</v>
      </c>
      <c r="G890" s="11">
        <v>2</v>
      </c>
      <c r="H890" s="12" t="s">
        <v>6328</v>
      </c>
      <c r="I890" s="12" t="s">
        <v>37</v>
      </c>
      <c r="J890" s="12" t="s">
        <v>85</v>
      </c>
      <c r="K890" s="12" t="s">
        <v>86</v>
      </c>
      <c r="L890" s="13">
        <v>26.28</v>
      </c>
      <c r="M890" s="13">
        <v>20</v>
      </c>
      <c r="N890" s="13">
        <v>1.3140000000000001</v>
      </c>
      <c r="O890" s="13">
        <v>30</v>
      </c>
      <c r="P890" s="13"/>
      <c r="Q890" s="13">
        <v>0</v>
      </c>
      <c r="R890" s="15">
        <v>788.40000000000009</v>
      </c>
      <c r="S890" s="15">
        <v>0</v>
      </c>
      <c r="T890" s="15">
        <v>0</v>
      </c>
      <c r="U890" s="15">
        <v>788.40000000000009</v>
      </c>
      <c r="V890" s="15">
        <v>0</v>
      </c>
      <c r="W890" s="15">
        <v>788.40000000000009</v>
      </c>
      <c r="X890" s="15">
        <v>0</v>
      </c>
      <c r="Y890" s="16">
        <v>0</v>
      </c>
      <c r="Z890" s="67" t="s">
        <v>26</v>
      </c>
      <c r="AA890" s="12" t="s">
        <v>31</v>
      </c>
    </row>
    <row r="891" spans="1:27" x14ac:dyDescent="0.25">
      <c r="A891" s="10">
        <v>45672</v>
      </c>
      <c r="B891" s="11" t="s">
        <v>2385</v>
      </c>
      <c r="C891" s="11" t="s">
        <v>2386</v>
      </c>
      <c r="D891" s="11" t="s">
        <v>26</v>
      </c>
      <c r="E891" s="11" t="s">
        <v>75</v>
      </c>
      <c r="F891" s="11" t="s">
        <v>26</v>
      </c>
      <c r="G891" s="11">
        <v>42010</v>
      </c>
      <c r="H891" s="12" t="s">
        <v>565</v>
      </c>
      <c r="I891" s="12" t="s">
        <v>55</v>
      </c>
      <c r="J891" s="12" t="s">
        <v>55</v>
      </c>
      <c r="K891" s="12" t="s">
        <v>56</v>
      </c>
      <c r="L891" s="13">
        <v>39.520000000000003</v>
      </c>
      <c r="M891" s="13">
        <v>25</v>
      </c>
      <c r="N891" s="13">
        <v>1.5808000000000002</v>
      </c>
      <c r="O891" s="13"/>
      <c r="P891" s="13">
        <v>24</v>
      </c>
      <c r="Q891" s="13">
        <v>0</v>
      </c>
      <c r="R891" s="15">
        <v>600</v>
      </c>
      <c r="S891" s="15">
        <v>0</v>
      </c>
      <c r="T891" s="15">
        <v>0</v>
      </c>
      <c r="U891" s="15">
        <v>600</v>
      </c>
      <c r="V891" s="15">
        <v>0</v>
      </c>
      <c r="W891" s="15">
        <v>600</v>
      </c>
      <c r="X891" s="15">
        <v>0</v>
      </c>
      <c r="Y891" s="16">
        <v>0</v>
      </c>
      <c r="Z891" s="67" t="s">
        <v>26</v>
      </c>
      <c r="AA891" s="12" t="s">
        <v>31</v>
      </c>
    </row>
    <row r="892" spans="1:27" x14ac:dyDescent="0.25">
      <c r="A892" s="10">
        <v>45672</v>
      </c>
      <c r="B892" s="11" t="s">
        <v>488</v>
      </c>
      <c r="C892" s="11" t="s">
        <v>2387</v>
      </c>
      <c r="D892" s="11" t="s">
        <v>26</v>
      </c>
      <c r="E892" s="11" t="s">
        <v>230</v>
      </c>
      <c r="F892" s="11" t="s">
        <v>26</v>
      </c>
      <c r="G892" s="11">
        <v>23131</v>
      </c>
      <c r="H892" s="12" t="s">
        <v>565</v>
      </c>
      <c r="I892" s="12" t="s">
        <v>55</v>
      </c>
      <c r="J892" s="12" t="s">
        <v>55</v>
      </c>
      <c r="K892" s="12" t="s">
        <v>56</v>
      </c>
      <c r="L892" s="13">
        <v>39.979999999999997</v>
      </c>
      <c r="M892" s="13">
        <v>25</v>
      </c>
      <c r="N892" s="13">
        <v>1.5992</v>
      </c>
      <c r="O892" s="13"/>
      <c r="P892" s="13">
        <v>24</v>
      </c>
      <c r="Q892" s="13">
        <v>0</v>
      </c>
      <c r="R892" s="15">
        <v>600</v>
      </c>
      <c r="S892" s="15">
        <v>0</v>
      </c>
      <c r="T892" s="15">
        <v>0</v>
      </c>
      <c r="U892" s="15">
        <v>600</v>
      </c>
      <c r="V892" s="15">
        <v>0</v>
      </c>
      <c r="W892" s="15">
        <v>600</v>
      </c>
      <c r="X892" s="15">
        <v>0</v>
      </c>
      <c r="Y892" s="16">
        <v>0</v>
      </c>
      <c r="Z892" s="67" t="s">
        <v>26</v>
      </c>
      <c r="AA892" s="12" t="s">
        <v>31</v>
      </c>
    </row>
    <row r="893" spans="1:27" x14ac:dyDescent="0.25">
      <c r="A893" s="10">
        <v>45672</v>
      </c>
      <c r="B893" s="11" t="s">
        <v>2388</v>
      </c>
      <c r="C893" s="11" t="s">
        <v>2389</v>
      </c>
      <c r="D893" s="11" t="s">
        <v>26</v>
      </c>
      <c r="E893" s="11" t="s">
        <v>501</v>
      </c>
      <c r="F893" s="11" t="s">
        <v>26</v>
      </c>
      <c r="G893" s="11" t="s">
        <v>26</v>
      </c>
      <c r="H893" s="12" t="s">
        <v>4422</v>
      </c>
      <c r="I893" s="12" t="s">
        <v>27</v>
      </c>
      <c r="J893" s="12" t="s">
        <v>47</v>
      </c>
      <c r="K893" s="12" t="s">
        <v>48</v>
      </c>
      <c r="L893" s="13">
        <v>42.6</v>
      </c>
      <c r="M893" s="13">
        <v>29</v>
      </c>
      <c r="N893" s="13">
        <v>1.4689655172413794</v>
      </c>
      <c r="O893" s="13">
        <v>87</v>
      </c>
      <c r="P893" s="13" t="s">
        <v>30</v>
      </c>
      <c r="Q893" s="13">
        <v>0</v>
      </c>
      <c r="R893" s="15">
        <v>3706.2000000000003</v>
      </c>
      <c r="S893" s="15">
        <v>38</v>
      </c>
      <c r="T893" s="15">
        <v>1618.8</v>
      </c>
      <c r="U893" s="15">
        <v>2087.4000000000005</v>
      </c>
      <c r="V893" s="15">
        <v>2087.4000000000005</v>
      </c>
      <c r="W893" s="15">
        <v>0</v>
      </c>
      <c r="X893" s="15">
        <v>1533.6000000000001</v>
      </c>
      <c r="Y893" s="16">
        <v>85.199999999999818</v>
      </c>
      <c r="Z893" s="67" t="s">
        <v>141</v>
      </c>
      <c r="AA893" s="12" t="s">
        <v>78</v>
      </c>
    </row>
    <row r="894" spans="1:27" x14ac:dyDescent="0.25">
      <c r="A894" s="10">
        <v>45672</v>
      </c>
      <c r="B894" s="11" t="s">
        <v>2390</v>
      </c>
      <c r="C894" s="11" t="s">
        <v>2391</v>
      </c>
      <c r="D894" s="11" t="s">
        <v>26</v>
      </c>
      <c r="E894" s="11" t="s">
        <v>180</v>
      </c>
      <c r="F894" s="11" t="s">
        <v>26</v>
      </c>
      <c r="G894" s="11" t="s">
        <v>35</v>
      </c>
      <c r="H894" s="12" t="s">
        <v>36</v>
      </c>
      <c r="I894" s="12" t="s">
        <v>55</v>
      </c>
      <c r="J894" s="12" t="s">
        <v>55</v>
      </c>
      <c r="K894" s="12" t="s">
        <v>56</v>
      </c>
      <c r="L894" s="13">
        <v>15.54</v>
      </c>
      <c r="M894" s="13">
        <v>10</v>
      </c>
      <c r="N894" s="13">
        <v>1.5539999999999998</v>
      </c>
      <c r="O894" s="13">
        <v>20</v>
      </c>
      <c r="P894" s="13" t="s">
        <v>30</v>
      </c>
      <c r="Q894" s="13">
        <v>0</v>
      </c>
      <c r="R894" s="15">
        <v>310.79999999999995</v>
      </c>
      <c r="S894" s="15">
        <v>0</v>
      </c>
      <c r="T894" s="15">
        <v>0</v>
      </c>
      <c r="U894" s="15">
        <v>310.79999999999995</v>
      </c>
      <c r="V894" s="15">
        <v>0</v>
      </c>
      <c r="W894" s="15">
        <v>310.79999999999995</v>
      </c>
      <c r="X894" s="15">
        <v>0</v>
      </c>
      <c r="Y894" s="16">
        <v>0</v>
      </c>
      <c r="Z894" s="67" t="s">
        <v>26</v>
      </c>
      <c r="AA894" s="12" t="s">
        <v>31</v>
      </c>
    </row>
    <row r="895" spans="1:27" x14ac:dyDescent="0.25">
      <c r="A895" s="10">
        <v>45672</v>
      </c>
      <c r="B895" s="11" t="s">
        <v>2392</v>
      </c>
      <c r="C895" s="11" t="s">
        <v>2393</v>
      </c>
      <c r="D895" s="11" t="s">
        <v>26</v>
      </c>
      <c r="E895" s="11" t="s">
        <v>431</v>
      </c>
      <c r="F895" s="11" t="s">
        <v>26</v>
      </c>
      <c r="G895" s="11">
        <v>142</v>
      </c>
      <c r="H895" s="12" t="s">
        <v>6328</v>
      </c>
      <c r="I895" s="12" t="s">
        <v>37</v>
      </c>
      <c r="J895" s="12" t="s">
        <v>85</v>
      </c>
      <c r="K895" s="12" t="s">
        <v>86</v>
      </c>
      <c r="L895" s="13">
        <v>36.78</v>
      </c>
      <c r="M895" s="13">
        <v>25</v>
      </c>
      <c r="N895" s="13">
        <v>1.4712000000000001</v>
      </c>
      <c r="O895" s="13">
        <v>30</v>
      </c>
      <c r="P895" s="13"/>
      <c r="Q895" s="13">
        <v>0</v>
      </c>
      <c r="R895" s="15">
        <v>1103.4000000000001</v>
      </c>
      <c r="S895" s="15">
        <v>0</v>
      </c>
      <c r="T895" s="15">
        <v>0</v>
      </c>
      <c r="U895" s="15">
        <v>1103.4000000000001</v>
      </c>
      <c r="V895" s="15">
        <v>0</v>
      </c>
      <c r="W895" s="15">
        <v>1103.4000000000001</v>
      </c>
      <c r="X895" s="15">
        <v>0</v>
      </c>
      <c r="Y895" s="16">
        <v>0</v>
      </c>
      <c r="Z895" s="67" t="s">
        <v>26</v>
      </c>
      <c r="AA895" s="12" t="s">
        <v>31</v>
      </c>
    </row>
    <row r="896" spans="1:27" x14ac:dyDescent="0.25">
      <c r="A896" s="10">
        <v>45672</v>
      </c>
      <c r="B896" s="11" t="s">
        <v>2394</v>
      </c>
      <c r="C896" s="11" t="s">
        <v>2395</v>
      </c>
      <c r="D896" s="11" t="s">
        <v>26</v>
      </c>
      <c r="E896" s="11" t="s">
        <v>483</v>
      </c>
      <c r="F896" s="11" t="s">
        <v>26</v>
      </c>
      <c r="G896" s="11">
        <v>3551</v>
      </c>
      <c r="H896" s="12" t="s">
        <v>41</v>
      </c>
      <c r="I896" s="12" t="s">
        <v>55</v>
      </c>
      <c r="J896" s="12" t="s">
        <v>55</v>
      </c>
      <c r="K896" s="12" t="s">
        <v>56</v>
      </c>
      <c r="L896" s="13">
        <v>39.14</v>
      </c>
      <c r="M896" s="13">
        <v>25</v>
      </c>
      <c r="N896" s="13">
        <v>1.5656000000000001</v>
      </c>
      <c r="O896" s="13" t="s">
        <v>30</v>
      </c>
      <c r="P896" s="13">
        <v>24</v>
      </c>
      <c r="Q896" s="13">
        <v>0</v>
      </c>
      <c r="R896" s="15">
        <v>600</v>
      </c>
      <c r="S896" s="15">
        <v>0</v>
      </c>
      <c r="T896" s="15">
        <v>0</v>
      </c>
      <c r="U896" s="15">
        <v>600</v>
      </c>
      <c r="V896" s="15">
        <v>0</v>
      </c>
      <c r="W896" s="15">
        <v>600</v>
      </c>
      <c r="X896" s="15">
        <v>0</v>
      </c>
      <c r="Y896" s="16">
        <v>0</v>
      </c>
      <c r="Z896" s="67" t="s">
        <v>26</v>
      </c>
      <c r="AA896" s="12" t="s">
        <v>31</v>
      </c>
    </row>
    <row r="897" spans="1:27" x14ac:dyDescent="0.25">
      <c r="A897" s="10">
        <v>45672</v>
      </c>
      <c r="B897" s="11" t="s">
        <v>2396</v>
      </c>
      <c r="C897" s="11" t="s">
        <v>2397</v>
      </c>
      <c r="D897" s="11" t="s">
        <v>26</v>
      </c>
      <c r="E897" s="11" t="s">
        <v>246</v>
      </c>
      <c r="F897" s="11" t="s">
        <v>26</v>
      </c>
      <c r="G897" s="11">
        <v>2046</v>
      </c>
      <c r="H897" s="12" t="s">
        <v>41</v>
      </c>
      <c r="I897" s="12" t="s">
        <v>55</v>
      </c>
      <c r="J897" s="12" t="s">
        <v>55</v>
      </c>
      <c r="K897" s="12" t="s">
        <v>56</v>
      </c>
      <c r="L897" s="13">
        <v>38.78</v>
      </c>
      <c r="M897" s="13">
        <v>25</v>
      </c>
      <c r="N897" s="13">
        <v>1.5512000000000001</v>
      </c>
      <c r="O897" s="13" t="s">
        <v>30</v>
      </c>
      <c r="P897" s="13">
        <v>24</v>
      </c>
      <c r="Q897" s="13">
        <v>0</v>
      </c>
      <c r="R897" s="14">
        <v>600</v>
      </c>
      <c r="S897" s="15">
        <v>0</v>
      </c>
      <c r="T897" s="15">
        <v>0</v>
      </c>
      <c r="U897" s="15">
        <v>600</v>
      </c>
      <c r="V897" s="15">
        <v>0</v>
      </c>
      <c r="W897" s="15">
        <v>600</v>
      </c>
      <c r="X897" s="15">
        <v>0</v>
      </c>
      <c r="Y897" s="16">
        <v>0</v>
      </c>
      <c r="Z897" s="67" t="s">
        <v>26</v>
      </c>
      <c r="AA897" s="12" t="s">
        <v>31</v>
      </c>
    </row>
    <row r="898" spans="1:27" x14ac:dyDescent="0.25">
      <c r="A898" s="10">
        <v>45672</v>
      </c>
      <c r="B898" s="11" t="s">
        <v>2398</v>
      </c>
      <c r="C898" s="11" t="s">
        <v>2399</v>
      </c>
      <c r="D898" s="11" t="s">
        <v>26</v>
      </c>
      <c r="E898" s="11" t="s">
        <v>54</v>
      </c>
      <c r="F898" s="11" t="s">
        <v>26</v>
      </c>
      <c r="G898" s="11">
        <v>112106</v>
      </c>
      <c r="H898" s="12" t="s">
        <v>4446</v>
      </c>
      <c r="I898" s="12" t="s">
        <v>27</v>
      </c>
      <c r="J898" s="12" t="s">
        <v>33</v>
      </c>
      <c r="K898" s="12" t="s">
        <v>34</v>
      </c>
      <c r="L898" s="13">
        <v>35.299999999999997</v>
      </c>
      <c r="M898" s="13">
        <v>25</v>
      </c>
      <c r="N898" s="13">
        <v>1.4119999999999999</v>
      </c>
      <c r="O898" s="13">
        <v>44</v>
      </c>
      <c r="P898" s="13" t="s">
        <v>30</v>
      </c>
      <c r="Q898" s="13">
        <v>0</v>
      </c>
      <c r="R898" s="14">
        <v>1553.1999999999998</v>
      </c>
      <c r="S898" s="15">
        <v>0</v>
      </c>
      <c r="T898" s="15">
        <v>0</v>
      </c>
      <c r="U898" s="15">
        <v>1553.1999999999998</v>
      </c>
      <c r="V898" s="15">
        <v>1553.1999999999998</v>
      </c>
      <c r="W898" s="15">
        <v>0</v>
      </c>
      <c r="X898" s="15">
        <v>0</v>
      </c>
      <c r="Y898" s="16">
        <v>0</v>
      </c>
      <c r="Z898" s="67" t="s">
        <v>26</v>
      </c>
      <c r="AA898" s="12" t="s">
        <v>31</v>
      </c>
    </row>
    <row r="899" spans="1:27" x14ac:dyDescent="0.25">
      <c r="A899" s="10">
        <v>45672</v>
      </c>
      <c r="B899" s="11" t="s">
        <v>83</v>
      </c>
      <c r="C899" s="11" t="s">
        <v>2400</v>
      </c>
      <c r="D899" s="11" t="s">
        <v>26</v>
      </c>
      <c r="E899" s="11" t="s">
        <v>69</v>
      </c>
      <c r="F899" s="11" t="s">
        <v>26</v>
      </c>
      <c r="G899" s="11">
        <v>4686</v>
      </c>
      <c r="H899" s="12" t="s">
        <v>70</v>
      </c>
      <c r="I899" s="12" t="s">
        <v>27</v>
      </c>
      <c r="J899" s="12" t="s">
        <v>33</v>
      </c>
      <c r="K899" s="12" t="s">
        <v>34</v>
      </c>
      <c r="L899" s="13">
        <v>38.76</v>
      </c>
      <c r="M899" s="13">
        <v>25</v>
      </c>
      <c r="N899" s="13">
        <v>1.5504</v>
      </c>
      <c r="O899" s="13" t="s">
        <v>30</v>
      </c>
      <c r="P899" s="13">
        <v>60</v>
      </c>
      <c r="Q899" s="13">
        <v>0</v>
      </c>
      <c r="R899" s="14">
        <v>1500</v>
      </c>
      <c r="S899" s="15">
        <v>0</v>
      </c>
      <c r="T899" s="15">
        <v>0</v>
      </c>
      <c r="U899" s="15">
        <v>1500</v>
      </c>
      <c r="V899" s="15">
        <v>0</v>
      </c>
      <c r="W899" s="15">
        <v>1500</v>
      </c>
      <c r="X899" s="15">
        <v>0</v>
      </c>
      <c r="Y899" s="16">
        <v>0</v>
      </c>
      <c r="Z899" s="67" t="s">
        <v>26</v>
      </c>
      <c r="AA899" s="12" t="s">
        <v>31</v>
      </c>
    </row>
    <row r="900" spans="1:27" x14ac:dyDescent="0.25">
      <c r="A900" s="10">
        <v>45672</v>
      </c>
      <c r="B900" s="11" t="s">
        <v>547</v>
      </c>
      <c r="C900" s="11" t="s">
        <v>2401</v>
      </c>
      <c r="D900" s="11" t="s">
        <v>26</v>
      </c>
      <c r="E900" s="11" t="s">
        <v>539</v>
      </c>
      <c r="F900" s="11" t="s">
        <v>26</v>
      </c>
      <c r="G900" s="11">
        <v>3801</v>
      </c>
      <c r="H900" s="12" t="s">
        <v>41</v>
      </c>
      <c r="I900" s="12" t="s">
        <v>55</v>
      </c>
      <c r="J900" s="12" t="s">
        <v>55</v>
      </c>
      <c r="K900" s="12" t="s">
        <v>56</v>
      </c>
      <c r="L900" s="13">
        <v>38.72</v>
      </c>
      <c r="M900" s="13">
        <v>25</v>
      </c>
      <c r="N900" s="13">
        <v>1.5488</v>
      </c>
      <c r="O900" s="13" t="s">
        <v>30</v>
      </c>
      <c r="P900" s="13">
        <v>24</v>
      </c>
      <c r="Q900" s="13">
        <v>0</v>
      </c>
      <c r="R900" s="14">
        <v>600</v>
      </c>
      <c r="S900" s="15">
        <v>0</v>
      </c>
      <c r="T900" s="15">
        <v>0</v>
      </c>
      <c r="U900" s="15">
        <v>600</v>
      </c>
      <c r="V900" s="15">
        <v>0</v>
      </c>
      <c r="W900" s="15">
        <v>600</v>
      </c>
      <c r="X900" s="15">
        <v>0</v>
      </c>
      <c r="Y900" s="16">
        <v>0</v>
      </c>
      <c r="Z900" s="67" t="s">
        <v>26</v>
      </c>
      <c r="AA900" s="12" t="s">
        <v>31</v>
      </c>
    </row>
    <row r="901" spans="1:27" x14ac:dyDescent="0.25">
      <c r="A901" s="10">
        <v>45672</v>
      </c>
      <c r="B901" s="11" t="s">
        <v>2402</v>
      </c>
      <c r="C901" s="11" t="s">
        <v>2403</v>
      </c>
      <c r="D901" s="11" t="s">
        <v>26</v>
      </c>
      <c r="E901" s="11" t="s">
        <v>485</v>
      </c>
      <c r="F901" s="11" t="s">
        <v>26</v>
      </c>
      <c r="G901" s="11">
        <v>72137</v>
      </c>
      <c r="H901" s="12" t="s">
        <v>4448</v>
      </c>
      <c r="I901" s="12" t="s">
        <v>27</v>
      </c>
      <c r="J901" s="12" t="s">
        <v>42</v>
      </c>
      <c r="K901" s="12" t="s">
        <v>43</v>
      </c>
      <c r="L901" s="13">
        <v>45.76</v>
      </c>
      <c r="M901" s="13">
        <v>28</v>
      </c>
      <c r="N901" s="13">
        <v>1.6342857142857141</v>
      </c>
      <c r="O901" s="13">
        <v>42.5</v>
      </c>
      <c r="P901" s="13" t="s">
        <v>30</v>
      </c>
      <c r="Q901" s="13">
        <v>0</v>
      </c>
      <c r="R901" s="14">
        <v>1944.8</v>
      </c>
      <c r="S901" s="15">
        <v>0</v>
      </c>
      <c r="T901" s="15">
        <v>0</v>
      </c>
      <c r="U901" s="15">
        <v>1944.8</v>
      </c>
      <c r="V901" s="15">
        <v>1458.6</v>
      </c>
      <c r="W901" s="15">
        <v>486.20000000000005</v>
      </c>
      <c r="X901" s="15">
        <v>0</v>
      </c>
      <c r="Y901" s="16">
        <v>0</v>
      </c>
      <c r="Z901" s="67" t="s">
        <v>26</v>
      </c>
      <c r="AA901" s="12" t="s">
        <v>31</v>
      </c>
    </row>
    <row r="902" spans="1:27" x14ac:dyDescent="0.25">
      <c r="A902" s="10">
        <v>45672</v>
      </c>
      <c r="B902" s="11" t="s">
        <v>555</v>
      </c>
      <c r="C902" s="11" t="s">
        <v>2404</v>
      </c>
      <c r="D902" s="11" t="s">
        <v>26</v>
      </c>
      <c r="E902" s="11" t="s">
        <v>59</v>
      </c>
      <c r="F902" s="11" t="s">
        <v>26</v>
      </c>
      <c r="G902" s="11">
        <v>112115</v>
      </c>
      <c r="H902" s="12" t="s">
        <v>4446</v>
      </c>
      <c r="I902" s="12" t="s">
        <v>27</v>
      </c>
      <c r="J902" s="12" t="s">
        <v>33</v>
      </c>
      <c r="K902" s="12" t="s">
        <v>34</v>
      </c>
      <c r="L902" s="13">
        <v>35.299999999999997</v>
      </c>
      <c r="M902" s="13">
        <v>25</v>
      </c>
      <c r="N902" s="13">
        <v>1.4119999999999999</v>
      </c>
      <c r="O902" s="13">
        <v>44</v>
      </c>
      <c r="P902" s="13" t="s">
        <v>30</v>
      </c>
      <c r="Q902" s="13">
        <v>0</v>
      </c>
      <c r="R902" s="14">
        <v>1553.1999999999998</v>
      </c>
      <c r="S902" s="15">
        <v>0</v>
      </c>
      <c r="T902" s="15">
        <v>0</v>
      </c>
      <c r="U902" s="15">
        <v>1553.1999999999998</v>
      </c>
      <c r="V902" s="15">
        <v>1553.1999999999998</v>
      </c>
      <c r="W902" s="15">
        <v>0</v>
      </c>
      <c r="X902" s="15">
        <v>0</v>
      </c>
      <c r="Y902" s="16">
        <v>0</v>
      </c>
      <c r="Z902" s="67" t="s">
        <v>26</v>
      </c>
      <c r="AA902" s="12" t="s">
        <v>31</v>
      </c>
    </row>
    <row r="903" spans="1:27" x14ac:dyDescent="0.25">
      <c r="A903" s="10">
        <v>45672</v>
      </c>
      <c r="B903" s="11" t="s">
        <v>2405</v>
      </c>
      <c r="C903" s="11" t="s">
        <v>2406</v>
      </c>
      <c r="D903" s="11" t="s">
        <v>26</v>
      </c>
      <c r="E903" s="11" t="s">
        <v>529</v>
      </c>
      <c r="F903" s="11" t="s">
        <v>26</v>
      </c>
      <c r="G903" s="11">
        <v>630</v>
      </c>
      <c r="H903" s="12" t="s">
        <v>163</v>
      </c>
      <c r="I903" s="12" t="s">
        <v>27</v>
      </c>
      <c r="J903" s="12" t="s">
        <v>47</v>
      </c>
      <c r="K903" s="12" t="s">
        <v>48</v>
      </c>
      <c r="L903" s="13">
        <v>37.94</v>
      </c>
      <c r="M903" s="13">
        <v>25</v>
      </c>
      <c r="N903" s="13">
        <v>1.5175999999999998</v>
      </c>
      <c r="O903" s="13" t="s">
        <v>30</v>
      </c>
      <c r="P903" s="13">
        <v>58</v>
      </c>
      <c r="Q903" s="13">
        <v>0</v>
      </c>
      <c r="R903" s="15">
        <v>1450</v>
      </c>
      <c r="S903" s="15">
        <v>0</v>
      </c>
      <c r="T903" s="15">
        <v>0</v>
      </c>
      <c r="U903" s="15">
        <v>1450</v>
      </c>
      <c r="V903" s="15">
        <v>0</v>
      </c>
      <c r="W903" s="15">
        <v>1450</v>
      </c>
      <c r="X903" s="15">
        <v>0</v>
      </c>
      <c r="Y903" s="16">
        <v>0</v>
      </c>
      <c r="Z903" s="67" t="s">
        <v>26</v>
      </c>
      <c r="AA903" s="12" t="s">
        <v>31</v>
      </c>
    </row>
    <row r="904" spans="1:27" x14ac:dyDescent="0.25">
      <c r="A904" s="10">
        <v>45672</v>
      </c>
      <c r="B904" s="11" t="s">
        <v>2407</v>
      </c>
      <c r="C904" s="11" t="s">
        <v>2408</v>
      </c>
      <c r="D904" s="11" t="s">
        <v>26</v>
      </c>
      <c r="E904" s="11" t="s">
        <v>490</v>
      </c>
      <c r="F904" s="11" t="s">
        <v>26</v>
      </c>
      <c r="G904" s="11">
        <v>77543</v>
      </c>
      <c r="H904" s="12" t="s">
        <v>4448</v>
      </c>
      <c r="I904" s="12" t="s">
        <v>27</v>
      </c>
      <c r="J904" s="12" t="s">
        <v>33</v>
      </c>
      <c r="K904" s="12" t="s">
        <v>34</v>
      </c>
      <c r="L904" s="13">
        <v>42.98</v>
      </c>
      <c r="M904" s="13">
        <v>30</v>
      </c>
      <c r="N904" s="13">
        <v>1.4326666666666665</v>
      </c>
      <c r="O904" s="13">
        <v>45.33</v>
      </c>
      <c r="P904" s="13" t="s">
        <v>30</v>
      </c>
      <c r="Q904" s="13">
        <v>0</v>
      </c>
      <c r="R904" s="15">
        <v>1948.2833999999998</v>
      </c>
      <c r="S904" s="15">
        <v>0</v>
      </c>
      <c r="T904" s="15">
        <v>0</v>
      </c>
      <c r="U904" s="15">
        <v>1948.2833999999998</v>
      </c>
      <c r="V904" s="15">
        <v>1461.2125499999997</v>
      </c>
      <c r="W904" s="15">
        <v>487.07085000000006</v>
      </c>
      <c r="X904" s="15">
        <v>0</v>
      </c>
      <c r="Y904" s="16">
        <v>0</v>
      </c>
      <c r="Z904" s="67" t="s">
        <v>26</v>
      </c>
      <c r="AA904" s="12" t="s">
        <v>31</v>
      </c>
    </row>
    <row r="905" spans="1:27" x14ac:dyDescent="0.25">
      <c r="A905" s="10">
        <v>45672</v>
      </c>
      <c r="B905" s="11" t="s">
        <v>2409</v>
      </c>
      <c r="C905" s="11" t="s">
        <v>2410</v>
      </c>
      <c r="D905" s="11" t="s">
        <v>26</v>
      </c>
      <c r="E905" s="11" t="s">
        <v>101</v>
      </c>
      <c r="F905" s="11" t="s">
        <v>26</v>
      </c>
      <c r="G905" s="11">
        <v>69211</v>
      </c>
      <c r="H905" s="12" t="s">
        <v>4423</v>
      </c>
      <c r="I905" s="12" t="s">
        <v>27</v>
      </c>
      <c r="J905" s="12" t="s">
        <v>42</v>
      </c>
      <c r="K905" s="12" t="s">
        <v>43</v>
      </c>
      <c r="L905" s="13">
        <v>43.34</v>
      </c>
      <c r="M905" s="13">
        <v>25</v>
      </c>
      <c r="N905" s="13">
        <v>1.7336</v>
      </c>
      <c r="O905" s="13">
        <v>42</v>
      </c>
      <c r="P905" s="13" t="s">
        <v>30</v>
      </c>
      <c r="Q905" s="13">
        <v>0</v>
      </c>
      <c r="R905" s="14">
        <v>1820.2800000000002</v>
      </c>
      <c r="S905" s="15">
        <v>0</v>
      </c>
      <c r="T905" s="15">
        <v>0</v>
      </c>
      <c r="U905" s="15">
        <v>1820.2800000000002</v>
      </c>
      <c r="V905" s="15">
        <v>1820.2800000000002</v>
      </c>
      <c r="W905" s="15">
        <v>0</v>
      </c>
      <c r="X905" s="15">
        <v>0</v>
      </c>
      <c r="Y905" s="16">
        <v>0</v>
      </c>
      <c r="Z905" s="67" t="s">
        <v>26</v>
      </c>
      <c r="AA905" s="12" t="s">
        <v>31</v>
      </c>
    </row>
    <row r="906" spans="1:27" x14ac:dyDescent="0.25">
      <c r="A906" s="10">
        <v>45672</v>
      </c>
      <c r="B906" s="11" t="s">
        <v>225</v>
      </c>
      <c r="C906" s="11" t="s">
        <v>2411</v>
      </c>
      <c r="D906" s="11" t="s">
        <v>26</v>
      </c>
      <c r="E906" s="11" t="s">
        <v>553</v>
      </c>
      <c r="F906" s="11" t="s">
        <v>26</v>
      </c>
      <c r="G906" s="11">
        <v>44142</v>
      </c>
      <c r="H906" s="12" t="s">
        <v>4423</v>
      </c>
      <c r="I906" s="12" t="s">
        <v>27</v>
      </c>
      <c r="J906" s="12" t="s">
        <v>42</v>
      </c>
      <c r="K906" s="12" t="s">
        <v>43</v>
      </c>
      <c r="L906" s="13">
        <v>37.799999999999997</v>
      </c>
      <c r="M906" s="13">
        <v>25</v>
      </c>
      <c r="N906" s="13">
        <v>1.5119999999999998</v>
      </c>
      <c r="O906" s="13">
        <v>42</v>
      </c>
      <c r="P906" s="13" t="s">
        <v>30</v>
      </c>
      <c r="Q906" s="13">
        <v>0</v>
      </c>
      <c r="R906" s="14">
        <v>1587.6</v>
      </c>
      <c r="S906" s="15">
        <v>0</v>
      </c>
      <c r="T906" s="15">
        <v>0</v>
      </c>
      <c r="U906" s="15">
        <v>1587.6</v>
      </c>
      <c r="V906" s="15">
        <v>1587.6</v>
      </c>
      <c r="W906" s="15">
        <v>0</v>
      </c>
      <c r="X906" s="15">
        <v>0</v>
      </c>
      <c r="Y906" s="16">
        <v>0</v>
      </c>
      <c r="Z906" s="67" t="s">
        <v>26</v>
      </c>
      <c r="AA906" s="12" t="s">
        <v>31</v>
      </c>
    </row>
    <row r="907" spans="1:27" x14ac:dyDescent="0.25">
      <c r="A907" s="10">
        <v>45672</v>
      </c>
      <c r="B907" s="11" t="s">
        <v>2412</v>
      </c>
      <c r="C907" s="11" t="s">
        <v>2413</v>
      </c>
      <c r="D907" s="11" t="s">
        <v>26</v>
      </c>
      <c r="E907" s="11" t="s">
        <v>1200</v>
      </c>
      <c r="F907" s="11" t="s">
        <v>26</v>
      </c>
      <c r="G907" s="11">
        <v>985</v>
      </c>
      <c r="H907" s="12" t="s">
        <v>163</v>
      </c>
      <c r="I907" s="12" t="s">
        <v>27</v>
      </c>
      <c r="J907" s="12" t="s">
        <v>33</v>
      </c>
      <c r="K907" s="12" t="s">
        <v>34</v>
      </c>
      <c r="L907" s="13">
        <v>38.68</v>
      </c>
      <c r="M907" s="13">
        <v>25</v>
      </c>
      <c r="N907" s="13">
        <v>1.5471999999999999</v>
      </c>
      <c r="O907" s="13" t="s">
        <v>30</v>
      </c>
      <c r="P907" s="13">
        <v>58</v>
      </c>
      <c r="Q907" s="13">
        <v>0</v>
      </c>
      <c r="R907" s="15">
        <v>1450</v>
      </c>
      <c r="S907" s="15">
        <v>0</v>
      </c>
      <c r="T907" s="15">
        <v>0</v>
      </c>
      <c r="U907" s="15">
        <v>1450</v>
      </c>
      <c r="V907" s="15">
        <v>0</v>
      </c>
      <c r="W907" s="15">
        <v>1450</v>
      </c>
      <c r="X907" s="15">
        <v>0</v>
      </c>
      <c r="Y907" s="16">
        <v>0</v>
      </c>
      <c r="Z907" s="67" t="s">
        <v>26</v>
      </c>
      <c r="AA907" s="12" t="s">
        <v>31</v>
      </c>
    </row>
    <row r="908" spans="1:27" x14ac:dyDescent="0.25">
      <c r="A908" s="10">
        <v>45672</v>
      </c>
      <c r="B908" s="11" t="s">
        <v>178</v>
      </c>
      <c r="C908" s="11" t="s">
        <v>2414</v>
      </c>
      <c r="D908" s="11" t="s">
        <v>26</v>
      </c>
      <c r="E908" s="11" t="s">
        <v>567</v>
      </c>
      <c r="F908" s="11" t="s">
        <v>26</v>
      </c>
      <c r="G908" s="11">
        <v>112116</v>
      </c>
      <c r="H908" s="12" t="s">
        <v>4446</v>
      </c>
      <c r="I908" s="12" t="s">
        <v>27</v>
      </c>
      <c r="J908" s="12" t="s">
        <v>42</v>
      </c>
      <c r="K908" s="12" t="s">
        <v>43</v>
      </c>
      <c r="L908" s="13">
        <v>43.04</v>
      </c>
      <c r="M908" s="13">
        <v>25</v>
      </c>
      <c r="N908" s="13">
        <v>1.7216</v>
      </c>
      <c r="O908" s="13">
        <v>42</v>
      </c>
      <c r="P908" s="13" t="s">
        <v>30</v>
      </c>
      <c r="Q908" s="13">
        <v>0</v>
      </c>
      <c r="R908" s="15">
        <v>1807.68</v>
      </c>
      <c r="S908" s="15">
        <v>0</v>
      </c>
      <c r="T908" s="15">
        <v>0</v>
      </c>
      <c r="U908" s="15">
        <v>1807.68</v>
      </c>
      <c r="V908" s="15">
        <v>1807.68</v>
      </c>
      <c r="W908" s="15">
        <v>0</v>
      </c>
      <c r="X908" s="15">
        <v>0</v>
      </c>
      <c r="Y908" s="16">
        <v>0</v>
      </c>
      <c r="Z908" s="67" t="s">
        <v>26</v>
      </c>
      <c r="AA908" s="12" t="s">
        <v>31</v>
      </c>
    </row>
    <row r="909" spans="1:27" x14ac:dyDescent="0.25">
      <c r="A909" s="10">
        <v>45672</v>
      </c>
      <c r="B909" s="11" t="s">
        <v>2415</v>
      </c>
      <c r="C909" s="11" t="s">
        <v>2416</v>
      </c>
      <c r="D909" s="11" t="s">
        <v>26</v>
      </c>
      <c r="E909" s="11" t="s">
        <v>57</v>
      </c>
      <c r="F909" s="11" t="s">
        <v>26</v>
      </c>
      <c r="G909" s="11">
        <v>2728</v>
      </c>
      <c r="H909" s="12" t="s">
        <v>41</v>
      </c>
      <c r="I909" s="12" t="s">
        <v>55</v>
      </c>
      <c r="J909" s="12" t="s">
        <v>55</v>
      </c>
      <c r="K909" s="12" t="s">
        <v>56</v>
      </c>
      <c r="L909" s="13">
        <v>38.700000000000003</v>
      </c>
      <c r="M909" s="13">
        <v>25</v>
      </c>
      <c r="N909" s="13">
        <v>1.548</v>
      </c>
      <c r="O909" s="13" t="s">
        <v>30</v>
      </c>
      <c r="P909" s="13">
        <v>24</v>
      </c>
      <c r="Q909" s="13">
        <v>0</v>
      </c>
      <c r="R909" s="14">
        <v>600</v>
      </c>
      <c r="S909" s="15">
        <v>0</v>
      </c>
      <c r="T909" s="15">
        <v>0</v>
      </c>
      <c r="U909" s="15">
        <v>600</v>
      </c>
      <c r="V909" s="15">
        <v>0</v>
      </c>
      <c r="W909" s="15">
        <v>600</v>
      </c>
      <c r="X909" s="15">
        <v>0</v>
      </c>
      <c r="Y909" s="16">
        <v>0</v>
      </c>
      <c r="Z909" s="67" t="s">
        <v>26</v>
      </c>
      <c r="AA909" s="12" t="s">
        <v>31</v>
      </c>
    </row>
    <row r="910" spans="1:27" x14ac:dyDescent="0.25">
      <c r="A910" s="10">
        <v>45672</v>
      </c>
      <c r="B910" s="11" t="s">
        <v>2417</v>
      </c>
      <c r="C910" s="11" t="s">
        <v>2418</v>
      </c>
      <c r="D910" s="11" t="s">
        <v>26</v>
      </c>
      <c r="E910" s="11" t="s">
        <v>73</v>
      </c>
      <c r="F910" s="11" t="s">
        <v>26</v>
      </c>
      <c r="G910" s="11" t="s">
        <v>35</v>
      </c>
      <c r="H910" s="12" t="s">
        <v>36</v>
      </c>
      <c r="I910" s="12" t="s">
        <v>55</v>
      </c>
      <c r="J910" s="12" t="s">
        <v>55</v>
      </c>
      <c r="K910" s="12" t="s">
        <v>56</v>
      </c>
      <c r="L910" s="13">
        <v>7.1</v>
      </c>
      <c r="M910" s="13">
        <v>5</v>
      </c>
      <c r="N910" s="13">
        <v>1.42</v>
      </c>
      <c r="O910" s="13">
        <v>20</v>
      </c>
      <c r="P910" s="13" t="s">
        <v>30</v>
      </c>
      <c r="Q910" s="13">
        <v>0</v>
      </c>
      <c r="R910" s="14">
        <v>142</v>
      </c>
      <c r="S910" s="15">
        <v>0</v>
      </c>
      <c r="T910" s="15">
        <v>0</v>
      </c>
      <c r="U910" s="15">
        <v>142</v>
      </c>
      <c r="V910" s="15">
        <v>0</v>
      </c>
      <c r="W910" s="15">
        <v>142</v>
      </c>
      <c r="X910" s="15">
        <v>0</v>
      </c>
      <c r="Y910" s="16">
        <v>0</v>
      </c>
      <c r="Z910" s="67" t="s">
        <v>26</v>
      </c>
      <c r="AA910" s="12" t="s">
        <v>31</v>
      </c>
    </row>
    <row r="911" spans="1:27" x14ac:dyDescent="0.25">
      <c r="A911" s="10">
        <v>45672</v>
      </c>
      <c r="B911" s="11" t="s">
        <v>522</v>
      </c>
      <c r="C911" s="11" t="s">
        <v>2419</v>
      </c>
      <c r="D911" s="11" t="s">
        <v>26</v>
      </c>
      <c r="E911" s="11" t="s">
        <v>53</v>
      </c>
      <c r="F911" s="11" t="s">
        <v>26</v>
      </c>
      <c r="G911" s="11">
        <v>2400</v>
      </c>
      <c r="H911" s="12" t="s">
        <v>41</v>
      </c>
      <c r="I911" s="12" t="s">
        <v>55</v>
      </c>
      <c r="J911" s="12" t="s">
        <v>566</v>
      </c>
      <c r="K911" s="12" t="s">
        <v>550</v>
      </c>
      <c r="L911" s="13">
        <v>41.18</v>
      </c>
      <c r="M911" s="13">
        <v>25</v>
      </c>
      <c r="N911" s="13">
        <v>1.6472</v>
      </c>
      <c r="O911" s="13">
        <v>25</v>
      </c>
      <c r="P911" s="13"/>
      <c r="Q911" s="13">
        <v>0</v>
      </c>
      <c r="R911" s="15">
        <v>1029.5</v>
      </c>
      <c r="S911" s="15">
        <v>0</v>
      </c>
      <c r="T911" s="15">
        <v>0</v>
      </c>
      <c r="U911" s="15">
        <v>1029.5</v>
      </c>
      <c r="V911" s="15">
        <v>0</v>
      </c>
      <c r="W911" s="15">
        <v>1029.5</v>
      </c>
      <c r="X911" s="15">
        <v>0</v>
      </c>
      <c r="Y911" s="16">
        <v>0</v>
      </c>
      <c r="Z911" s="67" t="s">
        <v>26</v>
      </c>
      <c r="AA911" s="12" t="s">
        <v>31</v>
      </c>
    </row>
    <row r="912" spans="1:27" x14ac:dyDescent="0.25">
      <c r="A912" s="10">
        <v>45672</v>
      </c>
      <c r="B912" s="11" t="s">
        <v>2420</v>
      </c>
      <c r="C912" s="11" t="s">
        <v>2421</v>
      </c>
      <c r="D912" s="11" t="s">
        <v>26</v>
      </c>
      <c r="E912" s="11" t="s">
        <v>552</v>
      </c>
      <c r="F912" s="11" t="s">
        <v>26</v>
      </c>
      <c r="G912" s="11">
        <v>69114</v>
      </c>
      <c r="H912" s="12" t="s">
        <v>4423</v>
      </c>
      <c r="I912" s="12" t="s">
        <v>27</v>
      </c>
      <c r="J912" s="12" t="s">
        <v>42</v>
      </c>
      <c r="K912" s="12" t="s">
        <v>43</v>
      </c>
      <c r="L912" s="13">
        <v>36.840000000000003</v>
      </c>
      <c r="M912" s="13">
        <v>25</v>
      </c>
      <c r="N912" s="13">
        <v>1.4736000000000002</v>
      </c>
      <c r="O912" s="13">
        <v>42</v>
      </c>
      <c r="P912" s="13" t="s">
        <v>30</v>
      </c>
      <c r="Q912" s="13">
        <v>0</v>
      </c>
      <c r="R912" s="14">
        <v>1547.2800000000002</v>
      </c>
      <c r="S912" s="15">
        <v>0</v>
      </c>
      <c r="T912" s="15">
        <v>0</v>
      </c>
      <c r="U912" s="15">
        <v>1547.2800000000002</v>
      </c>
      <c r="V912" s="15">
        <v>1547.2800000000002</v>
      </c>
      <c r="W912" s="15">
        <v>0</v>
      </c>
      <c r="X912" s="15">
        <v>0</v>
      </c>
      <c r="Y912" s="16">
        <v>0</v>
      </c>
      <c r="Z912" s="67" t="s">
        <v>26</v>
      </c>
      <c r="AA912" s="12" t="s">
        <v>31</v>
      </c>
    </row>
    <row r="913" spans="1:27" x14ac:dyDescent="0.25">
      <c r="A913" s="10">
        <v>45672</v>
      </c>
      <c r="B913" s="11" t="s">
        <v>2422</v>
      </c>
      <c r="C913" s="11" t="s">
        <v>2423</v>
      </c>
      <c r="D913" s="11" t="s">
        <v>26</v>
      </c>
      <c r="E913" s="11" t="s">
        <v>224</v>
      </c>
      <c r="F913" s="11" t="s">
        <v>26</v>
      </c>
      <c r="G913" s="11">
        <v>57850</v>
      </c>
      <c r="H913" s="12" t="s">
        <v>4423</v>
      </c>
      <c r="I913" s="12" t="s">
        <v>27</v>
      </c>
      <c r="J913" s="12" t="s">
        <v>42</v>
      </c>
      <c r="K913" s="12" t="s">
        <v>43</v>
      </c>
      <c r="L913" s="13">
        <v>39.119999999999997</v>
      </c>
      <c r="M913" s="13">
        <v>25</v>
      </c>
      <c r="N913" s="13">
        <v>1.5648</v>
      </c>
      <c r="O913" s="13">
        <v>42</v>
      </c>
      <c r="P913" s="13" t="s">
        <v>30</v>
      </c>
      <c r="Q913" s="13">
        <v>0</v>
      </c>
      <c r="R913" s="15">
        <v>1643.04</v>
      </c>
      <c r="S913" s="15">
        <v>0</v>
      </c>
      <c r="T913" s="15">
        <v>0</v>
      </c>
      <c r="U913" s="15">
        <v>1643.04</v>
      </c>
      <c r="V913" s="15">
        <v>1643.04</v>
      </c>
      <c r="W913" s="15">
        <v>0</v>
      </c>
      <c r="X913" s="15">
        <v>0</v>
      </c>
      <c r="Y913" s="16">
        <v>0</v>
      </c>
      <c r="Z913" s="67" t="s">
        <v>26</v>
      </c>
      <c r="AA913" s="12" t="s">
        <v>31</v>
      </c>
    </row>
    <row r="914" spans="1:27" x14ac:dyDescent="0.25">
      <c r="A914" s="10">
        <v>45672</v>
      </c>
      <c r="B914" s="11" t="s">
        <v>2424</v>
      </c>
      <c r="C914" s="11" t="s">
        <v>2425</v>
      </c>
      <c r="D914" s="11" t="s">
        <v>26</v>
      </c>
      <c r="E914" s="11" t="s">
        <v>604</v>
      </c>
      <c r="F914" s="11" t="s">
        <v>26</v>
      </c>
      <c r="G914" s="11">
        <v>761</v>
      </c>
      <c r="H914" s="12" t="s">
        <v>141</v>
      </c>
      <c r="I914" s="12" t="s">
        <v>27</v>
      </c>
      <c r="J914" s="12" t="s">
        <v>47</v>
      </c>
      <c r="K914" s="12" t="s">
        <v>48</v>
      </c>
      <c r="L914" s="13">
        <v>39.840000000000003</v>
      </c>
      <c r="M914" s="13">
        <v>28</v>
      </c>
      <c r="N914" s="13">
        <v>1.422857142857143</v>
      </c>
      <c r="O914" s="13">
        <v>40</v>
      </c>
      <c r="P914" s="13" t="s">
        <v>30</v>
      </c>
      <c r="Q914" s="13">
        <v>0</v>
      </c>
      <c r="R914" s="14">
        <v>1593.6000000000001</v>
      </c>
      <c r="S914" s="15">
        <v>0</v>
      </c>
      <c r="T914" s="15">
        <v>0</v>
      </c>
      <c r="U914" s="15">
        <v>1593.6000000000001</v>
      </c>
      <c r="V914" s="15">
        <v>0</v>
      </c>
      <c r="W914" s="15">
        <v>1593.6000000000001</v>
      </c>
      <c r="X914" s="15">
        <v>0</v>
      </c>
      <c r="Y914" s="16">
        <v>0</v>
      </c>
      <c r="Z914" s="67" t="s">
        <v>26</v>
      </c>
      <c r="AA914" s="12" t="s">
        <v>31</v>
      </c>
    </row>
    <row r="915" spans="1:27" x14ac:dyDescent="0.25">
      <c r="A915" s="10">
        <v>45672</v>
      </c>
      <c r="B915" s="11" t="s">
        <v>2426</v>
      </c>
      <c r="C915" s="11" t="s">
        <v>2427</v>
      </c>
      <c r="D915" s="11" t="s">
        <v>26</v>
      </c>
      <c r="E915" s="11" t="s">
        <v>60</v>
      </c>
      <c r="F915" s="11" t="s">
        <v>26</v>
      </c>
      <c r="G915" s="11" t="s">
        <v>35</v>
      </c>
      <c r="H915" s="12" t="s">
        <v>36</v>
      </c>
      <c r="I915" s="12" t="s">
        <v>27</v>
      </c>
      <c r="J915" s="12" t="s">
        <v>42</v>
      </c>
      <c r="K915" s="12" t="s">
        <v>43</v>
      </c>
      <c r="L915" s="13">
        <v>9.32</v>
      </c>
      <c r="M915" s="13">
        <v>6</v>
      </c>
      <c r="N915" s="13">
        <v>1.5533333333333335</v>
      </c>
      <c r="O915" s="13">
        <v>45</v>
      </c>
      <c r="P915" s="13" t="s">
        <v>30</v>
      </c>
      <c r="Q915" s="13">
        <v>0</v>
      </c>
      <c r="R915" s="14">
        <v>419.40000000000003</v>
      </c>
      <c r="S915" s="15">
        <v>0</v>
      </c>
      <c r="T915" s="15">
        <v>0</v>
      </c>
      <c r="U915" s="15">
        <v>419.40000000000003</v>
      </c>
      <c r="V915" s="15">
        <v>0</v>
      </c>
      <c r="W915" s="15">
        <v>419.40000000000003</v>
      </c>
      <c r="X915" s="15">
        <v>0</v>
      </c>
      <c r="Y915" s="16">
        <v>0</v>
      </c>
      <c r="Z915" s="67" t="s">
        <v>26</v>
      </c>
      <c r="AA915" s="12" t="s">
        <v>31</v>
      </c>
    </row>
    <row r="916" spans="1:27" x14ac:dyDescent="0.25">
      <c r="A916" s="10">
        <v>45672</v>
      </c>
      <c r="B916" s="11" t="s">
        <v>755</v>
      </c>
      <c r="C916" s="11" t="s">
        <v>2428</v>
      </c>
      <c r="D916" s="11" t="s">
        <v>26</v>
      </c>
      <c r="E916" s="11" t="s">
        <v>607</v>
      </c>
      <c r="F916" s="11" t="s">
        <v>26</v>
      </c>
      <c r="G916" s="11" t="s">
        <v>35</v>
      </c>
      <c r="H916" s="12" t="s">
        <v>36</v>
      </c>
      <c r="I916" s="12" t="s">
        <v>27</v>
      </c>
      <c r="J916" s="12" t="s">
        <v>42</v>
      </c>
      <c r="K916" s="12" t="s">
        <v>43</v>
      </c>
      <c r="L916" s="13">
        <v>16.420000000000002</v>
      </c>
      <c r="M916" s="13">
        <v>10</v>
      </c>
      <c r="N916" s="13">
        <v>1.6420000000000001</v>
      </c>
      <c r="O916" s="13">
        <v>45</v>
      </c>
      <c r="P916" s="13" t="s">
        <v>30</v>
      </c>
      <c r="Q916" s="13">
        <v>0</v>
      </c>
      <c r="R916" s="14">
        <v>738.90000000000009</v>
      </c>
      <c r="S916" s="15">
        <v>0</v>
      </c>
      <c r="T916" s="15">
        <v>0</v>
      </c>
      <c r="U916" s="15">
        <v>738.90000000000009</v>
      </c>
      <c r="V916" s="15">
        <v>0</v>
      </c>
      <c r="W916" s="15">
        <v>738.90000000000009</v>
      </c>
      <c r="X916" s="15">
        <v>0</v>
      </c>
      <c r="Y916" s="16">
        <v>0</v>
      </c>
      <c r="Z916" s="67" t="s">
        <v>26</v>
      </c>
      <c r="AA916" s="12" t="s">
        <v>31</v>
      </c>
    </row>
    <row r="917" spans="1:27" x14ac:dyDescent="0.25">
      <c r="A917" s="10">
        <v>45672</v>
      </c>
      <c r="B917" s="11" t="s">
        <v>2429</v>
      </c>
      <c r="C917" s="11" t="s">
        <v>2430</v>
      </c>
      <c r="D917" s="11" t="s">
        <v>26</v>
      </c>
      <c r="E917" s="11" t="s">
        <v>240</v>
      </c>
      <c r="F917" s="11" t="s">
        <v>26</v>
      </c>
      <c r="G917" s="11">
        <v>2919</v>
      </c>
      <c r="H917" s="12" t="s">
        <v>41</v>
      </c>
      <c r="I917" s="12" t="s">
        <v>55</v>
      </c>
      <c r="J917" s="12" t="s">
        <v>55</v>
      </c>
      <c r="K917" s="12" t="s">
        <v>56</v>
      </c>
      <c r="L917" s="13">
        <v>40.06</v>
      </c>
      <c r="M917" s="13">
        <v>25</v>
      </c>
      <c r="N917" s="13">
        <v>1.6024</v>
      </c>
      <c r="O917" s="13" t="s">
        <v>30</v>
      </c>
      <c r="P917" s="13">
        <v>24</v>
      </c>
      <c r="Q917" s="13">
        <v>0</v>
      </c>
      <c r="R917" s="15">
        <v>600</v>
      </c>
      <c r="S917" s="15">
        <v>0</v>
      </c>
      <c r="T917" s="15">
        <v>0</v>
      </c>
      <c r="U917" s="15">
        <v>600</v>
      </c>
      <c r="V917" s="15">
        <v>0</v>
      </c>
      <c r="W917" s="15">
        <v>600</v>
      </c>
      <c r="X917" s="15">
        <v>0</v>
      </c>
      <c r="Y917" s="16">
        <v>0</v>
      </c>
      <c r="Z917" s="67" t="s">
        <v>26</v>
      </c>
      <c r="AA917" s="12" t="s">
        <v>31</v>
      </c>
    </row>
    <row r="918" spans="1:27" x14ac:dyDescent="0.25">
      <c r="A918" s="10">
        <v>45672</v>
      </c>
      <c r="B918" s="11" t="s">
        <v>2431</v>
      </c>
      <c r="C918" s="11" t="s">
        <v>2432</v>
      </c>
      <c r="D918" s="11" t="s">
        <v>26</v>
      </c>
      <c r="E918" s="11" t="s">
        <v>75</v>
      </c>
      <c r="F918" s="11" t="s">
        <v>26</v>
      </c>
      <c r="G918" s="11">
        <v>42011</v>
      </c>
      <c r="H918" s="12" t="s">
        <v>565</v>
      </c>
      <c r="I918" s="12" t="s">
        <v>55</v>
      </c>
      <c r="J918" s="12" t="s">
        <v>55</v>
      </c>
      <c r="K918" s="12" t="s">
        <v>56</v>
      </c>
      <c r="L918" s="13">
        <v>40.28</v>
      </c>
      <c r="M918" s="13">
        <v>25</v>
      </c>
      <c r="N918" s="13">
        <v>1.6112</v>
      </c>
      <c r="O918" s="13"/>
      <c r="P918" s="13">
        <v>24</v>
      </c>
      <c r="Q918" s="13">
        <v>0</v>
      </c>
      <c r="R918" s="15">
        <v>600</v>
      </c>
      <c r="S918" s="15">
        <v>0</v>
      </c>
      <c r="T918" s="15">
        <v>0</v>
      </c>
      <c r="U918" s="15">
        <v>600</v>
      </c>
      <c r="V918" s="15">
        <v>0</v>
      </c>
      <c r="W918" s="15">
        <v>600</v>
      </c>
      <c r="X918" s="15">
        <v>0</v>
      </c>
      <c r="Y918" s="16">
        <v>0</v>
      </c>
      <c r="Z918" s="67" t="s">
        <v>26</v>
      </c>
      <c r="AA918" s="12" t="s">
        <v>31</v>
      </c>
    </row>
    <row r="919" spans="1:27" x14ac:dyDescent="0.25">
      <c r="A919" s="10">
        <v>45672</v>
      </c>
      <c r="B919" s="11" t="s">
        <v>2433</v>
      </c>
      <c r="C919" s="11" t="s">
        <v>2434</v>
      </c>
      <c r="D919" s="11" t="s">
        <v>26</v>
      </c>
      <c r="E919" s="11" t="s">
        <v>230</v>
      </c>
      <c r="F919" s="11" t="s">
        <v>26</v>
      </c>
      <c r="G919" s="11">
        <v>23132</v>
      </c>
      <c r="H919" s="12" t="s">
        <v>565</v>
      </c>
      <c r="I919" s="12" t="s">
        <v>55</v>
      </c>
      <c r="J919" s="12" t="s">
        <v>55</v>
      </c>
      <c r="K919" s="12" t="s">
        <v>56</v>
      </c>
      <c r="L919" s="13">
        <v>37.020000000000003</v>
      </c>
      <c r="M919" s="13">
        <v>25</v>
      </c>
      <c r="N919" s="13">
        <v>1.4808000000000001</v>
      </c>
      <c r="O919" s="13"/>
      <c r="P919" s="13">
        <v>24</v>
      </c>
      <c r="Q919" s="13">
        <v>0</v>
      </c>
      <c r="R919" s="15">
        <v>600</v>
      </c>
      <c r="S919" s="15">
        <v>0</v>
      </c>
      <c r="T919" s="15">
        <v>0</v>
      </c>
      <c r="U919" s="15">
        <v>600</v>
      </c>
      <c r="V919" s="15">
        <v>0</v>
      </c>
      <c r="W919" s="15">
        <v>600</v>
      </c>
      <c r="X919" s="15">
        <v>0</v>
      </c>
      <c r="Y919" s="16">
        <v>0</v>
      </c>
      <c r="Z919" s="67" t="s">
        <v>26</v>
      </c>
      <c r="AA919" s="12" t="s">
        <v>31</v>
      </c>
    </row>
    <row r="920" spans="1:27" x14ac:dyDescent="0.25">
      <c r="A920" s="10">
        <v>45672</v>
      </c>
      <c r="B920" s="11" t="s">
        <v>2435</v>
      </c>
      <c r="C920" s="11" t="s">
        <v>2436</v>
      </c>
      <c r="D920" s="11" t="s">
        <v>26</v>
      </c>
      <c r="E920" s="11" t="s">
        <v>80</v>
      </c>
      <c r="F920" s="11" t="s">
        <v>26</v>
      </c>
      <c r="G920" s="11">
        <v>10297</v>
      </c>
      <c r="H920" s="12" t="s">
        <v>140</v>
      </c>
      <c r="I920" s="12" t="s">
        <v>27</v>
      </c>
      <c r="J920" s="12" t="s">
        <v>33</v>
      </c>
      <c r="K920" s="12" t="s">
        <v>34</v>
      </c>
      <c r="L920" s="13">
        <v>42.18</v>
      </c>
      <c r="M920" s="13">
        <v>29</v>
      </c>
      <c r="N920" s="13">
        <v>1.4544827586206897</v>
      </c>
      <c r="O920" s="13">
        <v>40</v>
      </c>
      <c r="P920" s="13"/>
      <c r="Q920" s="13">
        <v>0</v>
      </c>
      <c r="R920" s="15">
        <v>1687.2</v>
      </c>
      <c r="S920" s="15">
        <v>0</v>
      </c>
      <c r="T920" s="15">
        <v>0</v>
      </c>
      <c r="U920" s="15">
        <v>1687.2</v>
      </c>
      <c r="V920" s="15">
        <v>0</v>
      </c>
      <c r="W920" s="15">
        <v>1687.2</v>
      </c>
      <c r="X920" s="15">
        <v>0</v>
      </c>
      <c r="Y920" s="16">
        <v>0</v>
      </c>
      <c r="Z920" s="67" t="s">
        <v>26</v>
      </c>
      <c r="AA920" s="12" t="s">
        <v>31</v>
      </c>
    </row>
    <row r="921" spans="1:27" x14ac:dyDescent="0.25">
      <c r="A921" s="10">
        <v>45672</v>
      </c>
      <c r="B921" s="11" t="s">
        <v>2437</v>
      </c>
      <c r="C921" s="11" t="s">
        <v>2438</v>
      </c>
      <c r="D921" s="11" t="s">
        <v>26</v>
      </c>
      <c r="E921" s="11" t="s">
        <v>593</v>
      </c>
      <c r="F921" s="11" t="s">
        <v>26</v>
      </c>
      <c r="G921" s="11">
        <v>59488</v>
      </c>
      <c r="H921" s="12" t="s">
        <v>4423</v>
      </c>
      <c r="I921" s="12" t="s">
        <v>27</v>
      </c>
      <c r="J921" s="12" t="s">
        <v>42</v>
      </c>
      <c r="K921" s="12" t="s">
        <v>43</v>
      </c>
      <c r="L921" s="13">
        <v>34.64</v>
      </c>
      <c r="M921" s="13">
        <v>25</v>
      </c>
      <c r="N921" s="13">
        <v>1.3855999999999999</v>
      </c>
      <c r="O921" s="13">
        <v>42</v>
      </c>
      <c r="P921" s="13" t="s">
        <v>30</v>
      </c>
      <c r="Q921" s="13">
        <v>0</v>
      </c>
      <c r="R921" s="15">
        <v>1454.88</v>
      </c>
      <c r="S921" s="15">
        <v>0</v>
      </c>
      <c r="T921" s="15">
        <v>0</v>
      </c>
      <c r="U921" s="15">
        <v>1454.88</v>
      </c>
      <c r="V921" s="15">
        <v>1454.88</v>
      </c>
      <c r="W921" s="15">
        <v>0</v>
      </c>
      <c r="X921" s="15">
        <v>0</v>
      </c>
      <c r="Y921" s="16">
        <v>0</v>
      </c>
      <c r="Z921" s="67" t="s">
        <v>26</v>
      </c>
      <c r="AA921" s="12" t="s">
        <v>31</v>
      </c>
    </row>
    <row r="922" spans="1:27" x14ac:dyDescent="0.25">
      <c r="A922" s="10">
        <v>45672</v>
      </c>
      <c r="B922" s="11" t="s">
        <v>2439</v>
      </c>
      <c r="C922" s="11" t="s">
        <v>2440</v>
      </c>
      <c r="D922" s="11" t="s">
        <v>26</v>
      </c>
      <c r="E922" s="11" t="s">
        <v>76</v>
      </c>
      <c r="F922" s="11" t="s">
        <v>26</v>
      </c>
      <c r="G922" s="11" t="s">
        <v>26</v>
      </c>
      <c r="H922" s="12" t="s">
        <v>4422</v>
      </c>
      <c r="I922" s="12" t="s">
        <v>27</v>
      </c>
      <c r="J922" s="12" t="s">
        <v>47</v>
      </c>
      <c r="K922" s="12" t="s">
        <v>48</v>
      </c>
      <c r="L922" s="13">
        <v>42.98</v>
      </c>
      <c r="M922" s="13">
        <v>29</v>
      </c>
      <c r="N922" s="13">
        <v>1.4820689655172412</v>
      </c>
      <c r="O922" s="13">
        <v>87</v>
      </c>
      <c r="P922" s="13" t="s">
        <v>30</v>
      </c>
      <c r="Q922" s="13">
        <v>0</v>
      </c>
      <c r="R922" s="15">
        <v>3739.2599999999998</v>
      </c>
      <c r="S922" s="15">
        <v>38</v>
      </c>
      <c r="T922" s="15">
        <v>1633.2399999999998</v>
      </c>
      <c r="U922" s="15">
        <v>2106.02</v>
      </c>
      <c r="V922" s="15">
        <v>2106.02</v>
      </c>
      <c r="W922" s="15">
        <v>0</v>
      </c>
      <c r="X922" s="15">
        <v>1590.26</v>
      </c>
      <c r="Y922" s="16">
        <v>42.979999999999791</v>
      </c>
      <c r="Z922" s="67" t="s">
        <v>41</v>
      </c>
      <c r="AA922" s="12" t="s">
        <v>78</v>
      </c>
    </row>
    <row r="923" spans="1:27" x14ac:dyDescent="0.25">
      <c r="A923" s="10">
        <v>45672</v>
      </c>
      <c r="B923" s="11" t="s">
        <v>2441</v>
      </c>
      <c r="C923" s="11" t="s">
        <v>2442</v>
      </c>
      <c r="D923" s="11" t="s">
        <v>26</v>
      </c>
      <c r="E923" s="11" t="s">
        <v>1200</v>
      </c>
      <c r="F923" s="11" t="s">
        <v>26</v>
      </c>
      <c r="G923" s="11">
        <v>986</v>
      </c>
      <c r="H923" s="12" t="s">
        <v>163</v>
      </c>
      <c r="I923" s="12" t="s">
        <v>27</v>
      </c>
      <c r="J923" s="12" t="s">
        <v>28</v>
      </c>
      <c r="K923" s="12" t="s">
        <v>29</v>
      </c>
      <c r="L923" s="13">
        <v>38.74</v>
      </c>
      <c r="M923" s="13">
        <v>25</v>
      </c>
      <c r="N923" s="13">
        <v>1.5496000000000001</v>
      </c>
      <c r="O923" s="13" t="s">
        <v>30</v>
      </c>
      <c r="P923" s="13">
        <v>40</v>
      </c>
      <c r="Q923" s="13">
        <v>0</v>
      </c>
      <c r="R923" s="14">
        <v>1000</v>
      </c>
      <c r="S923" s="15">
        <v>0</v>
      </c>
      <c r="T923" s="15">
        <v>0</v>
      </c>
      <c r="U923" s="15">
        <v>1000</v>
      </c>
      <c r="V923" s="15">
        <v>0</v>
      </c>
      <c r="W923" s="15">
        <v>1000</v>
      </c>
      <c r="X923" s="15">
        <v>0</v>
      </c>
      <c r="Y923" s="16">
        <v>0</v>
      </c>
      <c r="Z923" s="67" t="s">
        <v>26</v>
      </c>
      <c r="AA923" s="12" t="s">
        <v>31</v>
      </c>
    </row>
    <row r="924" spans="1:27" x14ac:dyDescent="0.25">
      <c r="A924" s="10">
        <v>45672</v>
      </c>
      <c r="B924" s="11" t="s">
        <v>2443</v>
      </c>
      <c r="C924" s="11" t="s">
        <v>2444</v>
      </c>
      <c r="D924" s="11" t="s">
        <v>26</v>
      </c>
      <c r="E924" s="11" t="s">
        <v>50</v>
      </c>
      <c r="F924" s="11" t="s">
        <v>26</v>
      </c>
      <c r="G924" s="11">
        <v>632</v>
      </c>
      <c r="H924" s="12" t="s">
        <v>163</v>
      </c>
      <c r="I924" s="12" t="s">
        <v>27</v>
      </c>
      <c r="J924" s="12" t="s">
        <v>47</v>
      </c>
      <c r="K924" s="12" t="s">
        <v>48</v>
      </c>
      <c r="L924" s="13">
        <v>36.54</v>
      </c>
      <c r="M924" s="13">
        <v>25</v>
      </c>
      <c r="N924" s="13">
        <v>1.4616</v>
      </c>
      <c r="O924" s="13" t="s">
        <v>30</v>
      </c>
      <c r="P924" s="13">
        <v>58</v>
      </c>
      <c r="Q924" s="13">
        <v>0</v>
      </c>
      <c r="R924" s="15">
        <v>1450</v>
      </c>
      <c r="S924" s="15">
        <v>0</v>
      </c>
      <c r="T924" s="15">
        <v>0</v>
      </c>
      <c r="U924" s="15">
        <v>1450</v>
      </c>
      <c r="V924" s="15">
        <v>0</v>
      </c>
      <c r="W924" s="15">
        <v>1450</v>
      </c>
      <c r="X924" s="15">
        <v>0</v>
      </c>
      <c r="Y924" s="16">
        <v>0</v>
      </c>
      <c r="Z924" s="67" t="s">
        <v>26</v>
      </c>
      <c r="AA924" s="12" t="s">
        <v>31</v>
      </c>
    </row>
    <row r="925" spans="1:27" x14ac:dyDescent="0.25">
      <c r="A925" s="10">
        <v>45672</v>
      </c>
      <c r="B925" s="11" t="s">
        <v>2445</v>
      </c>
      <c r="C925" s="11" t="s">
        <v>2446</v>
      </c>
      <c r="D925" s="11" t="s">
        <v>26</v>
      </c>
      <c r="E925" s="11" t="s">
        <v>570</v>
      </c>
      <c r="F925" s="11" t="s">
        <v>26</v>
      </c>
      <c r="G925" s="11" t="s">
        <v>26</v>
      </c>
      <c r="H925" s="12" t="s">
        <v>4422</v>
      </c>
      <c r="I925" s="12" t="s">
        <v>27</v>
      </c>
      <c r="J925" s="12" t="s">
        <v>47</v>
      </c>
      <c r="K925" s="12" t="s">
        <v>48</v>
      </c>
      <c r="L925" s="13">
        <v>43.28</v>
      </c>
      <c r="M925" s="13">
        <v>29</v>
      </c>
      <c r="N925" s="13">
        <v>1.4924137931034482</v>
      </c>
      <c r="O925" s="13">
        <v>87</v>
      </c>
      <c r="P925" s="13" t="s">
        <v>30</v>
      </c>
      <c r="Q925" s="13">
        <v>0</v>
      </c>
      <c r="R925" s="15">
        <v>3765.36</v>
      </c>
      <c r="S925" s="15">
        <v>38</v>
      </c>
      <c r="T925" s="15">
        <v>1644.64</v>
      </c>
      <c r="U925" s="15">
        <v>2120.7200000000003</v>
      </c>
      <c r="V925" s="15">
        <v>2120.7200000000003</v>
      </c>
      <c r="W925" s="15">
        <v>0</v>
      </c>
      <c r="X925" s="15">
        <v>1558.08</v>
      </c>
      <c r="Y925" s="16">
        <v>86.560000000000173</v>
      </c>
      <c r="Z925" s="67" t="s">
        <v>140</v>
      </c>
      <c r="AA925" s="12" t="s">
        <v>78</v>
      </c>
    </row>
    <row r="926" spans="1:27" x14ac:dyDescent="0.25">
      <c r="A926" s="10">
        <v>45673</v>
      </c>
      <c r="B926" s="11" t="s">
        <v>695</v>
      </c>
      <c r="C926" s="11" t="s">
        <v>2447</v>
      </c>
      <c r="D926" s="11" t="s">
        <v>26</v>
      </c>
      <c r="E926" s="11" t="s">
        <v>100</v>
      </c>
      <c r="F926" s="11" t="s">
        <v>26</v>
      </c>
      <c r="G926" s="11">
        <v>21717</v>
      </c>
      <c r="H926" s="12" t="s">
        <v>4448</v>
      </c>
      <c r="I926" s="12" t="s">
        <v>27</v>
      </c>
      <c r="J926" s="12" t="s">
        <v>47</v>
      </c>
      <c r="K926" s="12" t="s">
        <v>48</v>
      </c>
      <c r="L926" s="13">
        <v>38.08</v>
      </c>
      <c r="M926" s="13">
        <v>25</v>
      </c>
      <c r="N926" s="13">
        <v>1.5232000000000001</v>
      </c>
      <c r="O926" s="13">
        <v>46.66</v>
      </c>
      <c r="P926" s="13" t="s">
        <v>30</v>
      </c>
      <c r="Q926" s="13">
        <v>0</v>
      </c>
      <c r="R926" s="15">
        <v>1776.8127999999997</v>
      </c>
      <c r="S926" s="15">
        <v>0</v>
      </c>
      <c r="T926" s="15">
        <v>0</v>
      </c>
      <c r="U926" s="15">
        <v>1776.8127999999997</v>
      </c>
      <c r="V926" s="15">
        <v>1332.6095999999998</v>
      </c>
      <c r="W926" s="15">
        <v>444.20319999999992</v>
      </c>
      <c r="X926" s="15">
        <v>0</v>
      </c>
      <c r="Y926" s="16">
        <v>0</v>
      </c>
      <c r="Z926" s="67" t="s">
        <v>26</v>
      </c>
      <c r="AA926" s="12" t="s">
        <v>31</v>
      </c>
    </row>
    <row r="927" spans="1:27" x14ac:dyDescent="0.25">
      <c r="A927" s="10">
        <v>45673</v>
      </c>
      <c r="B927" s="11" t="s">
        <v>2448</v>
      </c>
      <c r="C927" s="11" t="s">
        <v>2449</v>
      </c>
      <c r="D927" s="11" t="s">
        <v>26</v>
      </c>
      <c r="E927" s="11" t="s">
        <v>544</v>
      </c>
      <c r="F927" s="11" t="s">
        <v>26</v>
      </c>
      <c r="G927" s="11">
        <v>70161</v>
      </c>
      <c r="H927" s="12" t="s">
        <v>4448</v>
      </c>
      <c r="I927" s="12" t="s">
        <v>27</v>
      </c>
      <c r="J927" s="12" t="s">
        <v>33</v>
      </c>
      <c r="K927" s="12" t="s">
        <v>34</v>
      </c>
      <c r="L927" s="13">
        <v>42.54</v>
      </c>
      <c r="M927" s="13">
        <v>29</v>
      </c>
      <c r="N927" s="13">
        <v>1.4668965517241379</v>
      </c>
      <c r="O927" s="13">
        <v>45.33</v>
      </c>
      <c r="P927" s="13" t="s">
        <v>30</v>
      </c>
      <c r="Q927" s="13">
        <v>0</v>
      </c>
      <c r="R927" s="15">
        <v>1928.3381999999999</v>
      </c>
      <c r="S927" s="15">
        <v>0</v>
      </c>
      <c r="T927" s="15">
        <v>0</v>
      </c>
      <c r="U927" s="15">
        <v>1928.3381999999999</v>
      </c>
      <c r="V927" s="15">
        <v>1446.2536499999999</v>
      </c>
      <c r="W927" s="15">
        <v>482.08455000000004</v>
      </c>
      <c r="X927" s="15">
        <v>0</v>
      </c>
      <c r="Y927" s="16">
        <v>0</v>
      </c>
      <c r="Z927" s="67" t="s">
        <v>26</v>
      </c>
      <c r="AA927" s="12" t="s">
        <v>31</v>
      </c>
    </row>
    <row r="928" spans="1:27" x14ac:dyDescent="0.25">
      <c r="A928" s="10">
        <v>45673</v>
      </c>
      <c r="B928" s="11" t="s">
        <v>2450</v>
      </c>
      <c r="C928" s="11" t="s">
        <v>2451</v>
      </c>
      <c r="D928" s="11" t="s">
        <v>26</v>
      </c>
      <c r="E928" s="11" t="s">
        <v>99</v>
      </c>
      <c r="F928" s="11" t="s">
        <v>26</v>
      </c>
      <c r="G928" s="11">
        <v>57984</v>
      </c>
      <c r="H928" s="12" t="s">
        <v>4423</v>
      </c>
      <c r="I928" s="12" t="s">
        <v>27</v>
      </c>
      <c r="J928" s="12" t="s">
        <v>47</v>
      </c>
      <c r="K928" s="12" t="s">
        <v>48</v>
      </c>
      <c r="L928" s="13">
        <v>35.159999999999997</v>
      </c>
      <c r="M928" s="13">
        <v>25</v>
      </c>
      <c r="N928" s="13">
        <v>1.4064000000000001</v>
      </c>
      <c r="O928" s="13">
        <v>46</v>
      </c>
      <c r="P928" s="13" t="s">
        <v>30</v>
      </c>
      <c r="Q928" s="13">
        <v>0</v>
      </c>
      <c r="R928" s="15">
        <v>1617.36</v>
      </c>
      <c r="S928" s="15">
        <v>0</v>
      </c>
      <c r="T928" s="15">
        <v>0</v>
      </c>
      <c r="U928" s="15">
        <v>1617.36</v>
      </c>
      <c r="V928" s="15">
        <v>1617.36</v>
      </c>
      <c r="W928" s="15">
        <v>0</v>
      </c>
      <c r="X928" s="15">
        <v>0</v>
      </c>
      <c r="Y928" s="16">
        <v>0</v>
      </c>
      <c r="Z928" s="67" t="s">
        <v>26</v>
      </c>
      <c r="AA928" s="12" t="s">
        <v>31</v>
      </c>
    </row>
    <row r="929" spans="1:27" x14ac:dyDescent="0.25">
      <c r="A929" s="10">
        <v>45673</v>
      </c>
      <c r="B929" s="11" t="s">
        <v>266</v>
      </c>
      <c r="C929" s="11" t="s">
        <v>2452</v>
      </c>
      <c r="D929" s="11" t="s">
        <v>26</v>
      </c>
      <c r="E929" s="11" t="s">
        <v>81</v>
      </c>
      <c r="F929" s="11" t="s">
        <v>26</v>
      </c>
      <c r="G929" s="11" t="s">
        <v>26</v>
      </c>
      <c r="H929" s="12" t="s">
        <v>4422</v>
      </c>
      <c r="I929" s="12" t="s">
        <v>27</v>
      </c>
      <c r="J929" s="12" t="s">
        <v>42</v>
      </c>
      <c r="K929" s="12" t="s">
        <v>43</v>
      </c>
      <c r="L929" s="13">
        <v>45.42</v>
      </c>
      <c r="M929" s="13">
        <v>28</v>
      </c>
      <c r="N929" s="13">
        <v>1.6221428571428571</v>
      </c>
      <c r="O929" s="13">
        <v>83</v>
      </c>
      <c r="P929" s="13" t="s">
        <v>30</v>
      </c>
      <c r="Q929" s="13">
        <v>0</v>
      </c>
      <c r="R929" s="14">
        <v>3769.86</v>
      </c>
      <c r="S929" s="15">
        <v>38</v>
      </c>
      <c r="T929" s="15">
        <v>1725.96</v>
      </c>
      <c r="U929" s="15">
        <v>2043.9</v>
      </c>
      <c r="V929" s="15">
        <v>2043.9</v>
      </c>
      <c r="W929" s="15">
        <v>0</v>
      </c>
      <c r="X929" s="15">
        <v>1635.1200000000001</v>
      </c>
      <c r="Y929" s="16">
        <v>90.839999999999918</v>
      </c>
      <c r="Z929" s="67" t="s">
        <v>141</v>
      </c>
      <c r="AA929" s="12" t="s">
        <v>78</v>
      </c>
    </row>
    <row r="930" spans="1:27" x14ac:dyDescent="0.25">
      <c r="A930" s="10">
        <v>45673</v>
      </c>
      <c r="B930" s="11" t="s">
        <v>2453</v>
      </c>
      <c r="C930" s="11" t="s">
        <v>2454</v>
      </c>
      <c r="D930" s="11" t="s">
        <v>26</v>
      </c>
      <c r="E930" s="11" t="s">
        <v>68</v>
      </c>
      <c r="F930" s="11" t="s">
        <v>26</v>
      </c>
      <c r="G930" s="11">
        <v>76357</v>
      </c>
      <c r="H930" s="12" t="s">
        <v>4448</v>
      </c>
      <c r="I930" s="12" t="s">
        <v>27</v>
      </c>
      <c r="J930" s="12" t="s">
        <v>47</v>
      </c>
      <c r="K930" s="12" t="s">
        <v>48</v>
      </c>
      <c r="L930" s="13">
        <v>38.28</v>
      </c>
      <c r="M930" s="13">
        <v>25</v>
      </c>
      <c r="N930" s="13">
        <v>1.5311999999999999</v>
      </c>
      <c r="O930" s="13">
        <v>46.66</v>
      </c>
      <c r="P930" s="13" t="s">
        <v>30</v>
      </c>
      <c r="Q930" s="13">
        <v>0</v>
      </c>
      <c r="R930" s="14">
        <v>1786.1448</v>
      </c>
      <c r="S930" s="15">
        <v>0</v>
      </c>
      <c r="T930" s="15">
        <v>0</v>
      </c>
      <c r="U930" s="15">
        <v>1786.1448</v>
      </c>
      <c r="V930" s="15">
        <v>1339.6086</v>
      </c>
      <c r="W930" s="15">
        <v>446.53620000000001</v>
      </c>
      <c r="X930" s="15">
        <v>0</v>
      </c>
      <c r="Y930" s="16">
        <v>0</v>
      </c>
      <c r="Z930" s="67" t="s">
        <v>26</v>
      </c>
      <c r="AA930" s="12" t="s">
        <v>31</v>
      </c>
    </row>
    <row r="931" spans="1:27" x14ac:dyDescent="0.25">
      <c r="A931" s="10">
        <v>45673</v>
      </c>
      <c r="B931" s="11" t="s">
        <v>2455</v>
      </c>
      <c r="C931" s="11" t="s">
        <v>2456</v>
      </c>
      <c r="D931" s="11" t="s">
        <v>26</v>
      </c>
      <c r="E931" s="11" t="s">
        <v>184</v>
      </c>
      <c r="F931" s="11" t="s">
        <v>26</v>
      </c>
      <c r="G931" s="11" t="s">
        <v>26</v>
      </c>
      <c r="H931" s="12" t="s">
        <v>4422</v>
      </c>
      <c r="I931" s="12" t="s">
        <v>27</v>
      </c>
      <c r="J931" s="12" t="s">
        <v>33</v>
      </c>
      <c r="K931" s="12" t="s">
        <v>34</v>
      </c>
      <c r="L931" s="13">
        <v>42.96</v>
      </c>
      <c r="M931" s="13">
        <v>29</v>
      </c>
      <c r="N931" s="13">
        <v>1.4813793103448281</v>
      </c>
      <c r="O931" s="13">
        <v>85</v>
      </c>
      <c r="P931" s="13" t="s">
        <v>30</v>
      </c>
      <c r="Q931" s="13">
        <v>0</v>
      </c>
      <c r="R931" s="14">
        <v>3651.6</v>
      </c>
      <c r="S931" s="15">
        <v>38</v>
      </c>
      <c r="T931" s="15">
        <v>1632.48</v>
      </c>
      <c r="U931" s="15">
        <v>2019.12</v>
      </c>
      <c r="V931" s="15">
        <v>2019.12</v>
      </c>
      <c r="W931" s="15">
        <v>0</v>
      </c>
      <c r="X931" s="15">
        <v>1546.56</v>
      </c>
      <c r="Y931" s="16">
        <v>85.920000000000073</v>
      </c>
      <c r="Z931" s="67" t="s">
        <v>141</v>
      </c>
      <c r="AA931" s="12" t="s">
        <v>78</v>
      </c>
    </row>
    <row r="932" spans="1:27" x14ac:dyDescent="0.25">
      <c r="A932" s="10">
        <v>45673</v>
      </c>
      <c r="B932" s="11" t="s">
        <v>1360</v>
      </c>
      <c r="C932" s="11" t="s">
        <v>2457</v>
      </c>
      <c r="D932" s="11" t="s">
        <v>26</v>
      </c>
      <c r="E932" s="11" t="s">
        <v>49</v>
      </c>
      <c r="F932" s="11" t="s">
        <v>26</v>
      </c>
      <c r="G932" s="11">
        <v>1553</v>
      </c>
      <c r="H932" s="12" t="s">
        <v>45</v>
      </c>
      <c r="I932" s="12" t="s">
        <v>27</v>
      </c>
      <c r="J932" s="12" t="s">
        <v>42</v>
      </c>
      <c r="K932" s="12" t="s">
        <v>43</v>
      </c>
      <c r="L932" s="13">
        <v>44</v>
      </c>
      <c r="M932" s="13">
        <v>25</v>
      </c>
      <c r="N932" s="13">
        <v>1.76</v>
      </c>
      <c r="O932" s="13" t="s">
        <v>30</v>
      </c>
      <c r="P932" s="13">
        <v>62</v>
      </c>
      <c r="Q932" s="13">
        <v>0</v>
      </c>
      <c r="R932" s="14">
        <v>1550</v>
      </c>
      <c r="S932" s="15">
        <v>0</v>
      </c>
      <c r="T932" s="15">
        <v>0</v>
      </c>
      <c r="U932" s="15">
        <v>1550</v>
      </c>
      <c r="V932" s="15">
        <v>0</v>
      </c>
      <c r="W932" s="15">
        <v>1550</v>
      </c>
      <c r="X932" s="15">
        <v>0</v>
      </c>
      <c r="Y932" s="16">
        <v>0</v>
      </c>
      <c r="Z932" s="67" t="s">
        <v>26</v>
      </c>
      <c r="AA932" s="12" t="s">
        <v>31</v>
      </c>
    </row>
    <row r="933" spans="1:27" x14ac:dyDescent="0.25">
      <c r="A933" s="10">
        <v>45673</v>
      </c>
      <c r="B933" s="11" t="s">
        <v>2458</v>
      </c>
      <c r="C933" s="11" t="s">
        <v>2459</v>
      </c>
      <c r="D933" s="11" t="s">
        <v>26</v>
      </c>
      <c r="E933" s="11" t="s">
        <v>98</v>
      </c>
      <c r="F933" s="11" t="s">
        <v>26</v>
      </c>
      <c r="G933" s="11" t="s">
        <v>26</v>
      </c>
      <c r="H933" s="12" t="s">
        <v>4422</v>
      </c>
      <c r="I933" s="12" t="s">
        <v>27</v>
      </c>
      <c r="J933" s="12" t="s">
        <v>33</v>
      </c>
      <c r="K933" s="12" t="s">
        <v>34</v>
      </c>
      <c r="L933" s="13">
        <v>43.34</v>
      </c>
      <c r="M933" s="13">
        <v>30</v>
      </c>
      <c r="N933" s="13">
        <v>1.444666666666667</v>
      </c>
      <c r="O933" s="13">
        <v>85</v>
      </c>
      <c r="P933" s="13" t="s">
        <v>30</v>
      </c>
      <c r="Q933" s="13">
        <v>0</v>
      </c>
      <c r="R933" s="14">
        <v>3683.9</v>
      </c>
      <c r="S933" s="15">
        <v>38</v>
      </c>
      <c r="T933" s="15">
        <v>1646.92</v>
      </c>
      <c r="U933" s="15">
        <v>2036.98</v>
      </c>
      <c r="V933" s="15">
        <v>2036.98</v>
      </c>
      <c r="W933" s="15">
        <v>0</v>
      </c>
      <c r="X933" s="15">
        <v>1560.2400000000002</v>
      </c>
      <c r="Y933" s="16">
        <v>86.679999999999836</v>
      </c>
      <c r="Z933" s="67" t="s">
        <v>140</v>
      </c>
      <c r="AA933" s="12" t="s">
        <v>78</v>
      </c>
    </row>
    <row r="934" spans="1:27" x14ac:dyDescent="0.25">
      <c r="A934" s="10">
        <v>45673</v>
      </c>
      <c r="B934" s="11" t="s">
        <v>2460</v>
      </c>
      <c r="C934" s="11" t="s">
        <v>2461</v>
      </c>
      <c r="D934" s="11" t="s">
        <v>26</v>
      </c>
      <c r="E934" s="11" t="s">
        <v>552</v>
      </c>
      <c r="F934" s="11" t="s">
        <v>26</v>
      </c>
      <c r="G934" s="11">
        <v>69115</v>
      </c>
      <c r="H934" s="12" t="s">
        <v>4423</v>
      </c>
      <c r="I934" s="12" t="s">
        <v>27</v>
      </c>
      <c r="J934" s="12" t="s">
        <v>33</v>
      </c>
      <c r="K934" s="12" t="s">
        <v>34</v>
      </c>
      <c r="L934" s="13">
        <v>32.82</v>
      </c>
      <c r="M934" s="13">
        <v>25</v>
      </c>
      <c r="N934" s="13">
        <v>1.3128</v>
      </c>
      <c r="O934" s="13">
        <v>45</v>
      </c>
      <c r="P934" s="13" t="s">
        <v>30</v>
      </c>
      <c r="Q934" s="13">
        <v>0</v>
      </c>
      <c r="R934" s="14">
        <v>1476.9</v>
      </c>
      <c r="S934" s="15">
        <v>0</v>
      </c>
      <c r="T934" s="15">
        <v>0</v>
      </c>
      <c r="U934" s="15">
        <v>1476.9</v>
      </c>
      <c r="V934" s="15">
        <v>1476.9</v>
      </c>
      <c r="W934" s="15">
        <v>0</v>
      </c>
      <c r="X934" s="15">
        <v>0</v>
      </c>
      <c r="Y934" s="16">
        <v>0</v>
      </c>
      <c r="Z934" s="67" t="s">
        <v>26</v>
      </c>
      <c r="AA934" s="12" t="s">
        <v>31</v>
      </c>
    </row>
    <row r="935" spans="1:27" x14ac:dyDescent="0.25">
      <c r="A935" s="10">
        <v>45673</v>
      </c>
      <c r="B935" s="11" t="s">
        <v>2462</v>
      </c>
      <c r="C935" s="11" t="s">
        <v>2463</v>
      </c>
      <c r="D935" s="11" t="s">
        <v>26</v>
      </c>
      <c r="E935" s="11" t="s">
        <v>605</v>
      </c>
      <c r="F935" s="11" t="s">
        <v>26</v>
      </c>
      <c r="G935" s="11">
        <v>762</v>
      </c>
      <c r="H935" s="12" t="s">
        <v>141</v>
      </c>
      <c r="I935" s="12" t="s">
        <v>55</v>
      </c>
      <c r="J935" s="12" t="s">
        <v>55</v>
      </c>
      <c r="K935" s="12" t="s">
        <v>56</v>
      </c>
      <c r="L935" s="13">
        <v>41.06</v>
      </c>
      <c r="M935" s="13">
        <v>25</v>
      </c>
      <c r="N935" s="13">
        <v>1.6424000000000001</v>
      </c>
      <c r="O935" s="13">
        <v>15</v>
      </c>
      <c r="P935" s="13" t="s">
        <v>30</v>
      </c>
      <c r="Q935" s="13">
        <v>0</v>
      </c>
      <c r="R935" s="14">
        <v>615.90000000000009</v>
      </c>
      <c r="S935" s="15">
        <v>0</v>
      </c>
      <c r="T935" s="15">
        <v>0</v>
      </c>
      <c r="U935" s="15">
        <v>615.90000000000009</v>
      </c>
      <c r="V935" s="15">
        <v>0</v>
      </c>
      <c r="W935" s="15">
        <v>615.90000000000009</v>
      </c>
      <c r="X935" s="15">
        <v>0</v>
      </c>
      <c r="Y935" s="16">
        <v>0</v>
      </c>
      <c r="Z935" s="67" t="s">
        <v>26</v>
      </c>
      <c r="AA935" s="12" t="s">
        <v>31</v>
      </c>
    </row>
    <row r="936" spans="1:27" x14ac:dyDescent="0.25">
      <c r="A936" s="10">
        <v>45673</v>
      </c>
      <c r="B936" s="11" t="s">
        <v>2464</v>
      </c>
      <c r="C936" s="11" t="s">
        <v>2465</v>
      </c>
      <c r="D936" s="11" t="s">
        <v>26</v>
      </c>
      <c r="E936" s="11" t="s">
        <v>50</v>
      </c>
      <c r="F936" s="11" t="s">
        <v>26</v>
      </c>
      <c r="G936" s="11">
        <v>633</v>
      </c>
      <c r="H936" s="12" t="s">
        <v>163</v>
      </c>
      <c r="I936" s="12" t="s">
        <v>27</v>
      </c>
      <c r="J936" s="12" t="s">
        <v>33</v>
      </c>
      <c r="K936" s="12" t="s">
        <v>34</v>
      </c>
      <c r="L936" s="13">
        <v>38.200000000000003</v>
      </c>
      <c r="M936" s="13">
        <v>25</v>
      </c>
      <c r="N936" s="13">
        <v>1.528</v>
      </c>
      <c r="O936" s="13" t="s">
        <v>30</v>
      </c>
      <c r="P936" s="13">
        <v>58</v>
      </c>
      <c r="Q936" s="13">
        <v>0</v>
      </c>
      <c r="R936" s="14">
        <v>1450</v>
      </c>
      <c r="S936" s="15">
        <v>0</v>
      </c>
      <c r="T936" s="15">
        <v>0</v>
      </c>
      <c r="U936" s="15">
        <v>1450</v>
      </c>
      <c r="V936" s="15">
        <v>0</v>
      </c>
      <c r="W936" s="15">
        <v>1450</v>
      </c>
      <c r="X936" s="15">
        <v>0</v>
      </c>
      <c r="Y936" s="16">
        <v>0</v>
      </c>
      <c r="Z936" s="67" t="s">
        <v>26</v>
      </c>
      <c r="AA936" s="12" t="s">
        <v>31</v>
      </c>
    </row>
    <row r="937" spans="1:27" x14ac:dyDescent="0.25">
      <c r="A937" s="10">
        <v>45673</v>
      </c>
      <c r="B937" s="11" t="s">
        <v>682</v>
      </c>
      <c r="C937" s="11" t="s">
        <v>2466</v>
      </c>
      <c r="D937" s="11" t="s">
        <v>26</v>
      </c>
      <c r="E937" s="11" t="s">
        <v>446</v>
      </c>
      <c r="F937" s="11" t="s">
        <v>26</v>
      </c>
      <c r="G937" s="11" t="s">
        <v>35</v>
      </c>
      <c r="H937" s="12" t="s">
        <v>36</v>
      </c>
      <c r="I937" s="12" t="s">
        <v>55</v>
      </c>
      <c r="J937" s="12" t="s">
        <v>55</v>
      </c>
      <c r="K937" s="12" t="s">
        <v>56</v>
      </c>
      <c r="L937" s="13">
        <v>31.48</v>
      </c>
      <c r="M937" s="13">
        <v>20</v>
      </c>
      <c r="N937" s="13">
        <v>1.5740000000000001</v>
      </c>
      <c r="O937" s="13">
        <v>20</v>
      </c>
      <c r="P937" s="13" t="s">
        <v>30</v>
      </c>
      <c r="Q937" s="13">
        <v>0</v>
      </c>
      <c r="R937" s="14">
        <v>629.6</v>
      </c>
      <c r="S937" s="15">
        <v>0</v>
      </c>
      <c r="T937" s="15">
        <v>0</v>
      </c>
      <c r="U937" s="15">
        <v>629.6</v>
      </c>
      <c r="V937" s="15">
        <v>0</v>
      </c>
      <c r="W937" s="15">
        <v>629.6</v>
      </c>
      <c r="X937" s="15">
        <v>0</v>
      </c>
      <c r="Y937" s="16">
        <v>0</v>
      </c>
      <c r="Z937" s="67" t="s">
        <v>26</v>
      </c>
      <c r="AA937" s="12" t="s">
        <v>31</v>
      </c>
    </row>
    <row r="938" spans="1:27" x14ac:dyDescent="0.25">
      <c r="A938" s="10">
        <v>45673</v>
      </c>
      <c r="B938" s="11" t="s">
        <v>472</v>
      </c>
      <c r="C938" s="11" t="s">
        <v>2467</v>
      </c>
      <c r="D938" s="11" t="s">
        <v>26</v>
      </c>
      <c r="E938" s="11" t="s">
        <v>44</v>
      </c>
      <c r="F938" s="11" t="s">
        <v>26</v>
      </c>
      <c r="G938" s="11">
        <v>1558</v>
      </c>
      <c r="H938" s="12" t="s">
        <v>45</v>
      </c>
      <c r="I938" s="12" t="s">
        <v>27</v>
      </c>
      <c r="J938" s="12" t="s">
        <v>33</v>
      </c>
      <c r="K938" s="12" t="s">
        <v>34</v>
      </c>
      <c r="L938" s="13">
        <v>38.92</v>
      </c>
      <c r="M938" s="13">
        <v>25</v>
      </c>
      <c r="N938" s="13">
        <v>1.5568</v>
      </c>
      <c r="O938" s="13" t="s">
        <v>30</v>
      </c>
      <c r="P938" s="13">
        <v>58</v>
      </c>
      <c r="Q938" s="13">
        <v>0</v>
      </c>
      <c r="R938" s="15">
        <v>1450</v>
      </c>
      <c r="S938" s="15">
        <v>0</v>
      </c>
      <c r="T938" s="15">
        <v>0</v>
      </c>
      <c r="U938" s="15">
        <v>1450</v>
      </c>
      <c r="V938" s="15">
        <v>0</v>
      </c>
      <c r="W938" s="15">
        <v>1450</v>
      </c>
      <c r="X938" s="15">
        <v>0</v>
      </c>
      <c r="Y938" s="16">
        <v>0</v>
      </c>
      <c r="Z938" s="67" t="s">
        <v>26</v>
      </c>
      <c r="AA938" s="12" t="s">
        <v>31</v>
      </c>
    </row>
    <row r="939" spans="1:27" x14ac:dyDescent="0.25">
      <c r="A939" s="10">
        <v>45673</v>
      </c>
      <c r="B939" s="11" t="s">
        <v>736</v>
      </c>
      <c r="C939" s="11" t="s">
        <v>2468</v>
      </c>
      <c r="D939" s="11" t="s">
        <v>26</v>
      </c>
      <c r="E939" s="11" t="s">
        <v>224</v>
      </c>
      <c r="F939" s="11" t="s">
        <v>26</v>
      </c>
      <c r="G939" s="11">
        <v>55322</v>
      </c>
      <c r="H939" s="12" t="s">
        <v>4423</v>
      </c>
      <c r="I939" s="12" t="s">
        <v>27</v>
      </c>
      <c r="J939" s="12" t="s">
        <v>42</v>
      </c>
      <c r="K939" s="12" t="s">
        <v>43</v>
      </c>
      <c r="L939" s="13">
        <v>37.68</v>
      </c>
      <c r="M939" s="13">
        <v>25</v>
      </c>
      <c r="N939" s="13">
        <v>1.5072000000000001</v>
      </c>
      <c r="O939" s="13">
        <v>42</v>
      </c>
      <c r="P939" s="13" t="s">
        <v>30</v>
      </c>
      <c r="Q939" s="13">
        <v>0</v>
      </c>
      <c r="R939" s="14">
        <v>1582.56</v>
      </c>
      <c r="S939" s="15">
        <v>0</v>
      </c>
      <c r="T939" s="15">
        <v>0</v>
      </c>
      <c r="U939" s="15">
        <v>1582.56</v>
      </c>
      <c r="V939" s="15">
        <v>1582.56</v>
      </c>
      <c r="W939" s="15">
        <v>0</v>
      </c>
      <c r="X939" s="15">
        <v>0</v>
      </c>
      <c r="Y939" s="16">
        <v>0</v>
      </c>
      <c r="Z939" s="67" t="s">
        <v>26</v>
      </c>
      <c r="AA939" s="12" t="s">
        <v>31</v>
      </c>
    </row>
    <row r="940" spans="1:27" x14ac:dyDescent="0.25">
      <c r="A940" s="10">
        <v>45673</v>
      </c>
      <c r="B940" s="11" t="s">
        <v>753</v>
      </c>
      <c r="C940" s="11" t="s">
        <v>2469</v>
      </c>
      <c r="D940" s="11" t="s">
        <v>26</v>
      </c>
      <c r="E940" s="11" t="s">
        <v>589</v>
      </c>
      <c r="F940" s="11" t="s">
        <v>26</v>
      </c>
      <c r="G940" s="11">
        <v>4580</v>
      </c>
      <c r="H940" s="12" t="s">
        <v>4423</v>
      </c>
      <c r="I940" s="12" t="s">
        <v>27</v>
      </c>
      <c r="J940" s="12" t="s">
        <v>33</v>
      </c>
      <c r="K940" s="12" t="s">
        <v>34</v>
      </c>
      <c r="L940" s="13">
        <v>33.76</v>
      </c>
      <c r="M940" s="13">
        <v>25</v>
      </c>
      <c r="N940" s="13">
        <v>1.3504</v>
      </c>
      <c r="O940" s="13">
        <v>45</v>
      </c>
      <c r="P940" s="13" t="s">
        <v>30</v>
      </c>
      <c r="Q940" s="13">
        <v>0</v>
      </c>
      <c r="R940" s="14">
        <v>1519.1999999999998</v>
      </c>
      <c r="S940" s="15">
        <v>0</v>
      </c>
      <c r="T940" s="15">
        <v>0</v>
      </c>
      <c r="U940" s="15">
        <v>1519.1999999999998</v>
      </c>
      <c r="V940" s="15">
        <v>1519.1999999999998</v>
      </c>
      <c r="W940" s="15">
        <v>0</v>
      </c>
      <c r="X940" s="15">
        <v>0</v>
      </c>
      <c r="Y940" s="16">
        <v>0</v>
      </c>
      <c r="Z940" s="67" t="s">
        <v>26</v>
      </c>
      <c r="AA940" s="12" t="s">
        <v>31</v>
      </c>
    </row>
    <row r="941" spans="1:27" x14ac:dyDescent="0.25">
      <c r="A941" s="10">
        <v>45673</v>
      </c>
      <c r="B941" s="11" t="s">
        <v>2470</v>
      </c>
      <c r="C941" s="11" t="s">
        <v>2471</v>
      </c>
      <c r="D941" s="11" t="s">
        <v>26</v>
      </c>
      <c r="E941" s="11" t="s">
        <v>505</v>
      </c>
      <c r="F941" s="11" t="s">
        <v>26</v>
      </c>
      <c r="G941" s="11">
        <v>763</v>
      </c>
      <c r="H941" s="12" t="s">
        <v>141</v>
      </c>
      <c r="I941" s="12" t="s">
        <v>55</v>
      </c>
      <c r="J941" s="12" t="s">
        <v>55</v>
      </c>
      <c r="K941" s="12" t="s">
        <v>56</v>
      </c>
      <c r="L941" s="13">
        <v>39.64</v>
      </c>
      <c r="M941" s="13">
        <v>25</v>
      </c>
      <c r="N941" s="13">
        <v>1.5855999999999999</v>
      </c>
      <c r="O941" s="13">
        <v>15</v>
      </c>
      <c r="P941" s="13" t="s">
        <v>30</v>
      </c>
      <c r="Q941" s="13">
        <v>0</v>
      </c>
      <c r="R941" s="15">
        <v>594.6</v>
      </c>
      <c r="S941" s="15">
        <v>0</v>
      </c>
      <c r="T941" s="15">
        <v>0</v>
      </c>
      <c r="U941" s="15">
        <v>594.6</v>
      </c>
      <c r="V941" s="15">
        <v>0</v>
      </c>
      <c r="W941" s="15">
        <v>594.6</v>
      </c>
      <c r="X941" s="15">
        <v>0</v>
      </c>
      <c r="Y941" s="16">
        <v>0</v>
      </c>
      <c r="Z941" s="67" t="s">
        <v>26</v>
      </c>
      <c r="AA941" s="12" t="s">
        <v>31</v>
      </c>
    </row>
    <row r="942" spans="1:27" x14ac:dyDescent="0.25">
      <c r="A942" s="10">
        <v>45673</v>
      </c>
      <c r="B942" s="11" t="s">
        <v>1432</v>
      </c>
      <c r="C942" s="11" t="s">
        <v>2472</v>
      </c>
      <c r="D942" s="11" t="s">
        <v>26</v>
      </c>
      <c r="E942" s="11" t="s">
        <v>520</v>
      </c>
      <c r="F942" s="11" t="s">
        <v>26</v>
      </c>
      <c r="G942" s="11" t="s">
        <v>26</v>
      </c>
      <c r="H942" s="12" t="s">
        <v>4422</v>
      </c>
      <c r="I942" s="12" t="s">
        <v>27</v>
      </c>
      <c r="J942" s="12" t="s">
        <v>42</v>
      </c>
      <c r="K942" s="12" t="s">
        <v>43</v>
      </c>
      <c r="L942" s="13">
        <v>42.64</v>
      </c>
      <c r="M942" s="13">
        <v>25</v>
      </c>
      <c r="N942" s="13">
        <v>1.7056</v>
      </c>
      <c r="O942" s="13">
        <v>83</v>
      </c>
      <c r="P942" s="13" t="s">
        <v>30</v>
      </c>
      <c r="Q942" s="13">
        <v>0</v>
      </c>
      <c r="R942" s="14">
        <v>3539.12</v>
      </c>
      <c r="S942" s="15">
        <v>38</v>
      </c>
      <c r="T942" s="15">
        <v>1620.32</v>
      </c>
      <c r="U942" s="15">
        <v>1918.8</v>
      </c>
      <c r="V942" s="15">
        <v>1918.8</v>
      </c>
      <c r="W942" s="15">
        <v>0</v>
      </c>
      <c r="X942" s="15">
        <v>1535.04</v>
      </c>
      <c r="Y942" s="16">
        <v>85.279999999999973</v>
      </c>
      <c r="Z942" s="67" t="s">
        <v>140</v>
      </c>
      <c r="AA942" s="12" t="s">
        <v>78</v>
      </c>
    </row>
    <row r="943" spans="1:27" x14ac:dyDescent="0.25">
      <c r="A943" s="10">
        <v>45673</v>
      </c>
      <c r="B943" s="11" t="s">
        <v>188</v>
      </c>
      <c r="C943" s="11" t="s">
        <v>2473</v>
      </c>
      <c r="D943" s="11" t="s">
        <v>26</v>
      </c>
      <c r="E943" s="11" t="s">
        <v>435</v>
      </c>
      <c r="F943" s="11" t="s">
        <v>26</v>
      </c>
      <c r="G943" s="11">
        <v>898</v>
      </c>
      <c r="H943" s="12" t="s">
        <v>41</v>
      </c>
      <c r="I943" s="12" t="s">
        <v>55</v>
      </c>
      <c r="J943" s="12" t="s">
        <v>566</v>
      </c>
      <c r="K943" s="12" t="s">
        <v>550</v>
      </c>
      <c r="L943" s="13">
        <v>39.92</v>
      </c>
      <c r="M943" s="13">
        <v>25</v>
      </c>
      <c r="N943" s="13">
        <v>1.5968</v>
      </c>
      <c r="O943" s="13">
        <v>25</v>
      </c>
      <c r="P943" s="13"/>
      <c r="Q943" s="13">
        <v>0</v>
      </c>
      <c r="R943" s="14">
        <v>998</v>
      </c>
      <c r="S943" s="15">
        <v>0</v>
      </c>
      <c r="T943" s="15">
        <v>0</v>
      </c>
      <c r="U943" s="15">
        <v>998</v>
      </c>
      <c r="V943" s="15">
        <v>0</v>
      </c>
      <c r="W943" s="15">
        <v>998</v>
      </c>
      <c r="X943" s="15">
        <v>0</v>
      </c>
      <c r="Y943" s="16">
        <v>0</v>
      </c>
      <c r="Z943" s="67" t="s">
        <v>26</v>
      </c>
      <c r="AA943" s="12" t="s">
        <v>31</v>
      </c>
    </row>
    <row r="944" spans="1:27" x14ac:dyDescent="0.25">
      <c r="A944" s="10">
        <v>45673</v>
      </c>
      <c r="B944" s="11" t="s">
        <v>391</v>
      </c>
      <c r="C944" s="11" t="s">
        <v>2474</v>
      </c>
      <c r="D944" s="11" t="s">
        <v>26</v>
      </c>
      <c r="E944" s="11" t="s">
        <v>63</v>
      </c>
      <c r="F944" s="11" t="s">
        <v>26</v>
      </c>
      <c r="G944" s="11" t="s">
        <v>26</v>
      </c>
      <c r="H944" s="12" t="s">
        <v>4422</v>
      </c>
      <c r="I944" s="12" t="s">
        <v>27</v>
      </c>
      <c r="J944" s="12" t="s">
        <v>42</v>
      </c>
      <c r="K944" s="12" t="s">
        <v>43</v>
      </c>
      <c r="L944" s="13">
        <v>43.4</v>
      </c>
      <c r="M944" s="13">
        <v>25</v>
      </c>
      <c r="N944" s="13">
        <v>1.736</v>
      </c>
      <c r="O944" s="13">
        <v>83</v>
      </c>
      <c r="P944" s="13" t="s">
        <v>30</v>
      </c>
      <c r="Q944" s="13">
        <v>0</v>
      </c>
      <c r="R944" s="14">
        <v>3602.2</v>
      </c>
      <c r="S944" s="15">
        <v>38</v>
      </c>
      <c r="T944" s="15">
        <v>1649.2</v>
      </c>
      <c r="U944" s="15">
        <v>1952.9999999999998</v>
      </c>
      <c r="V944" s="15">
        <v>1952.9999999999998</v>
      </c>
      <c r="W944" s="15">
        <v>0</v>
      </c>
      <c r="X944" s="15">
        <v>1562.3999999999999</v>
      </c>
      <c r="Y944" s="16">
        <v>86.800000000000182</v>
      </c>
      <c r="Z944" s="67" t="s">
        <v>140</v>
      </c>
      <c r="AA944" s="12" t="s">
        <v>78</v>
      </c>
    </row>
    <row r="945" spans="1:27" x14ac:dyDescent="0.25">
      <c r="A945" s="10">
        <v>45673</v>
      </c>
      <c r="B945" s="11" t="s">
        <v>2475</v>
      </c>
      <c r="C945" s="11" t="s">
        <v>2476</v>
      </c>
      <c r="D945" s="11" t="s">
        <v>26</v>
      </c>
      <c r="E945" s="11" t="s">
        <v>40</v>
      </c>
      <c r="F945" s="11" t="s">
        <v>26</v>
      </c>
      <c r="G945" s="11">
        <v>2443</v>
      </c>
      <c r="H945" s="12" t="s">
        <v>41</v>
      </c>
      <c r="I945" s="12" t="s">
        <v>55</v>
      </c>
      <c r="J945" s="12" t="s">
        <v>55</v>
      </c>
      <c r="K945" s="12" t="s">
        <v>56</v>
      </c>
      <c r="L945" s="13">
        <v>41.28</v>
      </c>
      <c r="M945" s="13">
        <v>25</v>
      </c>
      <c r="N945" s="13">
        <v>1.6512</v>
      </c>
      <c r="O945" s="13" t="s">
        <v>30</v>
      </c>
      <c r="P945" s="13">
        <v>24</v>
      </c>
      <c r="Q945" s="13">
        <v>0</v>
      </c>
      <c r="R945" s="15">
        <v>600</v>
      </c>
      <c r="S945" s="15">
        <v>0</v>
      </c>
      <c r="T945" s="15">
        <v>0</v>
      </c>
      <c r="U945" s="15">
        <v>600</v>
      </c>
      <c r="V945" s="15">
        <v>0</v>
      </c>
      <c r="W945" s="15">
        <v>600</v>
      </c>
      <c r="X945" s="15">
        <v>0</v>
      </c>
      <c r="Y945" s="16">
        <v>0</v>
      </c>
      <c r="Z945" s="67" t="s">
        <v>26</v>
      </c>
      <c r="AA945" s="12" t="s">
        <v>31</v>
      </c>
    </row>
    <row r="946" spans="1:27" x14ac:dyDescent="0.25">
      <c r="A946" s="10">
        <v>45673</v>
      </c>
      <c r="B946" s="11" t="s">
        <v>2477</v>
      </c>
      <c r="C946" s="11" t="s">
        <v>2478</v>
      </c>
      <c r="D946" s="11" t="s">
        <v>26</v>
      </c>
      <c r="E946" s="11" t="s">
        <v>240</v>
      </c>
      <c r="F946" s="11" t="s">
        <v>26</v>
      </c>
      <c r="G946" s="11" t="s">
        <v>26</v>
      </c>
      <c r="H946" s="12" t="s">
        <v>146</v>
      </c>
      <c r="I946" s="12" t="s">
        <v>27</v>
      </c>
      <c r="J946" s="12" t="s">
        <v>42</v>
      </c>
      <c r="K946" s="12" t="s">
        <v>43</v>
      </c>
      <c r="L946" s="13">
        <v>44.38</v>
      </c>
      <c r="M946" s="13">
        <v>25</v>
      </c>
      <c r="N946" s="13">
        <v>1.7751999999999999</v>
      </c>
      <c r="O946" s="13">
        <v>91</v>
      </c>
      <c r="P946" s="13" t="s">
        <v>30</v>
      </c>
      <c r="Q946" s="13">
        <v>0</v>
      </c>
      <c r="R946" s="15">
        <v>4038.5800000000004</v>
      </c>
      <c r="S946" s="15">
        <v>40</v>
      </c>
      <c r="T946" s="15">
        <v>1775.2</v>
      </c>
      <c r="U946" s="15">
        <v>2263.38</v>
      </c>
      <c r="V946" s="15">
        <v>2263.38</v>
      </c>
      <c r="W946" s="15">
        <v>0</v>
      </c>
      <c r="X946" s="15">
        <v>1642.0600000000002</v>
      </c>
      <c r="Y946" s="16">
        <v>133.13999999999987</v>
      </c>
      <c r="Z946" s="67" t="s">
        <v>41</v>
      </c>
      <c r="AA946" s="12" t="s">
        <v>79</v>
      </c>
    </row>
    <row r="947" spans="1:27" x14ac:dyDescent="0.25">
      <c r="A947" s="10">
        <v>45673</v>
      </c>
      <c r="B947" s="11" t="s">
        <v>2479</v>
      </c>
      <c r="C947" s="11" t="s">
        <v>2480</v>
      </c>
      <c r="D947" s="11" t="s">
        <v>26</v>
      </c>
      <c r="E947" s="11" t="s">
        <v>553</v>
      </c>
      <c r="F947" s="11" t="s">
        <v>26</v>
      </c>
      <c r="G947" s="11">
        <v>59489</v>
      </c>
      <c r="H947" s="12" t="s">
        <v>4423</v>
      </c>
      <c r="I947" s="12" t="s">
        <v>27</v>
      </c>
      <c r="J947" s="12" t="s">
        <v>42</v>
      </c>
      <c r="K947" s="12" t="s">
        <v>43</v>
      </c>
      <c r="L947" s="13">
        <v>37.78</v>
      </c>
      <c r="M947" s="13">
        <v>25</v>
      </c>
      <c r="N947" s="13">
        <v>1.5112000000000001</v>
      </c>
      <c r="O947" s="13">
        <v>42</v>
      </c>
      <c r="P947" s="13" t="s">
        <v>30</v>
      </c>
      <c r="Q947" s="13">
        <v>0</v>
      </c>
      <c r="R947" s="15">
        <v>1586.76</v>
      </c>
      <c r="S947" s="15">
        <v>0</v>
      </c>
      <c r="T947" s="15">
        <v>0</v>
      </c>
      <c r="U947" s="15">
        <v>1586.76</v>
      </c>
      <c r="V947" s="15">
        <v>1586.76</v>
      </c>
      <c r="W947" s="15">
        <v>0</v>
      </c>
      <c r="X947" s="15">
        <v>0</v>
      </c>
      <c r="Y947" s="16">
        <v>0</v>
      </c>
      <c r="Z947" s="67" t="s">
        <v>26</v>
      </c>
      <c r="AA947" s="12" t="s">
        <v>31</v>
      </c>
    </row>
    <row r="948" spans="1:27" x14ac:dyDescent="0.25">
      <c r="A948" s="10">
        <v>45673</v>
      </c>
      <c r="B948" s="11" t="s">
        <v>468</v>
      </c>
      <c r="C948" s="11" t="s">
        <v>2481</v>
      </c>
      <c r="D948" s="11" t="s">
        <v>26</v>
      </c>
      <c r="E948" s="11" t="s">
        <v>573</v>
      </c>
      <c r="F948" s="11" t="s">
        <v>26</v>
      </c>
      <c r="G948" s="11">
        <v>112064</v>
      </c>
      <c r="H948" s="12" t="s">
        <v>4446</v>
      </c>
      <c r="I948" s="12" t="s">
        <v>27</v>
      </c>
      <c r="J948" s="12" t="s">
        <v>33</v>
      </c>
      <c r="K948" s="12" t="s">
        <v>34</v>
      </c>
      <c r="L948" s="13">
        <v>37.840000000000003</v>
      </c>
      <c r="M948" s="13">
        <v>25</v>
      </c>
      <c r="N948" s="13">
        <v>1.5136000000000001</v>
      </c>
      <c r="O948" s="13">
        <v>44</v>
      </c>
      <c r="P948" s="13" t="s">
        <v>30</v>
      </c>
      <c r="Q948" s="13">
        <v>0</v>
      </c>
      <c r="R948" s="14">
        <v>1664.96</v>
      </c>
      <c r="S948" s="15">
        <v>0</v>
      </c>
      <c r="T948" s="15">
        <v>0</v>
      </c>
      <c r="U948" s="15">
        <v>1664.96</v>
      </c>
      <c r="V948" s="15">
        <v>1664.96</v>
      </c>
      <c r="W948" s="15">
        <v>0</v>
      </c>
      <c r="X948" s="16">
        <v>0</v>
      </c>
      <c r="Y948" s="16">
        <v>0</v>
      </c>
      <c r="Z948" s="67" t="s">
        <v>26</v>
      </c>
      <c r="AA948" s="12" t="s">
        <v>31</v>
      </c>
    </row>
    <row r="949" spans="1:27" x14ac:dyDescent="0.25">
      <c r="A949" s="10">
        <v>45673</v>
      </c>
      <c r="B949" s="11" t="s">
        <v>387</v>
      </c>
      <c r="C949" s="11" t="s">
        <v>2482</v>
      </c>
      <c r="D949" s="11" t="s">
        <v>26</v>
      </c>
      <c r="E949" s="11" t="s">
        <v>59</v>
      </c>
      <c r="F949" s="11" t="s">
        <v>26</v>
      </c>
      <c r="G949" s="11">
        <v>112118</v>
      </c>
      <c r="H949" s="12" t="s">
        <v>4446</v>
      </c>
      <c r="I949" s="12" t="s">
        <v>27</v>
      </c>
      <c r="J949" s="12" t="s">
        <v>33</v>
      </c>
      <c r="K949" s="12" t="s">
        <v>34</v>
      </c>
      <c r="L949" s="13">
        <v>35.520000000000003</v>
      </c>
      <c r="M949" s="13">
        <v>25</v>
      </c>
      <c r="N949" s="13">
        <v>1.4208000000000001</v>
      </c>
      <c r="O949" s="13">
        <v>44</v>
      </c>
      <c r="P949" s="13" t="s">
        <v>30</v>
      </c>
      <c r="Q949" s="13">
        <v>0</v>
      </c>
      <c r="R949" s="14">
        <v>1562.88</v>
      </c>
      <c r="S949" s="15">
        <v>0</v>
      </c>
      <c r="T949" s="15">
        <v>0</v>
      </c>
      <c r="U949" s="15">
        <v>1562.88</v>
      </c>
      <c r="V949" s="15">
        <v>1562.88</v>
      </c>
      <c r="W949" s="15">
        <v>0</v>
      </c>
      <c r="X949" s="16">
        <v>0</v>
      </c>
      <c r="Y949" s="16">
        <v>0</v>
      </c>
      <c r="Z949" s="67" t="s">
        <v>26</v>
      </c>
      <c r="AA949" s="12" t="s">
        <v>31</v>
      </c>
    </row>
    <row r="950" spans="1:27" x14ac:dyDescent="0.25">
      <c r="A950" s="10">
        <v>45673</v>
      </c>
      <c r="B950" s="11" t="s">
        <v>1196</v>
      </c>
      <c r="C950" s="11" t="s">
        <v>2483</v>
      </c>
      <c r="D950" s="11" t="s">
        <v>26</v>
      </c>
      <c r="E950" s="11" t="s">
        <v>46</v>
      </c>
      <c r="F950" s="11" t="s">
        <v>26</v>
      </c>
      <c r="G950" s="11">
        <v>112113</v>
      </c>
      <c r="H950" s="12" t="s">
        <v>4446</v>
      </c>
      <c r="I950" s="12" t="s">
        <v>27</v>
      </c>
      <c r="J950" s="12" t="s">
        <v>33</v>
      </c>
      <c r="K950" s="12" t="s">
        <v>34</v>
      </c>
      <c r="L950" s="13">
        <v>35.380000000000003</v>
      </c>
      <c r="M950" s="13">
        <v>25</v>
      </c>
      <c r="N950" s="13">
        <v>1.4152</v>
      </c>
      <c r="O950" s="13">
        <v>44</v>
      </c>
      <c r="P950" s="13" t="s">
        <v>30</v>
      </c>
      <c r="Q950" s="13">
        <v>0</v>
      </c>
      <c r="R950" s="15">
        <v>1556.72</v>
      </c>
      <c r="S950" s="15">
        <v>0</v>
      </c>
      <c r="T950" s="15">
        <v>0</v>
      </c>
      <c r="U950" s="15">
        <v>1556.72</v>
      </c>
      <c r="V950" s="15">
        <v>1556.72</v>
      </c>
      <c r="W950" s="15">
        <v>0</v>
      </c>
      <c r="X950" s="15">
        <v>0</v>
      </c>
      <c r="Y950" s="16">
        <v>0</v>
      </c>
      <c r="Z950" s="67" t="s">
        <v>26</v>
      </c>
      <c r="AA950" s="12" t="s">
        <v>31</v>
      </c>
    </row>
    <row r="951" spans="1:27" x14ac:dyDescent="0.25">
      <c r="A951" s="10">
        <v>45673</v>
      </c>
      <c r="B951" s="11" t="s">
        <v>464</v>
      </c>
      <c r="C951" s="11" t="s">
        <v>2484</v>
      </c>
      <c r="D951" s="11" t="s">
        <v>26</v>
      </c>
      <c r="E951" s="11" t="s">
        <v>1200</v>
      </c>
      <c r="F951" s="11" t="s">
        <v>26</v>
      </c>
      <c r="G951" s="11">
        <v>987</v>
      </c>
      <c r="H951" s="12" t="s">
        <v>163</v>
      </c>
      <c r="I951" s="12" t="s">
        <v>27</v>
      </c>
      <c r="J951" s="12" t="s">
        <v>33</v>
      </c>
      <c r="K951" s="12" t="s">
        <v>34</v>
      </c>
      <c r="L951" s="13">
        <v>37.42</v>
      </c>
      <c r="M951" s="13">
        <v>25</v>
      </c>
      <c r="N951" s="13">
        <v>1.4967999999999999</v>
      </c>
      <c r="O951" s="13" t="s">
        <v>30</v>
      </c>
      <c r="P951" s="13">
        <v>58</v>
      </c>
      <c r="Q951" s="13">
        <v>0</v>
      </c>
      <c r="R951" s="14">
        <v>1450</v>
      </c>
      <c r="S951" s="15">
        <v>0</v>
      </c>
      <c r="T951" s="15">
        <v>0</v>
      </c>
      <c r="U951" s="15">
        <v>1450</v>
      </c>
      <c r="V951" s="15">
        <v>0</v>
      </c>
      <c r="W951" s="15">
        <v>1450</v>
      </c>
      <c r="X951" s="15">
        <v>0</v>
      </c>
      <c r="Y951" s="16">
        <v>0</v>
      </c>
      <c r="Z951" s="67" t="s">
        <v>26</v>
      </c>
      <c r="AA951" s="12" t="s">
        <v>31</v>
      </c>
    </row>
    <row r="952" spans="1:27" x14ac:dyDescent="0.25">
      <c r="A952" s="10">
        <v>45673</v>
      </c>
      <c r="B952" s="11" t="s">
        <v>728</v>
      </c>
      <c r="C952" s="11" t="s">
        <v>2485</v>
      </c>
      <c r="D952" s="11" t="s">
        <v>26</v>
      </c>
      <c r="E952" s="11" t="s">
        <v>75</v>
      </c>
      <c r="F952" s="11" t="s">
        <v>26</v>
      </c>
      <c r="G952" s="11">
        <v>42012</v>
      </c>
      <c r="H952" s="12" t="s">
        <v>565</v>
      </c>
      <c r="I952" s="12" t="s">
        <v>27</v>
      </c>
      <c r="J952" s="12" t="s">
        <v>42</v>
      </c>
      <c r="K952" s="12" t="s">
        <v>43</v>
      </c>
      <c r="L952" s="13">
        <v>44.68</v>
      </c>
      <c r="M952" s="13">
        <v>25</v>
      </c>
      <c r="N952" s="13">
        <v>1.7871999999999999</v>
      </c>
      <c r="O952" s="13"/>
      <c r="P952" s="13">
        <v>64</v>
      </c>
      <c r="Q952" s="13">
        <v>0</v>
      </c>
      <c r="R952" s="14">
        <v>1600</v>
      </c>
      <c r="S952" s="15">
        <v>0</v>
      </c>
      <c r="T952" s="15">
        <v>0</v>
      </c>
      <c r="U952" s="15">
        <v>1600</v>
      </c>
      <c r="V952" s="15">
        <v>0</v>
      </c>
      <c r="W952" s="15">
        <v>1600</v>
      </c>
      <c r="X952" s="15">
        <v>0</v>
      </c>
      <c r="Y952" s="16">
        <v>0</v>
      </c>
      <c r="Z952" s="67" t="s">
        <v>26</v>
      </c>
      <c r="AA952" s="12" t="s">
        <v>31</v>
      </c>
    </row>
    <row r="953" spans="1:27" x14ac:dyDescent="0.25">
      <c r="A953" s="10">
        <v>45673</v>
      </c>
      <c r="B953" s="11" t="s">
        <v>702</v>
      </c>
      <c r="C953" s="11" t="s">
        <v>2486</v>
      </c>
      <c r="D953" s="11" t="s">
        <v>26</v>
      </c>
      <c r="E953" s="11" t="s">
        <v>230</v>
      </c>
      <c r="F953" s="11" t="s">
        <v>26</v>
      </c>
      <c r="G953" s="11" t="s">
        <v>26</v>
      </c>
      <c r="H953" s="12" t="s">
        <v>4422</v>
      </c>
      <c r="I953" s="12" t="s">
        <v>27</v>
      </c>
      <c r="J953" s="12" t="s">
        <v>33</v>
      </c>
      <c r="K953" s="12" t="s">
        <v>34</v>
      </c>
      <c r="L953" s="13">
        <v>43.22</v>
      </c>
      <c r="M953" s="13">
        <v>30</v>
      </c>
      <c r="N953" s="13">
        <v>1.440666666666667</v>
      </c>
      <c r="O953" s="13">
        <v>85</v>
      </c>
      <c r="P953" s="13" t="s">
        <v>30</v>
      </c>
      <c r="Q953" s="13">
        <v>0</v>
      </c>
      <c r="R953" s="14">
        <v>3673.7</v>
      </c>
      <c r="S953" s="15">
        <v>38</v>
      </c>
      <c r="T953" s="15">
        <v>1642.36</v>
      </c>
      <c r="U953" s="15">
        <v>2031.34</v>
      </c>
      <c r="V953" s="15">
        <v>2031.34</v>
      </c>
      <c r="W953" s="15">
        <v>0</v>
      </c>
      <c r="X953" s="15">
        <v>1555.92</v>
      </c>
      <c r="Y953" s="16">
        <v>86.439999999999827</v>
      </c>
      <c r="Z953" s="67" t="s">
        <v>565</v>
      </c>
      <c r="AA953" s="12" t="s">
        <v>78</v>
      </c>
    </row>
    <row r="954" spans="1:27" x14ac:dyDescent="0.25">
      <c r="A954" s="10">
        <v>45673</v>
      </c>
      <c r="B954" s="11" t="s">
        <v>428</v>
      </c>
      <c r="C954" s="11" t="s">
        <v>2487</v>
      </c>
      <c r="D954" s="11" t="s">
        <v>26</v>
      </c>
      <c r="E954" s="11" t="s">
        <v>525</v>
      </c>
      <c r="F954" s="11" t="s">
        <v>26</v>
      </c>
      <c r="G954" s="11">
        <v>26313</v>
      </c>
      <c r="H954" s="12" t="s">
        <v>4448</v>
      </c>
      <c r="I954" s="12" t="s">
        <v>27</v>
      </c>
      <c r="J954" s="12" t="s">
        <v>33</v>
      </c>
      <c r="K954" s="12" t="s">
        <v>34</v>
      </c>
      <c r="L954" s="13">
        <v>43.3</v>
      </c>
      <c r="M954" s="13">
        <v>30</v>
      </c>
      <c r="N954" s="13">
        <v>1.4433333333333329</v>
      </c>
      <c r="O954" s="13">
        <v>45.33</v>
      </c>
      <c r="P954" s="13" t="s">
        <v>30</v>
      </c>
      <c r="Q954" s="13">
        <v>0</v>
      </c>
      <c r="R954" s="15">
        <v>1962.7889999999998</v>
      </c>
      <c r="S954" s="15">
        <v>0</v>
      </c>
      <c r="T954" s="15">
        <v>0</v>
      </c>
      <c r="U954" s="15">
        <v>1962.7889999999998</v>
      </c>
      <c r="V954" s="15">
        <v>1472.0917499999998</v>
      </c>
      <c r="W954" s="15">
        <v>490.69724999999994</v>
      </c>
      <c r="X954" s="15">
        <v>0</v>
      </c>
      <c r="Y954" s="16">
        <v>0</v>
      </c>
      <c r="Z954" s="67" t="s">
        <v>26</v>
      </c>
      <c r="AA954" s="12" t="s">
        <v>31</v>
      </c>
    </row>
    <row r="955" spans="1:27" x14ac:dyDescent="0.25">
      <c r="A955" s="10">
        <v>45673</v>
      </c>
      <c r="B955" s="11" t="s">
        <v>2488</v>
      </c>
      <c r="C955" s="11" t="s">
        <v>2489</v>
      </c>
      <c r="D955" s="11" t="s">
        <v>26</v>
      </c>
      <c r="E955" s="11" t="s">
        <v>544</v>
      </c>
      <c r="F955" s="11" t="s">
        <v>26</v>
      </c>
      <c r="G955" s="11">
        <v>70162</v>
      </c>
      <c r="H955" s="12" t="s">
        <v>4448</v>
      </c>
      <c r="I955" s="12" t="s">
        <v>27</v>
      </c>
      <c r="J955" s="12" t="s">
        <v>42</v>
      </c>
      <c r="K955" s="12" t="s">
        <v>43</v>
      </c>
      <c r="L955" s="13">
        <v>43.64</v>
      </c>
      <c r="M955" s="13">
        <v>25</v>
      </c>
      <c r="N955" s="13">
        <v>1.7456</v>
      </c>
      <c r="O955" s="13">
        <v>42.5</v>
      </c>
      <c r="P955" s="13" t="s">
        <v>30</v>
      </c>
      <c r="Q955" s="13">
        <v>0</v>
      </c>
      <c r="R955" s="14">
        <v>1854.7</v>
      </c>
      <c r="S955" s="15">
        <v>0</v>
      </c>
      <c r="T955" s="15">
        <v>0</v>
      </c>
      <c r="U955" s="15">
        <v>1854.7</v>
      </c>
      <c r="V955" s="15">
        <v>1391.0250000000001</v>
      </c>
      <c r="W955" s="15">
        <v>463.67499999999995</v>
      </c>
      <c r="X955" s="15">
        <v>0</v>
      </c>
      <c r="Y955" s="16">
        <v>0</v>
      </c>
      <c r="Z955" s="67" t="s">
        <v>26</v>
      </c>
      <c r="AA955" s="12" t="s">
        <v>31</v>
      </c>
    </row>
    <row r="956" spans="1:27" x14ac:dyDescent="0.25">
      <c r="A956" s="10">
        <v>45673</v>
      </c>
      <c r="B956" s="11" t="s">
        <v>452</v>
      </c>
      <c r="C956" s="11" t="s">
        <v>2490</v>
      </c>
      <c r="D956" s="11" t="s">
        <v>26</v>
      </c>
      <c r="E956" s="11" t="s">
        <v>81</v>
      </c>
      <c r="F956" s="11" t="s">
        <v>26</v>
      </c>
      <c r="G956" s="11" t="s">
        <v>26</v>
      </c>
      <c r="H956" s="12" t="s">
        <v>4422</v>
      </c>
      <c r="I956" s="12" t="s">
        <v>27</v>
      </c>
      <c r="J956" s="12" t="s">
        <v>42</v>
      </c>
      <c r="K956" s="12" t="s">
        <v>43</v>
      </c>
      <c r="L956" s="13">
        <v>42.82</v>
      </c>
      <c r="M956" s="13">
        <v>25</v>
      </c>
      <c r="N956" s="13">
        <v>1.7128000000000001</v>
      </c>
      <c r="O956" s="13">
        <v>83</v>
      </c>
      <c r="P956" s="13" t="s">
        <v>30</v>
      </c>
      <c r="Q956" s="13">
        <v>0</v>
      </c>
      <c r="R956" s="15">
        <v>3554.06</v>
      </c>
      <c r="S956" s="15">
        <v>38</v>
      </c>
      <c r="T956" s="15">
        <v>1627.16</v>
      </c>
      <c r="U956" s="15">
        <v>1926.8999999999999</v>
      </c>
      <c r="V956" s="15">
        <v>1926.8999999999999</v>
      </c>
      <c r="W956" s="15">
        <v>0</v>
      </c>
      <c r="X956" s="15">
        <v>1541.52</v>
      </c>
      <c r="Y956" s="16">
        <v>85.6400000000001</v>
      </c>
      <c r="Z956" s="67" t="s">
        <v>141</v>
      </c>
      <c r="AA956" s="12" t="s">
        <v>78</v>
      </c>
    </row>
    <row r="957" spans="1:27" x14ac:dyDescent="0.25">
      <c r="A957" s="10">
        <v>45673</v>
      </c>
      <c r="B957" s="11" t="s">
        <v>423</v>
      </c>
      <c r="C957" s="11" t="s">
        <v>2491</v>
      </c>
      <c r="D957" s="11" t="s">
        <v>26</v>
      </c>
      <c r="E957" s="11" t="s">
        <v>68</v>
      </c>
      <c r="F957" s="11" t="s">
        <v>26</v>
      </c>
      <c r="G957" s="11">
        <v>1518</v>
      </c>
      <c r="H957" s="12" t="s">
        <v>45</v>
      </c>
      <c r="I957" s="12" t="s">
        <v>27</v>
      </c>
      <c r="J957" s="12" t="s">
        <v>42</v>
      </c>
      <c r="K957" s="12" t="s">
        <v>43</v>
      </c>
      <c r="L957" s="13">
        <v>43.4</v>
      </c>
      <c r="M957" s="13">
        <v>25</v>
      </c>
      <c r="N957" s="13">
        <v>1.736</v>
      </c>
      <c r="O957" s="13" t="s">
        <v>30</v>
      </c>
      <c r="P957" s="13">
        <v>62</v>
      </c>
      <c r="Q957" s="13">
        <v>0</v>
      </c>
      <c r="R957" s="14">
        <v>1550</v>
      </c>
      <c r="S957" s="15">
        <v>0</v>
      </c>
      <c r="T957" s="15">
        <v>0</v>
      </c>
      <c r="U957" s="15">
        <v>1550</v>
      </c>
      <c r="V957" s="15">
        <v>0</v>
      </c>
      <c r="W957" s="15">
        <v>1550</v>
      </c>
      <c r="X957" s="15">
        <v>0</v>
      </c>
      <c r="Y957" s="16">
        <v>0</v>
      </c>
      <c r="Z957" s="67" t="s">
        <v>26</v>
      </c>
      <c r="AA957" s="12" t="s">
        <v>31</v>
      </c>
    </row>
    <row r="958" spans="1:27" x14ac:dyDescent="0.25">
      <c r="A958" s="10">
        <v>45673</v>
      </c>
      <c r="B958" s="11" t="s">
        <v>274</v>
      </c>
      <c r="C958" s="11" t="s">
        <v>2492</v>
      </c>
      <c r="D958" s="11" t="s">
        <v>26</v>
      </c>
      <c r="E958" s="11" t="s">
        <v>98</v>
      </c>
      <c r="F958" s="11" t="s">
        <v>26</v>
      </c>
      <c r="G958" s="11">
        <v>10139</v>
      </c>
      <c r="H958" s="12" t="s">
        <v>140</v>
      </c>
      <c r="I958" s="12" t="s">
        <v>27</v>
      </c>
      <c r="J958" s="12" t="s">
        <v>42</v>
      </c>
      <c r="K958" s="12" t="s">
        <v>43</v>
      </c>
      <c r="L958" s="13">
        <v>43.32</v>
      </c>
      <c r="M958" s="13">
        <v>25</v>
      </c>
      <c r="N958" s="13">
        <v>1.7327999999999999</v>
      </c>
      <c r="O958" s="13">
        <v>35</v>
      </c>
      <c r="P958" s="13"/>
      <c r="Q958" s="13">
        <v>0</v>
      </c>
      <c r="R958" s="15">
        <v>1516.2</v>
      </c>
      <c r="S958" s="15">
        <v>0</v>
      </c>
      <c r="T958" s="15">
        <v>0</v>
      </c>
      <c r="U958" s="15">
        <v>1516.2</v>
      </c>
      <c r="V958" s="15">
        <v>0</v>
      </c>
      <c r="W958" s="15">
        <v>1516.2</v>
      </c>
      <c r="X958" s="15">
        <v>0</v>
      </c>
      <c r="Y958" s="16">
        <v>0</v>
      </c>
      <c r="Z958" s="67" t="s">
        <v>26</v>
      </c>
      <c r="AA958" s="12" t="s">
        <v>31</v>
      </c>
    </row>
    <row r="959" spans="1:27" x14ac:dyDescent="0.25">
      <c r="A959" s="10">
        <v>45673</v>
      </c>
      <c r="B959" s="11" t="s">
        <v>2493</v>
      </c>
      <c r="C959" s="11" t="s">
        <v>2494</v>
      </c>
      <c r="D959" s="11" t="s">
        <v>26</v>
      </c>
      <c r="E959" s="11" t="s">
        <v>184</v>
      </c>
      <c r="F959" s="11" t="s">
        <v>26</v>
      </c>
      <c r="G959" s="11">
        <v>764</v>
      </c>
      <c r="H959" s="12" t="s">
        <v>141</v>
      </c>
      <c r="I959" s="12" t="s">
        <v>55</v>
      </c>
      <c r="J959" s="12" t="s">
        <v>55</v>
      </c>
      <c r="K959" s="12" t="s">
        <v>56</v>
      </c>
      <c r="L959" s="13">
        <v>38.340000000000003</v>
      </c>
      <c r="M959" s="13">
        <v>25</v>
      </c>
      <c r="N959" s="13">
        <v>1.5336000000000001</v>
      </c>
      <c r="O959" s="13">
        <v>15</v>
      </c>
      <c r="P959" s="13" t="s">
        <v>30</v>
      </c>
      <c r="Q959" s="13">
        <v>0</v>
      </c>
      <c r="R959" s="15">
        <v>575.1</v>
      </c>
      <c r="S959" s="15">
        <v>0</v>
      </c>
      <c r="T959" s="15">
        <v>0</v>
      </c>
      <c r="U959" s="15">
        <v>575.1</v>
      </c>
      <c r="V959" s="15">
        <v>0</v>
      </c>
      <c r="W959" s="15">
        <v>575.1</v>
      </c>
      <c r="X959" s="15">
        <v>0</v>
      </c>
      <c r="Y959" s="16">
        <v>0</v>
      </c>
      <c r="Z959" s="67" t="s">
        <v>26</v>
      </c>
      <c r="AA959" s="12" t="s">
        <v>31</v>
      </c>
    </row>
    <row r="960" spans="1:27" x14ac:dyDescent="0.25">
      <c r="A960" s="10">
        <v>45673</v>
      </c>
      <c r="B960" s="11" t="s">
        <v>2495</v>
      </c>
      <c r="C960" s="11" t="s">
        <v>2496</v>
      </c>
      <c r="D960" s="11" t="s">
        <v>26</v>
      </c>
      <c r="E960" s="11" t="s">
        <v>552</v>
      </c>
      <c r="F960" s="11" t="s">
        <v>26</v>
      </c>
      <c r="G960" s="11">
        <v>69116</v>
      </c>
      <c r="H960" s="12" t="s">
        <v>4423</v>
      </c>
      <c r="I960" s="12" t="s">
        <v>27</v>
      </c>
      <c r="J960" s="12" t="s">
        <v>42</v>
      </c>
      <c r="K960" s="12" t="s">
        <v>43</v>
      </c>
      <c r="L960" s="13">
        <v>34.22</v>
      </c>
      <c r="M960" s="13">
        <v>25</v>
      </c>
      <c r="N960" s="13">
        <v>1.3688</v>
      </c>
      <c r="O960" s="13">
        <v>42</v>
      </c>
      <c r="P960" s="13" t="s">
        <v>30</v>
      </c>
      <c r="Q960" s="13">
        <v>0</v>
      </c>
      <c r="R960" s="14">
        <v>1437.24</v>
      </c>
      <c r="S960" s="15">
        <v>0</v>
      </c>
      <c r="T960" s="15">
        <v>0</v>
      </c>
      <c r="U960" s="15">
        <v>1437.24</v>
      </c>
      <c r="V960" s="15">
        <v>1437.24</v>
      </c>
      <c r="W960" s="15">
        <v>0</v>
      </c>
      <c r="X960" s="15">
        <v>0</v>
      </c>
      <c r="Y960" s="16">
        <v>0</v>
      </c>
      <c r="Z960" s="67" t="s">
        <v>26</v>
      </c>
      <c r="AA960" s="12" t="s">
        <v>31</v>
      </c>
    </row>
    <row r="961" spans="1:27" x14ac:dyDescent="0.25">
      <c r="A961" s="10">
        <v>45673</v>
      </c>
      <c r="B961" s="11" t="s">
        <v>2497</v>
      </c>
      <c r="C961" s="11" t="s">
        <v>2498</v>
      </c>
      <c r="D961" s="11" t="s">
        <v>26</v>
      </c>
      <c r="E961" s="11" t="s">
        <v>60</v>
      </c>
      <c r="F961" s="11" t="s">
        <v>26</v>
      </c>
      <c r="G961" s="11" t="s">
        <v>35</v>
      </c>
      <c r="H961" s="12" t="s">
        <v>36</v>
      </c>
      <c r="I961" s="12" t="s">
        <v>27</v>
      </c>
      <c r="J961" s="12" t="s">
        <v>42</v>
      </c>
      <c r="K961" s="12" t="s">
        <v>43</v>
      </c>
      <c r="L961" s="13">
        <v>6.14</v>
      </c>
      <c r="M961" s="13">
        <v>4</v>
      </c>
      <c r="N961" s="13">
        <v>1.5349999999999999</v>
      </c>
      <c r="O961" s="13">
        <v>45</v>
      </c>
      <c r="P961" s="13" t="s">
        <v>30</v>
      </c>
      <c r="Q961" s="13">
        <v>0</v>
      </c>
      <c r="R961" s="14">
        <v>276.3</v>
      </c>
      <c r="S961" s="15">
        <v>0</v>
      </c>
      <c r="T961" s="15">
        <v>0</v>
      </c>
      <c r="U961" s="15">
        <v>276.3</v>
      </c>
      <c r="V961" s="15">
        <v>0</v>
      </c>
      <c r="W961" s="15">
        <v>276.3</v>
      </c>
      <c r="X961" s="15">
        <v>0</v>
      </c>
      <c r="Y961" s="16">
        <v>0</v>
      </c>
      <c r="Z961" s="67" t="s">
        <v>26</v>
      </c>
      <c r="AA961" s="12" t="s">
        <v>31</v>
      </c>
    </row>
    <row r="962" spans="1:27" x14ac:dyDescent="0.25">
      <c r="A962" s="10">
        <v>45673</v>
      </c>
      <c r="B962" s="11" t="s">
        <v>627</v>
      </c>
      <c r="C962" s="11" t="s">
        <v>2499</v>
      </c>
      <c r="D962" s="11" t="s">
        <v>26</v>
      </c>
      <c r="E962" s="11" t="s">
        <v>605</v>
      </c>
      <c r="F962" s="11" t="s">
        <v>26</v>
      </c>
      <c r="G962" s="11">
        <v>765</v>
      </c>
      <c r="H962" s="12" t="s">
        <v>141</v>
      </c>
      <c r="I962" s="12" t="s">
        <v>55</v>
      </c>
      <c r="J962" s="12" t="s">
        <v>55</v>
      </c>
      <c r="K962" s="12" t="s">
        <v>56</v>
      </c>
      <c r="L962" s="13">
        <v>39.08</v>
      </c>
      <c r="M962" s="13">
        <v>25</v>
      </c>
      <c r="N962" s="13">
        <v>1.5631999999999999</v>
      </c>
      <c r="O962" s="13">
        <v>15</v>
      </c>
      <c r="P962" s="13" t="s">
        <v>30</v>
      </c>
      <c r="Q962" s="13">
        <v>0</v>
      </c>
      <c r="R962" s="15">
        <v>586.19999999999993</v>
      </c>
      <c r="S962" s="15">
        <v>0</v>
      </c>
      <c r="T962" s="15">
        <v>0</v>
      </c>
      <c r="U962" s="15">
        <v>586.19999999999993</v>
      </c>
      <c r="V962" s="15">
        <v>0</v>
      </c>
      <c r="W962" s="15">
        <v>586.19999999999993</v>
      </c>
      <c r="X962" s="15">
        <v>0</v>
      </c>
      <c r="Y962" s="16">
        <v>0</v>
      </c>
      <c r="Z962" s="67" t="s">
        <v>26</v>
      </c>
      <c r="AA962" s="12" t="s">
        <v>31</v>
      </c>
    </row>
    <row r="963" spans="1:27" x14ac:dyDescent="0.25">
      <c r="A963" s="10">
        <v>45673</v>
      </c>
      <c r="B963" s="11" t="s">
        <v>386</v>
      </c>
      <c r="C963" s="11" t="s">
        <v>2500</v>
      </c>
      <c r="D963" s="11" t="s">
        <v>26</v>
      </c>
      <c r="E963" s="11" t="s">
        <v>505</v>
      </c>
      <c r="F963" s="11" t="s">
        <v>26</v>
      </c>
      <c r="G963" s="11">
        <v>766</v>
      </c>
      <c r="H963" s="12" t="s">
        <v>141</v>
      </c>
      <c r="I963" s="12" t="s">
        <v>55</v>
      </c>
      <c r="J963" s="12" t="s">
        <v>55</v>
      </c>
      <c r="K963" s="12" t="s">
        <v>56</v>
      </c>
      <c r="L963" s="13">
        <v>38.1</v>
      </c>
      <c r="M963" s="13">
        <v>25</v>
      </c>
      <c r="N963" s="13">
        <v>1.524</v>
      </c>
      <c r="O963" s="13">
        <v>15</v>
      </c>
      <c r="P963" s="13" t="s">
        <v>30</v>
      </c>
      <c r="Q963" s="13">
        <v>0</v>
      </c>
      <c r="R963" s="15">
        <v>571.5</v>
      </c>
      <c r="S963" s="15">
        <v>0</v>
      </c>
      <c r="T963" s="15">
        <v>0</v>
      </c>
      <c r="U963" s="15">
        <v>571.5</v>
      </c>
      <c r="V963" s="15">
        <v>0</v>
      </c>
      <c r="W963" s="15">
        <v>571.5</v>
      </c>
      <c r="X963" s="15">
        <v>0</v>
      </c>
      <c r="Y963" s="16">
        <v>0</v>
      </c>
      <c r="Z963" s="67" t="s">
        <v>26</v>
      </c>
      <c r="AA963" s="12" t="s">
        <v>31</v>
      </c>
    </row>
    <row r="964" spans="1:27" x14ac:dyDescent="0.25">
      <c r="A964" s="10">
        <v>45673</v>
      </c>
      <c r="B964" s="11" t="s">
        <v>2470</v>
      </c>
      <c r="C964" s="11" t="s">
        <v>2501</v>
      </c>
      <c r="D964" s="11" t="s">
        <v>26</v>
      </c>
      <c r="E964" s="11" t="s">
        <v>53</v>
      </c>
      <c r="F964" s="11" t="s">
        <v>26</v>
      </c>
      <c r="G964" s="11">
        <v>3753</v>
      </c>
      <c r="H964" s="12" t="s">
        <v>41</v>
      </c>
      <c r="I964" s="12" t="s">
        <v>27</v>
      </c>
      <c r="J964" s="12" t="s">
        <v>42</v>
      </c>
      <c r="K964" s="12" t="s">
        <v>43</v>
      </c>
      <c r="L964" s="13">
        <v>42.66</v>
      </c>
      <c r="M964" s="13">
        <v>25</v>
      </c>
      <c r="N964" s="13">
        <v>1.7063999999999999</v>
      </c>
      <c r="O964" s="13" t="s">
        <v>30</v>
      </c>
      <c r="P964" s="13">
        <v>64</v>
      </c>
      <c r="Q964" s="13">
        <v>0</v>
      </c>
      <c r="R964" s="14">
        <v>1600</v>
      </c>
      <c r="S964" s="15">
        <v>0</v>
      </c>
      <c r="T964" s="15">
        <v>0</v>
      </c>
      <c r="U964" s="15">
        <v>1600</v>
      </c>
      <c r="V964" s="15">
        <v>0</v>
      </c>
      <c r="W964" s="15">
        <v>1600</v>
      </c>
      <c r="X964" s="15">
        <v>0</v>
      </c>
      <c r="Y964" s="16">
        <v>0</v>
      </c>
      <c r="Z964" s="67" t="s">
        <v>26</v>
      </c>
      <c r="AA964" s="12" t="s">
        <v>31</v>
      </c>
    </row>
    <row r="965" spans="1:27" x14ac:dyDescent="0.25">
      <c r="A965" s="10">
        <v>45673</v>
      </c>
      <c r="B965" s="11" t="s">
        <v>2502</v>
      </c>
      <c r="C965" s="11" t="s">
        <v>2503</v>
      </c>
      <c r="D965" s="11" t="s">
        <v>26</v>
      </c>
      <c r="E965" s="11" t="s">
        <v>506</v>
      </c>
      <c r="F965" s="11" t="s">
        <v>26</v>
      </c>
      <c r="G965" s="11">
        <v>1515</v>
      </c>
      <c r="H965" s="12" t="s">
        <v>45</v>
      </c>
      <c r="I965" s="12" t="s">
        <v>27</v>
      </c>
      <c r="J965" s="12" t="s">
        <v>33</v>
      </c>
      <c r="K965" s="12" t="s">
        <v>34</v>
      </c>
      <c r="L965" s="13">
        <v>36.880000000000003</v>
      </c>
      <c r="M965" s="13">
        <v>25</v>
      </c>
      <c r="N965" s="13">
        <v>1.4752000000000001</v>
      </c>
      <c r="O965" s="13" t="s">
        <v>30</v>
      </c>
      <c r="P965" s="13">
        <v>58</v>
      </c>
      <c r="Q965" s="13">
        <v>0</v>
      </c>
      <c r="R965" s="15">
        <v>1450</v>
      </c>
      <c r="S965" s="15">
        <v>0</v>
      </c>
      <c r="T965" s="15">
        <v>0</v>
      </c>
      <c r="U965" s="15">
        <v>1450</v>
      </c>
      <c r="V965" s="15">
        <v>0</v>
      </c>
      <c r="W965" s="15">
        <v>1450</v>
      </c>
      <c r="X965" s="15">
        <v>0</v>
      </c>
      <c r="Y965" s="16">
        <v>0</v>
      </c>
      <c r="Z965" s="67" t="s">
        <v>26</v>
      </c>
      <c r="AA965" s="12" t="s">
        <v>31</v>
      </c>
    </row>
    <row r="966" spans="1:27" x14ac:dyDescent="0.25">
      <c r="A966" s="10">
        <v>45673</v>
      </c>
      <c r="B966" s="11" t="s">
        <v>365</v>
      </c>
      <c r="C966" s="11" t="s">
        <v>2504</v>
      </c>
      <c r="D966" s="11" t="s">
        <v>26</v>
      </c>
      <c r="E966" s="11" t="s">
        <v>57</v>
      </c>
      <c r="F966" s="11" t="s">
        <v>26</v>
      </c>
      <c r="G966" s="11">
        <v>2733</v>
      </c>
      <c r="H966" s="12" t="s">
        <v>41</v>
      </c>
      <c r="I966" s="12" t="s">
        <v>55</v>
      </c>
      <c r="J966" s="12" t="s">
        <v>55</v>
      </c>
      <c r="K966" s="12" t="s">
        <v>56</v>
      </c>
      <c r="L966" s="13">
        <v>39.479999999999997</v>
      </c>
      <c r="M966" s="13">
        <v>25</v>
      </c>
      <c r="N966" s="13">
        <v>1.5791999999999999</v>
      </c>
      <c r="O966" s="13" t="s">
        <v>30</v>
      </c>
      <c r="P966" s="13">
        <v>24</v>
      </c>
      <c r="Q966" s="13">
        <v>0</v>
      </c>
      <c r="R966" s="14">
        <v>600</v>
      </c>
      <c r="S966" s="15">
        <v>0</v>
      </c>
      <c r="T966" s="15">
        <v>0</v>
      </c>
      <c r="U966" s="15">
        <v>600</v>
      </c>
      <c r="V966" s="15">
        <v>0</v>
      </c>
      <c r="W966" s="15">
        <v>600</v>
      </c>
      <c r="X966" s="15">
        <v>0</v>
      </c>
      <c r="Y966" s="16">
        <v>0</v>
      </c>
      <c r="Z966" s="67" t="s">
        <v>26</v>
      </c>
      <c r="AA966" s="12" t="s">
        <v>31</v>
      </c>
    </row>
    <row r="967" spans="1:27" x14ac:dyDescent="0.25">
      <c r="A967" s="10">
        <v>45673</v>
      </c>
      <c r="B967" s="11" t="s">
        <v>129</v>
      </c>
      <c r="C967" s="11" t="s">
        <v>2505</v>
      </c>
      <c r="D967" s="11" t="s">
        <v>26</v>
      </c>
      <c r="E967" s="11" t="s">
        <v>244</v>
      </c>
      <c r="F967" s="11" t="s">
        <v>26</v>
      </c>
      <c r="G967" s="11">
        <v>951</v>
      </c>
      <c r="H967" s="12" t="s">
        <v>141</v>
      </c>
      <c r="I967" s="12" t="s">
        <v>55</v>
      </c>
      <c r="J967" s="12" t="s">
        <v>55</v>
      </c>
      <c r="K967" s="12" t="s">
        <v>56</v>
      </c>
      <c r="L967" s="13">
        <v>36.54</v>
      </c>
      <c r="M967" s="13">
        <v>25</v>
      </c>
      <c r="N967" s="13">
        <v>1.4616</v>
      </c>
      <c r="O967" s="13">
        <v>15</v>
      </c>
      <c r="P967" s="13" t="s">
        <v>30</v>
      </c>
      <c r="Q967" s="13">
        <v>0</v>
      </c>
      <c r="R967" s="15">
        <v>548.1</v>
      </c>
      <c r="S967" s="15">
        <v>0</v>
      </c>
      <c r="T967" s="15">
        <v>0</v>
      </c>
      <c r="U967" s="15">
        <v>548.1</v>
      </c>
      <c r="V967" s="15">
        <v>0</v>
      </c>
      <c r="W967" s="15">
        <v>548.1</v>
      </c>
      <c r="X967" s="15">
        <v>0</v>
      </c>
      <c r="Y967" s="16">
        <v>0</v>
      </c>
      <c r="Z967" s="67" t="s">
        <v>26</v>
      </c>
      <c r="AA967" s="12" t="s">
        <v>31</v>
      </c>
    </row>
    <row r="968" spans="1:27" x14ac:dyDescent="0.25">
      <c r="A968" s="10">
        <v>45673</v>
      </c>
      <c r="B968" s="11" t="s">
        <v>2506</v>
      </c>
      <c r="C968" s="11" t="s">
        <v>2507</v>
      </c>
      <c r="D968" s="11" t="s">
        <v>26</v>
      </c>
      <c r="E968" s="11" t="s">
        <v>237</v>
      </c>
      <c r="F968" s="11" t="s">
        <v>26</v>
      </c>
      <c r="G968" s="11">
        <v>44291</v>
      </c>
      <c r="H968" s="12" t="s">
        <v>4423</v>
      </c>
      <c r="I968" s="12" t="s">
        <v>27</v>
      </c>
      <c r="J968" s="12" t="s">
        <v>33</v>
      </c>
      <c r="K968" s="12" t="s">
        <v>34</v>
      </c>
      <c r="L968" s="13">
        <v>34.54</v>
      </c>
      <c r="M968" s="13">
        <v>25</v>
      </c>
      <c r="N968" s="13">
        <v>1.3815999999999999</v>
      </c>
      <c r="O968" s="13">
        <v>45</v>
      </c>
      <c r="P968" s="13" t="s">
        <v>30</v>
      </c>
      <c r="Q968" s="13">
        <v>0</v>
      </c>
      <c r="R968" s="15">
        <v>1554.3</v>
      </c>
      <c r="S968" s="15">
        <v>0</v>
      </c>
      <c r="T968" s="15">
        <v>0</v>
      </c>
      <c r="U968" s="15">
        <v>1554.3</v>
      </c>
      <c r="V968" s="15">
        <v>1554.3</v>
      </c>
      <c r="W968" s="15">
        <v>0</v>
      </c>
      <c r="X968" s="15">
        <v>0</v>
      </c>
      <c r="Y968" s="16">
        <v>0</v>
      </c>
      <c r="Z968" s="67" t="s">
        <v>26</v>
      </c>
      <c r="AA968" s="12" t="s">
        <v>31</v>
      </c>
    </row>
    <row r="969" spans="1:27" x14ac:dyDescent="0.25">
      <c r="A969" s="10">
        <v>45673</v>
      </c>
      <c r="B969" s="11" t="s">
        <v>2005</v>
      </c>
      <c r="C969" s="11" t="s">
        <v>2508</v>
      </c>
      <c r="D969" s="11" t="s">
        <v>26</v>
      </c>
      <c r="E969" s="11" t="s">
        <v>76</v>
      </c>
      <c r="F969" s="11" t="s">
        <v>26</v>
      </c>
      <c r="G969" s="11">
        <v>2235</v>
      </c>
      <c r="H969" s="12" t="s">
        <v>41</v>
      </c>
      <c r="I969" s="12" t="s">
        <v>55</v>
      </c>
      <c r="J969" s="12" t="s">
        <v>55</v>
      </c>
      <c r="K969" s="12" t="s">
        <v>56</v>
      </c>
      <c r="L969" s="13">
        <v>39.24</v>
      </c>
      <c r="M969" s="13">
        <v>25</v>
      </c>
      <c r="N969" s="13">
        <v>1.5696000000000001</v>
      </c>
      <c r="O969" s="13" t="s">
        <v>30</v>
      </c>
      <c r="P969" s="13">
        <v>24</v>
      </c>
      <c r="Q969" s="13">
        <v>0</v>
      </c>
      <c r="R969" s="15">
        <v>600</v>
      </c>
      <c r="S969" s="15">
        <v>0</v>
      </c>
      <c r="T969" s="15">
        <v>0</v>
      </c>
      <c r="U969" s="15">
        <v>600</v>
      </c>
      <c r="V969" s="15">
        <v>0</v>
      </c>
      <c r="W969" s="15">
        <v>600</v>
      </c>
      <c r="X969" s="15">
        <v>0</v>
      </c>
      <c r="Y969" s="16">
        <v>0</v>
      </c>
      <c r="Z969" s="67" t="s">
        <v>26</v>
      </c>
      <c r="AA969" s="12" t="s">
        <v>31</v>
      </c>
    </row>
    <row r="970" spans="1:27" x14ac:dyDescent="0.25">
      <c r="A970" s="10">
        <v>45673</v>
      </c>
      <c r="B970" s="11" t="s">
        <v>1315</v>
      </c>
      <c r="C970" s="11" t="s">
        <v>2509</v>
      </c>
      <c r="D970" s="11" t="s">
        <v>26</v>
      </c>
      <c r="E970" s="11" t="s">
        <v>59</v>
      </c>
      <c r="F970" s="11" t="s">
        <v>26</v>
      </c>
      <c r="G970" s="11">
        <v>112124</v>
      </c>
      <c r="H970" s="12" t="s">
        <v>4446</v>
      </c>
      <c r="I970" s="12" t="s">
        <v>27</v>
      </c>
      <c r="J970" s="12" t="s">
        <v>33</v>
      </c>
      <c r="K970" s="12" t="s">
        <v>34</v>
      </c>
      <c r="L970" s="13">
        <v>34.96</v>
      </c>
      <c r="M970" s="13">
        <v>25</v>
      </c>
      <c r="N970" s="13">
        <v>1.3984000000000001</v>
      </c>
      <c r="O970" s="13">
        <v>44</v>
      </c>
      <c r="P970" s="13" t="s">
        <v>30</v>
      </c>
      <c r="Q970" s="13">
        <v>0</v>
      </c>
      <c r="R970" s="14">
        <v>1538.24</v>
      </c>
      <c r="S970" s="15">
        <v>0</v>
      </c>
      <c r="T970" s="15">
        <v>0</v>
      </c>
      <c r="U970" s="15">
        <v>1538.24</v>
      </c>
      <c r="V970" s="15">
        <v>1538.24</v>
      </c>
      <c r="W970" s="15">
        <v>0</v>
      </c>
      <c r="X970" s="15">
        <v>0</v>
      </c>
      <c r="Y970" s="16">
        <v>0</v>
      </c>
      <c r="Z970" s="67" t="s">
        <v>26</v>
      </c>
      <c r="AA970" s="12" t="s">
        <v>31</v>
      </c>
    </row>
    <row r="971" spans="1:27" x14ac:dyDescent="0.25">
      <c r="A971" s="10">
        <v>45673</v>
      </c>
      <c r="B971" s="11" t="s">
        <v>2510</v>
      </c>
      <c r="C971" s="11" t="s">
        <v>2511</v>
      </c>
      <c r="D971" s="11" t="s">
        <v>26</v>
      </c>
      <c r="E971" s="11" t="s">
        <v>570</v>
      </c>
      <c r="F971" s="11" t="s">
        <v>26</v>
      </c>
      <c r="G971" s="11">
        <v>10325</v>
      </c>
      <c r="H971" s="12" t="s">
        <v>140</v>
      </c>
      <c r="I971" s="12" t="s">
        <v>27</v>
      </c>
      <c r="J971" s="12" t="s">
        <v>47</v>
      </c>
      <c r="K971" s="12" t="s">
        <v>48</v>
      </c>
      <c r="L971" s="13">
        <v>41.08</v>
      </c>
      <c r="M971" s="13">
        <v>28</v>
      </c>
      <c r="N971" s="13">
        <v>1.4671428571428571</v>
      </c>
      <c r="O971" s="13">
        <v>40</v>
      </c>
      <c r="P971" s="13"/>
      <c r="Q971" s="13">
        <v>0</v>
      </c>
      <c r="R971" s="14">
        <v>1643.1999999999998</v>
      </c>
      <c r="S971" s="15">
        <v>0</v>
      </c>
      <c r="T971" s="15">
        <v>0</v>
      </c>
      <c r="U971" s="15">
        <v>1643.1999999999998</v>
      </c>
      <c r="V971" s="15">
        <v>0</v>
      </c>
      <c r="W971" s="15">
        <v>1643.1999999999998</v>
      </c>
      <c r="X971" s="15">
        <v>0</v>
      </c>
      <c r="Y971" s="16">
        <v>0</v>
      </c>
      <c r="Z971" s="67" t="s">
        <v>26</v>
      </c>
      <c r="AA971" s="12" t="s">
        <v>31</v>
      </c>
    </row>
    <row r="972" spans="1:27" x14ac:dyDescent="0.25">
      <c r="A972" s="10">
        <v>45673</v>
      </c>
      <c r="B972" s="11" t="s">
        <v>1301</v>
      </c>
      <c r="C972" s="11" t="s">
        <v>2512</v>
      </c>
      <c r="D972" s="11" t="s">
        <v>26</v>
      </c>
      <c r="E972" s="11" t="s">
        <v>230</v>
      </c>
      <c r="F972" s="11" t="s">
        <v>26</v>
      </c>
      <c r="G972" s="11" t="s">
        <v>26</v>
      </c>
      <c r="H972" s="12" t="s">
        <v>4422</v>
      </c>
      <c r="I972" s="12" t="s">
        <v>27</v>
      </c>
      <c r="J972" s="12" t="s">
        <v>33</v>
      </c>
      <c r="K972" s="12" t="s">
        <v>34</v>
      </c>
      <c r="L972" s="13">
        <v>42.22</v>
      </c>
      <c r="M972" s="13">
        <v>29</v>
      </c>
      <c r="N972" s="13">
        <v>1.4558620689655171</v>
      </c>
      <c r="O972" s="13">
        <v>85</v>
      </c>
      <c r="P972" s="13" t="s">
        <v>30</v>
      </c>
      <c r="Q972" s="13">
        <v>0</v>
      </c>
      <c r="R972" s="15">
        <v>3588.7</v>
      </c>
      <c r="S972" s="15">
        <v>38</v>
      </c>
      <c r="T972" s="15">
        <v>1604.36</v>
      </c>
      <c r="U972" s="15">
        <v>1984.34</v>
      </c>
      <c r="V972" s="15">
        <v>1984.34</v>
      </c>
      <c r="W972" s="15">
        <v>0</v>
      </c>
      <c r="X972" s="15">
        <v>1519.92</v>
      </c>
      <c r="Y972" s="16">
        <v>84.439999999999827</v>
      </c>
      <c r="Z972" s="67" t="s">
        <v>565</v>
      </c>
      <c r="AA972" s="12" t="s">
        <v>78</v>
      </c>
    </row>
    <row r="973" spans="1:27" x14ac:dyDescent="0.25">
      <c r="A973" s="10">
        <v>45673</v>
      </c>
      <c r="B973" s="11" t="s">
        <v>2513</v>
      </c>
      <c r="C973" s="11" t="s">
        <v>2514</v>
      </c>
      <c r="D973" s="11" t="s">
        <v>26</v>
      </c>
      <c r="E973" s="11" t="s">
        <v>100</v>
      </c>
      <c r="F973" s="11" t="s">
        <v>26</v>
      </c>
      <c r="G973" s="11">
        <v>21718</v>
      </c>
      <c r="H973" s="12" t="s">
        <v>4448</v>
      </c>
      <c r="I973" s="12" t="s">
        <v>27</v>
      </c>
      <c r="J973" s="12" t="s">
        <v>42</v>
      </c>
      <c r="K973" s="12" t="s">
        <v>43</v>
      </c>
      <c r="L973" s="13">
        <v>43.02</v>
      </c>
      <c r="M973" s="13">
        <v>25</v>
      </c>
      <c r="N973" s="13">
        <v>1.7208000000000001</v>
      </c>
      <c r="O973" s="13">
        <v>42.5</v>
      </c>
      <c r="P973" s="13" t="s">
        <v>30</v>
      </c>
      <c r="Q973" s="13">
        <v>0</v>
      </c>
      <c r="R973" s="15">
        <v>1828.3500000000001</v>
      </c>
      <c r="S973" s="15">
        <v>0</v>
      </c>
      <c r="T973" s="15">
        <v>0</v>
      </c>
      <c r="U973" s="15">
        <v>1828.3500000000001</v>
      </c>
      <c r="V973" s="15">
        <v>1371.2625</v>
      </c>
      <c r="W973" s="15">
        <v>457.08750000000009</v>
      </c>
      <c r="X973" s="15">
        <v>0</v>
      </c>
      <c r="Y973" s="16">
        <v>0</v>
      </c>
      <c r="Z973" s="67" t="s">
        <v>26</v>
      </c>
      <c r="AA973" s="12" t="s">
        <v>31</v>
      </c>
    </row>
    <row r="974" spans="1:27" x14ac:dyDescent="0.25">
      <c r="A974" s="10">
        <v>45673</v>
      </c>
      <c r="B974" s="11" t="s">
        <v>2515</v>
      </c>
      <c r="C974" s="11" t="s">
        <v>2516</v>
      </c>
      <c r="D974" s="11" t="s">
        <v>26</v>
      </c>
      <c r="E974" s="11" t="s">
        <v>75</v>
      </c>
      <c r="F974" s="11" t="s">
        <v>26</v>
      </c>
      <c r="G974" s="11">
        <v>42013</v>
      </c>
      <c r="H974" s="12" t="s">
        <v>565</v>
      </c>
      <c r="I974" s="12" t="s">
        <v>55</v>
      </c>
      <c r="J974" s="12" t="s">
        <v>55</v>
      </c>
      <c r="K974" s="12" t="s">
        <v>56</v>
      </c>
      <c r="L974" s="13">
        <v>39.700000000000003</v>
      </c>
      <c r="M974" s="13">
        <v>25</v>
      </c>
      <c r="N974" s="13">
        <v>1.5880000000000001</v>
      </c>
      <c r="O974" s="13"/>
      <c r="P974" s="13">
        <v>24</v>
      </c>
      <c r="Q974" s="13">
        <v>0</v>
      </c>
      <c r="R974" s="14">
        <v>600</v>
      </c>
      <c r="S974" s="15">
        <v>0</v>
      </c>
      <c r="T974" s="15">
        <v>0</v>
      </c>
      <c r="U974" s="15">
        <v>600</v>
      </c>
      <c r="V974" s="15">
        <v>0</v>
      </c>
      <c r="W974" s="15">
        <v>600</v>
      </c>
      <c r="X974" s="15">
        <v>0</v>
      </c>
      <c r="Y974" s="16">
        <v>0</v>
      </c>
      <c r="Z974" s="67" t="s">
        <v>26</v>
      </c>
      <c r="AA974" s="12" t="s">
        <v>31</v>
      </c>
    </row>
    <row r="975" spans="1:27" x14ac:dyDescent="0.25">
      <c r="A975" s="10">
        <v>45673</v>
      </c>
      <c r="B975" s="11" t="s">
        <v>714</v>
      </c>
      <c r="C975" s="11" t="s">
        <v>2517</v>
      </c>
      <c r="D975" s="11" t="s">
        <v>26</v>
      </c>
      <c r="E975" s="11" t="s">
        <v>74</v>
      </c>
      <c r="F975" s="11" t="s">
        <v>26</v>
      </c>
      <c r="G975" s="11">
        <v>1314</v>
      </c>
      <c r="H975" s="12" t="s">
        <v>70</v>
      </c>
      <c r="I975" s="12" t="s">
        <v>27</v>
      </c>
      <c r="J975" s="12" t="s">
        <v>33</v>
      </c>
      <c r="K975" s="12" t="s">
        <v>34</v>
      </c>
      <c r="L975" s="13">
        <v>37.299999999999997</v>
      </c>
      <c r="M975" s="13">
        <v>25</v>
      </c>
      <c r="N975" s="13">
        <v>1.492</v>
      </c>
      <c r="O975" s="13" t="s">
        <v>30</v>
      </c>
      <c r="P975" s="13">
        <v>60</v>
      </c>
      <c r="Q975" s="13">
        <v>0</v>
      </c>
      <c r="R975" s="15">
        <v>1500</v>
      </c>
      <c r="S975" s="15">
        <v>0</v>
      </c>
      <c r="T975" s="15">
        <v>0</v>
      </c>
      <c r="U975" s="15">
        <v>1500</v>
      </c>
      <c r="V975" s="15">
        <v>0</v>
      </c>
      <c r="W975" s="15">
        <v>1500</v>
      </c>
      <c r="X975" s="15">
        <v>0</v>
      </c>
      <c r="Y975" s="16">
        <v>0</v>
      </c>
      <c r="Z975" s="67" t="s">
        <v>26</v>
      </c>
      <c r="AA975" s="12" t="s">
        <v>31</v>
      </c>
    </row>
    <row r="976" spans="1:27" x14ac:dyDescent="0.25">
      <c r="A976" s="10">
        <v>45673</v>
      </c>
      <c r="B976" s="11" t="s">
        <v>2518</v>
      </c>
      <c r="C976" s="11" t="s">
        <v>2519</v>
      </c>
      <c r="D976" s="11" t="s">
        <v>26</v>
      </c>
      <c r="E976" s="11" t="s">
        <v>69</v>
      </c>
      <c r="F976" s="11" t="s">
        <v>26</v>
      </c>
      <c r="G976" s="11">
        <v>4687</v>
      </c>
      <c r="H976" s="12" t="s">
        <v>70</v>
      </c>
      <c r="I976" s="12" t="s">
        <v>27</v>
      </c>
      <c r="J976" s="12" t="s">
        <v>33</v>
      </c>
      <c r="K976" s="12" t="s">
        <v>34</v>
      </c>
      <c r="L976" s="13">
        <v>37.1</v>
      </c>
      <c r="M976" s="13">
        <v>25</v>
      </c>
      <c r="N976" s="13">
        <v>1.484</v>
      </c>
      <c r="O976" s="13" t="s">
        <v>30</v>
      </c>
      <c r="P976" s="13">
        <v>60</v>
      </c>
      <c r="Q976" s="13">
        <v>0</v>
      </c>
      <c r="R976" s="15">
        <v>1500</v>
      </c>
      <c r="S976" s="15">
        <v>0</v>
      </c>
      <c r="T976" s="15">
        <v>0</v>
      </c>
      <c r="U976" s="15">
        <v>1500</v>
      </c>
      <c r="V976" s="15">
        <v>0</v>
      </c>
      <c r="W976" s="15">
        <v>1500</v>
      </c>
      <c r="X976" s="15">
        <v>0</v>
      </c>
      <c r="Y976" s="16">
        <v>0</v>
      </c>
      <c r="Z976" s="67" t="s">
        <v>26</v>
      </c>
      <c r="AA976" s="12" t="s">
        <v>31</v>
      </c>
    </row>
    <row r="977" spans="1:27" x14ac:dyDescent="0.25">
      <c r="A977" s="10">
        <v>45673</v>
      </c>
      <c r="B977" s="11" t="s">
        <v>2464</v>
      </c>
      <c r="C977" s="11" t="s">
        <v>2520</v>
      </c>
      <c r="D977" s="11" t="s">
        <v>26</v>
      </c>
      <c r="E977" s="11" t="s">
        <v>68</v>
      </c>
      <c r="F977" s="11" t="s">
        <v>26</v>
      </c>
      <c r="G977" s="11">
        <v>1516</v>
      </c>
      <c r="H977" s="12" t="s">
        <v>45</v>
      </c>
      <c r="I977" s="12" t="s">
        <v>27</v>
      </c>
      <c r="J977" s="12" t="s">
        <v>42</v>
      </c>
      <c r="K977" s="12" t="s">
        <v>43</v>
      </c>
      <c r="L977" s="13">
        <v>44.9</v>
      </c>
      <c r="M977" s="13">
        <v>25</v>
      </c>
      <c r="N977" s="13">
        <v>1.796</v>
      </c>
      <c r="O977" s="13" t="s">
        <v>30</v>
      </c>
      <c r="P977" s="13">
        <v>62</v>
      </c>
      <c r="Q977" s="13">
        <v>0</v>
      </c>
      <c r="R977" s="15">
        <v>1550</v>
      </c>
      <c r="S977" s="15">
        <v>0</v>
      </c>
      <c r="T977" s="15">
        <v>0</v>
      </c>
      <c r="U977" s="15">
        <v>1550</v>
      </c>
      <c r="V977" s="15">
        <v>0</v>
      </c>
      <c r="W977" s="15">
        <v>1550</v>
      </c>
      <c r="X977" s="15">
        <v>0</v>
      </c>
      <c r="Y977" s="16">
        <v>0</v>
      </c>
      <c r="Z977" s="67" t="s">
        <v>26</v>
      </c>
      <c r="AA977" s="12" t="s">
        <v>31</v>
      </c>
    </row>
    <row r="978" spans="1:27" x14ac:dyDescent="0.25">
      <c r="A978" s="10">
        <v>45673</v>
      </c>
      <c r="B978" s="11" t="s">
        <v>234</v>
      </c>
      <c r="C978" s="11" t="s">
        <v>2521</v>
      </c>
      <c r="D978" s="11" t="s">
        <v>26</v>
      </c>
      <c r="E978" s="11" t="s">
        <v>80</v>
      </c>
      <c r="F978" s="11" t="s">
        <v>26</v>
      </c>
      <c r="G978" s="11" t="s">
        <v>26</v>
      </c>
      <c r="H978" s="12" t="s">
        <v>4422</v>
      </c>
      <c r="I978" s="12" t="s">
        <v>27</v>
      </c>
      <c r="J978" s="12" t="s">
        <v>47</v>
      </c>
      <c r="K978" s="12" t="s">
        <v>48</v>
      </c>
      <c r="L978" s="13">
        <v>41.9</v>
      </c>
      <c r="M978" s="13">
        <v>29</v>
      </c>
      <c r="N978" s="13">
        <v>1.444827586206896</v>
      </c>
      <c r="O978" s="13">
        <v>87</v>
      </c>
      <c r="P978" s="13" t="s">
        <v>30</v>
      </c>
      <c r="Q978" s="13">
        <v>0</v>
      </c>
      <c r="R978" s="15">
        <v>3645.2999999999997</v>
      </c>
      <c r="S978" s="15">
        <v>38</v>
      </c>
      <c r="T978" s="15">
        <v>1592.2</v>
      </c>
      <c r="U978" s="15">
        <v>2053.0999999999995</v>
      </c>
      <c r="V978" s="15">
        <v>2053.0999999999995</v>
      </c>
      <c r="W978" s="15">
        <v>0</v>
      </c>
      <c r="X978" s="15">
        <v>1508.3999999999999</v>
      </c>
      <c r="Y978" s="16">
        <v>83.800000000000182</v>
      </c>
      <c r="Z978" s="67" t="s">
        <v>140</v>
      </c>
      <c r="AA978" s="12" t="s">
        <v>78</v>
      </c>
    </row>
    <row r="979" spans="1:27" x14ac:dyDescent="0.25">
      <c r="A979" s="10">
        <v>45673</v>
      </c>
      <c r="B979" s="11" t="s">
        <v>234</v>
      </c>
      <c r="C979" s="11" t="s">
        <v>2522</v>
      </c>
      <c r="D979" s="11" t="s">
        <v>26</v>
      </c>
      <c r="E979" s="11" t="s">
        <v>101</v>
      </c>
      <c r="F979" s="11" t="s">
        <v>26</v>
      </c>
      <c r="G979" s="11">
        <v>69214</v>
      </c>
      <c r="H979" s="12" t="s">
        <v>4423</v>
      </c>
      <c r="I979" s="12" t="s">
        <v>27</v>
      </c>
      <c r="J979" s="12" t="s">
        <v>42</v>
      </c>
      <c r="K979" s="12" t="s">
        <v>43</v>
      </c>
      <c r="L979" s="13">
        <v>39.880000000000003</v>
      </c>
      <c r="M979" s="13">
        <v>25</v>
      </c>
      <c r="N979" s="13">
        <v>1.5952</v>
      </c>
      <c r="O979" s="13">
        <v>42</v>
      </c>
      <c r="P979" s="13" t="s">
        <v>30</v>
      </c>
      <c r="Q979" s="13">
        <v>0</v>
      </c>
      <c r="R979" s="14">
        <v>1674.96</v>
      </c>
      <c r="S979" s="15">
        <v>0</v>
      </c>
      <c r="T979" s="15">
        <v>0</v>
      </c>
      <c r="U979" s="15">
        <v>1674.96</v>
      </c>
      <c r="V979" s="15">
        <v>1674.96</v>
      </c>
      <c r="W979" s="15">
        <v>0</v>
      </c>
      <c r="X979" s="15">
        <v>0</v>
      </c>
      <c r="Y979" s="16">
        <v>0</v>
      </c>
      <c r="Z979" s="67" t="s">
        <v>26</v>
      </c>
      <c r="AA979" s="12" t="s">
        <v>31</v>
      </c>
    </row>
    <row r="980" spans="1:27" x14ac:dyDescent="0.25">
      <c r="A980" s="10">
        <v>45673</v>
      </c>
      <c r="B980" s="11" t="s">
        <v>234</v>
      </c>
      <c r="C980" s="11" t="s">
        <v>2523</v>
      </c>
      <c r="D980" s="11" t="s">
        <v>26</v>
      </c>
      <c r="E980" s="11" t="s">
        <v>98</v>
      </c>
      <c r="F980" s="11" t="s">
        <v>26</v>
      </c>
      <c r="G980" s="11">
        <v>10140</v>
      </c>
      <c r="H980" s="12" t="s">
        <v>140</v>
      </c>
      <c r="I980" s="12" t="s">
        <v>27</v>
      </c>
      <c r="J980" s="12" t="s">
        <v>33</v>
      </c>
      <c r="K980" s="12" t="s">
        <v>34</v>
      </c>
      <c r="L980" s="13">
        <v>35.94</v>
      </c>
      <c r="M980" s="13">
        <v>25</v>
      </c>
      <c r="N980" s="13">
        <v>1.4376</v>
      </c>
      <c r="O980" s="13">
        <v>40</v>
      </c>
      <c r="P980" s="13"/>
      <c r="Q980" s="13">
        <v>0</v>
      </c>
      <c r="R980" s="15">
        <v>1437.6</v>
      </c>
      <c r="S980" s="15">
        <v>0</v>
      </c>
      <c r="T980" s="15">
        <v>0</v>
      </c>
      <c r="U980" s="15">
        <v>1437.6</v>
      </c>
      <c r="V980" s="15">
        <v>0</v>
      </c>
      <c r="W980" s="15">
        <v>1437.6</v>
      </c>
      <c r="X980" s="15">
        <v>0</v>
      </c>
      <c r="Y980" s="16">
        <v>0</v>
      </c>
      <c r="Z980" s="67" t="s">
        <v>26</v>
      </c>
      <c r="AA980" s="12" t="s">
        <v>31</v>
      </c>
    </row>
    <row r="981" spans="1:27" x14ac:dyDescent="0.25">
      <c r="A981" s="10">
        <v>45673</v>
      </c>
      <c r="B981" s="11" t="s">
        <v>2010</v>
      </c>
      <c r="C981" s="11" t="s">
        <v>2524</v>
      </c>
      <c r="D981" s="11" t="s">
        <v>26</v>
      </c>
      <c r="E981" s="11" t="s">
        <v>50</v>
      </c>
      <c r="F981" s="11" t="s">
        <v>26</v>
      </c>
      <c r="G981" s="11">
        <v>634</v>
      </c>
      <c r="H981" s="12" t="s">
        <v>163</v>
      </c>
      <c r="I981" s="12" t="s">
        <v>27</v>
      </c>
      <c r="J981" s="12" t="s">
        <v>42</v>
      </c>
      <c r="K981" s="12" t="s">
        <v>43</v>
      </c>
      <c r="L981" s="13">
        <v>44</v>
      </c>
      <c r="M981" s="13">
        <v>25</v>
      </c>
      <c r="N981" s="13">
        <v>1.76</v>
      </c>
      <c r="O981" s="13" t="s">
        <v>30</v>
      </c>
      <c r="P981" s="13">
        <v>56</v>
      </c>
      <c r="Q981" s="13">
        <v>0</v>
      </c>
      <c r="R981" s="14">
        <v>1400</v>
      </c>
      <c r="S981" s="15">
        <v>0</v>
      </c>
      <c r="T981" s="15">
        <v>0</v>
      </c>
      <c r="U981" s="15">
        <v>1400</v>
      </c>
      <c r="V981" s="15">
        <v>0</v>
      </c>
      <c r="W981" s="15">
        <v>1400</v>
      </c>
      <c r="X981" s="15">
        <v>0</v>
      </c>
      <c r="Y981" s="16">
        <v>0</v>
      </c>
      <c r="Z981" s="67" t="s">
        <v>26</v>
      </c>
      <c r="AA981" s="12" t="s">
        <v>31</v>
      </c>
    </row>
    <row r="982" spans="1:27" x14ac:dyDescent="0.25">
      <c r="A982" s="10">
        <v>45673</v>
      </c>
      <c r="B982" s="11" t="s">
        <v>2525</v>
      </c>
      <c r="C982" s="11" t="s">
        <v>2526</v>
      </c>
      <c r="D982" s="11" t="s">
        <v>26</v>
      </c>
      <c r="E982" s="11" t="s">
        <v>552</v>
      </c>
      <c r="F982" s="11" t="s">
        <v>26</v>
      </c>
      <c r="G982" s="11">
        <v>69117</v>
      </c>
      <c r="H982" s="12" t="s">
        <v>4423</v>
      </c>
      <c r="I982" s="12" t="s">
        <v>27</v>
      </c>
      <c r="J982" s="12" t="s">
        <v>42</v>
      </c>
      <c r="K982" s="12" t="s">
        <v>43</v>
      </c>
      <c r="L982" s="13">
        <v>32.799999999999997</v>
      </c>
      <c r="M982" s="13">
        <v>25</v>
      </c>
      <c r="N982" s="13">
        <v>1.3120000000000001</v>
      </c>
      <c r="O982" s="13">
        <v>42</v>
      </c>
      <c r="P982" s="13" t="s">
        <v>30</v>
      </c>
      <c r="Q982" s="13">
        <v>0</v>
      </c>
      <c r="R982" s="15">
        <v>1377.6</v>
      </c>
      <c r="S982" s="15">
        <v>0</v>
      </c>
      <c r="T982" s="15">
        <v>0</v>
      </c>
      <c r="U982" s="15">
        <v>1377.6</v>
      </c>
      <c r="V982" s="15">
        <v>1377.6</v>
      </c>
      <c r="W982" s="15">
        <v>0</v>
      </c>
      <c r="X982" s="15">
        <v>0</v>
      </c>
      <c r="Y982" s="16">
        <v>0</v>
      </c>
      <c r="Z982" s="67" t="s">
        <v>26</v>
      </c>
      <c r="AA982" s="12" t="s">
        <v>31</v>
      </c>
    </row>
    <row r="983" spans="1:27" x14ac:dyDescent="0.25">
      <c r="A983" s="10">
        <v>45673</v>
      </c>
      <c r="B983" s="11" t="s">
        <v>339</v>
      </c>
      <c r="C983" s="11" t="s">
        <v>2527</v>
      </c>
      <c r="D983" s="11" t="s">
        <v>26</v>
      </c>
      <c r="E983" s="11" t="s">
        <v>57</v>
      </c>
      <c r="F983" s="11" t="s">
        <v>26</v>
      </c>
      <c r="G983" s="11">
        <v>2735</v>
      </c>
      <c r="H983" s="12" t="s">
        <v>41</v>
      </c>
      <c r="I983" s="12" t="s">
        <v>27</v>
      </c>
      <c r="J983" s="12" t="s">
        <v>42</v>
      </c>
      <c r="K983" s="12" t="s">
        <v>43</v>
      </c>
      <c r="L983" s="13">
        <v>43.52</v>
      </c>
      <c r="M983" s="13">
        <v>25</v>
      </c>
      <c r="N983" s="13">
        <v>1.7407999999999999</v>
      </c>
      <c r="O983" s="13" t="s">
        <v>30</v>
      </c>
      <c r="P983" s="13">
        <v>64</v>
      </c>
      <c r="Q983" s="13">
        <v>0</v>
      </c>
      <c r="R983" s="15">
        <v>1600</v>
      </c>
      <c r="S983" s="15">
        <v>0</v>
      </c>
      <c r="T983" s="15">
        <v>0</v>
      </c>
      <c r="U983" s="15">
        <v>1600</v>
      </c>
      <c r="V983" s="15">
        <v>0</v>
      </c>
      <c r="W983" s="15">
        <v>1600</v>
      </c>
      <c r="X983" s="15">
        <v>0</v>
      </c>
      <c r="Y983" s="16">
        <v>0</v>
      </c>
      <c r="Z983" s="67" t="s">
        <v>26</v>
      </c>
      <c r="AA983" s="12" t="s">
        <v>31</v>
      </c>
    </row>
    <row r="984" spans="1:27" x14ac:dyDescent="0.25">
      <c r="A984" s="10">
        <v>45673</v>
      </c>
      <c r="B984" s="11" t="s">
        <v>364</v>
      </c>
      <c r="C984" s="11" t="s">
        <v>2528</v>
      </c>
      <c r="D984" s="11" t="s">
        <v>26</v>
      </c>
      <c r="E984" s="11" t="s">
        <v>97</v>
      </c>
      <c r="F984" s="11" t="s">
        <v>26</v>
      </c>
      <c r="G984" s="11">
        <v>5447</v>
      </c>
      <c r="H984" s="12" t="s">
        <v>4447</v>
      </c>
      <c r="I984" s="12" t="s">
        <v>27</v>
      </c>
      <c r="J984" s="12" t="s">
        <v>42</v>
      </c>
      <c r="K984" s="12" t="s">
        <v>43</v>
      </c>
      <c r="L984" s="13">
        <v>20.66</v>
      </c>
      <c r="M984" s="13">
        <v>13</v>
      </c>
      <c r="N984" s="13">
        <v>1.589230769230769</v>
      </c>
      <c r="O984" s="13" t="s">
        <v>30</v>
      </c>
      <c r="P984" s="13">
        <v>65.599999999999994</v>
      </c>
      <c r="Q984" s="13">
        <v>0</v>
      </c>
      <c r="R984" s="15">
        <v>852.8</v>
      </c>
      <c r="S984" s="15">
        <v>0</v>
      </c>
      <c r="T984" s="15">
        <v>0</v>
      </c>
      <c r="U984" s="15">
        <v>852.8</v>
      </c>
      <c r="V984" s="15">
        <v>852.8</v>
      </c>
      <c r="W984" s="15">
        <v>0</v>
      </c>
      <c r="X984" s="15">
        <v>0</v>
      </c>
      <c r="Y984" s="16">
        <v>0</v>
      </c>
      <c r="Z984" s="67" t="s">
        <v>26</v>
      </c>
      <c r="AA984" s="12" t="s">
        <v>31</v>
      </c>
    </row>
    <row r="985" spans="1:27" x14ac:dyDescent="0.25">
      <c r="A985" s="10">
        <v>45673</v>
      </c>
      <c r="B985" s="11" t="s">
        <v>2529</v>
      </c>
      <c r="C985" s="11" t="s">
        <v>2530</v>
      </c>
      <c r="D985" s="11" t="s">
        <v>26</v>
      </c>
      <c r="E985" s="11" t="s">
        <v>509</v>
      </c>
      <c r="F985" s="11" t="s">
        <v>26</v>
      </c>
      <c r="G985" s="11" t="s">
        <v>26</v>
      </c>
      <c r="H985" s="12" t="s">
        <v>4422</v>
      </c>
      <c r="I985" s="12" t="s">
        <v>27</v>
      </c>
      <c r="J985" s="12" t="s">
        <v>47</v>
      </c>
      <c r="K985" s="12" t="s">
        <v>48</v>
      </c>
      <c r="L985" s="13">
        <v>43.82</v>
      </c>
      <c r="M985" s="13">
        <v>29</v>
      </c>
      <c r="N985" s="13">
        <v>1.5110344827586211</v>
      </c>
      <c r="O985" s="13">
        <v>87</v>
      </c>
      <c r="P985" s="13" t="s">
        <v>30</v>
      </c>
      <c r="Q985" s="13">
        <v>0</v>
      </c>
      <c r="R985" s="15">
        <v>3812.34</v>
      </c>
      <c r="S985" s="15">
        <v>38</v>
      </c>
      <c r="T985" s="15">
        <v>1665.16</v>
      </c>
      <c r="U985" s="15">
        <v>2147.1800000000003</v>
      </c>
      <c r="V985" s="15">
        <v>2147.1800000000003</v>
      </c>
      <c r="W985" s="15">
        <v>0</v>
      </c>
      <c r="X985" s="15">
        <v>1577.52</v>
      </c>
      <c r="Y985" s="16">
        <v>87.6400000000001</v>
      </c>
      <c r="Z985" s="67" t="s">
        <v>141</v>
      </c>
      <c r="AA985" s="12" t="s">
        <v>78</v>
      </c>
    </row>
    <row r="986" spans="1:27" x14ac:dyDescent="0.25">
      <c r="A986" s="10">
        <v>45673</v>
      </c>
      <c r="B986" s="11" t="s">
        <v>2531</v>
      </c>
      <c r="C986" s="11" t="s">
        <v>2532</v>
      </c>
      <c r="D986" s="11" t="s">
        <v>26</v>
      </c>
      <c r="E986" s="11" t="s">
        <v>69</v>
      </c>
      <c r="F986" s="11" t="s">
        <v>26</v>
      </c>
      <c r="G986" s="11">
        <v>4688</v>
      </c>
      <c r="H986" s="12" t="s">
        <v>70</v>
      </c>
      <c r="I986" s="12" t="s">
        <v>27</v>
      </c>
      <c r="J986" s="12" t="s">
        <v>42</v>
      </c>
      <c r="K986" s="12" t="s">
        <v>43</v>
      </c>
      <c r="L986" s="13">
        <v>44</v>
      </c>
      <c r="M986" s="13">
        <v>25</v>
      </c>
      <c r="N986" s="13">
        <v>1.76</v>
      </c>
      <c r="O986" s="13" t="s">
        <v>30</v>
      </c>
      <c r="P986" s="13">
        <v>64</v>
      </c>
      <c r="Q986" s="13">
        <v>0</v>
      </c>
      <c r="R986" s="14">
        <v>1600</v>
      </c>
      <c r="S986" s="15">
        <v>0</v>
      </c>
      <c r="T986" s="15">
        <v>0</v>
      </c>
      <c r="U986" s="15">
        <v>1600</v>
      </c>
      <c r="V986" s="15">
        <v>0</v>
      </c>
      <c r="W986" s="15">
        <v>1600</v>
      </c>
      <c r="X986" s="15">
        <v>0</v>
      </c>
      <c r="Y986" s="16">
        <v>0</v>
      </c>
      <c r="Z986" s="67" t="s">
        <v>26</v>
      </c>
      <c r="AA986" s="12" t="s">
        <v>31</v>
      </c>
    </row>
    <row r="987" spans="1:27" x14ac:dyDescent="0.25">
      <c r="A987" s="10">
        <v>45673</v>
      </c>
      <c r="B987" s="11" t="s">
        <v>2533</v>
      </c>
      <c r="C987" s="11" t="s">
        <v>2534</v>
      </c>
      <c r="D987" s="11" t="s">
        <v>26</v>
      </c>
      <c r="E987" s="11" t="s">
        <v>246</v>
      </c>
      <c r="F987" s="11" t="s">
        <v>26</v>
      </c>
      <c r="G987" s="11">
        <v>2050</v>
      </c>
      <c r="H987" s="12" t="s">
        <v>41</v>
      </c>
      <c r="I987" s="12" t="s">
        <v>27</v>
      </c>
      <c r="J987" s="12" t="s">
        <v>33</v>
      </c>
      <c r="K987" s="12" t="s">
        <v>34</v>
      </c>
      <c r="L987" s="13">
        <v>37.42</v>
      </c>
      <c r="M987" s="13">
        <v>25</v>
      </c>
      <c r="N987" s="13">
        <v>1.4967999999999999</v>
      </c>
      <c r="O987" s="13" t="s">
        <v>30</v>
      </c>
      <c r="P987" s="13">
        <v>60</v>
      </c>
      <c r="Q987" s="13">
        <v>0</v>
      </c>
      <c r="R987" s="14">
        <v>1500</v>
      </c>
      <c r="S987" s="15">
        <v>0</v>
      </c>
      <c r="T987" s="15">
        <v>0</v>
      </c>
      <c r="U987" s="15">
        <v>1500</v>
      </c>
      <c r="V987" s="15">
        <v>0</v>
      </c>
      <c r="W987" s="15">
        <v>1500</v>
      </c>
      <c r="X987" s="15">
        <v>0</v>
      </c>
      <c r="Y987" s="16">
        <v>0</v>
      </c>
      <c r="Z987" s="67" t="s">
        <v>26</v>
      </c>
      <c r="AA987" s="12" t="s">
        <v>31</v>
      </c>
    </row>
    <row r="988" spans="1:27" x14ac:dyDescent="0.25">
      <c r="A988" s="10">
        <v>45673</v>
      </c>
      <c r="B988" s="11" t="s">
        <v>2535</v>
      </c>
      <c r="C988" s="11" t="s">
        <v>2536</v>
      </c>
      <c r="D988" s="11" t="s">
        <v>26</v>
      </c>
      <c r="E988" s="11" t="s">
        <v>434</v>
      </c>
      <c r="F988" s="11" t="s">
        <v>26</v>
      </c>
      <c r="G988" s="11" t="s">
        <v>35</v>
      </c>
      <c r="H988" s="12" t="s">
        <v>36</v>
      </c>
      <c r="I988" s="12" t="s">
        <v>27</v>
      </c>
      <c r="J988" s="12" t="s">
        <v>33</v>
      </c>
      <c r="K988" s="12" t="s">
        <v>34</v>
      </c>
      <c r="L988" s="13">
        <v>10.96</v>
      </c>
      <c r="M988" s="13">
        <v>7</v>
      </c>
      <c r="N988" s="13">
        <v>1.5657142857142861</v>
      </c>
      <c r="O988" s="13">
        <v>50</v>
      </c>
      <c r="P988" s="13" t="s">
        <v>30</v>
      </c>
      <c r="Q988" s="13">
        <v>0</v>
      </c>
      <c r="R988" s="14">
        <v>548</v>
      </c>
      <c r="S988" s="15">
        <v>0</v>
      </c>
      <c r="T988" s="15">
        <v>0</v>
      </c>
      <c r="U988" s="15">
        <v>548</v>
      </c>
      <c r="V988" s="15">
        <v>0</v>
      </c>
      <c r="W988" s="15">
        <v>548</v>
      </c>
      <c r="X988" s="15">
        <v>0</v>
      </c>
      <c r="Y988" s="16">
        <v>0</v>
      </c>
      <c r="Z988" s="67" t="s">
        <v>26</v>
      </c>
      <c r="AA988" s="12" t="s">
        <v>31</v>
      </c>
    </row>
    <row r="989" spans="1:27" x14ac:dyDescent="0.25">
      <c r="A989" s="10">
        <v>45673</v>
      </c>
      <c r="B989" s="11" t="s">
        <v>688</v>
      </c>
      <c r="C989" s="11" t="s">
        <v>2537</v>
      </c>
      <c r="D989" s="11" t="s">
        <v>26</v>
      </c>
      <c r="E989" s="11" t="s">
        <v>75</v>
      </c>
      <c r="F989" s="11" t="s">
        <v>26</v>
      </c>
      <c r="G989" s="11">
        <v>42014</v>
      </c>
      <c r="H989" s="12" t="s">
        <v>565</v>
      </c>
      <c r="I989" s="12" t="s">
        <v>27</v>
      </c>
      <c r="J989" s="12" t="s">
        <v>33</v>
      </c>
      <c r="K989" s="12" t="s">
        <v>34</v>
      </c>
      <c r="L989" s="13">
        <v>38.58</v>
      </c>
      <c r="M989" s="13">
        <v>25</v>
      </c>
      <c r="N989" s="13">
        <v>1.5431999999999999</v>
      </c>
      <c r="O989" s="13"/>
      <c r="P989" s="13">
        <v>60</v>
      </c>
      <c r="Q989" s="13">
        <v>0</v>
      </c>
      <c r="R989" s="15">
        <v>1500</v>
      </c>
      <c r="S989" s="15">
        <v>0</v>
      </c>
      <c r="T989" s="15">
        <v>0</v>
      </c>
      <c r="U989" s="15">
        <v>1500</v>
      </c>
      <c r="V989" s="15">
        <v>0</v>
      </c>
      <c r="W989" s="15">
        <v>1500</v>
      </c>
      <c r="X989" s="15">
        <v>0</v>
      </c>
      <c r="Y989" s="16">
        <v>0</v>
      </c>
      <c r="Z989" s="67" t="s">
        <v>26</v>
      </c>
      <c r="AA989" s="12" t="s">
        <v>31</v>
      </c>
    </row>
    <row r="990" spans="1:27" x14ac:dyDescent="0.25">
      <c r="A990" s="10">
        <v>45673</v>
      </c>
      <c r="B990" s="11" t="s">
        <v>2538</v>
      </c>
      <c r="C990" s="11" t="s">
        <v>2539</v>
      </c>
      <c r="D990" s="11" t="s">
        <v>26</v>
      </c>
      <c r="E990" s="11" t="s">
        <v>230</v>
      </c>
      <c r="F990" s="11" t="s">
        <v>26</v>
      </c>
      <c r="G990" s="11">
        <v>23133</v>
      </c>
      <c r="H990" s="12" t="s">
        <v>565</v>
      </c>
      <c r="I990" s="12" t="s">
        <v>55</v>
      </c>
      <c r="J990" s="12" t="s">
        <v>566</v>
      </c>
      <c r="K990" s="12" t="s">
        <v>550</v>
      </c>
      <c r="L990" s="13">
        <v>40.92</v>
      </c>
      <c r="M990" s="13">
        <v>25</v>
      </c>
      <c r="N990" s="13">
        <v>1.6368</v>
      </c>
      <c r="O990" s="13">
        <v>25</v>
      </c>
      <c r="P990" s="13" t="s">
        <v>30</v>
      </c>
      <c r="Q990" s="13">
        <v>0</v>
      </c>
      <c r="R990" s="15">
        <v>1023</v>
      </c>
      <c r="S990" s="15">
        <v>0</v>
      </c>
      <c r="T990" s="15">
        <v>0</v>
      </c>
      <c r="U990" s="15">
        <v>1023</v>
      </c>
      <c r="V990" s="15">
        <v>0</v>
      </c>
      <c r="W990" s="15">
        <v>1023</v>
      </c>
      <c r="X990" s="15">
        <v>0</v>
      </c>
      <c r="Y990" s="16">
        <v>0</v>
      </c>
      <c r="Z990" s="67" t="s">
        <v>26</v>
      </c>
      <c r="AA990" s="12" t="s">
        <v>31</v>
      </c>
    </row>
    <row r="991" spans="1:27" x14ac:dyDescent="0.25">
      <c r="A991" s="10">
        <v>45673</v>
      </c>
      <c r="B991" s="11" t="s">
        <v>2540</v>
      </c>
      <c r="C991" s="11" t="s">
        <v>2541</v>
      </c>
      <c r="D991" s="11" t="s">
        <v>26</v>
      </c>
      <c r="E991" s="11" t="s">
        <v>53</v>
      </c>
      <c r="F991" s="11" t="s">
        <v>26</v>
      </c>
      <c r="G991" s="11">
        <v>3754</v>
      </c>
      <c r="H991" s="12" t="s">
        <v>41</v>
      </c>
      <c r="I991" s="12" t="s">
        <v>27</v>
      </c>
      <c r="J991" s="12" t="s">
        <v>33</v>
      </c>
      <c r="K991" s="12" t="s">
        <v>34</v>
      </c>
      <c r="L991" s="13">
        <v>38.799999999999997</v>
      </c>
      <c r="M991" s="13">
        <v>25</v>
      </c>
      <c r="N991" s="13">
        <v>1.552</v>
      </c>
      <c r="O991" s="13" t="s">
        <v>30</v>
      </c>
      <c r="P991" s="13">
        <v>60</v>
      </c>
      <c r="Q991" s="13">
        <v>0</v>
      </c>
      <c r="R991" s="14">
        <v>1500</v>
      </c>
      <c r="S991" s="15">
        <v>0</v>
      </c>
      <c r="T991" s="15">
        <v>0</v>
      </c>
      <c r="U991" s="15">
        <v>1500</v>
      </c>
      <c r="V991" s="15">
        <v>0</v>
      </c>
      <c r="W991" s="15">
        <v>1500</v>
      </c>
      <c r="X991" s="15">
        <v>0</v>
      </c>
      <c r="Y991" s="16">
        <v>0</v>
      </c>
      <c r="Z991" s="67" t="s">
        <v>26</v>
      </c>
      <c r="AA991" s="12" t="s">
        <v>31</v>
      </c>
    </row>
    <row r="992" spans="1:27" x14ac:dyDescent="0.25">
      <c r="A992" s="10">
        <v>45673</v>
      </c>
      <c r="B992" s="11" t="s">
        <v>2542</v>
      </c>
      <c r="C992" s="11" t="s">
        <v>2543</v>
      </c>
      <c r="D992" s="11" t="s">
        <v>26</v>
      </c>
      <c r="E992" s="11" t="s">
        <v>658</v>
      </c>
      <c r="F992" s="11" t="s">
        <v>26</v>
      </c>
      <c r="G992" s="11">
        <v>767</v>
      </c>
      <c r="H992" s="12" t="s">
        <v>141</v>
      </c>
      <c r="I992" s="12" t="s">
        <v>27</v>
      </c>
      <c r="J992" s="12" t="s">
        <v>47</v>
      </c>
      <c r="K992" s="12" t="s">
        <v>48</v>
      </c>
      <c r="L992" s="13">
        <v>38.520000000000003</v>
      </c>
      <c r="M992" s="13">
        <v>25</v>
      </c>
      <c r="N992" s="13">
        <v>1.5407999999999999</v>
      </c>
      <c r="O992" s="13">
        <v>40</v>
      </c>
      <c r="P992" s="13" t="s">
        <v>30</v>
      </c>
      <c r="Q992" s="13">
        <v>0</v>
      </c>
      <c r="R992" s="14">
        <v>1540.8000000000002</v>
      </c>
      <c r="S992" s="15">
        <v>0</v>
      </c>
      <c r="T992" s="15">
        <v>0</v>
      </c>
      <c r="U992" s="15">
        <v>1540.8000000000002</v>
      </c>
      <c r="V992" s="15">
        <v>0</v>
      </c>
      <c r="W992" s="15">
        <v>1540.8000000000002</v>
      </c>
      <c r="X992" s="15">
        <v>0</v>
      </c>
      <c r="Y992" s="16">
        <v>0</v>
      </c>
      <c r="Z992" s="67" t="s">
        <v>26</v>
      </c>
      <c r="AA992" s="12" t="s">
        <v>31</v>
      </c>
    </row>
    <row r="993" spans="1:27" x14ac:dyDescent="0.25">
      <c r="A993" s="10">
        <v>45673</v>
      </c>
      <c r="B993" s="11" t="s">
        <v>2544</v>
      </c>
      <c r="C993" s="11" t="s">
        <v>2545</v>
      </c>
      <c r="D993" s="11" t="s">
        <v>26</v>
      </c>
      <c r="E993" s="11" t="s">
        <v>46</v>
      </c>
      <c r="F993" s="11" t="s">
        <v>26</v>
      </c>
      <c r="G993" s="11">
        <v>112126</v>
      </c>
      <c r="H993" s="12" t="s">
        <v>4446</v>
      </c>
      <c r="I993" s="12" t="s">
        <v>27</v>
      </c>
      <c r="J993" s="12" t="s">
        <v>33</v>
      </c>
      <c r="K993" s="12" t="s">
        <v>34</v>
      </c>
      <c r="L993" s="13">
        <v>36.68</v>
      </c>
      <c r="M993" s="13">
        <v>25</v>
      </c>
      <c r="N993" s="13">
        <v>1.4672000000000001</v>
      </c>
      <c r="O993" s="13">
        <v>44</v>
      </c>
      <c r="P993" s="13" t="s">
        <v>30</v>
      </c>
      <c r="Q993" s="13">
        <v>0</v>
      </c>
      <c r="R993" s="15">
        <v>1613.92</v>
      </c>
      <c r="S993" s="15">
        <v>0</v>
      </c>
      <c r="T993" s="15">
        <v>0</v>
      </c>
      <c r="U993" s="15">
        <v>1613.92</v>
      </c>
      <c r="V993" s="15">
        <v>1613.92</v>
      </c>
      <c r="W993" s="15">
        <v>0</v>
      </c>
      <c r="X993" s="15">
        <v>0</v>
      </c>
      <c r="Y993" s="16">
        <v>0</v>
      </c>
      <c r="Z993" s="67" t="s">
        <v>26</v>
      </c>
      <c r="AA993" s="12" t="s">
        <v>31</v>
      </c>
    </row>
    <row r="994" spans="1:27" x14ac:dyDescent="0.25">
      <c r="A994" s="10">
        <v>45673</v>
      </c>
      <c r="B994" s="11" t="s">
        <v>718</v>
      </c>
      <c r="C994" s="11" t="s">
        <v>2546</v>
      </c>
      <c r="D994" s="11" t="s">
        <v>26</v>
      </c>
      <c r="E994" s="11" t="s">
        <v>501</v>
      </c>
      <c r="F994" s="11" t="s">
        <v>26</v>
      </c>
      <c r="G994" s="11">
        <v>768</v>
      </c>
      <c r="H994" s="12" t="s">
        <v>141</v>
      </c>
      <c r="I994" s="12" t="s">
        <v>27</v>
      </c>
      <c r="J994" s="12" t="s">
        <v>42</v>
      </c>
      <c r="K994" s="12" t="s">
        <v>43</v>
      </c>
      <c r="L994" s="13">
        <v>44.34</v>
      </c>
      <c r="M994" s="13">
        <v>25</v>
      </c>
      <c r="N994" s="13">
        <v>1.7736000000000001</v>
      </c>
      <c r="O994" s="13">
        <v>40</v>
      </c>
      <c r="P994" s="13" t="s">
        <v>30</v>
      </c>
      <c r="Q994" s="13">
        <v>0</v>
      </c>
      <c r="R994" s="14">
        <v>1773.6000000000001</v>
      </c>
      <c r="S994" s="15">
        <v>0</v>
      </c>
      <c r="T994" s="15">
        <v>0</v>
      </c>
      <c r="U994" s="15">
        <v>1773.6000000000001</v>
      </c>
      <c r="V994" s="15">
        <v>0</v>
      </c>
      <c r="W994" s="15">
        <v>1773.6000000000001</v>
      </c>
      <c r="X994" s="15">
        <v>0</v>
      </c>
      <c r="Y994" s="16">
        <v>0</v>
      </c>
      <c r="Z994" s="67" t="s">
        <v>26</v>
      </c>
      <c r="AA994" s="12" t="s">
        <v>31</v>
      </c>
    </row>
    <row r="995" spans="1:27" x14ac:dyDescent="0.25">
      <c r="A995" s="10">
        <v>45673</v>
      </c>
      <c r="B995" s="11" t="s">
        <v>416</v>
      </c>
      <c r="C995" s="11" t="s">
        <v>2547</v>
      </c>
      <c r="D995" s="11" t="s">
        <v>26</v>
      </c>
      <c r="E995" s="11" t="s">
        <v>604</v>
      </c>
      <c r="F995" s="11" t="s">
        <v>26</v>
      </c>
      <c r="G995" s="11">
        <v>769</v>
      </c>
      <c r="H995" s="12" t="s">
        <v>141</v>
      </c>
      <c r="I995" s="12" t="s">
        <v>27</v>
      </c>
      <c r="J995" s="12" t="s">
        <v>42</v>
      </c>
      <c r="K995" s="12" t="s">
        <v>43</v>
      </c>
      <c r="L995" s="13">
        <v>41.9</v>
      </c>
      <c r="M995" s="13">
        <v>25</v>
      </c>
      <c r="N995" s="13">
        <v>1.6759999999999999</v>
      </c>
      <c r="O995" s="13">
        <v>40</v>
      </c>
      <c r="P995" s="13" t="s">
        <v>30</v>
      </c>
      <c r="Q995" s="13">
        <v>0</v>
      </c>
      <c r="R995" s="15">
        <v>1676</v>
      </c>
      <c r="S995" s="15">
        <v>0</v>
      </c>
      <c r="T995" s="15">
        <v>0</v>
      </c>
      <c r="U995" s="15">
        <v>1676</v>
      </c>
      <c r="V995" s="15">
        <v>0</v>
      </c>
      <c r="W995" s="15">
        <v>1676</v>
      </c>
      <c r="X995" s="15">
        <v>0</v>
      </c>
      <c r="Y995" s="16">
        <v>0</v>
      </c>
      <c r="Z995" s="67" t="s">
        <v>26</v>
      </c>
      <c r="AA995" s="12" t="s">
        <v>31</v>
      </c>
    </row>
    <row r="996" spans="1:27" x14ac:dyDescent="0.25">
      <c r="A996" s="10">
        <v>45674</v>
      </c>
      <c r="B996" s="11" t="s">
        <v>452</v>
      </c>
      <c r="C996" s="11" t="s">
        <v>2548</v>
      </c>
      <c r="D996" s="11" t="s">
        <v>26</v>
      </c>
      <c r="E996" s="11" t="s">
        <v>100</v>
      </c>
      <c r="F996" s="11" t="s">
        <v>26</v>
      </c>
      <c r="G996" s="11">
        <v>21719</v>
      </c>
      <c r="H996" s="12" t="s">
        <v>4448</v>
      </c>
      <c r="I996" s="12" t="s">
        <v>27</v>
      </c>
      <c r="J996" s="12" t="s">
        <v>47</v>
      </c>
      <c r="K996" s="12" t="s">
        <v>48</v>
      </c>
      <c r="L996" s="13">
        <v>37.74</v>
      </c>
      <c r="M996" s="13">
        <v>25</v>
      </c>
      <c r="N996" s="13">
        <v>1.5096000000000001</v>
      </c>
      <c r="O996" s="13">
        <v>46.66</v>
      </c>
      <c r="P996" s="13" t="s">
        <v>30</v>
      </c>
      <c r="Q996" s="13">
        <v>0</v>
      </c>
      <c r="R996" s="15">
        <v>1760.9484</v>
      </c>
      <c r="S996" s="15">
        <v>0</v>
      </c>
      <c r="T996" s="15">
        <v>0</v>
      </c>
      <c r="U996" s="15">
        <v>1760.9484</v>
      </c>
      <c r="V996" s="15">
        <v>1320.7112999999999</v>
      </c>
      <c r="W996" s="15">
        <v>440.23710000000005</v>
      </c>
      <c r="X996" s="15">
        <v>0</v>
      </c>
      <c r="Y996" s="16">
        <v>0</v>
      </c>
      <c r="Z996" s="67" t="s">
        <v>26</v>
      </c>
      <c r="AA996" s="12" t="s">
        <v>31</v>
      </c>
    </row>
    <row r="997" spans="1:27" x14ac:dyDescent="0.25">
      <c r="A997" s="10">
        <v>45674</v>
      </c>
      <c r="B997" s="11" t="s">
        <v>2549</v>
      </c>
      <c r="C997" s="11" t="s">
        <v>2550</v>
      </c>
      <c r="D997" s="11" t="s">
        <v>26</v>
      </c>
      <c r="E997" s="11" t="s">
        <v>81</v>
      </c>
      <c r="F997" s="11" t="s">
        <v>26</v>
      </c>
      <c r="G997" s="11" t="s">
        <v>26</v>
      </c>
      <c r="H997" s="12" t="s">
        <v>4422</v>
      </c>
      <c r="I997" s="12" t="s">
        <v>27</v>
      </c>
      <c r="J997" s="12" t="s">
        <v>42</v>
      </c>
      <c r="K997" s="12" t="s">
        <v>43</v>
      </c>
      <c r="L997" s="13">
        <v>42.84</v>
      </c>
      <c r="M997" s="13">
        <v>25</v>
      </c>
      <c r="N997" s="13">
        <v>1.7136</v>
      </c>
      <c r="O997" s="13">
        <v>83</v>
      </c>
      <c r="P997" s="13" t="s">
        <v>30</v>
      </c>
      <c r="Q997" s="13">
        <v>0</v>
      </c>
      <c r="R997" s="15">
        <v>3555.7200000000003</v>
      </c>
      <c r="S997" s="15">
        <v>38</v>
      </c>
      <c r="T997" s="15">
        <v>1627.92</v>
      </c>
      <c r="U997" s="15">
        <v>1927.8000000000002</v>
      </c>
      <c r="V997" s="15">
        <v>1927.8000000000002</v>
      </c>
      <c r="W997" s="15">
        <v>0</v>
      </c>
      <c r="X997" s="15">
        <v>1542.2400000000002</v>
      </c>
      <c r="Y997" s="16">
        <v>85.679999999999836</v>
      </c>
      <c r="Z997" s="67" t="s">
        <v>141</v>
      </c>
      <c r="AA997" s="12" t="s">
        <v>78</v>
      </c>
    </row>
    <row r="998" spans="1:27" x14ac:dyDescent="0.25">
      <c r="A998" s="10">
        <v>45674</v>
      </c>
      <c r="B998" s="11" t="s">
        <v>1051</v>
      </c>
      <c r="C998" s="11" t="s">
        <v>2551</v>
      </c>
      <c r="D998" s="11" t="s">
        <v>26</v>
      </c>
      <c r="E998" s="11" t="s">
        <v>184</v>
      </c>
      <c r="F998" s="11" t="s">
        <v>26</v>
      </c>
      <c r="G998" s="11" t="s">
        <v>26</v>
      </c>
      <c r="H998" s="12" t="s">
        <v>4422</v>
      </c>
      <c r="I998" s="12" t="s">
        <v>27</v>
      </c>
      <c r="J998" s="12" t="s">
        <v>47</v>
      </c>
      <c r="K998" s="12" t="s">
        <v>48</v>
      </c>
      <c r="L998" s="13">
        <v>39.86</v>
      </c>
      <c r="M998" s="13">
        <v>28</v>
      </c>
      <c r="N998" s="13">
        <v>1.423571428571428</v>
      </c>
      <c r="O998" s="13">
        <v>87</v>
      </c>
      <c r="P998" s="13" t="s">
        <v>30</v>
      </c>
      <c r="Q998" s="13">
        <v>0</v>
      </c>
      <c r="R998" s="14">
        <v>3467.82</v>
      </c>
      <c r="S998" s="15">
        <v>38</v>
      </c>
      <c r="T998" s="15">
        <v>1514.68</v>
      </c>
      <c r="U998" s="15">
        <v>1953.14</v>
      </c>
      <c r="V998" s="15">
        <v>1953.14</v>
      </c>
      <c r="W998" s="15">
        <v>0</v>
      </c>
      <c r="X998" s="15">
        <v>1434.96</v>
      </c>
      <c r="Y998" s="16">
        <v>79.720000000000027</v>
      </c>
      <c r="Z998" s="67" t="s">
        <v>141</v>
      </c>
      <c r="AA998" s="12" t="s">
        <v>78</v>
      </c>
    </row>
    <row r="999" spans="1:27" x14ac:dyDescent="0.25">
      <c r="A999" s="10">
        <v>45674</v>
      </c>
      <c r="B999" s="11" t="s">
        <v>2552</v>
      </c>
      <c r="C999" s="11" t="s">
        <v>2553</v>
      </c>
      <c r="D999" s="11" t="s">
        <v>26</v>
      </c>
      <c r="E999" s="11" t="s">
        <v>99</v>
      </c>
      <c r="F999" s="11" t="s">
        <v>26</v>
      </c>
      <c r="G999" s="11">
        <v>57987</v>
      </c>
      <c r="H999" s="12" t="s">
        <v>4423</v>
      </c>
      <c r="I999" s="12" t="s">
        <v>27</v>
      </c>
      <c r="J999" s="12" t="s">
        <v>33</v>
      </c>
      <c r="K999" s="12" t="s">
        <v>34</v>
      </c>
      <c r="L999" s="13">
        <v>37.9</v>
      </c>
      <c r="M999" s="13">
        <v>25</v>
      </c>
      <c r="N999" s="13">
        <v>1.516</v>
      </c>
      <c r="O999" s="13">
        <v>45</v>
      </c>
      <c r="P999" s="13" t="s">
        <v>30</v>
      </c>
      <c r="Q999" s="13">
        <v>0</v>
      </c>
      <c r="R999" s="14">
        <v>1705.5</v>
      </c>
      <c r="S999" s="15">
        <v>0</v>
      </c>
      <c r="T999" s="15">
        <v>0</v>
      </c>
      <c r="U999" s="15">
        <v>1705.5</v>
      </c>
      <c r="V999" s="15">
        <v>1705.5</v>
      </c>
      <c r="W999" s="15">
        <v>0</v>
      </c>
      <c r="X999" s="15">
        <v>0</v>
      </c>
      <c r="Y999" s="16">
        <v>0</v>
      </c>
      <c r="Z999" s="67" t="s">
        <v>26</v>
      </c>
      <c r="AA999" s="12" t="s">
        <v>31</v>
      </c>
    </row>
    <row r="1000" spans="1:27" x14ac:dyDescent="0.25">
      <c r="A1000" s="10">
        <v>45674</v>
      </c>
      <c r="B1000" s="11" t="s">
        <v>743</v>
      </c>
      <c r="C1000" s="11" t="s">
        <v>2554</v>
      </c>
      <c r="D1000" s="11" t="s">
        <v>26</v>
      </c>
      <c r="E1000" s="11" t="s">
        <v>553</v>
      </c>
      <c r="F1000" s="11" t="s">
        <v>26</v>
      </c>
      <c r="G1000" s="11">
        <v>44145</v>
      </c>
      <c r="H1000" s="12" t="s">
        <v>4423</v>
      </c>
      <c r="I1000" s="12" t="s">
        <v>27</v>
      </c>
      <c r="J1000" s="12" t="s">
        <v>33</v>
      </c>
      <c r="K1000" s="12" t="s">
        <v>34</v>
      </c>
      <c r="L1000" s="13">
        <v>37.22</v>
      </c>
      <c r="M1000" s="13">
        <v>25</v>
      </c>
      <c r="N1000" s="13">
        <v>1.4887999999999999</v>
      </c>
      <c r="O1000" s="13">
        <v>45</v>
      </c>
      <c r="P1000" s="13" t="s">
        <v>30</v>
      </c>
      <c r="Q1000" s="13">
        <v>0</v>
      </c>
      <c r="R1000" s="14">
        <v>1674.8999999999999</v>
      </c>
      <c r="S1000" s="15">
        <v>0</v>
      </c>
      <c r="T1000" s="15">
        <v>0</v>
      </c>
      <c r="U1000" s="15">
        <v>1674.8999999999999</v>
      </c>
      <c r="V1000" s="15">
        <v>1674.8999999999999</v>
      </c>
      <c r="W1000" s="15">
        <v>0</v>
      </c>
      <c r="X1000" s="16">
        <v>0</v>
      </c>
      <c r="Y1000" s="16">
        <v>0</v>
      </c>
      <c r="Z1000" s="67" t="s">
        <v>26</v>
      </c>
      <c r="AA1000" s="12" t="s">
        <v>31</v>
      </c>
    </row>
    <row r="1001" spans="1:27" x14ac:dyDescent="0.25">
      <c r="A1001" s="10">
        <v>45674</v>
      </c>
      <c r="B1001" s="11" t="s">
        <v>682</v>
      </c>
      <c r="C1001" s="11" t="s">
        <v>2555</v>
      </c>
      <c r="D1001" s="11" t="s">
        <v>26</v>
      </c>
      <c r="E1001" s="11" t="s">
        <v>605</v>
      </c>
      <c r="F1001" s="11" t="s">
        <v>26</v>
      </c>
      <c r="G1001" s="11" t="s">
        <v>26</v>
      </c>
      <c r="H1001" s="12" t="s">
        <v>4422</v>
      </c>
      <c r="I1001" s="12" t="s">
        <v>27</v>
      </c>
      <c r="J1001" s="12" t="s">
        <v>42</v>
      </c>
      <c r="K1001" s="12" t="s">
        <v>43</v>
      </c>
      <c r="L1001" s="13">
        <v>44.84</v>
      </c>
      <c r="M1001" s="13">
        <v>25</v>
      </c>
      <c r="N1001" s="13">
        <v>1.7936000000000001</v>
      </c>
      <c r="O1001" s="13">
        <v>83</v>
      </c>
      <c r="P1001" s="13" t="s">
        <v>30</v>
      </c>
      <c r="Q1001" s="13">
        <v>0</v>
      </c>
      <c r="R1001" s="15">
        <v>3721.7200000000003</v>
      </c>
      <c r="S1001" s="15">
        <v>38</v>
      </c>
      <c r="T1001" s="15">
        <v>1703.92</v>
      </c>
      <c r="U1001" s="15">
        <v>2017.8000000000002</v>
      </c>
      <c r="V1001" s="15">
        <v>2017.8000000000002</v>
      </c>
      <c r="W1001" s="15">
        <v>0</v>
      </c>
      <c r="X1001" s="15">
        <v>1614.2400000000002</v>
      </c>
      <c r="Y1001" s="16">
        <v>89.679999999999836</v>
      </c>
      <c r="Z1001" s="67" t="s">
        <v>141</v>
      </c>
      <c r="AA1001" s="12" t="s">
        <v>78</v>
      </c>
    </row>
    <row r="1002" spans="1:27" x14ac:dyDescent="0.25">
      <c r="A1002" s="10">
        <v>45674</v>
      </c>
      <c r="B1002" s="11" t="s">
        <v>2556</v>
      </c>
      <c r="C1002" s="11" t="s">
        <v>2557</v>
      </c>
      <c r="D1002" s="11" t="s">
        <v>26</v>
      </c>
      <c r="E1002" s="11" t="s">
        <v>552</v>
      </c>
      <c r="F1002" s="11" t="s">
        <v>26</v>
      </c>
      <c r="G1002" s="11">
        <v>69118</v>
      </c>
      <c r="H1002" s="12" t="s">
        <v>4423</v>
      </c>
      <c r="I1002" s="12" t="s">
        <v>27</v>
      </c>
      <c r="J1002" s="12" t="s">
        <v>33</v>
      </c>
      <c r="K1002" s="12" t="s">
        <v>34</v>
      </c>
      <c r="L1002" s="13">
        <v>33.340000000000003</v>
      </c>
      <c r="M1002" s="13">
        <v>25</v>
      </c>
      <c r="N1002" s="13">
        <v>1.3335999999999999</v>
      </c>
      <c r="O1002" s="13">
        <v>45</v>
      </c>
      <c r="P1002" s="13" t="s">
        <v>30</v>
      </c>
      <c r="Q1002" s="13">
        <v>0</v>
      </c>
      <c r="R1002" s="14">
        <v>1500.3000000000002</v>
      </c>
      <c r="S1002" s="15">
        <v>0</v>
      </c>
      <c r="T1002" s="15">
        <v>0</v>
      </c>
      <c r="U1002" s="15">
        <v>1500.3000000000002</v>
      </c>
      <c r="V1002" s="15">
        <v>1500.3000000000002</v>
      </c>
      <c r="W1002" s="15">
        <v>0</v>
      </c>
      <c r="X1002" s="15">
        <v>0</v>
      </c>
      <c r="Y1002" s="16">
        <v>0</v>
      </c>
      <c r="Z1002" s="67" t="s">
        <v>26</v>
      </c>
      <c r="AA1002" s="12" t="s">
        <v>31</v>
      </c>
    </row>
    <row r="1003" spans="1:27" x14ac:dyDescent="0.25">
      <c r="A1003" s="10">
        <v>45674</v>
      </c>
      <c r="B1003" s="11" t="s">
        <v>200</v>
      </c>
      <c r="C1003" s="11" t="s">
        <v>2558</v>
      </c>
      <c r="D1003" s="11" t="s">
        <v>26</v>
      </c>
      <c r="E1003" s="11" t="s">
        <v>506</v>
      </c>
      <c r="F1003" s="11" t="s">
        <v>26</v>
      </c>
      <c r="G1003" s="11" t="s">
        <v>35</v>
      </c>
      <c r="H1003" s="12" t="s">
        <v>36</v>
      </c>
      <c r="I1003" s="12" t="s">
        <v>55</v>
      </c>
      <c r="J1003" s="12" t="s">
        <v>55</v>
      </c>
      <c r="K1003" s="12" t="s">
        <v>56</v>
      </c>
      <c r="L1003" s="13">
        <v>28.1</v>
      </c>
      <c r="M1003" s="13">
        <v>20</v>
      </c>
      <c r="N1003" s="13">
        <v>1.405</v>
      </c>
      <c r="O1003" s="13">
        <v>20</v>
      </c>
      <c r="P1003" s="13" t="s">
        <v>30</v>
      </c>
      <c r="Q1003" s="13">
        <v>0</v>
      </c>
      <c r="R1003" s="15">
        <v>562</v>
      </c>
      <c r="S1003" s="15">
        <v>0</v>
      </c>
      <c r="T1003" s="15">
        <v>0</v>
      </c>
      <c r="U1003" s="15">
        <v>562</v>
      </c>
      <c r="V1003" s="15">
        <v>0</v>
      </c>
      <c r="W1003" s="15">
        <v>562</v>
      </c>
      <c r="X1003" s="15">
        <v>0</v>
      </c>
      <c r="Y1003" s="16">
        <v>0</v>
      </c>
      <c r="Z1003" s="67" t="s">
        <v>26</v>
      </c>
      <c r="AA1003" s="12" t="s">
        <v>31</v>
      </c>
    </row>
    <row r="1004" spans="1:27" x14ac:dyDescent="0.25">
      <c r="A1004" s="10">
        <v>45674</v>
      </c>
      <c r="B1004" s="11" t="s">
        <v>2559</v>
      </c>
      <c r="C1004" s="11" t="s">
        <v>2560</v>
      </c>
      <c r="D1004" s="11" t="s">
        <v>26</v>
      </c>
      <c r="E1004" s="11" t="s">
        <v>2109</v>
      </c>
      <c r="F1004" s="11" t="s">
        <v>26</v>
      </c>
      <c r="G1004" s="11" t="s">
        <v>26</v>
      </c>
      <c r="H1004" s="12" t="s">
        <v>4422</v>
      </c>
      <c r="I1004" s="12" t="s">
        <v>27</v>
      </c>
      <c r="J1004" s="12" t="s">
        <v>33</v>
      </c>
      <c r="K1004" s="12" t="s">
        <v>34</v>
      </c>
      <c r="L1004" s="13">
        <v>43.16</v>
      </c>
      <c r="M1004" s="13">
        <v>30</v>
      </c>
      <c r="N1004" s="13">
        <v>1.438666666666667</v>
      </c>
      <c r="O1004" s="13">
        <v>85</v>
      </c>
      <c r="P1004" s="13" t="s">
        <v>30</v>
      </c>
      <c r="Q1004" s="13">
        <v>0</v>
      </c>
      <c r="R1004" s="14">
        <v>3668.6</v>
      </c>
      <c r="S1004" s="15">
        <v>38</v>
      </c>
      <c r="T1004" s="15">
        <v>1640.08</v>
      </c>
      <c r="U1004" s="15">
        <v>2028.52</v>
      </c>
      <c r="V1004" s="15">
        <v>2028.52</v>
      </c>
      <c r="W1004" s="15">
        <v>0</v>
      </c>
      <c r="X1004" s="15">
        <v>1553.7599999999998</v>
      </c>
      <c r="Y1004" s="16">
        <v>86.320000000000164</v>
      </c>
      <c r="Z1004" s="67" t="s">
        <v>140</v>
      </c>
      <c r="AA1004" s="12" t="s">
        <v>78</v>
      </c>
    </row>
    <row r="1005" spans="1:27" x14ac:dyDescent="0.25">
      <c r="A1005" s="10">
        <v>45674</v>
      </c>
      <c r="B1005" s="11" t="s">
        <v>1856</v>
      </c>
      <c r="C1005" s="11" t="s">
        <v>2561</v>
      </c>
      <c r="D1005" s="11" t="s">
        <v>26</v>
      </c>
      <c r="E1005" s="11" t="s">
        <v>224</v>
      </c>
      <c r="F1005" s="11" t="s">
        <v>26</v>
      </c>
      <c r="G1005" s="11">
        <v>55324</v>
      </c>
      <c r="H1005" s="12" t="s">
        <v>4423</v>
      </c>
      <c r="I1005" s="12" t="s">
        <v>27</v>
      </c>
      <c r="J1005" s="12" t="s">
        <v>33</v>
      </c>
      <c r="K1005" s="12" t="s">
        <v>34</v>
      </c>
      <c r="L1005" s="13">
        <v>35.020000000000003</v>
      </c>
      <c r="M1005" s="13">
        <v>25</v>
      </c>
      <c r="N1005" s="13">
        <v>1.4008</v>
      </c>
      <c r="O1005" s="13">
        <v>45</v>
      </c>
      <c r="P1005" s="13" t="s">
        <v>30</v>
      </c>
      <c r="Q1005" s="13">
        <v>0</v>
      </c>
      <c r="R1005" s="14">
        <v>1575.9</v>
      </c>
      <c r="S1005" s="15">
        <v>0</v>
      </c>
      <c r="T1005" s="15">
        <v>0</v>
      </c>
      <c r="U1005" s="15">
        <v>1575.9</v>
      </c>
      <c r="V1005" s="15">
        <v>1575.9</v>
      </c>
      <c r="W1005" s="15">
        <v>0</v>
      </c>
      <c r="X1005" s="15">
        <v>0</v>
      </c>
      <c r="Y1005" s="16">
        <v>0</v>
      </c>
      <c r="Z1005" s="67" t="s">
        <v>26</v>
      </c>
      <c r="AA1005" s="12" t="s">
        <v>31</v>
      </c>
    </row>
    <row r="1006" spans="1:27" x14ac:dyDescent="0.25">
      <c r="A1006" s="10">
        <v>45674</v>
      </c>
      <c r="B1006" s="11" t="s">
        <v>463</v>
      </c>
      <c r="C1006" s="11" t="s">
        <v>2562</v>
      </c>
      <c r="D1006" s="11" t="s">
        <v>26</v>
      </c>
      <c r="E1006" s="11" t="s">
        <v>57</v>
      </c>
      <c r="F1006" s="11" t="s">
        <v>26</v>
      </c>
      <c r="G1006" s="11">
        <v>2736</v>
      </c>
      <c r="H1006" s="12" t="s">
        <v>41</v>
      </c>
      <c r="I1006" s="12" t="s">
        <v>55</v>
      </c>
      <c r="J1006" s="12" t="s">
        <v>55</v>
      </c>
      <c r="K1006" s="12" t="s">
        <v>56</v>
      </c>
      <c r="L1006" s="13">
        <v>38.380000000000003</v>
      </c>
      <c r="M1006" s="13">
        <v>25</v>
      </c>
      <c r="N1006" s="13">
        <v>1.5351999999999999</v>
      </c>
      <c r="O1006" s="13" t="s">
        <v>30</v>
      </c>
      <c r="P1006" s="13">
        <v>24</v>
      </c>
      <c r="Q1006" s="13">
        <v>0</v>
      </c>
      <c r="R1006" s="14">
        <v>600</v>
      </c>
      <c r="S1006" s="15">
        <v>0</v>
      </c>
      <c r="T1006" s="15">
        <v>0</v>
      </c>
      <c r="U1006" s="15">
        <v>600</v>
      </c>
      <c r="V1006" s="15">
        <v>0</v>
      </c>
      <c r="W1006" s="15">
        <v>600</v>
      </c>
      <c r="X1006" s="15">
        <v>0</v>
      </c>
      <c r="Y1006" s="16">
        <v>0</v>
      </c>
      <c r="Z1006" s="67" t="s">
        <v>26</v>
      </c>
      <c r="AA1006" s="12" t="s">
        <v>31</v>
      </c>
    </row>
    <row r="1007" spans="1:27" x14ac:dyDescent="0.25">
      <c r="A1007" s="10">
        <v>45674</v>
      </c>
      <c r="B1007" s="11" t="s">
        <v>705</v>
      </c>
      <c r="C1007" s="11" t="s">
        <v>2563</v>
      </c>
      <c r="D1007" s="11" t="s">
        <v>26</v>
      </c>
      <c r="E1007" s="11" t="s">
        <v>483</v>
      </c>
      <c r="F1007" s="11" t="s">
        <v>26</v>
      </c>
      <c r="G1007" s="11">
        <v>2143</v>
      </c>
      <c r="H1007" s="12" t="s">
        <v>41</v>
      </c>
      <c r="I1007" s="12" t="s">
        <v>55</v>
      </c>
      <c r="J1007" s="12" t="s">
        <v>55</v>
      </c>
      <c r="K1007" s="12" t="s">
        <v>56</v>
      </c>
      <c r="L1007" s="13">
        <v>38.86</v>
      </c>
      <c r="M1007" s="13">
        <v>25</v>
      </c>
      <c r="N1007" s="13">
        <v>1.5544</v>
      </c>
      <c r="O1007" s="13" t="s">
        <v>30</v>
      </c>
      <c r="P1007" s="13">
        <v>24</v>
      </c>
      <c r="Q1007" s="13">
        <v>0</v>
      </c>
      <c r="R1007" s="14">
        <v>600</v>
      </c>
      <c r="S1007" s="15">
        <v>0</v>
      </c>
      <c r="T1007" s="15">
        <v>0</v>
      </c>
      <c r="U1007" s="15">
        <v>600</v>
      </c>
      <c r="V1007" s="15">
        <v>0</v>
      </c>
      <c r="W1007" s="15">
        <v>600</v>
      </c>
      <c r="X1007" s="15">
        <v>0</v>
      </c>
      <c r="Y1007" s="16">
        <v>0</v>
      </c>
      <c r="Z1007" s="67" t="s">
        <v>26</v>
      </c>
      <c r="AA1007" s="12" t="s">
        <v>31</v>
      </c>
    </row>
    <row r="1008" spans="1:27" x14ac:dyDescent="0.25">
      <c r="A1008" s="10">
        <v>45674</v>
      </c>
      <c r="B1008" s="11" t="s">
        <v>2564</v>
      </c>
      <c r="C1008" s="11" t="s">
        <v>2565</v>
      </c>
      <c r="D1008" s="11" t="s">
        <v>26</v>
      </c>
      <c r="E1008" s="11" t="s">
        <v>44</v>
      </c>
      <c r="F1008" s="11" t="s">
        <v>26</v>
      </c>
      <c r="G1008" s="11">
        <v>1559</v>
      </c>
      <c r="H1008" s="12" t="s">
        <v>45</v>
      </c>
      <c r="I1008" s="12" t="s">
        <v>27</v>
      </c>
      <c r="J1008" s="12" t="s">
        <v>33</v>
      </c>
      <c r="K1008" s="12" t="s">
        <v>34</v>
      </c>
      <c r="L1008" s="13">
        <v>38.979999999999997</v>
      </c>
      <c r="M1008" s="13">
        <v>25</v>
      </c>
      <c r="N1008" s="13">
        <v>1.5591999999999999</v>
      </c>
      <c r="O1008" s="13" t="s">
        <v>30</v>
      </c>
      <c r="P1008" s="13">
        <v>58</v>
      </c>
      <c r="Q1008" s="13">
        <v>0</v>
      </c>
      <c r="R1008" s="14">
        <v>1450</v>
      </c>
      <c r="S1008" s="15">
        <v>0</v>
      </c>
      <c r="T1008" s="15">
        <v>0</v>
      </c>
      <c r="U1008" s="15">
        <v>1450</v>
      </c>
      <c r="V1008" s="15">
        <v>0</v>
      </c>
      <c r="W1008" s="15">
        <v>1450</v>
      </c>
      <c r="X1008" s="15">
        <v>0</v>
      </c>
      <c r="Y1008" s="16">
        <v>0</v>
      </c>
      <c r="Z1008" s="67" t="s">
        <v>26</v>
      </c>
      <c r="AA1008" s="12" t="s">
        <v>31</v>
      </c>
    </row>
    <row r="1009" spans="1:27" x14ac:dyDescent="0.25">
      <c r="A1009" s="10">
        <v>45674</v>
      </c>
      <c r="B1009" s="11" t="s">
        <v>134</v>
      </c>
      <c r="C1009" s="11" t="s">
        <v>2566</v>
      </c>
      <c r="D1009" s="11" t="s">
        <v>26</v>
      </c>
      <c r="E1009" s="11" t="s">
        <v>49</v>
      </c>
      <c r="F1009" s="11" t="s">
        <v>26</v>
      </c>
      <c r="G1009" s="11">
        <v>1552</v>
      </c>
      <c r="H1009" s="12" t="s">
        <v>45</v>
      </c>
      <c r="I1009" s="12" t="s">
        <v>27</v>
      </c>
      <c r="J1009" s="12" t="s">
        <v>28</v>
      </c>
      <c r="K1009" s="12" t="s">
        <v>29</v>
      </c>
      <c r="L1009" s="13">
        <v>38.76</v>
      </c>
      <c r="M1009" s="13">
        <v>25</v>
      </c>
      <c r="N1009" s="13">
        <v>1.5504</v>
      </c>
      <c r="O1009" s="13" t="s">
        <v>30</v>
      </c>
      <c r="P1009" s="13">
        <v>40</v>
      </c>
      <c r="Q1009" s="13">
        <v>0</v>
      </c>
      <c r="R1009" s="15">
        <v>1000</v>
      </c>
      <c r="S1009" s="15">
        <v>0</v>
      </c>
      <c r="T1009" s="15">
        <v>0</v>
      </c>
      <c r="U1009" s="15">
        <v>1000</v>
      </c>
      <c r="V1009" s="15">
        <v>0</v>
      </c>
      <c r="W1009" s="15">
        <v>1000</v>
      </c>
      <c r="X1009" s="15">
        <v>0</v>
      </c>
      <c r="Y1009" s="16">
        <v>0</v>
      </c>
      <c r="Z1009" s="67" t="s">
        <v>26</v>
      </c>
      <c r="AA1009" s="12" t="s">
        <v>31</v>
      </c>
    </row>
    <row r="1010" spans="1:27" x14ac:dyDescent="0.25">
      <c r="A1010" s="10">
        <v>45674</v>
      </c>
      <c r="B1010" s="11" t="s">
        <v>717</v>
      </c>
      <c r="C1010" s="11" t="s">
        <v>2567</v>
      </c>
      <c r="D1010" s="11" t="s">
        <v>26</v>
      </c>
      <c r="E1010" s="11" t="s">
        <v>561</v>
      </c>
      <c r="F1010" s="11" t="s">
        <v>26</v>
      </c>
      <c r="G1010" s="11">
        <v>112131</v>
      </c>
      <c r="H1010" s="12" t="s">
        <v>4446</v>
      </c>
      <c r="I1010" s="12" t="s">
        <v>27</v>
      </c>
      <c r="J1010" s="12" t="s">
        <v>42</v>
      </c>
      <c r="K1010" s="12" t="s">
        <v>43</v>
      </c>
      <c r="L1010" s="13">
        <v>40.44</v>
      </c>
      <c r="M1010" s="13">
        <v>25</v>
      </c>
      <c r="N1010" s="13">
        <v>1.6175999999999999</v>
      </c>
      <c r="O1010" s="13">
        <v>42</v>
      </c>
      <c r="P1010" s="13" t="s">
        <v>30</v>
      </c>
      <c r="Q1010" s="13">
        <v>0</v>
      </c>
      <c r="R1010" s="15">
        <v>1698.48</v>
      </c>
      <c r="S1010" s="15">
        <v>0</v>
      </c>
      <c r="T1010" s="15">
        <v>0</v>
      </c>
      <c r="U1010" s="15">
        <v>1698.48</v>
      </c>
      <c r="V1010" s="15">
        <v>1698.48</v>
      </c>
      <c r="W1010" s="15">
        <v>0</v>
      </c>
      <c r="X1010" s="15">
        <v>0</v>
      </c>
      <c r="Y1010" s="16">
        <v>0</v>
      </c>
      <c r="Z1010" s="67" t="s">
        <v>26</v>
      </c>
      <c r="AA1010" s="12" t="s">
        <v>31</v>
      </c>
    </row>
    <row r="1011" spans="1:27" x14ac:dyDescent="0.25">
      <c r="A1011" s="10">
        <v>45674</v>
      </c>
      <c r="B1011" s="11" t="s">
        <v>2568</v>
      </c>
      <c r="C1011" s="11" t="s">
        <v>2569</v>
      </c>
      <c r="D1011" s="11" t="s">
        <v>26</v>
      </c>
      <c r="E1011" s="11" t="s">
        <v>604</v>
      </c>
      <c r="F1011" s="11" t="s">
        <v>26</v>
      </c>
      <c r="G1011" s="11" t="s">
        <v>26</v>
      </c>
      <c r="H1011" s="12" t="s">
        <v>4424</v>
      </c>
      <c r="I1011" s="12" t="s">
        <v>27</v>
      </c>
      <c r="J1011" s="12" t="s">
        <v>47</v>
      </c>
      <c r="K1011" s="12" t="s">
        <v>48</v>
      </c>
      <c r="L1011" s="13">
        <v>40.56</v>
      </c>
      <c r="M1011" s="13">
        <v>28</v>
      </c>
      <c r="N1011" s="13">
        <v>1.4485714285714291</v>
      </c>
      <c r="O1011" s="13">
        <v>90</v>
      </c>
      <c r="P1011" s="13" t="s">
        <v>30</v>
      </c>
      <c r="Q1011" s="13">
        <v>0</v>
      </c>
      <c r="R1011" s="14">
        <v>3650.4</v>
      </c>
      <c r="S1011" s="15">
        <v>38</v>
      </c>
      <c r="T1011" s="15">
        <v>1541.2800000000002</v>
      </c>
      <c r="U1011" s="15">
        <v>2109.12</v>
      </c>
      <c r="V1011" s="15">
        <v>2109.12</v>
      </c>
      <c r="W1011" s="15">
        <v>0</v>
      </c>
      <c r="X1011" s="15">
        <v>1500.72</v>
      </c>
      <c r="Y1011" s="16">
        <v>40.560000000000173</v>
      </c>
      <c r="Z1011" s="67" t="s">
        <v>141</v>
      </c>
      <c r="AA1011" s="12" t="s">
        <v>657</v>
      </c>
    </row>
    <row r="1012" spans="1:27" x14ac:dyDescent="0.25">
      <c r="A1012" s="10">
        <v>45674</v>
      </c>
      <c r="B1012" s="11" t="s">
        <v>2570</v>
      </c>
      <c r="C1012" s="11" t="s">
        <v>2571</v>
      </c>
      <c r="D1012" s="11" t="s">
        <v>26</v>
      </c>
      <c r="E1012" s="11" t="s">
        <v>589</v>
      </c>
      <c r="F1012" s="11" t="s">
        <v>26</v>
      </c>
      <c r="G1012" s="11">
        <v>4582</v>
      </c>
      <c r="H1012" s="12" t="s">
        <v>4423</v>
      </c>
      <c r="I1012" s="12" t="s">
        <v>27</v>
      </c>
      <c r="J1012" s="12" t="s">
        <v>42</v>
      </c>
      <c r="K1012" s="12" t="s">
        <v>43</v>
      </c>
      <c r="L1012" s="13">
        <v>34.08</v>
      </c>
      <c r="M1012" s="13">
        <v>25</v>
      </c>
      <c r="N1012" s="13">
        <v>1.3632</v>
      </c>
      <c r="O1012" s="13">
        <v>42</v>
      </c>
      <c r="P1012" s="13" t="s">
        <v>30</v>
      </c>
      <c r="Q1012" s="13">
        <v>0</v>
      </c>
      <c r="R1012" s="15">
        <v>1431.36</v>
      </c>
      <c r="S1012" s="15">
        <v>0</v>
      </c>
      <c r="T1012" s="15">
        <v>0</v>
      </c>
      <c r="U1012" s="15">
        <v>1431.36</v>
      </c>
      <c r="V1012" s="15">
        <v>1431.36</v>
      </c>
      <c r="W1012" s="15">
        <v>0</v>
      </c>
      <c r="X1012" s="15">
        <v>0</v>
      </c>
      <c r="Y1012" s="16">
        <v>0</v>
      </c>
      <c r="Z1012" s="67" t="s">
        <v>26</v>
      </c>
      <c r="AA1012" s="12" t="s">
        <v>31</v>
      </c>
    </row>
    <row r="1013" spans="1:27" x14ac:dyDescent="0.25">
      <c r="A1013" s="10">
        <v>45674</v>
      </c>
      <c r="B1013" s="11" t="s">
        <v>405</v>
      </c>
      <c r="C1013" s="11" t="s">
        <v>2572</v>
      </c>
      <c r="D1013" s="11" t="s">
        <v>26</v>
      </c>
      <c r="E1013" s="11" t="s">
        <v>240</v>
      </c>
      <c r="F1013" s="11" t="s">
        <v>26</v>
      </c>
      <c r="G1013" s="11">
        <v>2923</v>
      </c>
      <c r="H1013" s="12" t="s">
        <v>41</v>
      </c>
      <c r="I1013" s="12" t="s">
        <v>55</v>
      </c>
      <c r="J1013" s="12" t="s">
        <v>55</v>
      </c>
      <c r="K1013" s="12" t="s">
        <v>56</v>
      </c>
      <c r="L1013" s="13">
        <v>37.700000000000003</v>
      </c>
      <c r="M1013" s="13">
        <v>25</v>
      </c>
      <c r="N1013" s="13">
        <v>1.508</v>
      </c>
      <c r="O1013" s="13" t="s">
        <v>30</v>
      </c>
      <c r="P1013" s="13">
        <v>24</v>
      </c>
      <c r="Q1013" s="13">
        <v>0</v>
      </c>
      <c r="R1013" s="14">
        <v>600</v>
      </c>
      <c r="S1013" s="15">
        <v>0</v>
      </c>
      <c r="T1013" s="15">
        <v>0</v>
      </c>
      <c r="U1013" s="15">
        <v>600</v>
      </c>
      <c r="V1013" s="15">
        <v>0</v>
      </c>
      <c r="W1013" s="15">
        <v>600</v>
      </c>
      <c r="X1013" s="15">
        <v>0</v>
      </c>
      <c r="Y1013" s="16">
        <v>0</v>
      </c>
      <c r="Z1013" s="67" t="s">
        <v>26</v>
      </c>
      <c r="AA1013" s="12" t="s">
        <v>31</v>
      </c>
    </row>
    <row r="1014" spans="1:27" x14ac:dyDescent="0.25">
      <c r="A1014" s="10">
        <v>45674</v>
      </c>
      <c r="B1014" s="11" t="s">
        <v>2573</v>
      </c>
      <c r="C1014" s="11" t="s">
        <v>2574</v>
      </c>
      <c r="D1014" s="11" t="s">
        <v>26</v>
      </c>
      <c r="E1014" s="11" t="s">
        <v>98</v>
      </c>
      <c r="F1014" s="11" t="s">
        <v>26</v>
      </c>
      <c r="G1014" s="11" t="s">
        <v>26</v>
      </c>
      <c r="H1014" s="12" t="s">
        <v>4422</v>
      </c>
      <c r="I1014" s="12" t="s">
        <v>27</v>
      </c>
      <c r="J1014" s="12" t="s">
        <v>42</v>
      </c>
      <c r="K1014" s="12" t="s">
        <v>43</v>
      </c>
      <c r="L1014" s="13">
        <v>41.8</v>
      </c>
      <c r="M1014" s="13">
        <v>25</v>
      </c>
      <c r="N1014" s="13">
        <v>1.6719999999999999</v>
      </c>
      <c r="O1014" s="13">
        <v>83</v>
      </c>
      <c r="P1014" s="13" t="s">
        <v>30</v>
      </c>
      <c r="Q1014" s="13">
        <v>0</v>
      </c>
      <c r="R1014" s="14">
        <v>3469.3999999999996</v>
      </c>
      <c r="S1014" s="15">
        <v>38</v>
      </c>
      <c r="T1014" s="15">
        <v>1588.3999999999999</v>
      </c>
      <c r="U1014" s="15">
        <v>1880.9999999999998</v>
      </c>
      <c r="V1014" s="15">
        <v>1880.9999999999998</v>
      </c>
      <c r="W1014" s="15">
        <v>0</v>
      </c>
      <c r="X1014" s="15">
        <v>1504.8</v>
      </c>
      <c r="Y1014" s="16">
        <v>83.599999999999909</v>
      </c>
      <c r="Z1014" s="67" t="s">
        <v>140</v>
      </c>
      <c r="AA1014" s="12" t="s">
        <v>78</v>
      </c>
    </row>
    <row r="1015" spans="1:27" x14ac:dyDescent="0.25">
      <c r="A1015" s="10">
        <v>45674</v>
      </c>
      <c r="B1015" s="11" t="s">
        <v>2575</v>
      </c>
      <c r="C1015" s="11" t="s">
        <v>2576</v>
      </c>
      <c r="D1015" s="11" t="s">
        <v>26</v>
      </c>
      <c r="E1015" s="11" t="s">
        <v>87</v>
      </c>
      <c r="F1015" s="11" t="s">
        <v>26</v>
      </c>
      <c r="G1015" s="11">
        <v>32371</v>
      </c>
      <c r="H1015" s="12" t="s">
        <v>4423</v>
      </c>
      <c r="I1015" s="12" t="s">
        <v>27</v>
      </c>
      <c r="J1015" s="12" t="s">
        <v>42</v>
      </c>
      <c r="K1015" s="12" t="s">
        <v>43</v>
      </c>
      <c r="L1015" s="13">
        <v>38.979999999999997</v>
      </c>
      <c r="M1015" s="13">
        <v>25</v>
      </c>
      <c r="N1015" s="13">
        <v>1.5591999999999999</v>
      </c>
      <c r="O1015" s="13">
        <v>42</v>
      </c>
      <c r="P1015" s="13" t="s">
        <v>30</v>
      </c>
      <c r="Q1015" s="13">
        <v>0</v>
      </c>
      <c r="R1015" s="14">
        <v>1637.1599999999999</v>
      </c>
      <c r="S1015" s="15">
        <v>0</v>
      </c>
      <c r="T1015" s="15">
        <v>0</v>
      </c>
      <c r="U1015" s="15">
        <v>1637.1599999999999</v>
      </c>
      <c r="V1015" s="15">
        <v>1637.1599999999999</v>
      </c>
      <c r="W1015" s="15">
        <v>0</v>
      </c>
      <c r="X1015" s="15">
        <v>0</v>
      </c>
      <c r="Y1015" s="16">
        <v>0</v>
      </c>
      <c r="Z1015" s="67" t="s">
        <v>26</v>
      </c>
      <c r="AA1015" s="12" t="s">
        <v>31</v>
      </c>
    </row>
    <row r="1016" spans="1:27" x14ac:dyDescent="0.25">
      <c r="A1016" s="10">
        <v>45674</v>
      </c>
      <c r="B1016" s="11" t="s">
        <v>262</v>
      </c>
      <c r="C1016" s="11" t="s">
        <v>2577</v>
      </c>
      <c r="D1016" s="11" t="s">
        <v>26</v>
      </c>
      <c r="E1016" s="11" t="s">
        <v>237</v>
      </c>
      <c r="F1016" s="11" t="s">
        <v>26</v>
      </c>
      <c r="G1016" s="11">
        <v>44293</v>
      </c>
      <c r="H1016" s="12" t="s">
        <v>4423</v>
      </c>
      <c r="I1016" s="12" t="s">
        <v>27</v>
      </c>
      <c r="J1016" s="12" t="s">
        <v>42</v>
      </c>
      <c r="K1016" s="12" t="s">
        <v>43</v>
      </c>
      <c r="L1016" s="13">
        <v>39.380000000000003</v>
      </c>
      <c r="M1016" s="13">
        <v>25</v>
      </c>
      <c r="N1016" s="13">
        <v>1.5751999999999999</v>
      </c>
      <c r="O1016" s="13">
        <v>42</v>
      </c>
      <c r="P1016" s="13" t="s">
        <v>30</v>
      </c>
      <c r="Q1016" s="13">
        <v>0</v>
      </c>
      <c r="R1016" s="14">
        <v>1653.96</v>
      </c>
      <c r="S1016" s="15">
        <v>0</v>
      </c>
      <c r="T1016" s="15">
        <v>0</v>
      </c>
      <c r="U1016" s="15">
        <v>1653.96</v>
      </c>
      <c r="V1016" s="15">
        <v>1653.96</v>
      </c>
      <c r="W1016" s="15">
        <v>0</v>
      </c>
      <c r="X1016" s="16">
        <v>0</v>
      </c>
      <c r="Y1016" s="16">
        <v>0</v>
      </c>
      <c r="Z1016" s="67" t="s">
        <v>26</v>
      </c>
      <c r="AA1016" s="12" t="s">
        <v>31</v>
      </c>
    </row>
    <row r="1017" spans="1:27" x14ac:dyDescent="0.25">
      <c r="A1017" s="10">
        <v>45674</v>
      </c>
      <c r="B1017" s="11" t="s">
        <v>2578</v>
      </c>
      <c r="C1017" s="11" t="s">
        <v>2579</v>
      </c>
      <c r="D1017" s="11" t="s">
        <v>26</v>
      </c>
      <c r="E1017" s="11" t="s">
        <v>658</v>
      </c>
      <c r="F1017" s="11" t="s">
        <v>26</v>
      </c>
      <c r="G1017" s="11">
        <v>851</v>
      </c>
      <c r="H1017" s="12" t="s">
        <v>141</v>
      </c>
      <c r="I1017" s="12" t="s">
        <v>27</v>
      </c>
      <c r="J1017" s="12" t="s">
        <v>42</v>
      </c>
      <c r="K1017" s="12" t="s">
        <v>43</v>
      </c>
      <c r="L1017" s="13">
        <v>43.16</v>
      </c>
      <c r="M1017" s="13">
        <v>25</v>
      </c>
      <c r="N1017" s="13">
        <v>1.7263999999999999</v>
      </c>
      <c r="O1017" s="13">
        <v>40</v>
      </c>
      <c r="P1017" s="13" t="s">
        <v>30</v>
      </c>
      <c r="Q1017" s="13">
        <v>0</v>
      </c>
      <c r="R1017" s="14">
        <v>1726.3999999999999</v>
      </c>
      <c r="S1017" s="15">
        <v>0</v>
      </c>
      <c r="T1017" s="15">
        <v>0</v>
      </c>
      <c r="U1017" s="15">
        <v>1726.3999999999999</v>
      </c>
      <c r="V1017" s="15">
        <v>0</v>
      </c>
      <c r="W1017" s="15">
        <v>1726.3999999999999</v>
      </c>
      <c r="X1017" s="15">
        <v>0</v>
      </c>
      <c r="Y1017" s="16">
        <v>0</v>
      </c>
      <c r="Z1017" s="67" t="s">
        <v>26</v>
      </c>
      <c r="AA1017" s="12" t="s">
        <v>31</v>
      </c>
    </row>
    <row r="1018" spans="1:27" x14ac:dyDescent="0.25">
      <c r="A1018" s="10">
        <v>45674</v>
      </c>
      <c r="B1018" s="11" t="s">
        <v>310</v>
      </c>
      <c r="C1018" s="11" t="s">
        <v>2580</v>
      </c>
      <c r="D1018" s="11" t="s">
        <v>26</v>
      </c>
      <c r="E1018" s="11" t="s">
        <v>509</v>
      </c>
      <c r="F1018" s="11" t="s">
        <v>26</v>
      </c>
      <c r="G1018" s="11">
        <v>1301</v>
      </c>
      <c r="H1018" s="12" t="s">
        <v>141</v>
      </c>
      <c r="I1018" s="12" t="s">
        <v>55</v>
      </c>
      <c r="J1018" s="12" t="s">
        <v>55</v>
      </c>
      <c r="K1018" s="12" t="s">
        <v>56</v>
      </c>
      <c r="L1018" s="13">
        <v>40.299999999999997</v>
      </c>
      <c r="M1018" s="13">
        <v>25</v>
      </c>
      <c r="N1018" s="13">
        <v>1.6120000000000001</v>
      </c>
      <c r="O1018" s="13">
        <v>15</v>
      </c>
      <c r="P1018" s="13" t="s">
        <v>30</v>
      </c>
      <c r="Q1018" s="13">
        <v>0</v>
      </c>
      <c r="R1018" s="14">
        <v>604.5</v>
      </c>
      <c r="S1018" s="15">
        <v>0</v>
      </c>
      <c r="T1018" s="15">
        <v>0</v>
      </c>
      <c r="U1018" s="15">
        <v>604.5</v>
      </c>
      <c r="V1018" s="15">
        <v>0</v>
      </c>
      <c r="W1018" s="15">
        <v>604.5</v>
      </c>
      <c r="X1018" s="15">
        <v>0</v>
      </c>
      <c r="Y1018" s="16">
        <v>0</v>
      </c>
      <c r="Z1018" s="67" t="s">
        <v>26</v>
      </c>
      <c r="AA1018" s="12" t="s">
        <v>31</v>
      </c>
    </row>
    <row r="1019" spans="1:27" x14ac:dyDescent="0.25">
      <c r="A1019" s="10">
        <v>45674</v>
      </c>
      <c r="B1019" s="11" t="s">
        <v>644</v>
      </c>
      <c r="C1019" s="11" t="s">
        <v>2581</v>
      </c>
      <c r="D1019" s="11" t="s">
        <v>26</v>
      </c>
      <c r="E1019" s="11" t="s">
        <v>593</v>
      </c>
      <c r="F1019" s="11" t="s">
        <v>26</v>
      </c>
      <c r="G1019" s="11">
        <v>59490</v>
      </c>
      <c r="H1019" s="12" t="s">
        <v>4423</v>
      </c>
      <c r="I1019" s="12" t="s">
        <v>27</v>
      </c>
      <c r="J1019" s="12" t="s">
        <v>42</v>
      </c>
      <c r="K1019" s="12" t="s">
        <v>43</v>
      </c>
      <c r="L1019" s="13">
        <v>35.58</v>
      </c>
      <c r="M1019" s="13">
        <v>25</v>
      </c>
      <c r="N1019" s="13">
        <v>1.4232</v>
      </c>
      <c r="O1019" s="13">
        <v>42</v>
      </c>
      <c r="P1019" s="13" t="s">
        <v>30</v>
      </c>
      <c r="Q1019" s="13">
        <v>0</v>
      </c>
      <c r="R1019" s="15">
        <v>1494.36</v>
      </c>
      <c r="S1019" s="15">
        <v>0</v>
      </c>
      <c r="T1019" s="15">
        <v>0</v>
      </c>
      <c r="U1019" s="15">
        <v>1494.36</v>
      </c>
      <c r="V1019" s="15">
        <v>1494.36</v>
      </c>
      <c r="W1019" s="15">
        <v>0</v>
      </c>
      <c r="X1019" s="15">
        <v>0</v>
      </c>
      <c r="Y1019" s="16">
        <v>0</v>
      </c>
      <c r="Z1019" s="67" t="s">
        <v>26</v>
      </c>
      <c r="AA1019" s="12" t="s">
        <v>31</v>
      </c>
    </row>
    <row r="1020" spans="1:27" x14ac:dyDescent="0.25">
      <c r="A1020" s="10">
        <v>45674</v>
      </c>
      <c r="B1020" s="11" t="s">
        <v>2582</v>
      </c>
      <c r="C1020" s="11" t="s">
        <v>2583</v>
      </c>
      <c r="D1020" s="11" t="s">
        <v>26</v>
      </c>
      <c r="E1020" s="11" t="s">
        <v>2126</v>
      </c>
      <c r="F1020" s="11" t="s">
        <v>26</v>
      </c>
      <c r="G1020" s="11">
        <v>112132</v>
      </c>
      <c r="H1020" s="12" t="s">
        <v>4446</v>
      </c>
      <c r="I1020" s="12" t="s">
        <v>27</v>
      </c>
      <c r="J1020" s="12" t="s">
        <v>33</v>
      </c>
      <c r="K1020" s="12" t="s">
        <v>34</v>
      </c>
      <c r="L1020" s="13">
        <v>35.74</v>
      </c>
      <c r="M1020" s="13">
        <v>25</v>
      </c>
      <c r="N1020" s="13">
        <v>1.4296</v>
      </c>
      <c r="O1020" s="13">
        <v>44</v>
      </c>
      <c r="P1020" s="13" t="s">
        <v>30</v>
      </c>
      <c r="Q1020" s="13">
        <v>0</v>
      </c>
      <c r="R1020" s="14">
        <v>1572.5600000000002</v>
      </c>
      <c r="S1020" s="15">
        <v>0</v>
      </c>
      <c r="T1020" s="15">
        <v>0</v>
      </c>
      <c r="U1020" s="15">
        <v>1572.5600000000002</v>
      </c>
      <c r="V1020" s="15">
        <v>1572.5600000000002</v>
      </c>
      <c r="W1020" s="15">
        <v>0</v>
      </c>
      <c r="X1020" s="16">
        <v>0</v>
      </c>
      <c r="Y1020" s="16">
        <v>0</v>
      </c>
      <c r="Z1020" s="67" t="s">
        <v>26</v>
      </c>
      <c r="AA1020" s="12" t="s">
        <v>31</v>
      </c>
    </row>
    <row r="1021" spans="1:27" x14ac:dyDescent="0.25">
      <c r="A1021" s="10">
        <v>45674</v>
      </c>
      <c r="B1021" s="11" t="s">
        <v>1705</v>
      </c>
      <c r="C1021" s="11" t="s">
        <v>2584</v>
      </c>
      <c r="D1021" s="11" t="s">
        <v>26</v>
      </c>
      <c r="E1021" s="11" t="s">
        <v>572</v>
      </c>
      <c r="F1021" s="11" t="s">
        <v>26</v>
      </c>
      <c r="G1021" s="11">
        <v>112205</v>
      </c>
      <c r="H1021" s="12" t="s">
        <v>4446</v>
      </c>
      <c r="I1021" s="12" t="s">
        <v>27</v>
      </c>
      <c r="J1021" s="12" t="s">
        <v>42</v>
      </c>
      <c r="K1021" s="12" t="s">
        <v>43</v>
      </c>
      <c r="L1021" s="13">
        <v>38.520000000000003</v>
      </c>
      <c r="M1021" s="13">
        <v>25</v>
      </c>
      <c r="N1021" s="13">
        <v>1.5407999999999999</v>
      </c>
      <c r="O1021" s="13">
        <v>42</v>
      </c>
      <c r="P1021" s="13" t="s">
        <v>30</v>
      </c>
      <c r="Q1021" s="13">
        <v>0</v>
      </c>
      <c r="R1021" s="14">
        <v>1617.8400000000001</v>
      </c>
      <c r="S1021" s="15">
        <v>0</v>
      </c>
      <c r="T1021" s="15">
        <v>0</v>
      </c>
      <c r="U1021" s="15">
        <v>1617.8400000000001</v>
      </c>
      <c r="V1021" s="15">
        <v>1617.8400000000001</v>
      </c>
      <c r="W1021" s="15">
        <v>0</v>
      </c>
      <c r="X1021" s="15">
        <v>0</v>
      </c>
      <c r="Y1021" s="16">
        <v>0</v>
      </c>
      <c r="Z1021" s="67" t="s">
        <v>26</v>
      </c>
      <c r="AA1021" s="12" t="s">
        <v>31</v>
      </c>
    </row>
    <row r="1022" spans="1:27" x14ac:dyDescent="0.25">
      <c r="A1022" s="10">
        <v>45674</v>
      </c>
      <c r="B1022" s="11" t="s">
        <v>708</v>
      </c>
      <c r="C1022" s="11" t="s">
        <v>2585</v>
      </c>
      <c r="D1022" s="11" t="s">
        <v>26</v>
      </c>
      <c r="E1022" s="11" t="s">
        <v>75</v>
      </c>
      <c r="F1022" s="11" t="s">
        <v>26</v>
      </c>
      <c r="G1022" s="11">
        <v>42015</v>
      </c>
      <c r="H1022" s="12" t="s">
        <v>565</v>
      </c>
      <c r="I1022" s="12" t="s">
        <v>55</v>
      </c>
      <c r="J1022" s="12" t="s">
        <v>566</v>
      </c>
      <c r="K1022" s="12" t="s">
        <v>550</v>
      </c>
      <c r="L1022" s="13">
        <v>44.34</v>
      </c>
      <c r="M1022" s="13">
        <v>25</v>
      </c>
      <c r="N1022" s="13">
        <v>1.7736000000000001</v>
      </c>
      <c r="O1022" s="13">
        <v>25</v>
      </c>
      <c r="P1022" s="13" t="s">
        <v>30</v>
      </c>
      <c r="Q1022" s="13">
        <v>0</v>
      </c>
      <c r="R1022" s="14">
        <v>1108.5</v>
      </c>
      <c r="S1022" s="15">
        <v>0</v>
      </c>
      <c r="T1022" s="15">
        <v>0</v>
      </c>
      <c r="U1022" s="15">
        <v>1108.5</v>
      </c>
      <c r="V1022" s="15">
        <v>0</v>
      </c>
      <c r="W1022" s="15">
        <v>1108.5</v>
      </c>
      <c r="X1022" s="15">
        <v>0</v>
      </c>
      <c r="Y1022" s="16">
        <v>0</v>
      </c>
      <c r="Z1022" s="67" t="s">
        <v>26</v>
      </c>
      <c r="AA1022" s="12" t="s">
        <v>31</v>
      </c>
    </row>
    <row r="1023" spans="1:27" x14ac:dyDescent="0.25">
      <c r="A1023" s="10">
        <v>45674</v>
      </c>
      <c r="B1023" s="11" t="s">
        <v>730</v>
      </c>
      <c r="C1023" s="11" t="s">
        <v>2586</v>
      </c>
      <c r="D1023" s="11" t="s">
        <v>26</v>
      </c>
      <c r="E1023" s="11" t="s">
        <v>230</v>
      </c>
      <c r="F1023" s="11" t="s">
        <v>26</v>
      </c>
      <c r="G1023" s="11">
        <v>23134</v>
      </c>
      <c r="H1023" s="12" t="s">
        <v>565</v>
      </c>
      <c r="I1023" s="12" t="s">
        <v>55</v>
      </c>
      <c r="J1023" s="12" t="s">
        <v>566</v>
      </c>
      <c r="K1023" s="12" t="s">
        <v>550</v>
      </c>
      <c r="L1023" s="13">
        <v>45.14</v>
      </c>
      <c r="M1023" s="13">
        <v>28</v>
      </c>
      <c r="N1023" s="13">
        <v>1.6121428571428571</v>
      </c>
      <c r="O1023" s="13">
        <v>25</v>
      </c>
      <c r="P1023" s="13" t="s">
        <v>30</v>
      </c>
      <c r="Q1023" s="13">
        <v>0</v>
      </c>
      <c r="R1023" s="15">
        <v>1128.5</v>
      </c>
      <c r="S1023" s="15">
        <v>0</v>
      </c>
      <c r="T1023" s="15">
        <v>0</v>
      </c>
      <c r="U1023" s="15">
        <v>1128.5</v>
      </c>
      <c r="V1023" s="15">
        <v>0</v>
      </c>
      <c r="W1023" s="15">
        <v>1128.5</v>
      </c>
      <c r="X1023" s="15">
        <v>0</v>
      </c>
      <c r="Y1023" s="16">
        <v>0</v>
      </c>
      <c r="Z1023" s="67" t="s">
        <v>26</v>
      </c>
      <c r="AA1023" s="12" t="s">
        <v>31</v>
      </c>
    </row>
    <row r="1024" spans="1:27" x14ac:dyDescent="0.25">
      <c r="A1024" s="10">
        <v>45674</v>
      </c>
      <c r="B1024" s="11" t="s">
        <v>2587</v>
      </c>
      <c r="C1024" s="11" t="s">
        <v>2588</v>
      </c>
      <c r="D1024" s="11" t="s">
        <v>26</v>
      </c>
      <c r="E1024" s="11" t="s">
        <v>63</v>
      </c>
      <c r="F1024" s="11" t="s">
        <v>26</v>
      </c>
      <c r="G1024" s="11" t="s">
        <v>26</v>
      </c>
      <c r="H1024" s="12" t="s">
        <v>4422</v>
      </c>
      <c r="I1024" s="12" t="s">
        <v>27</v>
      </c>
      <c r="J1024" s="12" t="s">
        <v>33</v>
      </c>
      <c r="K1024" s="12" t="s">
        <v>34</v>
      </c>
      <c r="L1024" s="13">
        <v>42.26</v>
      </c>
      <c r="M1024" s="13">
        <v>29</v>
      </c>
      <c r="N1024" s="13">
        <v>1.4572413793103449</v>
      </c>
      <c r="O1024" s="13">
        <v>85</v>
      </c>
      <c r="P1024" s="13" t="s">
        <v>30</v>
      </c>
      <c r="Q1024" s="13">
        <v>0</v>
      </c>
      <c r="R1024" s="14">
        <v>3592.1</v>
      </c>
      <c r="S1024" s="15">
        <v>38</v>
      </c>
      <c r="T1024" s="15">
        <v>1605.8799999999999</v>
      </c>
      <c r="U1024" s="15">
        <v>1986.22</v>
      </c>
      <c r="V1024" s="15">
        <v>1986.22</v>
      </c>
      <c r="W1024" s="15">
        <v>0</v>
      </c>
      <c r="X1024" s="15">
        <v>1521.36</v>
      </c>
      <c r="Y1024" s="16">
        <v>84.519999999999982</v>
      </c>
      <c r="Z1024" s="67" t="s">
        <v>140</v>
      </c>
      <c r="AA1024" s="12" t="s">
        <v>78</v>
      </c>
    </row>
    <row r="1025" spans="1:27" x14ac:dyDescent="0.25">
      <c r="A1025" s="10">
        <v>45674</v>
      </c>
      <c r="B1025" s="11" t="s">
        <v>283</v>
      </c>
      <c r="C1025" s="11" t="s">
        <v>2589</v>
      </c>
      <c r="D1025" s="11" t="s">
        <v>26</v>
      </c>
      <c r="E1025" s="11" t="s">
        <v>84</v>
      </c>
      <c r="F1025" s="11" t="s">
        <v>26</v>
      </c>
      <c r="G1025" s="11">
        <v>44099</v>
      </c>
      <c r="H1025" s="12" t="s">
        <v>4423</v>
      </c>
      <c r="I1025" s="12" t="s">
        <v>27</v>
      </c>
      <c r="J1025" s="12" t="s">
        <v>42</v>
      </c>
      <c r="K1025" s="12" t="s">
        <v>43</v>
      </c>
      <c r="L1025" s="13">
        <v>36.08</v>
      </c>
      <c r="M1025" s="13">
        <v>25</v>
      </c>
      <c r="N1025" s="13">
        <v>1.4432</v>
      </c>
      <c r="O1025" s="13">
        <v>42</v>
      </c>
      <c r="P1025" s="13" t="s">
        <v>30</v>
      </c>
      <c r="Q1025" s="13">
        <v>0</v>
      </c>
      <c r="R1025" s="15">
        <v>1515.36</v>
      </c>
      <c r="S1025" s="15">
        <v>0</v>
      </c>
      <c r="T1025" s="15">
        <v>0</v>
      </c>
      <c r="U1025" s="15">
        <v>1515.36</v>
      </c>
      <c r="V1025" s="15">
        <v>1515.36</v>
      </c>
      <c r="W1025" s="15">
        <v>0</v>
      </c>
      <c r="X1025" s="15">
        <v>0</v>
      </c>
      <c r="Y1025" s="16">
        <v>0</v>
      </c>
      <c r="Z1025" s="67" t="s">
        <v>26</v>
      </c>
      <c r="AA1025" s="12" t="s">
        <v>31</v>
      </c>
    </row>
    <row r="1026" spans="1:27" x14ac:dyDescent="0.25">
      <c r="A1026" s="10">
        <v>45674</v>
      </c>
      <c r="B1026" s="11" t="s">
        <v>2590</v>
      </c>
      <c r="C1026" s="11" t="s">
        <v>2591</v>
      </c>
      <c r="D1026" s="11" t="s">
        <v>26</v>
      </c>
      <c r="E1026" s="11" t="s">
        <v>100</v>
      </c>
      <c r="F1026" s="11" t="s">
        <v>26</v>
      </c>
      <c r="G1026" s="11">
        <v>21720</v>
      </c>
      <c r="H1026" s="12" t="s">
        <v>4448</v>
      </c>
      <c r="I1026" s="12" t="s">
        <v>27</v>
      </c>
      <c r="J1026" s="12" t="s">
        <v>42</v>
      </c>
      <c r="K1026" s="12" t="s">
        <v>43</v>
      </c>
      <c r="L1026" s="13">
        <v>42.4</v>
      </c>
      <c r="M1026" s="13">
        <v>25</v>
      </c>
      <c r="N1026" s="13">
        <v>1.696</v>
      </c>
      <c r="O1026" s="13">
        <v>42.5</v>
      </c>
      <c r="P1026" s="13" t="s">
        <v>30</v>
      </c>
      <c r="Q1026" s="13">
        <v>0</v>
      </c>
      <c r="R1026" s="14">
        <v>1802</v>
      </c>
      <c r="S1026" s="15">
        <v>0</v>
      </c>
      <c r="T1026" s="15">
        <v>0</v>
      </c>
      <c r="U1026" s="15">
        <v>1802</v>
      </c>
      <c r="V1026" s="15">
        <v>1351.5</v>
      </c>
      <c r="W1026" s="15">
        <v>450.5</v>
      </c>
      <c r="X1026" s="15">
        <v>0</v>
      </c>
      <c r="Y1026" s="16">
        <v>0</v>
      </c>
      <c r="Z1026" s="67" t="s">
        <v>26</v>
      </c>
      <c r="AA1026" s="12" t="s">
        <v>31</v>
      </c>
    </row>
    <row r="1027" spans="1:27" x14ac:dyDescent="0.25">
      <c r="A1027" s="10">
        <v>45674</v>
      </c>
      <c r="B1027" s="11" t="s">
        <v>2592</v>
      </c>
      <c r="C1027" s="11" t="s">
        <v>2593</v>
      </c>
      <c r="D1027" s="11" t="s">
        <v>26</v>
      </c>
      <c r="E1027" s="11" t="s">
        <v>520</v>
      </c>
      <c r="F1027" s="11" t="s">
        <v>26</v>
      </c>
      <c r="G1027" s="11">
        <v>4371</v>
      </c>
      <c r="H1027" s="12" t="s">
        <v>140</v>
      </c>
      <c r="I1027" s="12" t="s">
        <v>27</v>
      </c>
      <c r="J1027" s="12" t="s">
        <v>33</v>
      </c>
      <c r="K1027" s="12" t="s">
        <v>34</v>
      </c>
      <c r="L1027" s="13">
        <v>42.52</v>
      </c>
      <c r="M1027" s="13">
        <v>29</v>
      </c>
      <c r="N1027" s="13">
        <v>1.4662068965517241</v>
      </c>
      <c r="O1027" s="13">
        <v>40</v>
      </c>
      <c r="P1027" s="13"/>
      <c r="Q1027" s="13">
        <v>0</v>
      </c>
      <c r="R1027" s="14">
        <v>1700.8000000000002</v>
      </c>
      <c r="S1027" s="15">
        <v>0</v>
      </c>
      <c r="T1027" s="15">
        <v>0</v>
      </c>
      <c r="U1027" s="15">
        <v>1700.8000000000002</v>
      </c>
      <c r="V1027" s="15">
        <v>0</v>
      </c>
      <c r="W1027" s="15">
        <v>1700.8000000000002</v>
      </c>
      <c r="X1027" s="16">
        <v>0</v>
      </c>
      <c r="Y1027" s="16">
        <v>0</v>
      </c>
      <c r="Z1027" s="67" t="s">
        <v>26</v>
      </c>
      <c r="AA1027" s="12" t="s">
        <v>31</v>
      </c>
    </row>
    <row r="1028" spans="1:27" x14ac:dyDescent="0.25">
      <c r="A1028" s="10">
        <v>45674</v>
      </c>
      <c r="B1028" s="11" t="s">
        <v>2594</v>
      </c>
      <c r="C1028" s="11" t="s">
        <v>2595</v>
      </c>
      <c r="D1028" s="11" t="s">
        <v>26</v>
      </c>
      <c r="E1028" s="11" t="s">
        <v>179</v>
      </c>
      <c r="F1028" s="11" t="s">
        <v>26</v>
      </c>
      <c r="G1028" s="11">
        <v>57725</v>
      </c>
      <c r="H1028" s="12" t="s">
        <v>4423</v>
      </c>
      <c r="I1028" s="12" t="s">
        <v>27</v>
      </c>
      <c r="J1028" s="12" t="s">
        <v>42</v>
      </c>
      <c r="K1028" s="12" t="s">
        <v>43</v>
      </c>
      <c r="L1028" s="13">
        <v>41.32</v>
      </c>
      <c r="M1028" s="13">
        <v>25</v>
      </c>
      <c r="N1028" s="13">
        <v>1.6528</v>
      </c>
      <c r="O1028" s="13">
        <v>42</v>
      </c>
      <c r="P1028" s="13" t="s">
        <v>30</v>
      </c>
      <c r="Q1028" s="13">
        <v>0</v>
      </c>
      <c r="R1028" s="14">
        <v>1735.44</v>
      </c>
      <c r="S1028" s="15">
        <v>0</v>
      </c>
      <c r="T1028" s="15">
        <v>0</v>
      </c>
      <c r="U1028" s="15">
        <v>1735.44</v>
      </c>
      <c r="V1028" s="15">
        <v>1735.44</v>
      </c>
      <c r="W1028" s="15">
        <v>0</v>
      </c>
      <c r="X1028" s="15">
        <v>0</v>
      </c>
      <c r="Y1028" s="16">
        <v>0</v>
      </c>
      <c r="Z1028" s="67" t="s">
        <v>26</v>
      </c>
      <c r="AA1028" s="12" t="s">
        <v>31</v>
      </c>
    </row>
    <row r="1029" spans="1:27" x14ac:dyDescent="0.25">
      <c r="A1029" s="10">
        <v>45674</v>
      </c>
      <c r="B1029" s="11" t="s">
        <v>234</v>
      </c>
      <c r="C1029" s="11" t="s">
        <v>2596</v>
      </c>
      <c r="D1029" s="11" t="s">
        <v>26</v>
      </c>
      <c r="E1029" s="11" t="s">
        <v>570</v>
      </c>
      <c r="F1029" s="11" t="s">
        <v>26</v>
      </c>
      <c r="G1029" s="11">
        <v>10326</v>
      </c>
      <c r="H1029" s="12" t="s">
        <v>140</v>
      </c>
      <c r="I1029" s="12" t="s">
        <v>27</v>
      </c>
      <c r="J1029" s="12" t="s">
        <v>47</v>
      </c>
      <c r="K1029" s="12" t="s">
        <v>48</v>
      </c>
      <c r="L1029" s="13">
        <v>42.22</v>
      </c>
      <c r="M1029" s="13">
        <v>29</v>
      </c>
      <c r="N1029" s="13">
        <v>1.4558620689655171</v>
      </c>
      <c r="O1029" s="13">
        <v>40</v>
      </c>
      <c r="P1029" s="13"/>
      <c r="Q1029" s="13">
        <v>0</v>
      </c>
      <c r="R1029" s="14">
        <v>1688.8</v>
      </c>
      <c r="S1029" s="15">
        <v>0</v>
      </c>
      <c r="T1029" s="15">
        <v>0</v>
      </c>
      <c r="U1029" s="15">
        <v>1688.8</v>
      </c>
      <c r="V1029" s="15">
        <v>0</v>
      </c>
      <c r="W1029" s="15">
        <v>1688.8</v>
      </c>
      <c r="X1029" s="15">
        <v>0</v>
      </c>
      <c r="Y1029" s="16">
        <v>0</v>
      </c>
      <c r="Z1029" s="67" t="s">
        <v>26</v>
      </c>
      <c r="AA1029" s="12" t="s">
        <v>31</v>
      </c>
    </row>
    <row r="1030" spans="1:27" x14ac:dyDescent="0.25">
      <c r="A1030" s="10">
        <v>45674</v>
      </c>
      <c r="B1030" s="11" t="s">
        <v>274</v>
      </c>
      <c r="C1030" s="11" t="s">
        <v>2597</v>
      </c>
      <c r="D1030" s="11" t="s">
        <v>26</v>
      </c>
      <c r="E1030" s="11" t="s">
        <v>552</v>
      </c>
      <c r="F1030" s="11" t="s">
        <v>26</v>
      </c>
      <c r="G1030" s="11">
        <v>69119</v>
      </c>
      <c r="H1030" s="12" t="s">
        <v>4423</v>
      </c>
      <c r="I1030" s="12" t="s">
        <v>27</v>
      </c>
      <c r="J1030" s="12" t="s">
        <v>42</v>
      </c>
      <c r="K1030" s="12" t="s">
        <v>43</v>
      </c>
      <c r="L1030" s="13">
        <v>34.1</v>
      </c>
      <c r="M1030" s="13">
        <v>25</v>
      </c>
      <c r="N1030" s="13">
        <v>1.3640000000000001</v>
      </c>
      <c r="O1030" s="13">
        <v>42</v>
      </c>
      <c r="P1030" s="13" t="s">
        <v>30</v>
      </c>
      <c r="Q1030" s="13">
        <v>0</v>
      </c>
      <c r="R1030" s="14">
        <v>1432.2</v>
      </c>
      <c r="S1030" s="15">
        <v>0</v>
      </c>
      <c r="T1030" s="15">
        <v>0</v>
      </c>
      <c r="U1030" s="15">
        <v>1432.2</v>
      </c>
      <c r="V1030" s="15">
        <v>1432.2</v>
      </c>
      <c r="W1030" s="15">
        <v>0</v>
      </c>
      <c r="X1030" s="15">
        <v>0</v>
      </c>
      <c r="Y1030" s="16">
        <v>0</v>
      </c>
      <c r="Z1030" s="67" t="s">
        <v>26</v>
      </c>
      <c r="AA1030" s="12" t="s">
        <v>31</v>
      </c>
    </row>
    <row r="1031" spans="1:27" x14ac:dyDescent="0.25">
      <c r="A1031" s="10">
        <v>45674</v>
      </c>
      <c r="B1031" s="11" t="s">
        <v>392</v>
      </c>
      <c r="C1031" s="11" t="s">
        <v>2598</v>
      </c>
      <c r="D1031" s="11" t="s">
        <v>26</v>
      </c>
      <c r="E1031" s="11" t="s">
        <v>604</v>
      </c>
      <c r="F1031" s="11" t="s">
        <v>26</v>
      </c>
      <c r="G1031" s="11">
        <v>1101</v>
      </c>
      <c r="H1031" s="12" t="s">
        <v>141</v>
      </c>
      <c r="I1031" s="12" t="s">
        <v>27</v>
      </c>
      <c r="J1031" s="12" t="s">
        <v>42</v>
      </c>
      <c r="K1031" s="12" t="s">
        <v>43</v>
      </c>
      <c r="L1031" s="13">
        <v>43.24</v>
      </c>
      <c r="M1031" s="13">
        <v>25</v>
      </c>
      <c r="N1031" s="13">
        <v>1.7296</v>
      </c>
      <c r="O1031" s="13">
        <v>40</v>
      </c>
      <c r="P1031" s="13" t="s">
        <v>30</v>
      </c>
      <c r="Q1031" s="13">
        <v>0</v>
      </c>
      <c r="R1031" s="15">
        <v>1729.6000000000001</v>
      </c>
      <c r="S1031" s="15">
        <v>0</v>
      </c>
      <c r="T1031" s="15">
        <v>0</v>
      </c>
      <c r="U1031" s="15">
        <v>1729.6000000000001</v>
      </c>
      <c r="V1031" s="15">
        <v>0</v>
      </c>
      <c r="W1031" s="15">
        <v>1729.6000000000001</v>
      </c>
      <c r="X1031" s="15">
        <v>0</v>
      </c>
      <c r="Y1031" s="16">
        <v>0</v>
      </c>
      <c r="Z1031" s="67" t="s">
        <v>26</v>
      </c>
      <c r="AA1031" s="12" t="s">
        <v>31</v>
      </c>
    </row>
    <row r="1032" spans="1:27" x14ac:dyDescent="0.25">
      <c r="A1032" s="10">
        <v>45674</v>
      </c>
      <c r="B1032" s="11">
        <v>-7.1875000000000022E-2</v>
      </c>
      <c r="C1032" s="11" t="s">
        <v>2599</v>
      </c>
      <c r="D1032" s="11" t="s">
        <v>26</v>
      </c>
      <c r="E1032" s="11" t="s">
        <v>569</v>
      </c>
      <c r="F1032" s="11" t="s">
        <v>26</v>
      </c>
      <c r="G1032" s="11">
        <v>112160</v>
      </c>
      <c r="H1032" s="12" t="s">
        <v>4446</v>
      </c>
      <c r="I1032" s="12" t="s">
        <v>27</v>
      </c>
      <c r="J1032" s="12" t="s">
        <v>33</v>
      </c>
      <c r="K1032" s="12" t="s">
        <v>34</v>
      </c>
      <c r="L1032" s="13">
        <v>34.96</v>
      </c>
      <c r="M1032" s="13">
        <v>24</v>
      </c>
      <c r="N1032" s="13">
        <v>1.456666666666667</v>
      </c>
      <c r="O1032" s="13">
        <v>44</v>
      </c>
      <c r="P1032" s="13" t="s">
        <v>30</v>
      </c>
      <c r="Q1032" s="13">
        <v>0</v>
      </c>
      <c r="R1032" s="14">
        <v>1538.24</v>
      </c>
      <c r="S1032" s="15">
        <v>0</v>
      </c>
      <c r="T1032" s="15">
        <v>0</v>
      </c>
      <c r="U1032" s="15">
        <v>1538.24</v>
      </c>
      <c r="V1032" s="15">
        <v>1538.24</v>
      </c>
      <c r="W1032" s="15">
        <v>0</v>
      </c>
      <c r="X1032" s="15">
        <v>0</v>
      </c>
      <c r="Y1032" s="16">
        <v>0</v>
      </c>
      <c r="Z1032" s="67" t="s">
        <v>26</v>
      </c>
      <c r="AA1032" s="12" t="s">
        <v>31</v>
      </c>
    </row>
    <row r="1033" spans="1:27" x14ac:dyDescent="0.25">
      <c r="A1033" s="10">
        <v>45674</v>
      </c>
      <c r="B1033" s="11" t="s">
        <v>2600</v>
      </c>
      <c r="C1033" s="11" t="s">
        <v>2601</v>
      </c>
      <c r="D1033" s="11" t="s">
        <v>26</v>
      </c>
      <c r="E1033" s="11" t="s">
        <v>2109</v>
      </c>
      <c r="F1033" s="11" t="s">
        <v>26</v>
      </c>
      <c r="G1033" s="11">
        <v>10601</v>
      </c>
      <c r="H1033" s="12" t="s">
        <v>140</v>
      </c>
      <c r="I1033" s="12" t="s">
        <v>27</v>
      </c>
      <c r="J1033" s="12" t="s">
        <v>42</v>
      </c>
      <c r="K1033" s="12" t="s">
        <v>43</v>
      </c>
      <c r="L1033" s="13">
        <v>42.92</v>
      </c>
      <c r="M1033" s="13">
        <v>25</v>
      </c>
      <c r="N1033" s="13">
        <v>1.7168000000000001</v>
      </c>
      <c r="O1033" s="13">
        <v>35</v>
      </c>
      <c r="P1033" s="13"/>
      <c r="Q1033" s="13">
        <v>0</v>
      </c>
      <c r="R1033" s="15">
        <v>1502.2</v>
      </c>
      <c r="S1033" s="15">
        <v>0</v>
      </c>
      <c r="T1033" s="15">
        <v>0</v>
      </c>
      <c r="U1033" s="15">
        <v>1502.2</v>
      </c>
      <c r="V1033" s="15">
        <v>0</v>
      </c>
      <c r="W1033" s="15">
        <v>1502.2</v>
      </c>
      <c r="X1033" s="15">
        <v>0</v>
      </c>
      <c r="Y1033" s="16">
        <v>0</v>
      </c>
      <c r="Z1033" s="67" t="s">
        <v>26</v>
      </c>
      <c r="AA1033" s="12" t="s">
        <v>31</v>
      </c>
    </row>
    <row r="1034" spans="1:27" x14ac:dyDescent="0.25">
      <c r="A1034" s="10">
        <v>45674</v>
      </c>
      <c r="B1034" s="11" t="s">
        <v>2602</v>
      </c>
      <c r="C1034" s="11" t="s">
        <v>2603</v>
      </c>
      <c r="D1034" s="11" t="s">
        <v>26</v>
      </c>
      <c r="E1034" s="11" t="s">
        <v>483</v>
      </c>
      <c r="F1034" s="11" t="s">
        <v>26</v>
      </c>
      <c r="G1034" s="11">
        <v>2145</v>
      </c>
      <c r="H1034" s="12" t="s">
        <v>41</v>
      </c>
      <c r="I1034" s="12" t="s">
        <v>27</v>
      </c>
      <c r="J1034" s="12" t="s">
        <v>33</v>
      </c>
      <c r="K1034" s="12" t="s">
        <v>34</v>
      </c>
      <c r="L1034" s="13">
        <v>35.659999999999997</v>
      </c>
      <c r="M1034" s="13">
        <v>25</v>
      </c>
      <c r="N1034" s="13">
        <v>1.4263999999999999</v>
      </c>
      <c r="O1034" s="13" t="s">
        <v>30</v>
      </c>
      <c r="P1034" s="13">
        <v>60</v>
      </c>
      <c r="Q1034" s="13">
        <v>0</v>
      </c>
      <c r="R1034" s="15">
        <v>1500</v>
      </c>
      <c r="S1034" s="15">
        <v>0</v>
      </c>
      <c r="T1034" s="15">
        <v>0</v>
      </c>
      <c r="U1034" s="15">
        <v>1500</v>
      </c>
      <c r="V1034" s="15">
        <v>0</v>
      </c>
      <c r="W1034" s="15">
        <v>1500</v>
      </c>
      <c r="X1034" s="15">
        <v>0</v>
      </c>
      <c r="Y1034" s="16">
        <v>0</v>
      </c>
      <c r="Z1034" s="67" t="s">
        <v>26</v>
      </c>
      <c r="AA1034" s="12" t="s">
        <v>31</v>
      </c>
    </row>
    <row r="1035" spans="1:27" x14ac:dyDescent="0.25">
      <c r="A1035" s="10">
        <v>45674</v>
      </c>
      <c r="B1035" s="11" t="s">
        <v>721</v>
      </c>
      <c r="C1035" s="11" t="s">
        <v>2604</v>
      </c>
      <c r="D1035" s="11" t="s">
        <v>26</v>
      </c>
      <c r="E1035" s="11" t="s">
        <v>69</v>
      </c>
      <c r="F1035" s="11" t="s">
        <v>26</v>
      </c>
      <c r="G1035" s="11">
        <v>4689</v>
      </c>
      <c r="H1035" s="12" t="s">
        <v>70</v>
      </c>
      <c r="I1035" s="12" t="s">
        <v>27</v>
      </c>
      <c r="J1035" s="12" t="s">
        <v>42</v>
      </c>
      <c r="K1035" s="12" t="s">
        <v>43</v>
      </c>
      <c r="L1035" s="13">
        <v>43.1</v>
      </c>
      <c r="M1035" s="13">
        <v>25</v>
      </c>
      <c r="N1035" s="13">
        <v>1.724</v>
      </c>
      <c r="O1035" s="13" t="s">
        <v>30</v>
      </c>
      <c r="P1035" s="13">
        <v>64</v>
      </c>
      <c r="Q1035" s="13">
        <v>0</v>
      </c>
      <c r="R1035" s="15">
        <v>1600</v>
      </c>
      <c r="S1035" s="15">
        <v>0</v>
      </c>
      <c r="T1035" s="15">
        <v>0</v>
      </c>
      <c r="U1035" s="15">
        <v>1600</v>
      </c>
      <c r="V1035" s="15">
        <v>0</v>
      </c>
      <c r="W1035" s="15">
        <v>1600</v>
      </c>
      <c r="X1035" s="15">
        <v>0</v>
      </c>
      <c r="Y1035" s="16">
        <v>0</v>
      </c>
      <c r="Z1035" s="67" t="s">
        <v>26</v>
      </c>
      <c r="AA1035" s="12" t="s">
        <v>31</v>
      </c>
    </row>
    <row r="1036" spans="1:27" x14ac:dyDescent="0.25">
      <c r="A1036" s="10">
        <v>45674</v>
      </c>
      <c r="B1036" s="11" t="s">
        <v>328</v>
      </c>
      <c r="C1036" s="11" t="s">
        <v>2605</v>
      </c>
      <c r="D1036" s="11" t="s">
        <v>26</v>
      </c>
      <c r="E1036" s="11" t="s">
        <v>224</v>
      </c>
      <c r="F1036" s="11" t="s">
        <v>26</v>
      </c>
      <c r="G1036" s="11">
        <v>55325</v>
      </c>
      <c r="H1036" s="12" t="s">
        <v>4423</v>
      </c>
      <c r="I1036" s="12" t="s">
        <v>27</v>
      </c>
      <c r="J1036" s="12" t="s">
        <v>42</v>
      </c>
      <c r="K1036" s="12" t="s">
        <v>43</v>
      </c>
      <c r="L1036" s="13">
        <v>35.9</v>
      </c>
      <c r="M1036" s="13">
        <v>25</v>
      </c>
      <c r="N1036" s="13">
        <v>1.4359999999999999</v>
      </c>
      <c r="O1036" s="13">
        <v>42</v>
      </c>
      <c r="P1036" s="13" t="s">
        <v>30</v>
      </c>
      <c r="Q1036" s="13">
        <v>0</v>
      </c>
      <c r="R1036" s="15">
        <v>1507.8</v>
      </c>
      <c r="S1036" s="15">
        <v>0</v>
      </c>
      <c r="T1036" s="15">
        <v>0</v>
      </c>
      <c r="U1036" s="15">
        <v>1507.8</v>
      </c>
      <c r="V1036" s="15">
        <v>1507.8</v>
      </c>
      <c r="W1036" s="15">
        <v>0</v>
      </c>
      <c r="X1036" s="15">
        <v>0</v>
      </c>
      <c r="Y1036" s="16">
        <v>0</v>
      </c>
      <c r="Z1036" s="67" t="s">
        <v>26</v>
      </c>
      <c r="AA1036" s="12" t="s">
        <v>31</v>
      </c>
    </row>
    <row r="1037" spans="1:27" x14ac:dyDescent="0.25">
      <c r="A1037" s="10">
        <v>45674</v>
      </c>
      <c r="B1037" s="11" t="s">
        <v>346</v>
      </c>
      <c r="C1037" s="11" t="s">
        <v>2606</v>
      </c>
      <c r="D1037" s="11" t="s">
        <v>26</v>
      </c>
      <c r="E1037" s="11" t="s">
        <v>65</v>
      </c>
      <c r="F1037" s="11" t="s">
        <v>26</v>
      </c>
      <c r="G1037" s="11">
        <v>1570</v>
      </c>
      <c r="H1037" s="12" t="s">
        <v>66</v>
      </c>
      <c r="I1037" s="12" t="s">
        <v>37</v>
      </c>
      <c r="J1037" s="12" t="s">
        <v>1909</v>
      </c>
      <c r="K1037" s="12" t="s">
        <v>82</v>
      </c>
      <c r="L1037" s="13">
        <v>39.44</v>
      </c>
      <c r="M1037" s="13">
        <v>25</v>
      </c>
      <c r="N1037" s="13">
        <v>1.5775999999999999</v>
      </c>
      <c r="O1037" s="13" t="s">
        <v>30</v>
      </c>
      <c r="P1037" s="13">
        <v>54</v>
      </c>
      <c r="Q1037" s="13">
        <v>0</v>
      </c>
      <c r="R1037" s="15">
        <v>1350</v>
      </c>
      <c r="S1037" s="15">
        <v>0</v>
      </c>
      <c r="T1037" s="15">
        <v>0</v>
      </c>
      <c r="U1037" s="15">
        <v>1350</v>
      </c>
      <c r="V1037" s="15">
        <v>1350</v>
      </c>
      <c r="W1037" s="15">
        <v>0</v>
      </c>
      <c r="X1037" s="15">
        <v>0</v>
      </c>
      <c r="Y1037" s="16">
        <v>0</v>
      </c>
      <c r="Z1037" s="67" t="s">
        <v>26</v>
      </c>
      <c r="AA1037" s="12" t="s">
        <v>31</v>
      </c>
    </row>
    <row r="1038" spans="1:27" x14ac:dyDescent="0.25">
      <c r="A1038" s="10">
        <v>45674</v>
      </c>
      <c r="B1038" s="11" t="s">
        <v>2607</v>
      </c>
      <c r="C1038" s="11" t="s">
        <v>2608</v>
      </c>
      <c r="D1038" s="11" t="s">
        <v>26</v>
      </c>
      <c r="E1038" s="11" t="s">
        <v>53</v>
      </c>
      <c r="F1038" s="11" t="s">
        <v>26</v>
      </c>
      <c r="G1038" s="11" t="s">
        <v>26</v>
      </c>
      <c r="H1038" s="12" t="s">
        <v>146</v>
      </c>
      <c r="I1038" s="12" t="s">
        <v>27</v>
      </c>
      <c r="J1038" s="12" t="s">
        <v>47</v>
      </c>
      <c r="K1038" s="12" t="s">
        <v>48</v>
      </c>
      <c r="L1038" s="13">
        <v>43.48</v>
      </c>
      <c r="M1038" s="13">
        <v>30</v>
      </c>
      <c r="N1038" s="13">
        <v>1.4493333333333329</v>
      </c>
      <c r="O1038" s="13">
        <v>91</v>
      </c>
      <c r="P1038" s="13" t="s">
        <v>30</v>
      </c>
      <c r="Q1038" s="13">
        <v>0</v>
      </c>
      <c r="R1038" s="15">
        <v>3956.68</v>
      </c>
      <c r="S1038" s="15">
        <v>40</v>
      </c>
      <c r="T1038" s="15">
        <v>1739.1999999999998</v>
      </c>
      <c r="U1038" s="15">
        <v>2217.48</v>
      </c>
      <c r="V1038" s="15">
        <v>2217.48</v>
      </c>
      <c r="W1038" s="15">
        <v>0</v>
      </c>
      <c r="X1038" s="15">
        <v>1608.76</v>
      </c>
      <c r="Y1038" s="16">
        <v>130.43999999999983</v>
      </c>
      <c r="Z1038" s="67" t="s">
        <v>41</v>
      </c>
      <c r="AA1038" s="12" t="s">
        <v>79</v>
      </c>
    </row>
    <row r="1039" spans="1:27" x14ac:dyDescent="0.25">
      <c r="A1039" s="10">
        <v>45674</v>
      </c>
      <c r="B1039" s="11" t="s">
        <v>2609</v>
      </c>
      <c r="C1039" s="11" t="s">
        <v>2610</v>
      </c>
      <c r="D1039" s="11" t="s">
        <v>26</v>
      </c>
      <c r="E1039" s="11" t="s">
        <v>479</v>
      </c>
      <c r="F1039" s="11" t="s">
        <v>26</v>
      </c>
      <c r="G1039" s="11">
        <v>76339</v>
      </c>
      <c r="H1039" s="12" t="s">
        <v>4448</v>
      </c>
      <c r="I1039" s="12" t="s">
        <v>27</v>
      </c>
      <c r="J1039" s="12" t="s">
        <v>33</v>
      </c>
      <c r="K1039" s="12" t="s">
        <v>34</v>
      </c>
      <c r="L1039" s="13">
        <v>41.54</v>
      </c>
      <c r="M1039" s="13">
        <v>28</v>
      </c>
      <c r="N1039" s="13">
        <v>1.483571428571429</v>
      </c>
      <c r="O1039" s="13">
        <v>45.33</v>
      </c>
      <c r="P1039" s="13" t="s">
        <v>30</v>
      </c>
      <c r="Q1039" s="13">
        <v>0</v>
      </c>
      <c r="R1039" s="15">
        <v>1883.0082</v>
      </c>
      <c r="S1039" s="15">
        <v>0</v>
      </c>
      <c r="T1039" s="15">
        <v>0</v>
      </c>
      <c r="U1039" s="15">
        <v>1883.0082</v>
      </c>
      <c r="V1039" s="15">
        <v>1412.2561499999999</v>
      </c>
      <c r="W1039" s="15">
        <v>470.75205000000005</v>
      </c>
      <c r="X1039" s="15">
        <v>0</v>
      </c>
      <c r="Y1039" s="16">
        <v>0</v>
      </c>
      <c r="Z1039" s="67" t="s">
        <v>26</v>
      </c>
      <c r="AA1039" s="12" t="s">
        <v>31</v>
      </c>
    </row>
    <row r="1040" spans="1:27" x14ac:dyDescent="0.25">
      <c r="A1040" s="10">
        <v>45674</v>
      </c>
      <c r="B1040" s="11" t="s">
        <v>2611</v>
      </c>
      <c r="C1040" s="11" t="s">
        <v>2612</v>
      </c>
      <c r="D1040" s="11" t="s">
        <v>26</v>
      </c>
      <c r="E1040" s="11" t="s">
        <v>50</v>
      </c>
      <c r="F1040" s="11" t="s">
        <v>26</v>
      </c>
      <c r="G1040" s="11">
        <v>635</v>
      </c>
      <c r="H1040" s="12" t="s">
        <v>163</v>
      </c>
      <c r="I1040" s="12" t="s">
        <v>27</v>
      </c>
      <c r="J1040" s="12" t="s">
        <v>33</v>
      </c>
      <c r="K1040" s="12" t="s">
        <v>34</v>
      </c>
      <c r="L1040" s="13">
        <v>37.979999999999997</v>
      </c>
      <c r="M1040" s="13">
        <v>25</v>
      </c>
      <c r="N1040" s="13">
        <v>1.5192000000000001</v>
      </c>
      <c r="O1040" s="13" t="s">
        <v>30</v>
      </c>
      <c r="P1040" s="13">
        <v>58</v>
      </c>
      <c r="Q1040" s="13">
        <v>0</v>
      </c>
      <c r="R1040" s="15">
        <v>1450</v>
      </c>
      <c r="S1040" s="15">
        <v>0</v>
      </c>
      <c r="T1040" s="15">
        <v>0</v>
      </c>
      <c r="U1040" s="15">
        <v>1450</v>
      </c>
      <c r="V1040" s="15">
        <v>0</v>
      </c>
      <c r="W1040" s="15">
        <v>1450</v>
      </c>
      <c r="X1040" s="15">
        <v>0</v>
      </c>
      <c r="Y1040" s="16">
        <v>0</v>
      </c>
      <c r="Z1040" s="67" t="s">
        <v>26</v>
      </c>
      <c r="AA1040" s="12" t="s">
        <v>31</v>
      </c>
    </row>
    <row r="1041" spans="1:27" x14ac:dyDescent="0.25">
      <c r="A1041" s="10">
        <v>45674</v>
      </c>
      <c r="B1041" s="11" t="s">
        <v>415</v>
      </c>
      <c r="C1041" s="11" t="s">
        <v>2613</v>
      </c>
      <c r="D1041" s="11" t="s">
        <v>26</v>
      </c>
      <c r="E1041" s="11" t="s">
        <v>240</v>
      </c>
      <c r="F1041" s="11" t="s">
        <v>26</v>
      </c>
      <c r="G1041" s="11">
        <v>2925</v>
      </c>
      <c r="H1041" s="12" t="s">
        <v>41</v>
      </c>
      <c r="I1041" s="12" t="s">
        <v>27</v>
      </c>
      <c r="J1041" s="12" t="s">
        <v>42</v>
      </c>
      <c r="K1041" s="12" t="s">
        <v>43</v>
      </c>
      <c r="L1041" s="13">
        <v>41.3</v>
      </c>
      <c r="M1041" s="13">
        <v>25</v>
      </c>
      <c r="N1041" s="13">
        <v>1.6519999999999999</v>
      </c>
      <c r="O1041" s="13" t="s">
        <v>30</v>
      </c>
      <c r="P1041" s="13">
        <v>64</v>
      </c>
      <c r="Q1041" s="13">
        <v>0</v>
      </c>
      <c r="R1041" s="15">
        <v>1600</v>
      </c>
      <c r="S1041" s="15">
        <v>0</v>
      </c>
      <c r="T1041" s="15">
        <v>0</v>
      </c>
      <c r="U1041" s="15">
        <v>1600</v>
      </c>
      <c r="V1041" s="15">
        <v>0</v>
      </c>
      <c r="W1041" s="15">
        <v>1600</v>
      </c>
      <c r="X1041" s="15">
        <v>0</v>
      </c>
      <c r="Y1041" s="16">
        <v>0</v>
      </c>
      <c r="Z1041" s="67" t="s">
        <v>26</v>
      </c>
      <c r="AA1041" s="12" t="s">
        <v>31</v>
      </c>
    </row>
    <row r="1042" spans="1:27" x14ac:dyDescent="0.25">
      <c r="A1042" s="10">
        <v>45674</v>
      </c>
      <c r="B1042" s="11" t="s">
        <v>316</v>
      </c>
      <c r="C1042" s="11" t="s">
        <v>2614</v>
      </c>
      <c r="D1042" s="11" t="s">
        <v>26</v>
      </c>
      <c r="E1042" s="11" t="s">
        <v>509</v>
      </c>
      <c r="F1042" s="11" t="s">
        <v>26</v>
      </c>
      <c r="G1042" s="11">
        <v>1302</v>
      </c>
      <c r="H1042" s="12" t="s">
        <v>141</v>
      </c>
      <c r="I1042" s="12" t="s">
        <v>37</v>
      </c>
      <c r="J1042" s="12" t="s">
        <v>85</v>
      </c>
      <c r="K1042" s="12" t="s">
        <v>86</v>
      </c>
      <c r="L1042" s="13">
        <v>36.76</v>
      </c>
      <c r="M1042" s="13">
        <v>25</v>
      </c>
      <c r="N1042" s="13">
        <v>1.4703999999999999</v>
      </c>
      <c r="O1042" s="13">
        <v>29</v>
      </c>
      <c r="P1042" s="13" t="s">
        <v>30</v>
      </c>
      <c r="Q1042" s="13">
        <v>0</v>
      </c>
      <c r="R1042" s="14">
        <v>1066.04</v>
      </c>
      <c r="S1042" s="15">
        <v>0</v>
      </c>
      <c r="T1042" s="15">
        <v>0</v>
      </c>
      <c r="U1042" s="15">
        <v>1066.04</v>
      </c>
      <c r="V1042" s="15">
        <v>0</v>
      </c>
      <c r="W1042" s="15">
        <v>1066.04</v>
      </c>
      <c r="X1042" s="15">
        <v>0</v>
      </c>
      <c r="Y1042" s="16">
        <v>0</v>
      </c>
      <c r="Z1042" s="67" t="s">
        <v>26</v>
      </c>
      <c r="AA1042" s="12" t="s">
        <v>31</v>
      </c>
    </row>
    <row r="1043" spans="1:27" x14ac:dyDescent="0.25">
      <c r="A1043" s="10">
        <v>45674</v>
      </c>
      <c r="B1043" s="11" t="s">
        <v>126</v>
      </c>
      <c r="C1043" s="11" t="s">
        <v>2615</v>
      </c>
      <c r="D1043" s="11" t="s">
        <v>26</v>
      </c>
      <c r="E1043" s="11" t="s">
        <v>101</v>
      </c>
      <c r="F1043" s="11" t="s">
        <v>26</v>
      </c>
      <c r="G1043" s="11">
        <v>69217</v>
      </c>
      <c r="H1043" s="12" t="s">
        <v>4423</v>
      </c>
      <c r="I1043" s="12" t="s">
        <v>27</v>
      </c>
      <c r="J1043" s="12" t="s">
        <v>42</v>
      </c>
      <c r="K1043" s="12" t="s">
        <v>43</v>
      </c>
      <c r="L1043" s="13">
        <v>40.58</v>
      </c>
      <c r="M1043" s="13">
        <v>25</v>
      </c>
      <c r="N1043" s="13">
        <v>1.6232</v>
      </c>
      <c r="O1043" s="13">
        <v>42</v>
      </c>
      <c r="P1043" s="13" t="s">
        <v>30</v>
      </c>
      <c r="Q1043" s="13">
        <v>0</v>
      </c>
      <c r="R1043" s="14">
        <v>1704.36</v>
      </c>
      <c r="S1043" s="15">
        <v>0</v>
      </c>
      <c r="T1043" s="15">
        <v>0</v>
      </c>
      <c r="U1043" s="15">
        <v>1704.36</v>
      </c>
      <c r="V1043" s="15">
        <v>1704.36</v>
      </c>
      <c r="W1043" s="15">
        <v>0</v>
      </c>
      <c r="X1043" s="16">
        <v>0</v>
      </c>
      <c r="Y1043" s="16">
        <v>0</v>
      </c>
      <c r="Z1043" s="67" t="s">
        <v>26</v>
      </c>
      <c r="AA1043" s="12" t="s">
        <v>31</v>
      </c>
    </row>
    <row r="1044" spans="1:27" x14ac:dyDescent="0.25">
      <c r="A1044" s="10">
        <v>45674</v>
      </c>
      <c r="B1044" s="11" t="s">
        <v>2616</v>
      </c>
      <c r="C1044" s="11" t="s">
        <v>2617</v>
      </c>
      <c r="D1044" s="11" t="s">
        <v>26</v>
      </c>
      <c r="E1044" s="11" t="s">
        <v>2618</v>
      </c>
      <c r="F1044" s="11" t="s">
        <v>26</v>
      </c>
      <c r="G1044" s="11" t="s">
        <v>35</v>
      </c>
      <c r="H1044" s="12" t="s">
        <v>36</v>
      </c>
      <c r="I1044" s="12" t="s">
        <v>55</v>
      </c>
      <c r="J1044" s="12" t="s">
        <v>55</v>
      </c>
      <c r="K1044" s="12" t="s">
        <v>56</v>
      </c>
      <c r="L1044" s="13">
        <v>30.28</v>
      </c>
      <c r="M1044" s="13">
        <v>18</v>
      </c>
      <c r="N1044" s="13">
        <v>1.6822222222222221</v>
      </c>
      <c r="O1044" s="13">
        <v>20</v>
      </c>
      <c r="P1044" s="13" t="s">
        <v>30</v>
      </c>
      <c r="Q1044" s="13">
        <v>0</v>
      </c>
      <c r="R1044" s="14">
        <v>605.6</v>
      </c>
      <c r="S1044" s="15">
        <v>0</v>
      </c>
      <c r="T1044" s="15">
        <v>0</v>
      </c>
      <c r="U1044" s="15">
        <v>605.6</v>
      </c>
      <c r="V1044" s="15">
        <v>0</v>
      </c>
      <c r="W1044" s="15">
        <v>605.6</v>
      </c>
      <c r="X1044" s="15">
        <v>0</v>
      </c>
      <c r="Y1044" s="16">
        <v>0</v>
      </c>
      <c r="Z1044" s="67" t="s">
        <v>26</v>
      </c>
      <c r="AA1044" s="12" t="s">
        <v>31</v>
      </c>
    </row>
    <row r="1045" spans="1:27" x14ac:dyDescent="0.25">
      <c r="A1045" s="10">
        <v>45674</v>
      </c>
      <c r="B1045" s="11" t="s">
        <v>1267</v>
      </c>
      <c r="C1045" s="11" t="s">
        <v>2619</v>
      </c>
      <c r="D1045" s="11" t="s">
        <v>26</v>
      </c>
      <c r="E1045" s="11" t="s">
        <v>658</v>
      </c>
      <c r="F1045" s="11" t="s">
        <v>26</v>
      </c>
      <c r="G1045" s="11">
        <v>852</v>
      </c>
      <c r="H1045" s="12" t="s">
        <v>141</v>
      </c>
      <c r="I1045" s="12" t="s">
        <v>37</v>
      </c>
      <c r="J1045" s="12" t="s">
        <v>85</v>
      </c>
      <c r="K1045" s="12" t="s">
        <v>86</v>
      </c>
      <c r="L1045" s="13">
        <v>38.26</v>
      </c>
      <c r="M1045" s="13">
        <v>25</v>
      </c>
      <c r="N1045" s="13">
        <v>1.5304</v>
      </c>
      <c r="O1045" s="13">
        <v>29</v>
      </c>
      <c r="P1045" s="13" t="s">
        <v>30</v>
      </c>
      <c r="Q1045" s="13">
        <v>0</v>
      </c>
      <c r="R1045" s="14">
        <v>1109.54</v>
      </c>
      <c r="S1045" s="15">
        <v>0</v>
      </c>
      <c r="T1045" s="15">
        <v>0</v>
      </c>
      <c r="U1045" s="15">
        <v>1109.54</v>
      </c>
      <c r="V1045" s="15">
        <v>0</v>
      </c>
      <c r="W1045" s="15">
        <v>1109.54</v>
      </c>
      <c r="X1045" s="15">
        <v>0</v>
      </c>
      <c r="Y1045" s="16">
        <v>0</v>
      </c>
      <c r="Z1045" s="67" t="s">
        <v>26</v>
      </c>
      <c r="AA1045" s="12" t="s">
        <v>31</v>
      </c>
    </row>
    <row r="1046" spans="1:27" x14ac:dyDescent="0.25">
      <c r="A1046" s="10">
        <v>45674</v>
      </c>
      <c r="B1046" s="11" t="s">
        <v>390</v>
      </c>
      <c r="C1046" s="11" t="s">
        <v>2620</v>
      </c>
      <c r="D1046" s="11" t="s">
        <v>26</v>
      </c>
      <c r="E1046" s="11" t="s">
        <v>67</v>
      </c>
      <c r="F1046" s="11" t="s">
        <v>26</v>
      </c>
      <c r="G1046" s="11">
        <v>1571</v>
      </c>
      <c r="H1046" s="12" t="s">
        <v>66</v>
      </c>
      <c r="I1046" s="12" t="s">
        <v>37</v>
      </c>
      <c r="J1046" s="12" t="s">
        <v>1909</v>
      </c>
      <c r="K1046" s="12" t="s">
        <v>82</v>
      </c>
      <c r="L1046" s="13">
        <v>38.979999999999997</v>
      </c>
      <c r="M1046" s="13">
        <v>25</v>
      </c>
      <c r="N1046" s="13">
        <v>1.5591999999999999</v>
      </c>
      <c r="O1046" s="13" t="s">
        <v>30</v>
      </c>
      <c r="P1046" s="13">
        <v>54</v>
      </c>
      <c r="Q1046" s="13">
        <v>0</v>
      </c>
      <c r="R1046" s="14">
        <v>1350</v>
      </c>
      <c r="S1046" s="15">
        <v>0</v>
      </c>
      <c r="T1046" s="15">
        <v>0</v>
      </c>
      <c r="U1046" s="15">
        <v>1350</v>
      </c>
      <c r="V1046" s="15">
        <v>1350</v>
      </c>
      <c r="W1046" s="15">
        <v>0</v>
      </c>
      <c r="X1046" s="16">
        <v>0</v>
      </c>
      <c r="Y1046" s="16">
        <v>0</v>
      </c>
      <c r="Z1046" s="67" t="s">
        <v>26</v>
      </c>
      <c r="AA1046" s="12" t="s">
        <v>31</v>
      </c>
    </row>
    <row r="1047" spans="1:27" x14ac:dyDescent="0.25">
      <c r="A1047" s="10">
        <v>45674</v>
      </c>
      <c r="B1047" s="11" t="s">
        <v>2621</v>
      </c>
      <c r="C1047" s="11" t="s">
        <v>2622</v>
      </c>
      <c r="D1047" s="11" t="s">
        <v>26</v>
      </c>
      <c r="E1047" s="11" t="s">
        <v>589</v>
      </c>
      <c r="F1047" s="11" t="s">
        <v>26</v>
      </c>
      <c r="G1047" s="11">
        <v>4583</v>
      </c>
      <c r="H1047" s="12" t="s">
        <v>4423</v>
      </c>
      <c r="I1047" s="12" t="s">
        <v>27</v>
      </c>
      <c r="J1047" s="12" t="s">
        <v>33</v>
      </c>
      <c r="K1047" s="12" t="s">
        <v>34</v>
      </c>
      <c r="L1047" s="13">
        <v>35.5</v>
      </c>
      <c r="M1047" s="13">
        <v>25</v>
      </c>
      <c r="N1047" s="13">
        <v>1.42</v>
      </c>
      <c r="O1047" s="13">
        <v>45</v>
      </c>
      <c r="P1047" s="13" t="s">
        <v>30</v>
      </c>
      <c r="Q1047" s="13">
        <v>0</v>
      </c>
      <c r="R1047" s="14">
        <v>1597.5</v>
      </c>
      <c r="S1047" s="15">
        <v>0</v>
      </c>
      <c r="T1047" s="15">
        <v>0</v>
      </c>
      <c r="U1047" s="15">
        <v>1597.5</v>
      </c>
      <c r="V1047" s="15">
        <v>1597.5</v>
      </c>
      <c r="W1047" s="15">
        <v>0</v>
      </c>
      <c r="X1047" s="15">
        <v>0</v>
      </c>
      <c r="Y1047" s="16">
        <v>0</v>
      </c>
      <c r="Z1047" s="67" t="s">
        <v>26</v>
      </c>
      <c r="AA1047" s="12" t="s">
        <v>31</v>
      </c>
    </row>
    <row r="1048" spans="1:27" x14ac:dyDescent="0.25">
      <c r="A1048" s="10">
        <v>45674</v>
      </c>
      <c r="B1048" s="11" t="s">
        <v>2623</v>
      </c>
      <c r="C1048" s="11" t="s">
        <v>2624</v>
      </c>
      <c r="D1048" s="11" t="s">
        <v>26</v>
      </c>
      <c r="E1048" s="11" t="s">
        <v>69</v>
      </c>
      <c r="F1048" s="11" t="s">
        <v>26</v>
      </c>
      <c r="G1048" s="11">
        <v>4690</v>
      </c>
      <c r="H1048" s="12" t="s">
        <v>70</v>
      </c>
      <c r="I1048" s="12" t="s">
        <v>27</v>
      </c>
      <c r="J1048" s="12" t="s">
        <v>33</v>
      </c>
      <c r="K1048" s="12" t="s">
        <v>34</v>
      </c>
      <c r="L1048" s="13">
        <v>38.74</v>
      </c>
      <c r="M1048" s="13">
        <v>25</v>
      </c>
      <c r="N1048" s="13">
        <v>1.5496000000000001</v>
      </c>
      <c r="O1048" s="13" t="s">
        <v>30</v>
      </c>
      <c r="P1048" s="13">
        <v>60</v>
      </c>
      <c r="Q1048" s="13">
        <v>0</v>
      </c>
      <c r="R1048" s="15">
        <v>1500</v>
      </c>
      <c r="S1048" s="15">
        <v>0</v>
      </c>
      <c r="T1048" s="15">
        <v>0</v>
      </c>
      <c r="U1048" s="15">
        <v>1500</v>
      </c>
      <c r="V1048" s="15">
        <v>0</v>
      </c>
      <c r="W1048" s="15">
        <v>1500</v>
      </c>
      <c r="X1048" s="15">
        <v>0</v>
      </c>
      <c r="Y1048" s="16">
        <v>0</v>
      </c>
      <c r="Z1048" s="67" t="s">
        <v>26</v>
      </c>
      <c r="AA1048" s="12" t="s">
        <v>31</v>
      </c>
    </row>
    <row r="1049" spans="1:27" x14ac:dyDescent="0.25">
      <c r="A1049" s="10">
        <v>45674</v>
      </c>
      <c r="B1049" s="11" t="s">
        <v>271</v>
      </c>
      <c r="C1049" s="11" t="s">
        <v>2625</v>
      </c>
      <c r="D1049" s="11" t="s">
        <v>26</v>
      </c>
      <c r="E1049" s="11" t="s">
        <v>567</v>
      </c>
      <c r="F1049" s="11" t="s">
        <v>26</v>
      </c>
      <c r="G1049" s="11">
        <v>112123</v>
      </c>
      <c r="H1049" s="12" t="s">
        <v>4446</v>
      </c>
      <c r="I1049" s="12" t="s">
        <v>27</v>
      </c>
      <c r="J1049" s="12" t="s">
        <v>42</v>
      </c>
      <c r="K1049" s="12" t="s">
        <v>43</v>
      </c>
      <c r="L1049" s="13">
        <v>43.12</v>
      </c>
      <c r="M1049" s="13">
        <v>25</v>
      </c>
      <c r="N1049" s="13">
        <v>1.7248000000000001</v>
      </c>
      <c r="O1049" s="13">
        <v>42</v>
      </c>
      <c r="P1049" s="13" t="s">
        <v>30</v>
      </c>
      <c r="Q1049" s="13">
        <v>0</v>
      </c>
      <c r="R1049" s="15">
        <v>1811.04</v>
      </c>
      <c r="S1049" s="15">
        <v>0</v>
      </c>
      <c r="T1049" s="15">
        <v>0</v>
      </c>
      <c r="U1049" s="15">
        <v>1811.04</v>
      </c>
      <c r="V1049" s="15">
        <v>1811.04</v>
      </c>
      <c r="W1049" s="15">
        <v>0</v>
      </c>
      <c r="X1049" s="15">
        <v>0</v>
      </c>
      <c r="Y1049" s="16">
        <v>0</v>
      </c>
      <c r="Z1049" s="67" t="s">
        <v>26</v>
      </c>
      <c r="AA1049" s="12" t="s">
        <v>31</v>
      </c>
    </row>
    <row r="1050" spans="1:27" x14ac:dyDescent="0.25">
      <c r="A1050" s="10">
        <v>45674</v>
      </c>
      <c r="B1050" s="11" t="s">
        <v>470</v>
      </c>
      <c r="C1050" s="11" t="s">
        <v>2626</v>
      </c>
      <c r="D1050" s="11" t="s">
        <v>26</v>
      </c>
      <c r="E1050" s="11" t="s">
        <v>1200</v>
      </c>
      <c r="F1050" s="11" t="s">
        <v>26</v>
      </c>
      <c r="G1050" s="11">
        <v>989</v>
      </c>
      <c r="H1050" s="12" t="s">
        <v>163</v>
      </c>
      <c r="I1050" s="12" t="s">
        <v>27</v>
      </c>
      <c r="J1050" s="12" t="s">
        <v>42</v>
      </c>
      <c r="K1050" s="12" t="s">
        <v>43</v>
      </c>
      <c r="L1050" s="13">
        <v>44.24</v>
      </c>
      <c r="M1050" s="13">
        <v>25</v>
      </c>
      <c r="N1050" s="13">
        <v>1.7696000000000001</v>
      </c>
      <c r="O1050" s="13" t="s">
        <v>30</v>
      </c>
      <c r="P1050" s="13">
        <v>56</v>
      </c>
      <c r="Q1050" s="13">
        <v>0</v>
      </c>
      <c r="R1050" s="15">
        <v>1400</v>
      </c>
      <c r="S1050" s="15">
        <v>0</v>
      </c>
      <c r="T1050" s="15">
        <v>0</v>
      </c>
      <c r="U1050" s="15">
        <v>1400</v>
      </c>
      <c r="V1050" s="15">
        <v>0</v>
      </c>
      <c r="W1050" s="15">
        <v>1400</v>
      </c>
      <c r="X1050" s="15">
        <v>0</v>
      </c>
      <c r="Y1050" s="16">
        <v>0</v>
      </c>
      <c r="Z1050" s="67" t="s">
        <v>26</v>
      </c>
      <c r="AA1050" s="12" t="s">
        <v>31</v>
      </c>
    </row>
    <row r="1051" spans="1:27" x14ac:dyDescent="0.25">
      <c r="A1051" s="10">
        <v>45674</v>
      </c>
      <c r="B1051" s="11" t="s">
        <v>2627</v>
      </c>
      <c r="C1051" s="11" t="s">
        <v>2628</v>
      </c>
      <c r="D1051" s="11" t="s">
        <v>26</v>
      </c>
      <c r="E1051" s="11" t="s">
        <v>184</v>
      </c>
      <c r="F1051" s="11" t="s">
        <v>26</v>
      </c>
      <c r="G1051" s="11">
        <v>1001</v>
      </c>
      <c r="H1051" s="12" t="s">
        <v>141</v>
      </c>
      <c r="I1051" s="12" t="s">
        <v>27</v>
      </c>
      <c r="J1051" s="12" t="s">
        <v>42</v>
      </c>
      <c r="K1051" s="12" t="s">
        <v>43</v>
      </c>
      <c r="L1051" s="13">
        <v>43.94</v>
      </c>
      <c r="M1051" s="13">
        <v>25</v>
      </c>
      <c r="N1051" s="13">
        <v>1.7576000000000001</v>
      </c>
      <c r="O1051" s="13">
        <v>40</v>
      </c>
      <c r="P1051" s="13" t="s">
        <v>30</v>
      </c>
      <c r="Q1051" s="13">
        <v>0</v>
      </c>
      <c r="R1051" s="14">
        <v>1757.6</v>
      </c>
      <c r="S1051" s="15">
        <v>0</v>
      </c>
      <c r="T1051" s="15">
        <v>0</v>
      </c>
      <c r="U1051" s="15">
        <v>1757.6</v>
      </c>
      <c r="V1051" s="15">
        <v>0</v>
      </c>
      <c r="W1051" s="15">
        <v>1757.6</v>
      </c>
      <c r="X1051" s="15">
        <v>0</v>
      </c>
      <c r="Y1051" s="16">
        <v>0</v>
      </c>
      <c r="Z1051" s="67" t="s">
        <v>26</v>
      </c>
      <c r="AA1051" s="12" t="s">
        <v>31</v>
      </c>
    </row>
    <row r="1052" spans="1:27" x14ac:dyDescent="0.25">
      <c r="A1052" s="10">
        <v>45674</v>
      </c>
      <c r="B1052" s="11" t="s">
        <v>2629</v>
      </c>
      <c r="C1052" s="11" t="s">
        <v>2630</v>
      </c>
      <c r="D1052" s="11" t="s">
        <v>26</v>
      </c>
      <c r="E1052" s="11" t="s">
        <v>80</v>
      </c>
      <c r="F1052" s="11" t="s">
        <v>26</v>
      </c>
      <c r="G1052" s="11" t="s">
        <v>26</v>
      </c>
      <c r="H1052" s="12" t="s">
        <v>4422</v>
      </c>
      <c r="I1052" s="12" t="s">
        <v>27</v>
      </c>
      <c r="J1052" s="12" t="s">
        <v>47</v>
      </c>
      <c r="K1052" s="12" t="s">
        <v>48</v>
      </c>
      <c r="L1052" s="13">
        <v>41.42</v>
      </c>
      <c r="M1052" s="13">
        <v>28</v>
      </c>
      <c r="N1052" s="13">
        <v>1.4792857142857141</v>
      </c>
      <c r="O1052" s="13">
        <v>87</v>
      </c>
      <c r="P1052" s="13" t="s">
        <v>30</v>
      </c>
      <c r="Q1052" s="13">
        <v>0</v>
      </c>
      <c r="R1052" s="15">
        <v>3603.54</v>
      </c>
      <c r="S1052" s="15">
        <v>38</v>
      </c>
      <c r="T1052" s="15">
        <v>1573.96</v>
      </c>
      <c r="U1052" s="15">
        <v>2029.58</v>
      </c>
      <c r="V1052" s="15">
        <v>2029.58</v>
      </c>
      <c r="W1052" s="15">
        <v>0</v>
      </c>
      <c r="X1052" s="15">
        <v>1491.1200000000001</v>
      </c>
      <c r="Y1052" s="16">
        <v>82.839999999999918</v>
      </c>
      <c r="Z1052" s="67" t="s">
        <v>140</v>
      </c>
      <c r="AA1052" s="12" t="s">
        <v>78</v>
      </c>
    </row>
    <row r="1053" spans="1:27" x14ac:dyDescent="0.25">
      <c r="A1053" s="10">
        <v>45674</v>
      </c>
      <c r="B1053" s="11" t="s">
        <v>2631</v>
      </c>
      <c r="C1053" s="11" t="s">
        <v>2632</v>
      </c>
      <c r="D1053" s="11" t="s">
        <v>26</v>
      </c>
      <c r="E1053" s="11" t="s">
        <v>75</v>
      </c>
      <c r="F1053" s="11" t="s">
        <v>26</v>
      </c>
      <c r="G1053" s="11">
        <v>42016</v>
      </c>
      <c r="H1053" s="12" t="s">
        <v>565</v>
      </c>
      <c r="I1053" s="12" t="s">
        <v>27</v>
      </c>
      <c r="J1053" s="12" t="s">
        <v>33</v>
      </c>
      <c r="K1053" s="12" t="s">
        <v>34</v>
      </c>
      <c r="L1053" s="13">
        <v>43.44</v>
      </c>
      <c r="M1053" s="13">
        <v>30</v>
      </c>
      <c r="N1053" s="13">
        <v>1.448</v>
      </c>
      <c r="O1053" s="13"/>
      <c r="P1053" s="13">
        <v>60</v>
      </c>
      <c r="Q1053" s="13">
        <v>0</v>
      </c>
      <c r="R1053" s="14">
        <v>1800</v>
      </c>
      <c r="S1053" s="15">
        <v>0</v>
      </c>
      <c r="T1053" s="15">
        <v>0</v>
      </c>
      <c r="U1053" s="15">
        <v>1800</v>
      </c>
      <c r="V1053" s="15">
        <v>0</v>
      </c>
      <c r="W1053" s="15">
        <v>1800</v>
      </c>
      <c r="X1053" s="15">
        <v>0</v>
      </c>
      <c r="Y1053" s="16">
        <v>0</v>
      </c>
      <c r="Z1053" s="67" t="s">
        <v>26</v>
      </c>
      <c r="AA1053" s="12" t="s">
        <v>31</v>
      </c>
    </row>
    <row r="1054" spans="1:27" x14ac:dyDescent="0.25">
      <c r="A1054" s="10">
        <v>45674</v>
      </c>
      <c r="B1054" s="11" t="s">
        <v>719</v>
      </c>
      <c r="C1054" s="11" t="s">
        <v>2633</v>
      </c>
      <c r="D1054" s="11" t="s">
        <v>26</v>
      </c>
      <c r="E1054" s="11" t="s">
        <v>179</v>
      </c>
      <c r="F1054" s="11" t="s">
        <v>26</v>
      </c>
      <c r="G1054" s="11">
        <v>57726</v>
      </c>
      <c r="H1054" s="12" t="s">
        <v>4423</v>
      </c>
      <c r="I1054" s="12" t="s">
        <v>27</v>
      </c>
      <c r="J1054" s="12" t="s">
        <v>42</v>
      </c>
      <c r="K1054" s="12" t="s">
        <v>43</v>
      </c>
      <c r="L1054" s="13">
        <v>40.159999999999997</v>
      </c>
      <c r="M1054" s="13">
        <v>25</v>
      </c>
      <c r="N1054" s="13">
        <v>1.6064000000000001</v>
      </c>
      <c r="O1054" s="13">
        <v>42</v>
      </c>
      <c r="P1054" s="13" t="s">
        <v>30</v>
      </c>
      <c r="Q1054" s="13">
        <v>0</v>
      </c>
      <c r="R1054" s="15">
        <v>1686.7199999999998</v>
      </c>
      <c r="S1054" s="15">
        <v>0</v>
      </c>
      <c r="T1054" s="15">
        <v>0</v>
      </c>
      <c r="U1054" s="15">
        <v>1686.7199999999998</v>
      </c>
      <c r="V1054" s="15">
        <v>1686.7199999999998</v>
      </c>
      <c r="W1054" s="15">
        <v>0</v>
      </c>
      <c r="X1054" s="15">
        <v>0</v>
      </c>
      <c r="Y1054" s="16">
        <v>0</v>
      </c>
      <c r="Z1054" s="67" t="s">
        <v>26</v>
      </c>
      <c r="AA1054" s="12" t="s">
        <v>31</v>
      </c>
    </row>
    <row r="1055" spans="1:27" x14ac:dyDescent="0.25">
      <c r="A1055" s="10">
        <v>45674</v>
      </c>
      <c r="B1055" s="11" t="s">
        <v>327</v>
      </c>
      <c r="C1055" s="11" t="s">
        <v>2634</v>
      </c>
      <c r="D1055" s="11" t="s">
        <v>26</v>
      </c>
      <c r="E1055" s="11" t="s">
        <v>81</v>
      </c>
      <c r="F1055" s="11" t="s">
        <v>26</v>
      </c>
      <c r="G1055" s="11">
        <v>1201</v>
      </c>
      <c r="H1055" s="12" t="s">
        <v>141</v>
      </c>
      <c r="I1055" s="12" t="s">
        <v>55</v>
      </c>
      <c r="J1055" s="12" t="s">
        <v>55</v>
      </c>
      <c r="K1055" s="12" t="s">
        <v>56</v>
      </c>
      <c r="L1055" s="13">
        <v>38.479999999999997</v>
      </c>
      <c r="M1055" s="13">
        <v>25</v>
      </c>
      <c r="N1055" s="13">
        <v>1.5391999999999999</v>
      </c>
      <c r="O1055" s="13">
        <v>15</v>
      </c>
      <c r="P1055" s="13" t="s">
        <v>30</v>
      </c>
      <c r="Q1055" s="13">
        <v>0</v>
      </c>
      <c r="R1055" s="15">
        <v>577.19999999999993</v>
      </c>
      <c r="S1055" s="15">
        <v>0</v>
      </c>
      <c r="T1055" s="15">
        <v>0</v>
      </c>
      <c r="U1055" s="15">
        <v>577.19999999999993</v>
      </c>
      <c r="V1055" s="15">
        <v>0</v>
      </c>
      <c r="W1055" s="15">
        <v>577.19999999999993</v>
      </c>
      <c r="X1055" s="15">
        <v>0</v>
      </c>
      <c r="Y1055" s="16">
        <v>0</v>
      </c>
      <c r="Z1055" s="67" t="s">
        <v>26</v>
      </c>
      <c r="AA1055" s="12" t="s">
        <v>31</v>
      </c>
    </row>
    <row r="1056" spans="1:27" x14ac:dyDescent="0.25">
      <c r="A1056" s="10">
        <v>45674</v>
      </c>
      <c r="B1056" s="11" t="s">
        <v>1748</v>
      </c>
      <c r="C1056" s="11" t="s">
        <v>2635</v>
      </c>
      <c r="D1056" s="11" t="s">
        <v>26</v>
      </c>
      <c r="E1056" s="11" t="s">
        <v>604</v>
      </c>
      <c r="F1056" s="11" t="s">
        <v>26</v>
      </c>
      <c r="G1056" s="11">
        <v>1102</v>
      </c>
      <c r="H1056" s="12" t="s">
        <v>141</v>
      </c>
      <c r="I1056" s="12" t="s">
        <v>37</v>
      </c>
      <c r="J1056" s="12" t="s">
        <v>85</v>
      </c>
      <c r="K1056" s="12" t="s">
        <v>86</v>
      </c>
      <c r="L1056" s="13">
        <v>37.6</v>
      </c>
      <c r="M1056" s="13">
        <v>25</v>
      </c>
      <c r="N1056" s="13">
        <v>1.504</v>
      </c>
      <c r="O1056" s="13">
        <v>29</v>
      </c>
      <c r="P1056" s="13" t="s">
        <v>30</v>
      </c>
      <c r="Q1056" s="13">
        <v>0</v>
      </c>
      <c r="R1056" s="14">
        <v>1090.4000000000001</v>
      </c>
      <c r="S1056" s="15">
        <v>0</v>
      </c>
      <c r="T1056" s="15">
        <v>0</v>
      </c>
      <c r="U1056" s="15">
        <v>1090.4000000000001</v>
      </c>
      <c r="V1056" s="15">
        <v>0</v>
      </c>
      <c r="W1056" s="15">
        <v>1090.4000000000001</v>
      </c>
      <c r="X1056" s="15">
        <v>0</v>
      </c>
      <c r="Y1056" s="16">
        <v>0</v>
      </c>
      <c r="Z1056" s="67" t="s">
        <v>26</v>
      </c>
      <c r="AA1056" s="12" t="s">
        <v>31</v>
      </c>
    </row>
    <row r="1057" spans="1:27" x14ac:dyDescent="0.25">
      <c r="A1057" s="10">
        <v>45674</v>
      </c>
      <c r="B1057" s="11" t="s">
        <v>2636</v>
      </c>
      <c r="C1057" s="11" t="s">
        <v>2637</v>
      </c>
      <c r="D1057" s="11" t="s">
        <v>26</v>
      </c>
      <c r="E1057" s="11" t="s">
        <v>54</v>
      </c>
      <c r="F1057" s="11" t="s">
        <v>26</v>
      </c>
      <c r="G1057" s="11">
        <v>112125</v>
      </c>
      <c r="H1057" s="12" t="s">
        <v>4446</v>
      </c>
      <c r="I1057" s="12" t="s">
        <v>27</v>
      </c>
      <c r="J1057" s="12" t="s">
        <v>33</v>
      </c>
      <c r="K1057" s="12" t="s">
        <v>34</v>
      </c>
      <c r="L1057" s="13">
        <v>34.880000000000003</v>
      </c>
      <c r="M1057" s="13">
        <v>25</v>
      </c>
      <c r="N1057" s="13">
        <v>1.3952</v>
      </c>
      <c r="O1057" s="13">
        <v>44</v>
      </c>
      <c r="P1057" s="13" t="s">
        <v>30</v>
      </c>
      <c r="Q1057" s="13">
        <v>0</v>
      </c>
      <c r="R1057" s="14">
        <v>1534.72</v>
      </c>
      <c r="S1057" s="15">
        <v>0</v>
      </c>
      <c r="T1057" s="15">
        <v>0</v>
      </c>
      <c r="U1057" s="15">
        <v>1534.72</v>
      </c>
      <c r="V1057" s="15">
        <v>1534.72</v>
      </c>
      <c r="W1057" s="15">
        <v>0</v>
      </c>
      <c r="X1057" s="15">
        <v>0</v>
      </c>
      <c r="Y1057" s="16">
        <v>0</v>
      </c>
      <c r="Z1057" s="67" t="s">
        <v>26</v>
      </c>
      <c r="AA1057" s="12" t="s">
        <v>31</v>
      </c>
    </row>
    <row r="1058" spans="1:27" x14ac:dyDescent="0.25">
      <c r="A1058" s="10">
        <v>45674</v>
      </c>
      <c r="B1058" s="11" t="s">
        <v>2638</v>
      </c>
      <c r="C1058" s="11" t="s">
        <v>2639</v>
      </c>
      <c r="D1058" s="11" t="s">
        <v>26</v>
      </c>
      <c r="E1058" s="11" t="s">
        <v>605</v>
      </c>
      <c r="F1058" s="11" t="s">
        <v>26</v>
      </c>
      <c r="G1058" s="11">
        <v>1051</v>
      </c>
      <c r="H1058" s="12" t="s">
        <v>141</v>
      </c>
      <c r="I1058" s="12" t="s">
        <v>55</v>
      </c>
      <c r="J1058" s="12" t="s">
        <v>55</v>
      </c>
      <c r="K1058" s="12" t="s">
        <v>56</v>
      </c>
      <c r="L1058" s="13">
        <v>38.08</v>
      </c>
      <c r="M1058" s="13">
        <v>25</v>
      </c>
      <c r="N1058" s="13">
        <v>1.5232000000000001</v>
      </c>
      <c r="O1058" s="13">
        <v>15</v>
      </c>
      <c r="P1058" s="13" t="s">
        <v>30</v>
      </c>
      <c r="Q1058" s="13">
        <v>0</v>
      </c>
      <c r="R1058" s="15">
        <v>571.19999999999993</v>
      </c>
      <c r="S1058" s="15">
        <v>0</v>
      </c>
      <c r="T1058" s="15">
        <v>0</v>
      </c>
      <c r="U1058" s="15">
        <v>571.19999999999993</v>
      </c>
      <c r="V1058" s="15">
        <v>0</v>
      </c>
      <c r="W1058" s="15">
        <v>571.19999999999993</v>
      </c>
      <c r="X1058" s="15">
        <v>0</v>
      </c>
      <c r="Y1058" s="16">
        <v>0</v>
      </c>
      <c r="Z1058" s="67" t="s">
        <v>26</v>
      </c>
      <c r="AA1058" s="12" t="s">
        <v>31</v>
      </c>
    </row>
    <row r="1059" spans="1:27" x14ac:dyDescent="0.25">
      <c r="A1059" s="10">
        <v>45674</v>
      </c>
      <c r="B1059" s="11" t="s">
        <v>2640</v>
      </c>
      <c r="C1059" s="11" t="s">
        <v>2641</v>
      </c>
      <c r="D1059" s="11" t="s">
        <v>26</v>
      </c>
      <c r="E1059" s="11" t="s">
        <v>519</v>
      </c>
      <c r="F1059" s="11" t="s">
        <v>26</v>
      </c>
      <c r="G1059" s="11">
        <v>70259</v>
      </c>
      <c r="H1059" s="12" t="s">
        <v>4448</v>
      </c>
      <c r="I1059" s="12" t="s">
        <v>27</v>
      </c>
      <c r="J1059" s="12" t="s">
        <v>42</v>
      </c>
      <c r="K1059" s="12" t="s">
        <v>43</v>
      </c>
      <c r="L1059" s="13">
        <v>43.22</v>
      </c>
      <c r="M1059" s="13">
        <v>25</v>
      </c>
      <c r="N1059" s="13">
        <v>1.7287999999999999</v>
      </c>
      <c r="O1059" s="13">
        <v>42.5</v>
      </c>
      <c r="P1059" s="13" t="s">
        <v>30</v>
      </c>
      <c r="Q1059" s="13">
        <v>0</v>
      </c>
      <c r="R1059" s="15">
        <v>1836.85</v>
      </c>
      <c r="S1059" s="15">
        <v>0</v>
      </c>
      <c r="T1059" s="15">
        <v>0</v>
      </c>
      <c r="U1059" s="15">
        <v>1836.85</v>
      </c>
      <c r="V1059" s="15">
        <v>1377.6374999999998</v>
      </c>
      <c r="W1059" s="15">
        <v>459.21250000000009</v>
      </c>
      <c r="X1059" s="15">
        <v>0</v>
      </c>
      <c r="Y1059" s="16">
        <v>0</v>
      </c>
      <c r="Z1059" s="67" t="s">
        <v>26</v>
      </c>
      <c r="AA1059" s="12" t="s">
        <v>31</v>
      </c>
    </row>
    <row r="1060" spans="1:27" x14ac:dyDescent="0.25">
      <c r="A1060" s="10">
        <v>45674</v>
      </c>
      <c r="B1060" s="11" t="s">
        <v>2642</v>
      </c>
      <c r="C1060" s="11" t="s">
        <v>2643</v>
      </c>
      <c r="D1060" s="11" t="s">
        <v>26</v>
      </c>
      <c r="E1060" s="11" t="s">
        <v>69</v>
      </c>
      <c r="F1060" s="11" t="s">
        <v>26</v>
      </c>
      <c r="G1060" s="11">
        <v>4691</v>
      </c>
      <c r="H1060" s="12" t="s">
        <v>70</v>
      </c>
      <c r="I1060" s="12" t="s">
        <v>27</v>
      </c>
      <c r="J1060" s="12" t="s">
        <v>42</v>
      </c>
      <c r="K1060" s="12" t="s">
        <v>43</v>
      </c>
      <c r="L1060" s="13">
        <v>43.12</v>
      </c>
      <c r="M1060" s="13">
        <v>25</v>
      </c>
      <c r="N1060" s="13">
        <v>1.7248000000000001</v>
      </c>
      <c r="O1060" s="13" t="s">
        <v>30</v>
      </c>
      <c r="P1060" s="13">
        <v>64</v>
      </c>
      <c r="Q1060" s="13">
        <v>0</v>
      </c>
      <c r="R1060" s="15">
        <v>1600</v>
      </c>
      <c r="S1060" s="15">
        <v>0</v>
      </c>
      <c r="T1060" s="15">
        <v>0</v>
      </c>
      <c r="U1060" s="15">
        <v>1600</v>
      </c>
      <c r="V1060" s="15">
        <v>0</v>
      </c>
      <c r="W1060" s="15">
        <v>1600</v>
      </c>
      <c r="X1060" s="15">
        <v>0</v>
      </c>
      <c r="Y1060" s="16">
        <v>0</v>
      </c>
      <c r="Z1060" s="67" t="s">
        <v>26</v>
      </c>
      <c r="AA1060" s="12" t="s">
        <v>31</v>
      </c>
    </row>
    <row r="1061" spans="1:27" x14ac:dyDescent="0.25">
      <c r="A1061" s="10">
        <v>45674</v>
      </c>
      <c r="B1061" s="11" t="s">
        <v>2644</v>
      </c>
      <c r="C1061" s="11" t="s">
        <v>2645</v>
      </c>
      <c r="D1061" s="11" t="s">
        <v>26</v>
      </c>
      <c r="E1061" s="11" t="s">
        <v>230</v>
      </c>
      <c r="F1061" s="11" t="s">
        <v>26</v>
      </c>
      <c r="G1061" s="11">
        <v>23135</v>
      </c>
      <c r="H1061" s="12" t="s">
        <v>565</v>
      </c>
      <c r="I1061" s="12" t="s">
        <v>27</v>
      </c>
      <c r="J1061" s="12" t="s">
        <v>33</v>
      </c>
      <c r="K1061" s="12" t="s">
        <v>34</v>
      </c>
      <c r="L1061" s="13">
        <v>43.4</v>
      </c>
      <c r="M1061" s="13">
        <v>30</v>
      </c>
      <c r="N1061" s="13">
        <v>1.446666666666667</v>
      </c>
      <c r="O1061" s="13"/>
      <c r="P1061" s="13">
        <v>60</v>
      </c>
      <c r="Q1061" s="13">
        <v>0</v>
      </c>
      <c r="R1061" s="14">
        <v>1800</v>
      </c>
      <c r="S1061" s="15">
        <v>0</v>
      </c>
      <c r="T1061" s="15">
        <v>0</v>
      </c>
      <c r="U1061" s="15">
        <v>1800</v>
      </c>
      <c r="V1061" s="15">
        <v>0</v>
      </c>
      <c r="W1061" s="15">
        <v>1800</v>
      </c>
      <c r="X1061" s="15">
        <v>0</v>
      </c>
      <c r="Y1061" s="16">
        <v>0</v>
      </c>
      <c r="Z1061" s="67" t="s">
        <v>26</v>
      </c>
      <c r="AA1061" s="12" t="s">
        <v>31</v>
      </c>
    </row>
    <row r="1062" spans="1:27" x14ac:dyDescent="0.25">
      <c r="A1062" s="10">
        <v>45674</v>
      </c>
      <c r="B1062" s="11" t="s">
        <v>2646</v>
      </c>
      <c r="C1062" s="11" t="s">
        <v>2647</v>
      </c>
      <c r="D1062" s="11" t="s">
        <v>26</v>
      </c>
      <c r="E1062" s="11" t="s">
        <v>539</v>
      </c>
      <c r="F1062" s="11" t="s">
        <v>26</v>
      </c>
      <c r="G1062" s="11">
        <v>3808</v>
      </c>
      <c r="H1062" s="12" t="s">
        <v>41</v>
      </c>
      <c r="I1062" s="12" t="s">
        <v>55</v>
      </c>
      <c r="J1062" s="12" t="s">
        <v>55</v>
      </c>
      <c r="K1062" s="12" t="s">
        <v>56</v>
      </c>
      <c r="L1062" s="13">
        <v>40.6</v>
      </c>
      <c r="M1062" s="13">
        <v>25</v>
      </c>
      <c r="N1062" s="13">
        <v>1.6240000000000001</v>
      </c>
      <c r="O1062" s="13" t="s">
        <v>30</v>
      </c>
      <c r="P1062" s="13">
        <v>24</v>
      </c>
      <c r="Q1062" s="13">
        <v>0</v>
      </c>
      <c r="R1062" s="15">
        <v>600</v>
      </c>
      <c r="S1062" s="15">
        <v>0</v>
      </c>
      <c r="T1062" s="15">
        <v>0</v>
      </c>
      <c r="U1062" s="15">
        <v>600</v>
      </c>
      <c r="V1062" s="15">
        <v>0</v>
      </c>
      <c r="W1062" s="15">
        <v>600</v>
      </c>
      <c r="X1062" s="15">
        <v>0</v>
      </c>
      <c r="Y1062" s="16">
        <v>0</v>
      </c>
      <c r="Z1062" s="67" t="s">
        <v>26</v>
      </c>
      <c r="AA1062" s="12" t="s">
        <v>31</v>
      </c>
    </row>
    <row r="1063" spans="1:27" x14ac:dyDescent="0.25">
      <c r="A1063" s="10">
        <v>45674</v>
      </c>
      <c r="B1063" s="11" t="s">
        <v>2648</v>
      </c>
      <c r="C1063" s="11" t="s">
        <v>2649</v>
      </c>
      <c r="D1063" s="11" t="s">
        <v>26</v>
      </c>
      <c r="E1063" s="11" t="s">
        <v>46</v>
      </c>
      <c r="F1063" s="11" t="s">
        <v>26</v>
      </c>
      <c r="G1063" s="11">
        <v>112130</v>
      </c>
      <c r="H1063" s="12" t="s">
        <v>4446</v>
      </c>
      <c r="I1063" s="12" t="s">
        <v>27</v>
      </c>
      <c r="J1063" s="12" t="s">
        <v>42</v>
      </c>
      <c r="K1063" s="12" t="s">
        <v>43</v>
      </c>
      <c r="L1063" s="13">
        <v>40.880000000000003</v>
      </c>
      <c r="M1063" s="13">
        <v>25</v>
      </c>
      <c r="N1063" s="13">
        <v>1.6352</v>
      </c>
      <c r="O1063" s="13">
        <v>42</v>
      </c>
      <c r="P1063" s="13" t="s">
        <v>30</v>
      </c>
      <c r="Q1063" s="13">
        <v>0</v>
      </c>
      <c r="R1063" s="15">
        <v>1716.96</v>
      </c>
      <c r="S1063" s="15">
        <v>0</v>
      </c>
      <c r="T1063" s="15">
        <v>0</v>
      </c>
      <c r="U1063" s="15">
        <v>1716.96</v>
      </c>
      <c r="V1063" s="15">
        <v>1716.96</v>
      </c>
      <c r="W1063" s="15">
        <v>0</v>
      </c>
      <c r="X1063" s="15">
        <v>0</v>
      </c>
      <c r="Y1063" s="16">
        <v>0</v>
      </c>
      <c r="Z1063" s="67" t="s">
        <v>26</v>
      </c>
      <c r="AA1063" s="12" t="s">
        <v>31</v>
      </c>
    </row>
    <row r="1064" spans="1:27" x14ac:dyDescent="0.25">
      <c r="A1064" s="10">
        <v>45674</v>
      </c>
      <c r="B1064" s="11" t="s">
        <v>1819</v>
      </c>
      <c r="C1064" s="11" t="s">
        <v>2650</v>
      </c>
      <c r="D1064" s="11" t="s">
        <v>26</v>
      </c>
      <c r="E1064" s="11" t="s">
        <v>244</v>
      </c>
      <c r="F1064" s="11" t="s">
        <v>26</v>
      </c>
      <c r="G1064" s="11">
        <v>952</v>
      </c>
      <c r="H1064" s="12" t="s">
        <v>141</v>
      </c>
      <c r="I1064" s="12" t="s">
        <v>37</v>
      </c>
      <c r="J1064" s="12" t="s">
        <v>599</v>
      </c>
      <c r="K1064" s="12" t="s">
        <v>82</v>
      </c>
      <c r="L1064" s="13">
        <v>39.56</v>
      </c>
      <c r="M1064" s="13">
        <v>25</v>
      </c>
      <c r="N1064" s="13">
        <v>1.5824</v>
      </c>
      <c r="O1064" s="13">
        <v>29</v>
      </c>
      <c r="P1064" s="13" t="s">
        <v>30</v>
      </c>
      <c r="Q1064" s="13">
        <v>0</v>
      </c>
      <c r="R1064" s="14">
        <v>1147.24</v>
      </c>
      <c r="S1064" s="15">
        <v>0</v>
      </c>
      <c r="T1064" s="15">
        <v>0</v>
      </c>
      <c r="U1064" s="15">
        <v>1147.24</v>
      </c>
      <c r="V1064" s="15">
        <v>0</v>
      </c>
      <c r="W1064" s="15">
        <v>1147.24</v>
      </c>
      <c r="X1064" s="15">
        <v>0</v>
      </c>
      <c r="Y1064" s="16">
        <v>0</v>
      </c>
      <c r="Z1064" s="67" t="s">
        <v>26</v>
      </c>
      <c r="AA1064" s="12" t="s">
        <v>31</v>
      </c>
    </row>
    <row r="1065" spans="1:27" x14ac:dyDescent="0.25">
      <c r="A1065" s="10">
        <v>45674</v>
      </c>
      <c r="B1065" s="11" t="s">
        <v>2651</v>
      </c>
      <c r="C1065" s="11" t="s">
        <v>2652</v>
      </c>
      <c r="D1065" s="11" t="s">
        <v>26</v>
      </c>
      <c r="E1065" s="11" t="s">
        <v>57</v>
      </c>
      <c r="F1065" s="11" t="s">
        <v>26</v>
      </c>
      <c r="G1065" s="11" t="s">
        <v>26</v>
      </c>
      <c r="H1065" s="12" t="s">
        <v>4422</v>
      </c>
      <c r="I1065" s="12" t="s">
        <v>27</v>
      </c>
      <c r="J1065" s="12" t="s">
        <v>47</v>
      </c>
      <c r="K1065" s="12" t="s">
        <v>48</v>
      </c>
      <c r="L1065" s="13">
        <v>42.56</v>
      </c>
      <c r="M1065" s="13">
        <v>29</v>
      </c>
      <c r="N1065" s="13">
        <v>1.4675862068965519</v>
      </c>
      <c r="O1065" s="13">
        <v>87</v>
      </c>
      <c r="P1065" s="13" t="s">
        <v>30</v>
      </c>
      <c r="Q1065" s="13">
        <v>0</v>
      </c>
      <c r="R1065" s="14">
        <v>3702.7200000000003</v>
      </c>
      <c r="S1065" s="15">
        <v>38</v>
      </c>
      <c r="T1065" s="15">
        <v>1617.2800000000002</v>
      </c>
      <c r="U1065" s="15">
        <v>2085.44</v>
      </c>
      <c r="V1065" s="15">
        <v>2085.44</v>
      </c>
      <c r="W1065" s="15">
        <v>0</v>
      </c>
      <c r="X1065" s="15">
        <v>1574.72</v>
      </c>
      <c r="Y1065" s="16">
        <v>42.560000000000173</v>
      </c>
      <c r="Z1065" s="67" t="s">
        <v>41</v>
      </c>
      <c r="AA1065" s="12" t="s">
        <v>78</v>
      </c>
    </row>
    <row r="1066" spans="1:27" x14ac:dyDescent="0.25">
      <c r="A1066" s="10">
        <v>45674</v>
      </c>
      <c r="B1066" s="11" t="s">
        <v>2653</v>
      </c>
      <c r="C1066" s="11" t="s">
        <v>2654</v>
      </c>
      <c r="D1066" s="11" t="s">
        <v>26</v>
      </c>
      <c r="E1066" s="11" t="s">
        <v>506</v>
      </c>
      <c r="F1066" s="11" t="s">
        <v>26</v>
      </c>
      <c r="G1066" s="11">
        <v>1519</v>
      </c>
      <c r="H1066" s="12" t="s">
        <v>45</v>
      </c>
      <c r="I1066" s="12" t="s">
        <v>27</v>
      </c>
      <c r="J1066" s="12" t="s">
        <v>33</v>
      </c>
      <c r="K1066" s="12" t="s">
        <v>34</v>
      </c>
      <c r="L1066" s="13">
        <v>38.72</v>
      </c>
      <c r="M1066" s="13">
        <v>25</v>
      </c>
      <c r="N1066" s="13">
        <v>1.5488</v>
      </c>
      <c r="O1066" s="13" t="s">
        <v>30</v>
      </c>
      <c r="P1066" s="13">
        <v>58</v>
      </c>
      <c r="Q1066" s="13">
        <v>0</v>
      </c>
      <c r="R1066" s="15">
        <v>1450</v>
      </c>
      <c r="S1066" s="15">
        <v>0</v>
      </c>
      <c r="T1066" s="15">
        <v>0</v>
      </c>
      <c r="U1066" s="15">
        <v>1450</v>
      </c>
      <c r="V1066" s="15">
        <v>0</v>
      </c>
      <c r="W1066" s="15">
        <v>1450</v>
      </c>
      <c r="X1066" s="15">
        <v>0</v>
      </c>
      <c r="Y1066" s="16">
        <v>0</v>
      </c>
      <c r="Z1066" s="67" t="s">
        <v>26</v>
      </c>
      <c r="AA1066" s="12" t="s">
        <v>31</v>
      </c>
    </row>
    <row r="1067" spans="1:27" x14ac:dyDescent="0.25">
      <c r="A1067" s="10">
        <v>45674</v>
      </c>
      <c r="B1067" s="11" t="s">
        <v>2655</v>
      </c>
      <c r="C1067" s="11" t="s">
        <v>2656</v>
      </c>
      <c r="D1067" s="11" t="s">
        <v>26</v>
      </c>
      <c r="E1067" s="11" t="s">
        <v>1725</v>
      </c>
      <c r="F1067" s="11" t="s">
        <v>26</v>
      </c>
      <c r="G1067" s="11">
        <v>1503</v>
      </c>
      <c r="H1067" s="12" t="s">
        <v>45</v>
      </c>
      <c r="I1067" s="12" t="s">
        <v>27</v>
      </c>
      <c r="J1067" s="12" t="s">
        <v>42</v>
      </c>
      <c r="K1067" s="12" t="s">
        <v>43</v>
      </c>
      <c r="L1067" s="13">
        <v>44.24</v>
      </c>
      <c r="M1067" s="13">
        <v>25</v>
      </c>
      <c r="N1067" s="13">
        <v>1.7696000000000001</v>
      </c>
      <c r="O1067" s="13" t="s">
        <v>30</v>
      </c>
      <c r="P1067" s="13">
        <v>62</v>
      </c>
      <c r="Q1067" s="13">
        <v>0</v>
      </c>
      <c r="R1067" s="14">
        <v>1550</v>
      </c>
      <c r="S1067" s="15">
        <v>0</v>
      </c>
      <c r="T1067" s="15">
        <v>0</v>
      </c>
      <c r="U1067" s="15">
        <v>1550</v>
      </c>
      <c r="V1067" s="15">
        <v>0</v>
      </c>
      <c r="W1067" s="15">
        <v>1550</v>
      </c>
      <c r="X1067" s="15">
        <v>0</v>
      </c>
      <c r="Y1067" s="16">
        <v>0</v>
      </c>
      <c r="Z1067" s="67" t="s">
        <v>26</v>
      </c>
      <c r="AA1067" s="12" t="s">
        <v>31</v>
      </c>
    </row>
    <row r="1068" spans="1:27" x14ac:dyDescent="0.25">
      <c r="A1068" s="10">
        <v>45674</v>
      </c>
      <c r="B1068" s="11" t="s">
        <v>2657</v>
      </c>
      <c r="C1068" s="11" t="s">
        <v>2658</v>
      </c>
      <c r="D1068" s="11" t="s">
        <v>26</v>
      </c>
      <c r="E1068" s="11" t="s">
        <v>322</v>
      </c>
      <c r="F1068" s="11" t="s">
        <v>26</v>
      </c>
      <c r="G1068" s="11" t="s">
        <v>35</v>
      </c>
      <c r="H1068" s="12" t="s">
        <v>36</v>
      </c>
      <c r="I1068" s="12" t="s">
        <v>55</v>
      </c>
      <c r="J1068" s="12" t="s">
        <v>55</v>
      </c>
      <c r="K1068" s="12" t="s">
        <v>56</v>
      </c>
      <c r="L1068" s="13">
        <v>38.22</v>
      </c>
      <c r="M1068" s="13">
        <v>25</v>
      </c>
      <c r="N1068" s="13">
        <v>1.5287999999999999</v>
      </c>
      <c r="O1068" s="13">
        <v>20</v>
      </c>
      <c r="P1068" s="13" t="s">
        <v>30</v>
      </c>
      <c r="Q1068" s="13">
        <v>0</v>
      </c>
      <c r="R1068" s="14">
        <v>764.4</v>
      </c>
      <c r="S1068" s="15">
        <v>0</v>
      </c>
      <c r="T1068" s="15">
        <v>0</v>
      </c>
      <c r="U1068" s="15">
        <v>764.4</v>
      </c>
      <c r="V1068" s="15">
        <v>0</v>
      </c>
      <c r="W1068" s="15">
        <v>764.4</v>
      </c>
      <c r="X1068" s="15">
        <v>0</v>
      </c>
      <c r="Y1068" s="16">
        <v>0</v>
      </c>
      <c r="Z1068" s="67" t="s">
        <v>26</v>
      </c>
      <c r="AA1068" s="12" t="s">
        <v>31</v>
      </c>
    </row>
    <row r="1069" spans="1:27" x14ac:dyDescent="0.25">
      <c r="A1069" s="10">
        <v>45674</v>
      </c>
      <c r="B1069" s="11" t="s">
        <v>2659</v>
      </c>
      <c r="C1069" s="11" t="s">
        <v>2660</v>
      </c>
      <c r="D1069" s="11" t="s">
        <v>26</v>
      </c>
      <c r="E1069" s="11" t="s">
        <v>65</v>
      </c>
      <c r="F1069" s="11" t="s">
        <v>26</v>
      </c>
      <c r="G1069" s="11">
        <v>1573</v>
      </c>
      <c r="H1069" s="12" t="s">
        <v>66</v>
      </c>
      <c r="I1069" s="12" t="s">
        <v>37</v>
      </c>
      <c r="J1069" s="12" t="s">
        <v>1909</v>
      </c>
      <c r="K1069" s="12" t="s">
        <v>82</v>
      </c>
      <c r="L1069" s="13">
        <v>39.6</v>
      </c>
      <c r="M1069" s="13">
        <v>25</v>
      </c>
      <c r="N1069" s="13">
        <v>1.5840000000000001</v>
      </c>
      <c r="O1069" s="13" t="s">
        <v>30</v>
      </c>
      <c r="P1069" s="13">
        <v>54</v>
      </c>
      <c r="Q1069" s="13">
        <v>0</v>
      </c>
      <c r="R1069" s="14">
        <v>1350</v>
      </c>
      <c r="S1069" s="15">
        <v>0</v>
      </c>
      <c r="T1069" s="15">
        <v>0</v>
      </c>
      <c r="U1069" s="15">
        <v>1350</v>
      </c>
      <c r="V1069" s="15">
        <v>1350</v>
      </c>
      <c r="W1069" s="15">
        <v>0</v>
      </c>
      <c r="X1069" s="15">
        <v>0</v>
      </c>
      <c r="Y1069" s="16">
        <v>0</v>
      </c>
      <c r="Z1069" s="67" t="s">
        <v>26</v>
      </c>
      <c r="AA1069" s="12" t="s">
        <v>31</v>
      </c>
    </row>
    <row r="1070" spans="1:27" x14ac:dyDescent="0.25">
      <c r="A1070" s="10">
        <v>45674</v>
      </c>
      <c r="B1070" s="11" t="s">
        <v>1383</v>
      </c>
      <c r="C1070" s="11" t="s">
        <v>2661</v>
      </c>
      <c r="D1070" s="11" t="s">
        <v>26</v>
      </c>
      <c r="E1070" s="11" t="s">
        <v>53</v>
      </c>
      <c r="F1070" s="11" t="s">
        <v>26</v>
      </c>
      <c r="G1070" s="11">
        <v>3755</v>
      </c>
      <c r="H1070" s="12" t="s">
        <v>41</v>
      </c>
      <c r="I1070" s="12" t="s">
        <v>55</v>
      </c>
      <c r="J1070" s="12" t="s">
        <v>55</v>
      </c>
      <c r="K1070" s="12" t="s">
        <v>56</v>
      </c>
      <c r="L1070" s="13">
        <v>39.979999999999997</v>
      </c>
      <c r="M1070" s="13">
        <v>24</v>
      </c>
      <c r="N1070" s="13">
        <v>1.6658333333333331</v>
      </c>
      <c r="O1070" s="13" t="s">
        <v>30</v>
      </c>
      <c r="P1070" s="13">
        <v>24</v>
      </c>
      <c r="Q1070" s="13">
        <v>0</v>
      </c>
      <c r="R1070" s="14">
        <v>576</v>
      </c>
      <c r="S1070" s="15">
        <v>0</v>
      </c>
      <c r="T1070" s="15">
        <v>0</v>
      </c>
      <c r="U1070" s="15">
        <v>576</v>
      </c>
      <c r="V1070" s="15">
        <v>0</v>
      </c>
      <c r="W1070" s="15">
        <v>576</v>
      </c>
      <c r="X1070" s="15">
        <v>0</v>
      </c>
      <c r="Y1070" s="16">
        <v>0</v>
      </c>
      <c r="Z1070" s="67" t="s">
        <v>26</v>
      </c>
      <c r="AA1070" s="12" t="s">
        <v>31</v>
      </c>
    </row>
    <row r="1071" spans="1:27" x14ac:dyDescent="0.25">
      <c r="A1071" s="10">
        <v>45674</v>
      </c>
      <c r="B1071" s="11" t="s">
        <v>2662</v>
      </c>
      <c r="C1071" s="11" t="s">
        <v>2663</v>
      </c>
      <c r="D1071" s="11" t="s">
        <v>26</v>
      </c>
      <c r="E1071" s="11" t="s">
        <v>2618</v>
      </c>
      <c r="F1071" s="11" t="s">
        <v>26</v>
      </c>
      <c r="G1071" s="11">
        <v>988</v>
      </c>
      <c r="H1071" s="12" t="s">
        <v>163</v>
      </c>
      <c r="I1071" s="12" t="s">
        <v>55</v>
      </c>
      <c r="J1071" s="12" t="s">
        <v>55</v>
      </c>
      <c r="K1071" s="12" t="s">
        <v>56</v>
      </c>
      <c r="L1071" s="13">
        <v>31.32</v>
      </c>
      <c r="M1071" s="13">
        <v>20</v>
      </c>
      <c r="N1071" s="13">
        <v>1.5660000000000001</v>
      </c>
      <c r="O1071" s="13" t="s">
        <v>30</v>
      </c>
      <c r="P1071" s="13">
        <v>22</v>
      </c>
      <c r="Q1071" s="13">
        <v>0</v>
      </c>
      <c r="R1071" s="15">
        <v>440</v>
      </c>
      <c r="S1071" s="15">
        <v>0</v>
      </c>
      <c r="T1071" s="15">
        <v>0</v>
      </c>
      <c r="U1071" s="15">
        <v>440</v>
      </c>
      <c r="V1071" s="15">
        <v>0</v>
      </c>
      <c r="W1071" s="15">
        <v>440</v>
      </c>
      <c r="X1071" s="15">
        <v>0</v>
      </c>
      <c r="Y1071" s="16">
        <v>0</v>
      </c>
      <c r="Z1071" s="67" t="s">
        <v>26</v>
      </c>
      <c r="AA1071" s="12" t="s">
        <v>31</v>
      </c>
    </row>
    <row r="1072" spans="1:27" x14ac:dyDescent="0.25">
      <c r="A1072" s="10">
        <v>45674</v>
      </c>
      <c r="B1072" s="11" t="s">
        <v>2664</v>
      </c>
      <c r="C1072" s="11" t="s">
        <v>2665</v>
      </c>
      <c r="D1072" s="11" t="s">
        <v>26</v>
      </c>
      <c r="E1072" s="11" t="s">
        <v>570</v>
      </c>
      <c r="F1072" s="11" t="s">
        <v>26</v>
      </c>
      <c r="G1072" s="11">
        <v>10327</v>
      </c>
      <c r="H1072" s="12" t="s">
        <v>140</v>
      </c>
      <c r="I1072" s="12" t="s">
        <v>27</v>
      </c>
      <c r="J1072" s="12" t="s">
        <v>33</v>
      </c>
      <c r="K1072" s="12" t="s">
        <v>34</v>
      </c>
      <c r="L1072" s="13">
        <v>43.76</v>
      </c>
      <c r="M1072" s="13">
        <v>30</v>
      </c>
      <c r="N1072" s="13">
        <v>1.458666666666667</v>
      </c>
      <c r="O1072" s="13">
        <v>40</v>
      </c>
      <c r="P1072" s="13"/>
      <c r="Q1072" s="13">
        <v>0</v>
      </c>
      <c r="R1072" s="15">
        <v>1750.3999999999999</v>
      </c>
      <c r="S1072" s="15">
        <v>0</v>
      </c>
      <c r="T1072" s="15">
        <v>0</v>
      </c>
      <c r="U1072" s="15">
        <v>1750.3999999999999</v>
      </c>
      <c r="V1072" s="15">
        <v>0</v>
      </c>
      <c r="W1072" s="15">
        <v>1750.3999999999999</v>
      </c>
      <c r="X1072" s="15">
        <v>0</v>
      </c>
      <c r="Y1072" s="16">
        <v>0</v>
      </c>
      <c r="Z1072" s="67" t="s">
        <v>26</v>
      </c>
      <c r="AA1072" s="12" t="s">
        <v>31</v>
      </c>
    </row>
    <row r="1073" spans="1:27" x14ac:dyDescent="0.25">
      <c r="A1073" s="10">
        <v>45674</v>
      </c>
      <c r="B1073" s="11" t="s">
        <v>414</v>
      </c>
      <c r="C1073" s="11" t="s">
        <v>2666</v>
      </c>
      <c r="D1073" s="11" t="s">
        <v>26</v>
      </c>
      <c r="E1073" s="11" t="s">
        <v>50</v>
      </c>
      <c r="F1073" s="11" t="s">
        <v>26</v>
      </c>
      <c r="G1073" s="11">
        <v>636</v>
      </c>
      <c r="H1073" s="12" t="s">
        <v>163</v>
      </c>
      <c r="I1073" s="12" t="s">
        <v>27</v>
      </c>
      <c r="J1073" s="12" t="s">
        <v>42</v>
      </c>
      <c r="K1073" s="12" t="s">
        <v>43</v>
      </c>
      <c r="L1073" s="13">
        <v>42.76</v>
      </c>
      <c r="M1073" s="13">
        <v>25</v>
      </c>
      <c r="N1073" s="13">
        <v>1.7103999999999999</v>
      </c>
      <c r="O1073" s="13" t="s">
        <v>30</v>
      </c>
      <c r="P1073" s="13">
        <v>56</v>
      </c>
      <c r="Q1073" s="13">
        <v>0</v>
      </c>
      <c r="R1073" s="15">
        <v>1400</v>
      </c>
      <c r="S1073" s="15">
        <v>0</v>
      </c>
      <c r="T1073" s="15">
        <v>0</v>
      </c>
      <c r="U1073" s="15">
        <v>1400</v>
      </c>
      <c r="V1073" s="15">
        <v>0</v>
      </c>
      <c r="W1073" s="15">
        <v>1400</v>
      </c>
      <c r="X1073" s="15">
        <v>0</v>
      </c>
      <c r="Y1073" s="16">
        <v>0</v>
      </c>
      <c r="Z1073" s="67" t="s">
        <v>26</v>
      </c>
      <c r="AA1073" s="12" t="s">
        <v>31</v>
      </c>
    </row>
    <row r="1074" spans="1:27" x14ac:dyDescent="0.25">
      <c r="A1074" s="10">
        <v>45674</v>
      </c>
      <c r="B1074" s="11" t="s">
        <v>2667</v>
      </c>
      <c r="C1074" s="11" t="s">
        <v>2668</v>
      </c>
      <c r="D1074" s="11" t="s">
        <v>26</v>
      </c>
      <c r="E1074" s="11" t="s">
        <v>505</v>
      </c>
      <c r="F1074" s="11" t="s">
        <v>26</v>
      </c>
      <c r="G1074" s="11">
        <v>1251</v>
      </c>
      <c r="H1074" s="12" t="s">
        <v>141</v>
      </c>
      <c r="I1074" s="12" t="s">
        <v>27</v>
      </c>
      <c r="J1074" s="12" t="s">
        <v>33</v>
      </c>
      <c r="K1074" s="12" t="s">
        <v>34</v>
      </c>
      <c r="L1074" s="13">
        <v>36.74</v>
      </c>
      <c r="M1074" s="13">
        <v>25</v>
      </c>
      <c r="N1074" s="13">
        <v>1.4696</v>
      </c>
      <c r="O1074" s="13">
        <v>40</v>
      </c>
      <c r="P1074" s="13" t="s">
        <v>30</v>
      </c>
      <c r="Q1074" s="13">
        <v>0</v>
      </c>
      <c r="R1074" s="14">
        <v>1469.6000000000001</v>
      </c>
      <c r="S1074" s="15">
        <v>0</v>
      </c>
      <c r="T1074" s="15">
        <v>0</v>
      </c>
      <c r="U1074" s="15">
        <v>1469.6000000000001</v>
      </c>
      <c r="V1074" s="15">
        <v>0</v>
      </c>
      <c r="W1074" s="15">
        <v>1469.6000000000001</v>
      </c>
      <c r="X1074" s="15">
        <v>0</v>
      </c>
      <c r="Y1074" s="16">
        <v>0</v>
      </c>
      <c r="Z1074" s="67" t="s">
        <v>26</v>
      </c>
      <c r="AA1074" s="12" t="s">
        <v>31</v>
      </c>
    </row>
    <row r="1075" spans="1:27" x14ac:dyDescent="0.25">
      <c r="A1075" s="10">
        <v>45674</v>
      </c>
      <c r="B1075" s="11" t="s">
        <v>1059</v>
      </c>
      <c r="C1075" s="11" t="s">
        <v>2669</v>
      </c>
      <c r="D1075" s="11" t="s">
        <v>26</v>
      </c>
      <c r="E1075" s="11" t="s">
        <v>658</v>
      </c>
      <c r="F1075" s="11" t="s">
        <v>26</v>
      </c>
      <c r="G1075" s="11">
        <v>853</v>
      </c>
      <c r="H1075" s="12" t="s">
        <v>141</v>
      </c>
      <c r="I1075" s="12" t="s">
        <v>27</v>
      </c>
      <c r="J1075" s="12" t="s">
        <v>33</v>
      </c>
      <c r="K1075" s="12" t="s">
        <v>34</v>
      </c>
      <c r="L1075" s="13">
        <v>38.68</v>
      </c>
      <c r="M1075" s="13">
        <v>25</v>
      </c>
      <c r="N1075" s="13">
        <v>1.5471999999999999</v>
      </c>
      <c r="O1075" s="13">
        <v>40</v>
      </c>
      <c r="P1075" s="13" t="s">
        <v>30</v>
      </c>
      <c r="Q1075" s="13">
        <v>0</v>
      </c>
      <c r="R1075" s="14">
        <v>1547.2</v>
      </c>
      <c r="S1075" s="15">
        <v>0</v>
      </c>
      <c r="T1075" s="15">
        <v>0</v>
      </c>
      <c r="U1075" s="15">
        <v>1547.2</v>
      </c>
      <c r="V1075" s="15">
        <v>0</v>
      </c>
      <c r="W1075" s="15">
        <v>1547.2</v>
      </c>
      <c r="X1075" s="15">
        <v>0</v>
      </c>
      <c r="Y1075" s="16">
        <v>0</v>
      </c>
      <c r="Z1075" s="67" t="s">
        <v>26</v>
      </c>
      <c r="AA1075" s="12" t="s">
        <v>31</v>
      </c>
    </row>
    <row r="1076" spans="1:27" x14ac:dyDescent="0.25">
      <c r="A1076" s="10">
        <v>45674</v>
      </c>
      <c r="B1076" s="11" t="s">
        <v>2670</v>
      </c>
      <c r="C1076" s="11" t="s">
        <v>2671</v>
      </c>
      <c r="D1076" s="11" t="s">
        <v>26</v>
      </c>
      <c r="E1076" s="11" t="s">
        <v>60</v>
      </c>
      <c r="F1076" s="11" t="s">
        <v>26</v>
      </c>
      <c r="G1076" s="11" t="s">
        <v>35</v>
      </c>
      <c r="H1076" s="12" t="s">
        <v>36</v>
      </c>
      <c r="I1076" s="12" t="s">
        <v>27</v>
      </c>
      <c r="J1076" s="12" t="s">
        <v>28</v>
      </c>
      <c r="K1076" s="12" t="s">
        <v>29</v>
      </c>
      <c r="L1076" s="13">
        <v>3.06</v>
      </c>
      <c r="M1076" s="13">
        <v>2</v>
      </c>
      <c r="N1076" s="13">
        <v>1.53</v>
      </c>
      <c r="O1076" s="13">
        <v>32</v>
      </c>
      <c r="P1076" s="13" t="s">
        <v>30</v>
      </c>
      <c r="Q1076" s="13">
        <v>0</v>
      </c>
      <c r="R1076" s="15">
        <v>97.92</v>
      </c>
      <c r="S1076" s="15">
        <v>0</v>
      </c>
      <c r="T1076" s="15">
        <v>0</v>
      </c>
      <c r="U1076" s="15">
        <v>97.92</v>
      </c>
      <c r="V1076" s="15">
        <v>0</v>
      </c>
      <c r="W1076" s="15">
        <v>97.92</v>
      </c>
      <c r="X1076" s="15">
        <v>0</v>
      </c>
      <c r="Y1076" s="16">
        <v>0</v>
      </c>
      <c r="Z1076" s="67" t="s">
        <v>26</v>
      </c>
      <c r="AA1076" s="12" t="s">
        <v>31</v>
      </c>
    </row>
    <row r="1077" spans="1:27" x14ac:dyDescent="0.25">
      <c r="A1077" s="10">
        <v>45674</v>
      </c>
      <c r="B1077" s="11" t="s">
        <v>2672</v>
      </c>
      <c r="C1077" s="11" t="s">
        <v>2673</v>
      </c>
      <c r="D1077" s="11" t="s">
        <v>26</v>
      </c>
      <c r="E1077" s="11" t="s">
        <v>2109</v>
      </c>
      <c r="F1077" s="11" t="s">
        <v>26</v>
      </c>
      <c r="G1077" s="11">
        <v>10602</v>
      </c>
      <c r="H1077" s="12" t="s">
        <v>140</v>
      </c>
      <c r="I1077" s="12" t="s">
        <v>27</v>
      </c>
      <c r="J1077" s="12" t="s">
        <v>47</v>
      </c>
      <c r="K1077" s="12" t="s">
        <v>48</v>
      </c>
      <c r="L1077" s="13">
        <v>41.56</v>
      </c>
      <c r="M1077" s="13">
        <v>28</v>
      </c>
      <c r="N1077" s="13">
        <v>1.484285714285714</v>
      </c>
      <c r="O1077" s="13">
        <v>40</v>
      </c>
      <c r="P1077" s="13"/>
      <c r="Q1077" s="13">
        <v>0</v>
      </c>
      <c r="R1077" s="15">
        <v>1662.4</v>
      </c>
      <c r="S1077" s="15">
        <v>0</v>
      </c>
      <c r="T1077" s="15">
        <v>0</v>
      </c>
      <c r="U1077" s="15">
        <v>1662.4</v>
      </c>
      <c r="V1077" s="15">
        <v>0</v>
      </c>
      <c r="W1077" s="15">
        <v>1662.4</v>
      </c>
      <c r="X1077" s="15">
        <v>0</v>
      </c>
      <c r="Y1077" s="16">
        <v>0</v>
      </c>
      <c r="Z1077" s="67" t="s">
        <v>26</v>
      </c>
      <c r="AA1077" s="12" t="s">
        <v>31</v>
      </c>
    </row>
    <row r="1078" spans="1:27" x14ac:dyDescent="0.25">
      <c r="A1078" s="10">
        <v>45674</v>
      </c>
      <c r="B1078" s="11" t="s">
        <v>2674</v>
      </c>
      <c r="C1078" s="11" t="s">
        <v>2675</v>
      </c>
      <c r="D1078" s="11" t="s">
        <v>26</v>
      </c>
      <c r="E1078" s="11" t="s">
        <v>246</v>
      </c>
      <c r="F1078" s="11" t="s">
        <v>26</v>
      </c>
      <c r="G1078" s="11">
        <v>2953</v>
      </c>
      <c r="H1078" s="12" t="s">
        <v>41</v>
      </c>
      <c r="I1078" s="12" t="s">
        <v>55</v>
      </c>
      <c r="J1078" s="12" t="s">
        <v>566</v>
      </c>
      <c r="K1078" s="12" t="s">
        <v>550</v>
      </c>
      <c r="L1078" s="13">
        <v>41.52</v>
      </c>
      <c r="M1078" s="13">
        <v>25</v>
      </c>
      <c r="N1078" s="13">
        <v>1.6608000000000001</v>
      </c>
      <c r="O1078" s="13">
        <v>25</v>
      </c>
      <c r="P1078" s="13"/>
      <c r="Q1078" s="13">
        <v>0</v>
      </c>
      <c r="R1078" s="14">
        <v>1038</v>
      </c>
      <c r="S1078" s="15">
        <v>0</v>
      </c>
      <c r="T1078" s="15">
        <v>0</v>
      </c>
      <c r="U1078" s="15">
        <v>1038</v>
      </c>
      <c r="V1078" s="15">
        <v>0</v>
      </c>
      <c r="W1078" s="15">
        <v>1038</v>
      </c>
      <c r="X1078" s="15">
        <v>0</v>
      </c>
      <c r="Y1078" s="16">
        <v>0</v>
      </c>
      <c r="Z1078" s="67" t="s">
        <v>26</v>
      </c>
      <c r="AA1078" s="12" t="s">
        <v>31</v>
      </c>
    </row>
    <row r="1079" spans="1:27" x14ac:dyDescent="0.25">
      <c r="A1079" s="10">
        <v>45674</v>
      </c>
      <c r="B1079" s="11" t="s">
        <v>2676</v>
      </c>
      <c r="C1079" s="11" t="s">
        <v>2677</v>
      </c>
      <c r="D1079" s="11" t="s">
        <v>26</v>
      </c>
      <c r="E1079" s="11" t="s">
        <v>1725</v>
      </c>
      <c r="F1079" s="11" t="s">
        <v>26</v>
      </c>
      <c r="G1079" s="11">
        <v>3293</v>
      </c>
      <c r="H1079" s="12" t="s">
        <v>4448</v>
      </c>
      <c r="I1079" s="12" t="s">
        <v>27</v>
      </c>
      <c r="J1079" s="12" t="s">
        <v>42</v>
      </c>
      <c r="K1079" s="12" t="s">
        <v>43</v>
      </c>
      <c r="L1079" s="13">
        <v>45.1</v>
      </c>
      <c r="M1079" s="13">
        <v>28</v>
      </c>
      <c r="N1079" s="13">
        <v>1.610714285714286</v>
      </c>
      <c r="O1079" s="13">
        <v>42.5</v>
      </c>
      <c r="P1079" s="13" t="s">
        <v>30</v>
      </c>
      <c r="Q1079" s="13">
        <v>0</v>
      </c>
      <c r="R1079" s="14">
        <v>1916.75</v>
      </c>
      <c r="S1079" s="15">
        <v>0</v>
      </c>
      <c r="T1079" s="15">
        <v>0</v>
      </c>
      <c r="U1079" s="15">
        <v>1916.75</v>
      </c>
      <c r="V1079" s="15">
        <v>1437.5625</v>
      </c>
      <c r="W1079" s="15">
        <v>479.1875</v>
      </c>
      <c r="X1079" s="15">
        <v>0</v>
      </c>
      <c r="Y1079" s="16">
        <v>0</v>
      </c>
      <c r="Z1079" s="67" t="s">
        <v>26</v>
      </c>
      <c r="AA1079" s="12" t="s">
        <v>31</v>
      </c>
    </row>
    <row r="1080" spans="1:27" x14ac:dyDescent="0.25">
      <c r="A1080" s="10">
        <v>45674</v>
      </c>
      <c r="B1080" s="11" t="s">
        <v>2678</v>
      </c>
      <c r="C1080" s="11" t="s">
        <v>2679</v>
      </c>
      <c r="D1080" s="11" t="s">
        <v>26</v>
      </c>
      <c r="E1080" s="11" t="s">
        <v>67</v>
      </c>
      <c r="F1080" s="11" t="s">
        <v>26</v>
      </c>
      <c r="G1080" s="11">
        <v>1572</v>
      </c>
      <c r="H1080" s="12" t="s">
        <v>66</v>
      </c>
      <c r="I1080" s="12" t="s">
        <v>37</v>
      </c>
      <c r="J1080" s="12" t="s">
        <v>1909</v>
      </c>
      <c r="K1080" s="12" t="s">
        <v>82</v>
      </c>
      <c r="L1080" s="13">
        <v>39.14</v>
      </c>
      <c r="M1080" s="13">
        <v>25</v>
      </c>
      <c r="N1080" s="13">
        <v>1.5656000000000001</v>
      </c>
      <c r="O1080" s="13" t="s">
        <v>30</v>
      </c>
      <c r="P1080" s="13">
        <v>54</v>
      </c>
      <c r="Q1080" s="13">
        <v>0</v>
      </c>
      <c r="R1080" s="14">
        <v>1350</v>
      </c>
      <c r="S1080" s="15">
        <v>0</v>
      </c>
      <c r="T1080" s="15">
        <v>0</v>
      </c>
      <c r="U1080" s="15">
        <v>1350</v>
      </c>
      <c r="V1080" s="15">
        <v>1350</v>
      </c>
      <c r="W1080" s="15">
        <v>0</v>
      </c>
      <c r="X1080" s="16">
        <v>0</v>
      </c>
      <c r="Y1080" s="16">
        <v>0</v>
      </c>
      <c r="Z1080" s="67" t="s">
        <v>26</v>
      </c>
      <c r="AA1080" s="12" t="s">
        <v>31</v>
      </c>
    </row>
    <row r="1081" spans="1:27" x14ac:dyDescent="0.25">
      <c r="A1081" s="10">
        <v>45674</v>
      </c>
      <c r="B1081" s="11" t="s">
        <v>413</v>
      </c>
      <c r="C1081" s="11" t="s">
        <v>2680</v>
      </c>
      <c r="D1081" s="11" t="s">
        <v>26</v>
      </c>
      <c r="E1081" s="11" t="s">
        <v>501</v>
      </c>
      <c r="F1081" s="11" t="s">
        <v>26</v>
      </c>
      <c r="G1081" s="11">
        <v>801</v>
      </c>
      <c r="H1081" s="12" t="s">
        <v>141</v>
      </c>
      <c r="I1081" s="12" t="s">
        <v>37</v>
      </c>
      <c r="J1081" s="12" t="s">
        <v>599</v>
      </c>
      <c r="K1081" s="12" t="s">
        <v>82</v>
      </c>
      <c r="L1081" s="13">
        <v>41.48</v>
      </c>
      <c r="M1081" s="13">
        <v>25</v>
      </c>
      <c r="N1081" s="13">
        <v>1.6592</v>
      </c>
      <c r="O1081" s="13">
        <v>29</v>
      </c>
      <c r="P1081" s="13" t="s">
        <v>30</v>
      </c>
      <c r="Q1081" s="13">
        <v>0</v>
      </c>
      <c r="R1081" s="15">
        <v>1202.9199999999998</v>
      </c>
      <c r="S1081" s="15">
        <v>0</v>
      </c>
      <c r="T1081" s="15">
        <v>0</v>
      </c>
      <c r="U1081" s="15">
        <v>1202.9199999999998</v>
      </c>
      <c r="V1081" s="15">
        <v>0</v>
      </c>
      <c r="W1081" s="15">
        <v>1202.9199999999998</v>
      </c>
      <c r="X1081" s="15">
        <v>0</v>
      </c>
      <c r="Y1081" s="16">
        <v>0</v>
      </c>
      <c r="Z1081" s="67" t="s">
        <v>26</v>
      </c>
      <c r="AA1081" s="12" t="s">
        <v>31</v>
      </c>
    </row>
    <row r="1082" spans="1:27" x14ac:dyDescent="0.25">
      <c r="A1082" s="10">
        <v>45674</v>
      </c>
      <c r="B1082" s="11" t="s">
        <v>2681</v>
      </c>
      <c r="C1082" s="11" t="s">
        <v>2682</v>
      </c>
      <c r="D1082" s="11" t="s">
        <v>26</v>
      </c>
      <c r="E1082" s="11" t="s">
        <v>509</v>
      </c>
      <c r="F1082" s="11" t="s">
        <v>26</v>
      </c>
      <c r="G1082" s="11">
        <v>1303</v>
      </c>
      <c r="H1082" s="12" t="s">
        <v>141</v>
      </c>
      <c r="I1082" s="12" t="s">
        <v>37</v>
      </c>
      <c r="J1082" s="12" t="s">
        <v>599</v>
      </c>
      <c r="K1082" s="12" t="s">
        <v>82</v>
      </c>
      <c r="L1082" s="13">
        <v>41.56</v>
      </c>
      <c r="M1082" s="13">
        <v>25</v>
      </c>
      <c r="N1082" s="13">
        <v>1.6624000000000001</v>
      </c>
      <c r="O1082" s="13">
        <v>29</v>
      </c>
      <c r="P1082" s="13" t="s">
        <v>30</v>
      </c>
      <c r="Q1082" s="13">
        <v>0</v>
      </c>
      <c r="R1082" s="14">
        <v>1205.24</v>
      </c>
      <c r="S1082" s="15">
        <v>0</v>
      </c>
      <c r="T1082" s="15">
        <v>0</v>
      </c>
      <c r="U1082" s="15">
        <v>1205.24</v>
      </c>
      <c r="V1082" s="15">
        <v>0</v>
      </c>
      <c r="W1082" s="15">
        <v>1205.24</v>
      </c>
      <c r="X1082" s="15">
        <v>0</v>
      </c>
      <c r="Y1082" s="16">
        <v>0</v>
      </c>
      <c r="Z1082" s="67" t="s">
        <v>26</v>
      </c>
      <c r="AA1082" s="12" t="s">
        <v>31</v>
      </c>
    </row>
    <row r="1083" spans="1:27" x14ac:dyDescent="0.25">
      <c r="A1083" s="10">
        <v>45674</v>
      </c>
      <c r="B1083" s="11" t="s">
        <v>471</v>
      </c>
      <c r="C1083" s="11" t="s">
        <v>2683</v>
      </c>
      <c r="D1083" s="11" t="s">
        <v>26</v>
      </c>
      <c r="E1083" s="11" t="s">
        <v>2618</v>
      </c>
      <c r="F1083" s="11" t="s">
        <v>26</v>
      </c>
      <c r="G1083" s="11">
        <v>990</v>
      </c>
      <c r="H1083" s="12" t="s">
        <v>163</v>
      </c>
      <c r="I1083" s="12" t="s">
        <v>37</v>
      </c>
      <c r="J1083" s="12" t="s">
        <v>228</v>
      </c>
      <c r="K1083" s="12" t="s">
        <v>38</v>
      </c>
      <c r="L1083" s="13">
        <v>31.52</v>
      </c>
      <c r="M1083" s="13">
        <v>20</v>
      </c>
      <c r="N1083" s="13">
        <v>1.5760000000000001</v>
      </c>
      <c r="O1083" s="13" t="s">
        <v>30</v>
      </c>
      <c r="P1083" s="13">
        <v>42</v>
      </c>
      <c r="Q1083" s="13">
        <v>0</v>
      </c>
      <c r="R1083" s="14">
        <v>840</v>
      </c>
      <c r="S1083" s="15">
        <v>0</v>
      </c>
      <c r="T1083" s="15">
        <v>0</v>
      </c>
      <c r="U1083" s="15">
        <v>840</v>
      </c>
      <c r="V1083" s="15">
        <v>0</v>
      </c>
      <c r="W1083" s="15">
        <v>840</v>
      </c>
      <c r="X1083" s="15">
        <v>0</v>
      </c>
      <c r="Y1083" s="16">
        <v>0</v>
      </c>
      <c r="Z1083" s="67" t="s">
        <v>26</v>
      </c>
      <c r="AA1083" s="12" t="s">
        <v>31</v>
      </c>
    </row>
    <row r="1084" spans="1:27" x14ac:dyDescent="0.25">
      <c r="A1084" s="10">
        <v>45674</v>
      </c>
      <c r="B1084" s="11" t="s">
        <v>2684</v>
      </c>
      <c r="C1084" s="11" t="s">
        <v>2685</v>
      </c>
      <c r="D1084" s="11" t="s">
        <v>26</v>
      </c>
      <c r="E1084" s="11" t="s">
        <v>75</v>
      </c>
      <c r="F1084" s="11" t="s">
        <v>26</v>
      </c>
      <c r="G1084" s="11">
        <v>42017</v>
      </c>
      <c r="H1084" s="12" t="s">
        <v>565</v>
      </c>
      <c r="I1084" s="12" t="s">
        <v>27</v>
      </c>
      <c r="J1084" s="12" t="s">
        <v>33</v>
      </c>
      <c r="K1084" s="12" t="s">
        <v>34</v>
      </c>
      <c r="L1084" s="13">
        <v>42.2</v>
      </c>
      <c r="M1084" s="13">
        <v>29</v>
      </c>
      <c r="N1084" s="13">
        <v>1.455172413793103</v>
      </c>
      <c r="O1084" s="13"/>
      <c r="P1084" s="13">
        <v>60</v>
      </c>
      <c r="Q1084" s="13">
        <v>0</v>
      </c>
      <c r="R1084" s="14">
        <v>1740</v>
      </c>
      <c r="S1084" s="15">
        <v>0</v>
      </c>
      <c r="T1084" s="15">
        <v>0</v>
      </c>
      <c r="U1084" s="15">
        <v>1740</v>
      </c>
      <c r="V1084" s="15">
        <v>0</v>
      </c>
      <c r="W1084" s="15">
        <v>1740</v>
      </c>
      <c r="X1084" s="15">
        <v>0</v>
      </c>
      <c r="Y1084" s="16">
        <v>0</v>
      </c>
      <c r="Z1084" s="67" t="s">
        <v>26</v>
      </c>
      <c r="AA1084" s="12" t="s">
        <v>31</v>
      </c>
    </row>
    <row r="1085" spans="1:27" x14ac:dyDescent="0.25">
      <c r="A1085" s="10">
        <v>45674</v>
      </c>
      <c r="B1085" s="11" t="s">
        <v>2686</v>
      </c>
      <c r="C1085" s="11" t="s">
        <v>2687</v>
      </c>
      <c r="D1085" s="11" t="s">
        <v>26</v>
      </c>
      <c r="E1085" s="11" t="s">
        <v>574</v>
      </c>
      <c r="F1085" s="11" t="s">
        <v>26</v>
      </c>
      <c r="G1085" s="11">
        <v>770</v>
      </c>
      <c r="H1085" s="12" t="s">
        <v>141</v>
      </c>
      <c r="I1085" s="12" t="s">
        <v>27</v>
      </c>
      <c r="J1085" s="12" t="s">
        <v>47</v>
      </c>
      <c r="K1085" s="12" t="s">
        <v>48</v>
      </c>
      <c r="L1085" s="13">
        <v>40.74</v>
      </c>
      <c r="M1085" s="13">
        <v>28</v>
      </c>
      <c r="N1085" s="13">
        <v>1.4550000000000001</v>
      </c>
      <c r="O1085" s="13">
        <v>40</v>
      </c>
      <c r="P1085" s="13" t="s">
        <v>30</v>
      </c>
      <c r="Q1085" s="13">
        <v>0</v>
      </c>
      <c r="R1085" s="15">
        <v>1629.6000000000001</v>
      </c>
      <c r="S1085" s="15">
        <v>0</v>
      </c>
      <c r="T1085" s="15">
        <v>0</v>
      </c>
      <c r="U1085" s="15">
        <v>1629.6000000000001</v>
      </c>
      <c r="V1085" s="15">
        <v>0</v>
      </c>
      <c r="W1085" s="15">
        <v>1629.6000000000001</v>
      </c>
      <c r="X1085" s="15">
        <v>0</v>
      </c>
      <c r="Y1085" s="16">
        <v>0</v>
      </c>
      <c r="Z1085" s="67" t="s">
        <v>26</v>
      </c>
      <c r="AA1085" s="12" t="s">
        <v>31</v>
      </c>
    </row>
    <row r="1086" spans="1:27" x14ac:dyDescent="0.25">
      <c r="A1086" s="10">
        <v>45674</v>
      </c>
      <c r="B1086" s="11" t="s">
        <v>1383</v>
      </c>
      <c r="C1086" s="11" t="s">
        <v>2688</v>
      </c>
      <c r="D1086" s="11" t="s">
        <v>26</v>
      </c>
      <c r="E1086" s="11" t="s">
        <v>40</v>
      </c>
      <c r="F1086" s="11" t="s">
        <v>26</v>
      </c>
      <c r="G1086" s="11">
        <v>2448</v>
      </c>
      <c r="H1086" s="12" t="s">
        <v>41</v>
      </c>
      <c r="I1086" s="12" t="s">
        <v>27</v>
      </c>
      <c r="J1086" s="12" t="s">
        <v>42</v>
      </c>
      <c r="K1086" s="12" t="s">
        <v>43</v>
      </c>
      <c r="L1086" s="13">
        <v>41.64</v>
      </c>
      <c r="M1086" s="13">
        <v>25</v>
      </c>
      <c r="N1086" s="13">
        <v>1.6656</v>
      </c>
      <c r="O1086" s="13" t="s">
        <v>30</v>
      </c>
      <c r="P1086" s="13">
        <v>64</v>
      </c>
      <c r="Q1086" s="13">
        <v>0</v>
      </c>
      <c r="R1086" s="14">
        <v>1600</v>
      </c>
      <c r="S1086" s="15">
        <v>0</v>
      </c>
      <c r="T1086" s="15">
        <v>0</v>
      </c>
      <c r="U1086" s="15">
        <v>1600</v>
      </c>
      <c r="V1086" s="15">
        <v>0</v>
      </c>
      <c r="W1086" s="15">
        <v>1600</v>
      </c>
      <c r="X1086" s="16">
        <v>0</v>
      </c>
      <c r="Y1086" s="16">
        <v>0</v>
      </c>
      <c r="Z1086" s="67" t="s">
        <v>26</v>
      </c>
      <c r="AA1086" s="12" t="s">
        <v>31</v>
      </c>
    </row>
    <row r="1087" spans="1:27" x14ac:dyDescent="0.25">
      <c r="A1087" s="10">
        <v>45674</v>
      </c>
      <c r="B1087" s="11" t="s">
        <v>2689</v>
      </c>
      <c r="C1087" s="11" t="s">
        <v>2690</v>
      </c>
      <c r="D1087" s="11" t="s">
        <v>26</v>
      </c>
      <c r="E1087" s="11" t="s">
        <v>520</v>
      </c>
      <c r="F1087" s="11" t="s">
        <v>26</v>
      </c>
      <c r="G1087" s="11">
        <v>4372</v>
      </c>
      <c r="H1087" s="12" t="s">
        <v>140</v>
      </c>
      <c r="I1087" s="12" t="s">
        <v>27</v>
      </c>
      <c r="J1087" s="12" t="s">
        <v>33</v>
      </c>
      <c r="K1087" s="12" t="s">
        <v>34</v>
      </c>
      <c r="L1087" s="13">
        <v>42.9</v>
      </c>
      <c r="M1087" s="13">
        <v>29</v>
      </c>
      <c r="N1087" s="13">
        <v>1.4793103448275859</v>
      </c>
      <c r="O1087" s="13">
        <v>40</v>
      </c>
      <c r="P1087" s="13"/>
      <c r="Q1087" s="13">
        <v>0</v>
      </c>
      <c r="R1087" s="14">
        <v>1716</v>
      </c>
      <c r="S1087" s="15">
        <v>0</v>
      </c>
      <c r="T1087" s="15">
        <v>0</v>
      </c>
      <c r="U1087" s="15">
        <v>1716</v>
      </c>
      <c r="V1087" s="15">
        <v>0</v>
      </c>
      <c r="W1087" s="15">
        <v>1716</v>
      </c>
      <c r="X1087" s="15">
        <v>0</v>
      </c>
      <c r="Y1087" s="16">
        <v>0</v>
      </c>
      <c r="Z1087" s="67" t="s">
        <v>26</v>
      </c>
      <c r="AA1087" s="12" t="s">
        <v>31</v>
      </c>
    </row>
    <row r="1088" spans="1:27" x14ac:dyDescent="0.25">
      <c r="A1088" s="10">
        <v>45674</v>
      </c>
      <c r="B1088" s="11" t="s">
        <v>2691</v>
      </c>
      <c r="C1088" s="11" t="s">
        <v>2692</v>
      </c>
      <c r="D1088" s="11" t="s">
        <v>26</v>
      </c>
      <c r="E1088" s="11" t="s">
        <v>230</v>
      </c>
      <c r="F1088" s="11" t="s">
        <v>26</v>
      </c>
      <c r="G1088" s="11">
        <v>23136</v>
      </c>
      <c r="H1088" s="12" t="s">
        <v>565</v>
      </c>
      <c r="I1088" s="12" t="s">
        <v>55</v>
      </c>
      <c r="J1088" s="12" t="s">
        <v>566</v>
      </c>
      <c r="K1088" s="12" t="s">
        <v>550</v>
      </c>
      <c r="L1088" s="13">
        <v>43.78</v>
      </c>
      <c r="M1088" s="13">
        <v>25</v>
      </c>
      <c r="N1088" s="13">
        <v>1.7512000000000001</v>
      </c>
      <c r="O1088" s="13">
        <v>25</v>
      </c>
      <c r="P1088" s="13" t="s">
        <v>30</v>
      </c>
      <c r="Q1088" s="13">
        <v>0</v>
      </c>
      <c r="R1088" s="15">
        <v>1094.5</v>
      </c>
      <c r="S1088" s="15">
        <v>0</v>
      </c>
      <c r="T1088" s="15">
        <v>0</v>
      </c>
      <c r="U1088" s="15">
        <v>1094.5</v>
      </c>
      <c r="V1088" s="15">
        <v>0</v>
      </c>
      <c r="W1088" s="15">
        <v>1094.5</v>
      </c>
      <c r="X1088" s="15">
        <v>0</v>
      </c>
      <c r="Y1088" s="16">
        <v>0</v>
      </c>
      <c r="Z1088" s="67" t="s">
        <v>26</v>
      </c>
      <c r="AA1088" s="12" t="s">
        <v>31</v>
      </c>
    </row>
    <row r="1089" spans="1:27" x14ac:dyDescent="0.25">
      <c r="A1089" s="10">
        <v>45674</v>
      </c>
      <c r="B1089" s="11" t="s">
        <v>2693</v>
      </c>
      <c r="C1089" s="11" t="s">
        <v>2694</v>
      </c>
      <c r="D1089" s="11" t="s">
        <v>26</v>
      </c>
      <c r="E1089" s="11" t="s">
        <v>1200</v>
      </c>
      <c r="F1089" s="11" t="s">
        <v>26</v>
      </c>
      <c r="G1089" s="11">
        <v>991</v>
      </c>
      <c r="H1089" s="12" t="s">
        <v>163</v>
      </c>
      <c r="I1089" s="12" t="s">
        <v>27</v>
      </c>
      <c r="J1089" s="12" t="s">
        <v>33</v>
      </c>
      <c r="K1089" s="12" t="s">
        <v>34</v>
      </c>
      <c r="L1089" s="13">
        <v>38.880000000000003</v>
      </c>
      <c r="M1089" s="13">
        <v>25</v>
      </c>
      <c r="N1089" s="13">
        <v>1.5551999999999999</v>
      </c>
      <c r="O1089" s="13" t="s">
        <v>30</v>
      </c>
      <c r="P1089" s="13">
        <v>58</v>
      </c>
      <c r="Q1089" s="13">
        <v>0</v>
      </c>
      <c r="R1089" s="15">
        <v>1450</v>
      </c>
      <c r="S1089" s="15">
        <v>0</v>
      </c>
      <c r="T1089" s="15">
        <v>0</v>
      </c>
      <c r="U1089" s="15">
        <v>1450</v>
      </c>
      <c r="V1089" s="15">
        <v>0</v>
      </c>
      <c r="W1089" s="15">
        <v>1450</v>
      </c>
      <c r="X1089" s="15">
        <v>0</v>
      </c>
      <c r="Y1089" s="16">
        <v>0</v>
      </c>
      <c r="Z1089" s="67" t="s">
        <v>26</v>
      </c>
      <c r="AA1089" s="12" t="s">
        <v>31</v>
      </c>
    </row>
    <row r="1090" spans="1:27" x14ac:dyDescent="0.25">
      <c r="A1090" s="10">
        <v>45674</v>
      </c>
      <c r="B1090" s="11" t="s">
        <v>2695</v>
      </c>
      <c r="C1090" s="11" t="s">
        <v>2696</v>
      </c>
      <c r="D1090" s="11" t="s">
        <v>26</v>
      </c>
      <c r="E1090" s="11" t="s">
        <v>435</v>
      </c>
      <c r="F1090" s="11" t="s">
        <v>26</v>
      </c>
      <c r="G1090" s="11">
        <v>3503</v>
      </c>
      <c r="H1090" s="12" t="s">
        <v>41</v>
      </c>
      <c r="I1090" s="12" t="s">
        <v>55</v>
      </c>
      <c r="J1090" s="12" t="s">
        <v>55</v>
      </c>
      <c r="K1090" s="12" t="s">
        <v>56</v>
      </c>
      <c r="L1090" s="13">
        <v>40.700000000000003</v>
      </c>
      <c r="M1090" s="13">
        <v>25</v>
      </c>
      <c r="N1090" s="13">
        <v>1.6279999999999999</v>
      </c>
      <c r="O1090" s="13" t="s">
        <v>30</v>
      </c>
      <c r="P1090" s="13">
        <v>24</v>
      </c>
      <c r="Q1090" s="13">
        <v>0</v>
      </c>
      <c r="R1090" s="15">
        <v>600</v>
      </c>
      <c r="S1090" s="15">
        <v>0</v>
      </c>
      <c r="T1090" s="15">
        <v>0</v>
      </c>
      <c r="U1090" s="15">
        <v>600</v>
      </c>
      <c r="V1090" s="15">
        <v>0</v>
      </c>
      <c r="W1090" s="15">
        <v>600</v>
      </c>
      <c r="X1090" s="15">
        <v>0</v>
      </c>
      <c r="Y1090" s="16">
        <v>0</v>
      </c>
      <c r="Z1090" s="67" t="s">
        <v>26</v>
      </c>
      <c r="AA1090" s="12" t="s">
        <v>31</v>
      </c>
    </row>
    <row r="1091" spans="1:27" x14ac:dyDescent="0.25">
      <c r="A1091" s="10">
        <v>45674</v>
      </c>
      <c r="B1091" s="11" t="s">
        <v>2697</v>
      </c>
      <c r="C1091" s="11" t="s">
        <v>2698</v>
      </c>
      <c r="D1091" s="11" t="s">
        <v>26</v>
      </c>
      <c r="E1091" s="11" t="s">
        <v>57</v>
      </c>
      <c r="F1091" s="11" t="s">
        <v>26</v>
      </c>
      <c r="G1091" s="11">
        <v>2738</v>
      </c>
      <c r="H1091" s="12" t="s">
        <v>41</v>
      </c>
      <c r="I1091" s="12" t="s">
        <v>55</v>
      </c>
      <c r="J1091" s="12" t="s">
        <v>566</v>
      </c>
      <c r="K1091" s="12" t="s">
        <v>550</v>
      </c>
      <c r="L1091" s="13">
        <v>42.3</v>
      </c>
      <c r="M1091" s="13">
        <v>25</v>
      </c>
      <c r="N1091" s="13">
        <v>1.6919999999999999</v>
      </c>
      <c r="O1091" s="13">
        <v>25</v>
      </c>
      <c r="P1091" s="13"/>
      <c r="Q1091" s="13">
        <v>0</v>
      </c>
      <c r="R1091" s="14">
        <v>1057.5</v>
      </c>
      <c r="S1091" s="15">
        <v>0</v>
      </c>
      <c r="T1091" s="15">
        <v>0</v>
      </c>
      <c r="U1091" s="15">
        <v>1057.5</v>
      </c>
      <c r="V1091" s="15">
        <v>0</v>
      </c>
      <c r="W1091" s="15">
        <v>1057.5</v>
      </c>
      <c r="X1091" s="15">
        <v>0</v>
      </c>
      <c r="Y1091" s="16">
        <v>0</v>
      </c>
      <c r="Z1091" s="67" t="s">
        <v>26</v>
      </c>
      <c r="AA1091" s="12" t="s">
        <v>31</v>
      </c>
    </row>
    <row r="1092" spans="1:27" x14ac:dyDescent="0.25">
      <c r="A1092" s="10">
        <v>45675</v>
      </c>
      <c r="B1092" s="11" t="s">
        <v>2699</v>
      </c>
      <c r="C1092" s="11" t="s">
        <v>2700</v>
      </c>
      <c r="D1092" s="11" t="s">
        <v>26</v>
      </c>
      <c r="E1092" s="11" t="s">
        <v>68</v>
      </c>
      <c r="F1092" s="11" t="s">
        <v>26</v>
      </c>
      <c r="G1092" s="11">
        <v>76358</v>
      </c>
      <c r="H1092" s="12" t="s">
        <v>4448</v>
      </c>
      <c r="I1092" s="12" t="s">
        <v>27</v>
      </c>
      <c r="J1092" s="12" t="s">
        <v>47</v>
      </c>
      <c r="K1092" s="12" t="s">
        <v>48</v>
      </c>
      <c r="L1092" s="13">
        <v>39.74</v>
      </c>
      <c r="M1092" s="13">
        <v>27</v>
      </c>
      <c r="N1092" s="13">
        <v>1.471851851851852</v>
      </c>
      <c r="O1092" s="13">
        <v>46.66</v>
      </c>
      <c r="P1092" s="13" t="s">
        <v>30</v>
      </c>
      <c r="Q1092" s="13">
        <v>0</v>
      </c>
      <c r="R1092" s="14">
        <v>1854.2683999999999</v>
      </c>
      <c r="S1092" s="15">
        <v>0</v>
      </c>
      <c r="T1092" s="15">
        <v>0</v>
      </c>
      <c r="U1092" s="15">
        <v>1854.2683999999999</v>
      </c>
      <c r="V1092" s="15">
        <v>1390.7012999999999</v>
      </c>
      <c r="W1092" s="15">
        <v>463.56709999999998</v>
      </c>
      <c r="X1092" s="15">
        <v>0</v>
      </c>
      <c r="Y1092" s="16">
        <v>0</v>
      </c>
      <c r="Z1092" s="67" t="s">
        <v>26</v>
      </c>
      <c r="AA1092" s="12" t="s">
        <v>31</v>
      </c>
    </row>
    <row r="1093" spans="1:27" x14ac:dyDescent="0.25">
      <c r="A1093" s="10">
        <v>45675</v>
      </c>
      <c r="B1093" s="11" t="s">
        <v>687</v>
      </c>
      <c r="C1093" s="11" t="s">
        <v>2701</v>
      </c>
      <c r="D1093" s="11" t="s">
        <v>26</v>
      </c>
      <c r="E1093" s="11" t="s">
        <v>81</v>
      </c>
      <c r="F1093" s="11" t="s">
        <v>26</v>
      </c>
      <c r="G1093" s="11" t="s">
        <v>26</v>
      </c>
      <c r="H1093" s="12" t="s">
        <v>4422</v>
      </c>
      <c r="I1093" s="12" t="s">
        <v>27</v>
      </c>
      <c r="J1093" s="12" t="s">
        <v>42</v>
      </c>
      <c r="K1093" s="12" t="s">
        <v>43</v>
      </c>
      <c r="L1093" s="13">
        <v>42.92</v>
      </c>
      <c r="M1093" s="13">
        <v>25</v>
      </c>
      <c r="N1093" s="13">
        <v>1.7168000000000001</v>
      </c>
      <c r="O1093" s="13">
        <v>83</v>
      </c>
      <c r="P1093" s="13" t="s">
        <v>30</v>
      </c>
      <c r="Q1093" s="13">
        <v>0</v>
      </c>
      <c r="R1093" s="15">
        <v>3562.36</v>
      </c>
      <c r="S1093" s="15">
        <v>38</v>
      </c>
      <c r="T1093" s="15">
        <v>1630.96</v>
      </c>
      <c r="U1093" s="15">
        <v>1931.4</v>
      </c>
      <c r="V1093" s="15">
        <v>1931.4</v>
      </c>
      <c r="W1093" s="15">
        <v>0</v>
      </c>
      <c r="X1093" s="15">
        <v>1545.1200000000001</v>
      </c>
      <c r="Y1093" s="16">
        <v>85.839999999999918</v>
      </c>
      <c r="Z1093" s="67" t="s">
        <v>141</v>
      </c>
      <c r="AA1093" s="12" t="s">
        <v>78</v>
      </c>
    </row>
    <row r="1094" spans="1:27" x14ac:dyDescent="0.25">
      <c r="A1094" s="10">
        <v>45675</v>
      </c>
      <c r="B1094" s="11" t="s">
        <v>2702</v>
      </c>
      <c r="C1094" s="11" t="s">
        <v>2703</v>
      </c>
      <c r="D1094" s="11" t="s">
        <v>26</v>
      </c>
      <c r="E1094" s="11" t="s">
        <v>100</v>
      </c>
      <c r="F1094" s="11" t="s">
        <v>26</v>
      </c>
      <c r="G1094" s="11">
        <v>21722</v>
      </c>
      <c r="H1094" s="12" t="s">
        <v>4448</v>
      </c>
      <c r="I1094" s="12" t="s">
        <v>27</v>
      </c>
      <c r="J1094" s="12" t="s">
        <v>47</v>
      </c>
      <c r="K1094" s="12" t="s">
        <v>48</v>
      </c>
      <c r="L1094" s="13">
        <v>39.159999999999997</v>
      </c>
      <c r="M1094" s="13">
        <v>27</v>
      </c>
      <c r="N1094" s="13">
        <v>1.4503703703703701</v>
      </c>
      <c r="O1094" s="13">
        <v>46.66</v>
      </c>
      <c r="P1094" s="13" t="s">
        <v>30</v>
      </c>
      <c r="Q1094" s="13">
        <v>0</v>
      </c>
      <c r="R1094" s="15">
        <v>1827.2055999999998</v>
      </c>
      <c r="S1094" s="15">
        <v>0</v>
      </c>
      <c r="T1094" s="15">
        <v>0</v>
      </c>
      <c r="U1094" s="15">
        <v>1827.2055999999998</v>
      </c>
      <c r="V1094" s="15">
        <v>1370.4041999999999</v>
      </c>
      <c r="W1094" s="15">
        <v>456.80139999999983</v>
      </c>
      <c r="X1094" s="15">
        <v>0</v>
      </c>
      <c r="Y1094" s="16">
        <v>0</v>
      </c>
      <c r="Z1094" s="67" t="s">
        <v>26</v>
      </c>
      <c r="AA1094" s="12" t="s">
        <v>31</v>
      </c>
    </row>
    <row r="1095" spans="1:27" x14ac:dyDescent="0.25">
      <c r="A1095" s="10">
        <v>45675</v>
      </c>
      <c r="B1095" s="11" t="s">
        <v>128</v>
      </c>
      <c r="C1095" s="11" t="s">
        <v>2704</v>
      </c>
      <c r="D1095" s="11" t="s">
        <v>26</v>
      </c>
      <c r="E1095" s="11" t="s">
        <v>553</v>
      </c>
      <c r="F1095" s="11" t="s">
        <v>26</v>
      </c>
      <c r="G1095" s="11">
        <v>44148</v>
      </c>
      <c r="H1095" s="12" t="s">
        <v>4423</v>
      </c>
      <c r="I1095" s="12" t="s">
        <v>27</v>
      </c>
      <c r="J1095" s="12" t="s">
        <v>33</v>
      </c>
      <c r="K1095" s="12" t="s">
        <v>34</v>
      </c>
      <c r="L1095" s="13">
        <v>34.04</v>
      </c>
      <c r="M1095" s="13">
        <v>25</v>
      </c>
      <c r="N1095" s="13">
        <v>1.3615999999999999</v>
      </c>
      <c r="O1095" s="13">
        <v>45</v>
      </c>
      <c r="P1095" s="13" t="s">
        <v>30</v>
      </c>
      <c r="Q1095" s="13">
        <v>0</v>
      </c>
      <c r="R1095" s="14">
        <v>1531.8</v>
      </c>
      <c r="S1095" s="15">
        <v>0</v>
      </c>
      <c r="T1095" s="15">
        <v>0</v>
      </c>
      <c r="U1095" s="15">
        <v>1531.8</v>
      </c>
      <c r="V1095" s="15">
        <v>1531.8</v>
      </c>
      <c r="W1095" s="15">
        <v>0</v>
      </c>
      <c r="X1095" s="15">
        <v>0</v>
      </c>
      <c r="Y1095" s="16">
        <v>0</v>
      </c>
      <c r="Z1095" s="67" t="s">
        <v>26</v>
      </c>
      <c r="AA1095" s="12" t="s">
        <v>31</v>
      </c>
    </row>
    <row r="1096" spans="1:27" x14ac:dyDescent="0.25">
      <c r="A1096" s="10">
        <v>45675</v>
      </c>
      <c r="B1096" s="11" t="s">
        <v>2705</v>
      </c>
      <c r="C1096" s="11" t="s">
        <v>2706</v>
      </c>
      <c r="D1096" s="11" t="s">
        <v>26</v>
      </c>
      <c r="E1096" s="11" t="s">
        <v>184</v>
      </c>
      <c r="F1096" s="11" t="s">
        <v>26</v>
      </c>
      <c r="G1096" s="11" t="s">
        <v>26</v>
      </c>
      <c r="H1096" s="12" t="s">
        <v>4422</v>
      </c>
      <c r="I1096" s="12" t="s">
        <v>27</v>
      </c>
      <c r="J1096" s="12" t="s">
        <v>47</v>
      </c>
      <c r="K1096" s="12" t="s">
        <v>48</v>
      </c>
      <c r="L1096" s="13">
        <v>40.4</v>
      </c>
      <c r="M1096" s="13">
        <v>28</v>
      </c>
      <c r="N1096" s="13">
        <v>1.4428571428571431</v>
      </c>
      <c r="O1096" s="13">
        <v>87</v>
      </c>
      <c r="P1096" s="13" t="s">
        <v>30</v>
      </c>
      <c r="Q1096" s="13">
        <v>0</v>
      </c>
      <c r="R1096" s="15">
        <v>3514.7999999999997</v>
      </c>
      <c r="S1096" s="15">
        <v>38</v>
      </c>
      <c r="T1096" s="15">
        <v>1535.2</v>
      </c>
      <c r="U1096" s="15">
        <v>1979.5999999999997</v>
      </c>
      <c r="V1096" s="15">
        <v>1979.5999999999997</v>
      </c>
      <c r="W1096" s="15">
        <v>0</v>
      </c>
      <c r="X1096" s="15">
        <v>1454.3999999999999</v>
      </c>
      <c r="Y1096" s="16">
        <v>80.800000000000182</v>
      </c>
      <c r="Z1096" s="67" t="s">
        <v>141</v>
      </c>
      <c r="AA1096" s="12" t="s">
        <v>78</v>
      </c>
    </row>
    <row r="1097" spans="1:27" x14ac:dyDescent="0.25">
      <c r="A1097" s="10">
        <v>45675</v>
      </c>
      <c r="B1097" s="11" t="s">
        <v>2707</v>
      </c>
      <c r="C1097" s="11" t="s">
        <v>2708</v>
      </c>
      <c r="D1097" s="11" t="s">
        <v>26</v>
      </c>
      <c r="E1097" s="11" t="s">
        <v>98</v>
      </c>
      <c r="F1097" s="11" t="s">
        <v>26</v>
      </c>
      <c r="G1097" s="11" t="s">
        <v>26</v>
      </c>
      <c r="H1097" s="12" t="s">
        <v>4422</v>
      </c>
      <c r="I1097" s="12" t="s">
        <v>27</v>
      </c>
      <c r="J1097" s="12" t="s">
        <v>33</v>
      </c>
      <c r="K1097" s="12" t="s">
        <v>34</v>
      </c>
      <c r="L1097" s="13">
        <v>43.52</v>
      </c>
      <c r="M1097" s="13">
        <v>30</v>
      </c>
      <c r="N1097" s="13">
        <v>1.450666666666667</v>
      </c>
      <c r="O1097" s="13">
        <v>85</v>
      </c>
      <c r="P1097" s="13" t="s">
        <v>30</v>
      </c>
      <c r="Q1097" s="13">
        <v>0</v>
      </c>
      <c r="R1097" s="15">
        <v>3699.2000000000003</v>
      </c>
      <c r="S1097" s="15">
        <v>38</v>
      </c>
      <c r="T1097" s="15">
        <v>1653.7600000000002</v>
      </c>
      <c r="U1097" s="15">
        <v>2045.44</v>
      </c>
      <c r="V1097" s="15">
        <v>2045.44</v>
      </c>
      <c r="W1097" s="15">
        <v>0</v>
      </c>
      <c r="X1097" s="15">
        <v>1566.72</v>
      </c>
      <c r="Y1097" s="16">
        <v>87.040000000000191</v>
      </c>
      <c r="Z1097" s="67" t="s">
        <v>140</v>
      </c>
      <c r="AA1097" s="12" t="s">
        <v>78</v>
      </c>
    </row>
    <row r="1098" spans="1:27" x14ac:dyDescent="0.25">
      <c r="A1098" s="10">
        <v>45675</v>
      </c>
      <c r="B1098" s="11" t="s">
        <v>1456</v>
      </c>
      <c r="C1098" s="11" t="s">
        <v>2709</v>
      </c>
      <c r="D1098" s="11" t="s">
        <v>26</v>
      </c>
      <c r="E1098" s="11" t="s">
        <v>570</v>
      </c>
      <c r="F1098" s="11" t="s">
        <v>26</v>
      </c>
      <c r="G1098" s="11" t="s">
        <v>26</v>
      </c>
      <c r="H1098" s="12" t="s">
        <v>4422</v>
      </c>
      <c r="I1098" s="12" t="s">
        <v>27</v>
      </c>
      <c r="J1098" s="12" t="s">
        <v>47</v>
      </c>
      <c r="K1098" s="12" t="s">
        <v>48</v>
      </c>
      <c r="L1098" s="13">
        <v>41.68</v>
      </c>
      <c r="M1098" s="13">
        <v>28</v>
      </c>
      <c r="N1098" s="13">
        <v>1.4885714285714291</v>
      </c>
      <c r="O1098" s="13">
        <v>87</v>
      </c>
      <c r="P1098" s="13" t="s">
        <v>30</v>
      </c>
      <c r="Q1098" s="13">
        <v>0</v>
      </c>
      <c r="R1098" s="15">
        <v>3626.16</v>
      </c>
      <c r="S1098" s="15">
        <v>38</v>
      </c>
      <c r="T1098" s="15">
        <v>1583.84</v>
      </c>
      <c r="U1098" s="15">
        <v>2042.32</v>
      </c>
      <c r="V1098" s="15">
        <v>2042.32</v>
      </c>
      <c r="W1098" s="15">
        <v>0</v>
      </c>
      <c r="X1098" s="15">
        <v>1500.48</v>
      </c>
      <c r="Y1098" s="16">
        <v>83.3599999999999</v>
      </c>
      <c r="Z1098" s="67" t="s">
        <v>140</v>
      </c>
      <c r="AA1098" s="12" t="s">
        <v>78</v>
      </c>
    </row>
    <row r="1099" spans="1:27" x14ac:dyDescent="0.25">
      <c r="A1099" s="10">
        <v>45675</v>
      </c>
      <c r="B1099" s="11" t="s">
        <v>2710</v>
      </c>
      <c r="C1099" s="11" t="s">
        <v>2711</v>
      </c>
      <c r="D1099" s="11" t="s">
        <v>26</v>
      </c>
      <c r="E1099" s="11" t="s">
        <v>2109</v>
      </c>
      <c r="F1099" s="11" t="s">
        <v>26</v>
      </c>
      <c r="G1099" s="11" t="s">
        <v>26</v>
      </c>
      <c r="H1099" s="12" t="s">
        <v>4422</v>
      </c>
      <c r="I1099" s="12" t="s">
        <v>27</v>
      </c>
      <c r="J1099" s="12" t="s">
        <v>42</v>
      </c>
      <c r="K1099" s="12" t="s">
        <v>43</v>
      </c>
      <c r="L1099" s="13">
        <v>42.96</v>
      </c>
      <c r="M1099" s="13">
        <v>25</v>
      </c>
      <c r="N1099" s="13">
        <v>1.7183999999999999</v>
      </c>
      <c r="O1099" s="13">
        <v>83</v>
      </c>
      <c r="P1099" s="13" t="s">
        <v>30</v>
      </c>
      <c r="Q1099" s="13">
        <v>0</v>
      </c>
      <c r="R1099" s="15">
        <v>3565.6800000000003</v>
      </c>
      <c r="S1099" s="15">
        <v>38</v>
      </c>
      <c r="T1099" s="15">
        <v>1632.48</v>
      </c>
      <c r="U1099" s="15">
        <v>1933.2000000000003</v>
      </c>
      <c r="V1099" s="15">
        <v>1933.2000000000003</v>
      </c>
      <c r="W1099" s="15">
        <v>0</v>
      </c>
      <c r="X1099" s="15">
        <v>1546.56</v>
      </c>
      <c r="Y1099" s="16">
        <v>85.920000000000073</v>
      </c>
      <c r="Z1099" s="67" t="s">
        <v>140</v>
      </c>
      <c r="AA1099" s="12" t="s">
        <v>78</v>
      </c>
    </row>
    <row r="1100" spans="1:27" x14ac:dyDescent="0.25">
      <c r="A1100" s="10">
        <v>45675</v>
      </c>
      <c r="B1100" s="11" t="s">
        <v>2712</v>
      </c>
      <c r="C1100" s="11" t="s">
        <v>2713</v>
      </c>
      <c r="D1100" s="11" t="s">
        <v>26</v>
      </c>
      <c r="E1100" s="11" t="s">
        <v>50</v>
      </c>
      <c r="F1100" s="11" t="s">
        <v>26</v>
      </c>
      <c r="G1100" s="11">
        <v>637</v>
      </c>
      <c r="H1100" s="12" t="s">
        <v>163</v>
      </c>
      <c r="I1100" s="12" t="s">
        <v>27</v>
      </c>
      <c r="J1100" s="12" t="s">
        <v>33</v>
      </c>
      <c r="K1100" s="12" t="s">
        <v>34</v>
      </c>
      <c r="L1100" s="13">
        <v>38.159999999999997</v>
      </c>
      <c r="M1100" s="13">
        <v>25</v>
      </c>
      <c r="N1100" s="13">
        <v>1.5264</v>
      </c>
      <c r="O1100" s="13" t="s">
        <v>30</v>
      </c>
      <c r="P1100" s="13">
        <v>58</v>
      </c>
      <c r="Q1100" s="13">
        <v>0</v>
      </c>
      <c r="R1100" s="14">
        <v>1450</v>
      </c>
      <c r="S1100" s="15">
        <v>0</v>
      </c>
      <c r="T1100" s="15">
        <v>0</v>
      </c>
      <c r="U1100" s="15">
        <v>1450</v>
      </c>
      <c r="V1100" s="15">
        <v>0</v>
      </c>
      <c r="W1100" s="15">
        <v>1450</v>
      </c>
      <c r="X1100" s="15">
        <v>0</v>
      </c>
      <c r="Y1100" s="16">
        <v>0</v>
      </c>
      <c r="Z1100" s="67" t="s">
        <v>26</v>
      </c>
      <c r="AA1100" s="12" t="s">
        <v>31</v>
      </c>
    </row>
    <row r="1101" spans="1:27" x14ac:dyDescent="0.25">
      <c r="A1101" s="10">
        <v>45675</v>
      </c>
      <c r="B1101" s="11" t="s">
        <v>2714</v>
      </c>
      <c r="C1101" s="11" t="s">
        <v>2715</v>
      </c>
      <c r="D1101" s="11" t="s">
        <v>26</v>
      </c>
      <c r="E1101" s="11" t="s">
        <v>520</v>
      </c>
      <c r="F1101" s="11" t="s">
        <v>26</v>
      </c>
      <c r="G1101" s="11">
        <v>4373</v>
      </c>
      <c r="H1101" s="12" t="s">
        <v>140</v>
      </c>
      <c r="I1101" s="12" t="s">
        <v>27</v>
      </c>
      <c r="J1101" s="12" t="s">
        <v>42</v>
      </c>
      <c r="K1101" s="12" t="s">
        <v>43</v>
      </c>
      <c r="L1101" s="13">
        <v>43.22</v>
      </c>
      <c r="M1101" s="13">
        <v>25</v>
      </c>
      <c r="N1101" s="13">
        <v>1.7287999999999999</v>
      </c>
      <c r="O1101" s="13">
        <v>35</v>
      </c>
      <c r="P1101" s="13"/>
      <c r="Q1101" s="13">
        <v>0</v>
      </c>
      <c r="R1101" s="14">
        <v>1512.7</v>
      </c>
      <c r="S1101" s="15">
        <v>0</v>
      </c>
      <c r="T1101" s="15">
        <v>0</v>
      </c>
      <c r="U1101" s="15">
        <v>1512.7</v>
      </c>
      <c r="V1101" s="15">
        <v>0</v>
      </c>
      <c r="W1101" s="15">
        <v>1512.7</v>
      </c>
      <c r="X1101" s="15">
        <v>0</v>
      </c>
      <c r="Y1101" s="16">
        <v>0</v>
      </c>
      <c r="Z1101" s="67" t="s">
        <v>26</v>
      </c>
      <c r="AA1101" s="12" t="s">
        <v>31</v>
      </c>
    </row>
    <row r="1102" spans="1:27" x14ac:dyDescent="0.25">
      <c r="A1102" s="10">
        <v>45675</v>
      </c>
      <c r="B1102" s="11" t="s">
        <v>2716</v>
      </c>
      <c r="C1102" s="11" t="s">
        <v>2717</v>
      </c>
      <c r="D1102" s="11" t="s">
        <v>26</v>
      </c>
      <c r="E1102" s="11" t="s">
        <v>483</v>
      </c>
      <c r="F1102" s="11" t="s">
        <v>26</v>
      </c>
      <c r="G1102" s="11" t="s">
        <v>26</v>
      </c>
      <c r="H1102" s="12" t="s">
        <v>4422</v>
      </c>
      <c r="I1102" s="12" t="s">
        <v>27</v>
      </c>
      <c r="J1102" s="12" t="s">
        <v>33</v>
      </c>
      <c r="K1102" s="12" t="s">
        <v>34</v>
      </c>
      <c r="L1102" s="13">
        <v>42.9</v>
      </c>
      <c r="M1102" s="13">
        <v>29</v>
      </c>
      <c r="N1102" s="13">
        <v>1.4793103448275859</v>
      </c>
      <c r="O1102" s="13">
        <v>85</v>
      </c>
      <c r="P1102" s="13" t="s">
        <v>30</v>
      </c>
      <c r="Q1102" s="13">
        <v>0</v>
      </c>
      <c r="R1102" s="14">
        <v>3646.5</v>
      </c>
      <c r="S1102" s="15">
        <v>38</v>
      </c>
      <c r="T1102" s="15">
        <v>1630.2</v>
      </c>
      <c r="U1102" s="15">
        <v>2016.3</v>
      </c>
      <c r="V1102" s="15">
        <v>2016.3</v>
      </c>
      <c r="W1102" s="15">
        <v>0</v>
      </c>
      <c r="X1102" s="15">
        <v>1587.3</v>
      </c>
      <c r="Y1102" s="16">
        <v>42.900000000000091</v>
      </c>
      <c r="Z1102" s="67" t="s">
        <v>41</v>
      </c>
      <c r="AA1102" s="12" t="s">
        <v>78</v>
      </c>
    </row>
    <row r="1103" spans="1:27" x14ac:dyDescent="0.25">
      <c r="A1103" s="10">
        <v>45675</v>
      </c>
      <c r="B1103" s="11" t="s">
        <v>2718</v>
      </c>
      <c r="C1103" s="11" t="s">
        <v>2719</v>
      </c>
      <c r="D1103" s="11" t="s">
        <v>26</v>
      </c>
      <c r="E1103" s="11" t="s">
        <v>605</v>
      </c>
      <c r="F1103" s="11" t="s">
        <v>26</v>
      </c>
      <c r="G1103" s="11">
        <v>1052</v>
      </c>
      <c r="H1103" s="12" t="s">
        <v>141</v>
      </c>
      <c r="I1103" s="12" t="s">
        <v>37</v>
      </c>
      <c r="J1103" s="12" t="s">
        <v>85</v>
      </c>
      <c r="K1103" s="12" t="s">
        <v>86</v>
      </c>
      <c r="L1103" s="13">
        <v>39.659999999999997</v>
      </c>
      <c r="M1103" s="13">
        <v>25</v>
      </c>
      <c r="N1103" s="13">
        <v>1.5864</v>
      </c>
      <c r="O1103" s="13">
        <v>29</v>
      </c>
      <c r="P1103" s="13" t="s">
        <v>30</v>
      </c>
      <c r="Q1103" s="13">
        <v>0</v>
      </c>
      <c r="R1103" s="15">
        <v>1150.1399999999999</v>
      </c>
      <c r="S1103" s="15">
        <v>0</v>
      </c>
      <c r="T1103" s="15">
        <v>0</v>
      </c>
      <c r="U1103" s="15">
        <v>1150.1399999999999</v>
      </c>
      <c r="V1103" s="15">
        <v>0</v>
      </c>
      <c r="W1103" s="15">
        <v>1150.1399999999999</v>
      </c>
      <c r="X1103" s="15">
        <v>0</v>
      </c>
      <c r="Y1103" s="16">
        <v>0</v>
      </c>
      <c r="Z1103" s="67" t="s">
        <v>26</v>
      </c>
      <c r="AA1103" s="12" t="s">
        <v>31</v>
      </c>
    </row>
    <row r="1104" spans="1:27" x14ac:dyDescent="0.25">
      <c r="A1104" s="10">
        <v>45675</v>
      </c>
      <c r="B1104" s="11" t="s">
        <v>2720</v>
      </c>
      <c r="C1104" s="11" t="s">
        <v>2721</v>
      </c>
      <c r="D1104" s="11" t="s">
        <v>26</v>
      </c>
      <c r="E1104" s="11" t="s">
        <v>244</v>
      </c>
      <c r="F1104" s="11" t="s">
        <v>26</v>
      </c>
      <c r="G1104" s="11">
        <v>953</v>
      </c>
      <c r="H1104" s="12" t="s">
        <v>141</v>
      </c>
      <c r="I1104" s="12" t="s">
        <v>37</v>
      </c>
      <c r="J1104" s="12" t="s">
        <v>85</v>
      </c>
      <c r="K1104" s="12" t="s">
        <v>86</v>
      </c>
      <c r="L1104" s="13">
        <v>39.86</v>
      </c>
      <c r="M1104" s="13">
        <v>25</v>
      </c>
      <c r="N1104" s="13">
        <v>1.5944</v>
      </c>
      <c r="O1104" s="13">
        <v>29</v>
      </c>
      <c r="P1104" s="13" t="s">
        <v>30</v>
      </c>
      <c r="Q1104" s="13">
        <v>0</v>
      </c>
      <c r="R1104" s="15">
        <v>1155.94</v>
      </c>
      <c r="S1104" s="15">
        <v>0</v>
      </c>
      <c r="T1104" s="15">
        <v>0</v>
      </c>
      <c r="U1104" s="15">
        <v>1155.94</v>
      </c>
      <c r="V1104" s="15">
        <v>0</v>
      </c>
      <c r="W1104" s="15">
        <v>1155.94</v>
      </c>
      <c r="X1104" s="15">
        <v>0</v>
      </c>
      <c r="Y1104" s="16">
        <v>0</v>
      </c>
      <c r="Z1104" s="67" t="s">
        <v>26</v>
      </c>
      <c r="AA1104" s="12" t="s">
        <v>31</v>
      </c>
    </row>
    <row r="1105" spans="1:27" x14ac:dyDescent="0.25">
      <c r="A1105" s="10">
        <v>45675</v>
      </c>
      <c r="B1105" s="11" t="s">
        <v>2722</v>
      </c>
      <c r="C1105" s="11" t="s">
        <v>2723</v>
      </c>
      <c r="D1105" s="11" t="s">
        <v>26</v>
      </c>
      <c r="E1105" s="11" t="s">
        <v>53</v>
      </c>
      <c r="F1105" s="11" t="s">
        <v>26</v>
      </c>
      <c r="G1105" s="11">
        <v>3756</v>
      </c>
      <c r="H1105" s="12" t="s">
        <v>41</v>
      </c>
      <c r="I1105" s="12" t="s">
        <v>27</v>
      </c>
      <c r="J1105" s="12" t="s">
        <v>33</v>
      </c>
      <c r="K1105" s="12" t="s">
        <v>34</v>
      </c>
      <c r="L1105" s="13">
        <v>38.28</v>
      </c>
      <c r="M1105" s="13">
        <v>25</v>
      </c>
      <c r="N1105" s="13">
        <v>1.5311999999999999</v>
      </c>
      <c r="O1105" s="13" t="s">
        <v>30</v>
      </c>
      <c r="P1105" s="13">
        <v>60</v>
      </c>
      <c r="Q1105" s="13">
        <v>0</v>
      </c>
      <c r="R1105" s="14">
        <v>1500</v>
      </c>
      <c r="S1105" s="15">
        <v>0</v>
      </c>
      <c r="T1105" s="15">
        <v>0</v>
      </c>
      <c r="U1105" s="15">
        <v>1500</v>
      </c>
      <c r="V1105" s="15">
        <v>0</v>
      </c>
      <c r="W1105" s="15">
        <v>1500</v>
      </c>
      <c r="X1105" s="15">
        <v>0</v>
      </c>
      <c r="Y1105" s="16">
        <v>0</v>
      </c>
      <c r="Z1105" s="67" t="s">
        <v>26</v>
      </c>
      <c r="AA1105" s="12" t="s">
        <v>31</v>
      </c>
    </row>
    <row r="1106" spans="1:27" x14ac:dyDescent="0.25">
      <c r="A1106" s="10">
        <v>45675</v>
      </c>
      <c r="B1106" s="11" t="s">
        <v>2724</v>
      </c>
      <c r="C1106" s="11" t="s">
        <v>2725</v>
      </c>
      <c r="D1106" s="11" t="s">
        <v>26</v>
      </c>
      <c r="E1106" s="11" t="s">
        <v>658</v>
      </c>
      <c r="F1106" s="11" t="s">
        <v>26</v>
      </c>
      <c r="G1106" s="11">
        <v>854</v>
      </c>
      <c r="H1106" s="12" t="s">
        <v>141</v>
      </c>
      <c r="I1106" s="12" t="s">
        <v>55</v>
      </c>
      <c r="J1106" s="12" t="s">
        <v>55</v>
      </c>
      <c r="K1106" s="12" t="s">
        <v>56</v>
      </c>
      <c r="L1106" s="13">
        <v>40.880000000000003</v>
      </c>
      <c r="M1106" s="13">
        <v>25</v>
      </c>
      <c r="N1106" s="13">
        <v>1.6352</v>
      </c>
      <c r="O1106" s="13">
        <v>15</v>
      </c>
      <c r="P1106" s="13" t="s">
        <v>30</v>
      </c>
      <c r="Q1106" s="13">
        <v>0</v>
      </c>
      <c r="R1106" s="15">
        <v>613.20000000000005</v>
      </c>
      <c r="S1106" s="15">
        <v>0</v>
      </c>
      <c r="T1106" s="15">
        <v>0</v>
      </c>
      <c r="U1106" s="15">
        <v>613.20000000000005</v>
      </c>
      <c r="V1106" s="15">
        <v>0</v>
      </c>
      <c r="W1106" s="15">
        <v>613.20000000000005</v>
      </c>
      <c r="X1106" s="15">
        <v>0</v>
      </c>
      <c r="Y1106" s="16">
        <v>0</v>
      </c>
      <c r="Z1106" s="67" t="s">
        <v>26</v>
      </c>
      <c r="AA1106" s="12" t="s">
        <v>31</v>
      </c>
    </row>
    <row r="1107" spans="1:27" x14ac:dyDescent="0.25">
      <c r="A1107" s="10">
        <v>45675</v>
      </c>
      <c r="B1107" s="11" t="s">
        <v>2726</v>
      </c>
      <c r="C1107" s="11" t="s">
        <v>2727</v>
      </c>
      <c r="D1107" s="11" t="s">
        <v>26</v>
      </c>
      <c r="E1107" s="11" t="s">
        <v>246</v>
      </c>
      <c r="F1107" s="11" t="s">
        <v>26</v>
      </c>
      <c r="G1107" s="11" t="s">
        <v>26</v>
      </c>
      <c r="H1107" s="12" t="s">
        <v>4422</v>
      </c>
      <c r="I1107" s="12" t="s">
        <v>27</v>
      </c>
      <c r="J1107" s="12" t="s">
        <v>42</v>
      </c>
      <c r="K1107" s="12" t="s">
        <v>43</v>
      </c>
      <c r="L1107" s="13">
        <v>44.72</v>
      </c>
      <c r="M1107" s="13">
        <v>25</v>
      </c>
      <c r="N1107" s="13">
        <v>1.7887999999999999</v>
      </c>
      <c r="O1107" s="13">
        <v>83</v>
      </c>
      <c r="P1107" s="13" t="s">
        <v>30</v>
      </c>
      <c r="Q1107" s="13">
        <v>0</v>
      </c>
      <c r="R1107" s="15">
        <v>3711.7599999999998</v>
      </c>
      <c r="S1107" s="15">
        <v>38</v>
      </c>
      <c r="T1107" s="15">
        <v>1699.36</v>
      </c>
      <c r="U1107" s="15">
        <v>2012.3999999999999</v>
      </c>
      <c r="V1107" s="15">
        <v>2012.3999999999999</v>
      </c>
      <c r="W1107" s="15">
        <v>0</v>
      </c>
      <c r="X1107" s="15">
        <v>1654.6399999999999</v>
      </c>
      <c r="Y1107" s="16">
        <v>44.720000000000027</v>
      </c>
      <c r="Z1107" s="67" t="s">
        <v>41</v>
      </c>
      <c r="AA1107" s="12" t="s">
        <v>78</v>
      </c>
    </row>
    <row r="1108" spans="1:27" x14ac:dyDescent="0.25">
      <c r="A1108" s="10">
        <v>45675</v>
      </c>
      <c r="B1108" s="11" t="s">
        <v>2728</v>
      </c>
      <c r="C1108" s="11" t="s">
        <v>2729</v>
      </c>
      <c r="D1108" s="11" t="s">
        <v>26</v>
      </c>
      <c r="E1108" s="11" t="s">
        <v>604</v>
      </c>
      <c r="F1108" s="11" t="s">
        <v>26</v>
      </c>
      <c r="G1108" s="11" t="s">
        <v>26</v>
      </c>
      <c r="H1108" s="12" t="s">
        <v>4422</v>
      </c>
      <c r="I1108" s="12" t="s">
        <v>27</v>
      </c>
      <c r="J1108" s="12" t="s">
        <v>33</v>
      </c>
      <c r="K1108" s="12" t="s">
        <v>34</v>
      </c>
      <c r="L1108" s="13">
        <v>40.32</v>
      </c>
      <c r="M1108" s="13">
        <v>28</v>
      </c>
      <c r="N1108" s="13">
        <v>1.44</v>
      </c>
      <c r="O1108" s="13">
        <v>85</v>
      </c>
      <c r="P1108" s="13" t="s">
        <v>30</v>
      </c>
      <c r="Q1108" s="13">
        <v>0</v>
      </c>
      <c r="R1108" s="14">
        <v>3427.2</v>
      </c>
      <c r="S1108" s="15">
        <v>38</v>
      </c>
      <c r="T1108" s="15">
        <v>1532.16</v>
      </c>
      <c r="U1108" s="15">
        <v>1895.0399999999997</v>
      </c>
      <c r="V1108" s="15">
        <v>1895.0399999999997</v>
      </c>
      <c r="W1108" s="15">
        <v>0</v>
      </c>
      <c r="X1108" s="15">
        <v>1451.52</v>
      </c>
      <c r="Y1108" s="16">
        <v>80.6400000000001</v>
      </c>
      <c r="Z1108" s="67" t="s">
        <v>141</v>
      </c>
      <c r="AA1108" s="12" t="s">
        <v>78</v>
      </c>
    </row>
    <row r="1109" spans="1:27" x14ac:dyDescent="0.25">
      <c r="A1109" s="10">
        <v>45675</v>
      </c>
      <c r="B1109" s="11" t="s">
        <v>2730</v>
      </c>
      <c r="C1109" s="11" t="s">
        <v>2731</v>
      </c>
      <c r="D1109" s="11" t="s">
        <v>26</v>
      </c>
      <c r="E1109" s="11" t="s">
        <v>224</v>
      </c>
      <c r="F1109" s="11" t="s">
        <v>26</v>
      </c>
      <c r="G1109" s="11">
        <v>55327</v>
      </c>
      <c r="H1109" s="12" t="s">
        <v>4423</v>
      </c>
      <c r="I1109" s="12" t="s">
        <v>27</v>
      </c>
      <c r="J1109" s="12" t="s">
        <v>33</v>
      </c>
      <c r="K1109" s="12" t="s">
        <v>34</v>
      </c>
      <c r="L1109" s="13">
        <v>36.5</v>
      </c>
      <c r="M1109" s="13">
        <v>25</v>
      </c>
      <c r="N1109" s="13">
        <v>1.46</v>
      </c>
      <c r="O1109" s="13">
        <v>45</v>
      </c>
      <c r="P1109" s="13" t="s">
        <v>30</v>
      </c>
      <c r="Q1109" s="13">
        <v>0</v>
      </c>
      <c r="R1109" s="14">
        <v>1642.5</v>
      </c>
      <c r="S1109" s="15">
        <v>0</v>
      </c>
      <c r="T1109" s="15">
        <v>0</v>
      </c>
      <c r="U1109" s="15">
        <v>1642.5</v>
      </c>
      <c r="V1109" s="15">
        <v>1642.5</v>
      </c>
      <c r="W1109" s="15">
        <v>0</v>
      </c>
      <c r="X1109" s="15">
        <v>0</v>
      </c>
      <c r="Y1109" s="16">
        <v>0</v>
      </c>
      <c r="Z1109" s="67" t="s">
        <v>26</v>
      </c>
      <c r="AA1109" s="12" t="s">
        <v>31</v>
      </c>
    </row>
    <row r="1110" spans="1:27" x14ac:dyDescent="0.25">
      <c r="A1110" s="10">
        <v>45675</v>
      </c>
      <c r="B1110" s="11" t="s">
        <v>2732</v>
      </c>
      <c r="C1110" s="11" t="s">
        <v>2733</v>
      </c>
      <c r="D1110" s="11" t="s">
        <v>26</v>
      </c>
      <c r="E1110" s="11" t="s">
        <v>589</v>
      </c>
      <c r="F1110" s="11" t="s">
        <v>26</v>
      </c>
      <c r="G1110" s="11">
        <v>4584</v>
      </c>
      <c r="H1110" s="12" t="s">
        <v>4423</v>
      </c>
      <c r="I1110" s="12" t="s">
        <v>27</v>
      </c>
      <c r="J1110" s="12" t="s">
        <v>42</v>
      </c>
      <c r="K1110" s="12" t="s">
        <v>43</v>
      </c>
      <c r="L1110" s="13">
        <v>37.78</v>
      </c>
      <c r="M1110" s="13">
        <v>25</v>
      </c>
      <c r="N1110" s="13">
        <v>1.5112000000000001</v>
      </c>
      <c r="O1110" s="13">
        <v>42</v>
      </c>
      <c r="P1110" s="13" t="s">
        <v>30</v>
      </c>
      <c r="Q1110" s="13">
        <v>0</v>
      </c>
      <c r="R1110" s="15">
        <v>1586.76</v>
      </c>
      <c r="S1110" s="15">
        <v>0</v>
      </c>
      <c r="T1110" s="15">
        <v>0</v>
      </c>
      <c r="U1110" s="15">
        <v>1586.76</v>
      </c>
      <c r="V1110" s="15">
        <v>1586.76</v>
      </c>
      <c r="W1110" s="15">
        <v>0</v>
      </c>
      <c r="X1110" s="15">
        <v>0</v>
      </c>
      <c r="Y1110" s="16">
        <v>0</v>
      </c>
      <c r="Z1110" s="67" t="s">
        <v>26</v>
      </c>
      <c r="AA1110" s="12" t="s">
        <v>31</v>
      </c>
    </row>
    <row r="1111" spans="1:27" x14ac:dyDescent="0.25">
      <c r="A1111" s="10">
        <v>45675</v>
      </c>
      <c r="B1111" s="11" t="s">
        <v>2734</v>
      </c>
      <c r="C1111" s="11" t="s">
        <v>2735</v>
      </c>
      <c r="D1111" s="11" t="s">
        <v>26</v>
      </c>
      <c r="E1111" s="11" t="s">
        <v>1200</v>
      </c>
      <c r="F1111" s="11" t="s">
        <v>26</v>
      </c>
      <c r="G1111" s="11">
        <v>992</v>
      </c>
      <c r="H1111" s="12" t="s">
        <v>163</v>
      </c>
      <c r="I1111" s="12" t="s">
        <v>27</v>
      </c>
      <c r="J1111" s="12" t="s">
        <v>42</v>
      </c>
      <c r="K1111" s="12" t="s">
        <v>43</v>
      </c>
      <c r="L1111" s="13">
        <v>44.38</v>
      </c>
      <c r="M1111" s="13">
        <v>25</v>
      </c>
      <c r="N1111" s="13">
        <v>1.7751999999999999</v>
      </c>
      <c r="O1111" s="13" t="s">
        <v>30</v>
      </c>
      <c r="P1111" s="13">
        <v>56</v>
      </c>
      <c r="Q1111" s="13">
        <v>0</v>
      </c>
      <c r="R1111" s="14">
        <v>1400</v>
      </c>
      <c r="S1111" s="15">
        <v>0</v>
      </c>
      <c r="T1111" s="15">
        <v>0</v>
      </c>
      <c r="U1111" s="15">
        <v>1400</v>
      </c>
      <c r="V1111" s="15">
        <v>0</v>
      </c>
      <c r="W1111" s="15">
        <v>1400</v>
      </c>
      <c r="X1111" s="15">
        <v>0</v>
      </c>
      <c r="Y1111" s="16">
        <v>0</v>
      </c>
      <c r="Z1111" s="67" t="s">
        <v>26</v>
      </c>
      <c r="AA1111" s="12" t="s">
        <v>31</v>
      </c>
    </row>
    <row r="1112" spans="1:27" x14ac:dyDescent="0.25">
      <c r="A1112" s="10">
        <v>45675</v>
      </c>
      <c r="B1112" s="11" t="s">
        <v>2736</v>
      </c>
      <c r="C1112" s="11" t="s">
        <v>2737</v>
      </c>
      <c r="D1112" s="11" t="s">
        <v>26</v>
      </c>
      <c r="E1112" s="11" t="s">
        <v>593</v>
      </c>
      <c r="F1112" s="11" t="s">
        <v>26</v>
      </c>
      <c r="G1112" s="11">
        <v>59492</v>
      </c>
      <c r="H1112" s="12" t="s">
        <v>4423</v>
      </c>
      <c r="I1112" s="12" t="s">
        <v>27</v>
      </c>
      <c r="J1112" s="12" t="s">
        <v>42</v>
      </c>
      <c r="K1112" s="12" t="s">
        <v>43</v>
      </c>
      <c r="L1112" s="13">
        <v>33.200000000000003</v>
      </c>
      <c r="M1112" s="13">
        <v>25</v>
      </c>
      <c r="N1112" s="13">
        <v>1.3280000000000001</v>
      </c>
      <c r="O1112" s="13">
        <v>42</v>
      </c>
      <c r="P1112" s="13" t="s">
        <v>30</v>
      </c>
      <c r="Q1112" s="13">
        <v>0</v>
      </c>
      <c r="R1112" s="14">
        <v>1394.4</v>
      </c>
      <c r="S1112" s="15">
        <v>0</v>
      </c>
      <c r="T1112" s="15">
        <v>0</v>
      </c>
      <c r="U1112" s="15">
        <v>1394.4</v>
      </c>
      <c r="V1112" s="15">
        <v>1394.4</v>
      </c>
      <c r="W1112" s="15">
        <v>0</v>
      </c>
      <c r="X1112" s="15">
        <v>0</v>
      </c>
      <c r="Y1112" s="16">
        <v>0</v>
      </c>
      <c r="Z1112" s="67" t="s">
        <v>26</v>
      </c>
      <c r="AA1112" s="12" t="s">
        <v>31</v>
      </c>
    </row>
    <row r="1113" spans="1:27" x14ac:dyDescent="0.25">
      <c r="A1113" s="10">
        <v>45675</v>
      </c>
      <c r="B1113" s="11" t="s">
        <v>2738</v>
      </c>
      <c r="C1113" s="11" t="s">
        <v>2739</v>
      </c>
      <c r="D1113" s="11" t="s">
        <v>26</v>
      </c>
      <c r="E1113" s="11" t="s">
        <v>240</v>
      </c>
      <c r="F1113" s="11" t="s">
        <v>26</v>
      </c>
      <c r="G1113" s="11">
        <v>2926</v>
      </c>
      <c r="H1113" s="12" t="s">
        <v>41</v>
      </c>
      <c r="I1113" s="12" t="s">
        <v>55</v>
      </c>
      <c r="J1113" s="12" t="s">
        <v>566</v>
      </c>
      <c r="K1113" s="12" t="s">
        <v>550</v>
      </c>
      <c r="L1113" s="13">
        <v>40.9</v>
      </c>
      <c r="M1113" s="13">
        <v>25</v>
      </c>
      <c r="N1113" s="13">
        <v>1.6359999999999999</v>
      </c>
      <c r="O1113" s="13">
        <v>25</v>
      </c>
      <c r="P1113" s="13"/>
      <c r="Q1113" s="13">
        <v>0</v>
      </c>
      <c r="R1113" s="15">
        <v>1022.5</v>
      </c>
      <c r="S1113" s="15">
        <v>0</v>
      </c>
      <c r="T1113" s="15">
        <v>0</v>
      </c>
      <c r="U1113" s="15">
        <v>1022.5</v>
      </c>
      <c r="V1113" s="15">
        <v>0</v>
      </c>
      <c r="W1113" s="15">
        <v>1022.5</v>
      </c>
      <c r="X1113" s="15">
        <v>0</v>
      </c>
      <c r="Y1113" s="16">
        <v>0</v>
      </c>
      <c r="Z1113" s="67" t="s">
        <v>26</v>
      </c>
      <c r="AA1113" s="12" t="s">
        <v>31</v>
      </c>
    </row>
    <row r="1114" spans="1:27" x14ac:dyDescent="0.25">
      <c r="A1114" s="10">
        <v>45675</v>
      </c>
      <c r="B1114" s="11" t="s">
        <v>1867</v>
      </c>
      <c r="C1114" s="11" t="s">
        <v>2740</v>
      </c>
      <c r="D1114" s="11" t="s">
        <v>26</v>
      </c>
      <c r="E1114" s="11" t="s">
        <v>60</v>
      </c>
      <c r="F1114" s="11" t="s">
        <v>26</v>
      </c>
      <c r="G1114" s="11" t="s">
        <v>35</v>
      </c>
      <c r="H1114" s="12" t="s">
        <v>36</v>
      </c>
      <c r="I1114" s="12" t="s">
        <v>27</v>
      </c>
      <c r="J1114" s="12" t="s">
        <v>33</v>
      </c>
      <c r="K1114" s="12" t="s">
        <v>34</v>
      </c>
      <c r="L1114" s="13">
        <v>6.42</v>
      </c>
      <c r="M1114" s="13">
        <v>4</v>
      </c>
      <c r="N1114" s="13">
        <v>1.605</v>
      </c>
      <c r="O1114" s="13">
        <v>50</v>
      </c>
      <c r="P1114" s="13" t="s">
        <v>30</v>
      </c>
      <c r="Q1114" s="13">
        <v>0</v>
      </c>
      <c r="R1114" s="15">
        <v>321</v>
      </c>
      <c r="S1114" s="15">
        <v>0</v>
      </c>
      <c r="T1114" s="15">
        <v>0</v>
      </c>
      <c r="U1114" s="15">
        <v>321</v>
      </c>
      <c r="V1114" s="15">
        <v>0</v>
      </c>
      <c r="W1114" s="15">
        <v>321</v>
      </c>
      <c r="X1114" s="15">
        <v>0</v>
      </c>
      <c r="Y1114" s="16">
        <v>0</v>
      </c>
      <c r="Z1114" s="67" t="s">
        <v>26</v>
      </c>
      <c r="AA1114" s="12" t="s">
        <v>31</v>
      </c>
    </row>
    <row r="1115" spans="1:27" x14ac:dyDescent="0.25">
      <c r="A1115" s="10">
        <v>45675</v>
      </c>
      <c r="B1115" s="11" t="s">
        <v>426</v>
      </c>
      <c r="C1115" s="11" t="s">
        <v>2741</v>
      </c>
      <c r="D1115" s="11" t="s">
        <v>26</v>
      </c>
      <c r="E1115" s="11" t="s">
        <v>75</v>
      </c>
      <c r="F1115" s="11" t="s">
        <v>26</v>
      </c>
      <c r="G1115" s="11">
        <v>42018</v>
      </c>
      <c r="H1115" s="12" t="s">
        <v>565</v>
      </c>
      <c r="I1115" s="12" t="s">
        <v>27</v>
      </c>
      <c r="J1115" s="12" t="s">
        <v>42</v>
      </c>
      <c r="K1115" s="12" t="s">
        <v>43</v>
      </c>
      <c r="L1115" s="13">
        <v>43.32</v>
      </c>
      <c r="M1115" s="13">
        <v>25</v>
      </c>
      <c r="N1115" s="13">
        <v>1.7327999999999999</v>
      </c>
      <c r="O1115" s="13"/>
      <c r="P1115" s="13">
        <v>64</v>
      </c>
      <c r="Q1115" s="13">
        <v>0</v>
      </c>
      <c r="R1115" s="14">
        <v>1600</v>
      </c>
      <c r="S1115" s="15">
        <v>0</v>
      </c>
      <c r="T1115" s="15">
        <v>0</v>
      </c>
      <c r="U1115" s="15">
        <v>1600</v>
      </c>
      <c r="V1115" s="15">
        <v>0</v>
      </c>
      <c r="W1115" s="15">
        <v>1600</v>
      </c>
      <c r="X1115" s="15">
        <v>0</v>
      </c>
      <c r="Y1115" s="16">
        <v>0</v>
      </c>
      <c r="Z1115" s="67" t="s">
        <v>26</v>
      </c>
      <c r="AA1115" s="12" t="s">
        <v>31</v>
      </c>
    </row>
    <row r="1116" spans="1:27" x14ac:dyDescent="0.25">
      <c r="A1116" s="10">
        <v>45675</v>
      </c>
      <c r="B1116" s="11" t="s">
        <v>124</v>
      </c>
      <c r="C1116" s="11" t="s">
        <v>2742</v>
      </c>
      <c r="D1116" s="11" t="s">
        <v>26</v>
      </c>
      <c r="E1116" s="11" t="s">
        <v>230</v>
      </c>
      <c r="F1116" s="11" t="s">
        <v>26</v>
      </c>
      <c r="G1116" s="11">
        <v>23137</v>
      </c>
      <c r="H1116" s="12" t="s">
        <v>565</v>
      </c>
      <c r="I1116" s="12" t="s">
        <v>55</v>
      </c>
      <c r="J1116" s="12" t="s">
        <v>566</v>
      </c>
      <c r="K1116" s="12" t="s">
        <v>550</v>
      </c>
      <c r="L1116" s="13">
        <v>47.12</v>
      </c>
      <c r="M1116" s="13">
        <v>28</v>
      </c>
      <c r="N1116" s="13">
        <v>1.6828571428571431</v>
      </c>
      <c r="O1116" s="13">
        <v>25</v>
      </c>
      <c r="P1116" s="13" t="s">
        <v>30</v>
      </c>
      <c r="Q1116" s="13">
        <v>0</v>
      </c>
      <c r="R1116" s="14">
        <v>1178</v>
      </c>
      <c r="S1116" s="15">
        <v>0</v>
      </c>
      <c r="T1116" s="15">
        <v>0</v>
      </c>
      <c r="U1116" s="15">
        <v>1178</v>
      </c>
      <c r="V1116" s="15">
        <v>0</v>
      </c>
      <c r="W1116" s="15">
        <v>1178</v>
      </c>
      <c r="X1116" s="15">
        <v>0</v>
      </c>
      <c r="Y1116" s="16">
        <v>0</v>
      </c>
      <c r="Z1116" s="67" t="s">
        <v>26</v>
      </c>
      <c r="AA1116" s="12" t="s">
        <v>31</v>
      </c>
    </row>
    <row r="1117" spans="1:27" x14ac:dyDescent="0.25">
      <c r="A1117" s="10">
        <v>45675</v>
      </c>
      <c r="B1117" s="11" t="s">
        <v>281</v>
      </c>
      <c r="C1117" s="11" t="s">
        <v>2743</v>
      </c>
      <c r="D1117" s="11" t="s">
        <v>26</v>
      </c>
      <c r="E1117" s="11" t="s">
        <v>46</v>
      </c>
      <c r="F1117" s="11" t="s">
        <v>26</v>
      </c>
      <c r="G1117" s="11">
        <v>112137</v>
      </c>
      <c r="H1117" s="12" t="s">
        <v>4446</v>
      </c>
      <c r="I1117" s="12" t="s">
        <v>27</v>
      </c>
      <c r="J1117" s="12" t="s">
        <v>42</v>
      </c>
      <c r="K1117" s="12" t="s">
        <v>43</v>
      </c>
      <c r="L1117" s="13">
        <v>41.26</v>
      </c>
      <c r="M1117" s="13">
        <v>25</v>
      </c>
      <c r="N1117" s="13">
        <v>1.6504000000000001</v>
      </c>
      <c r="O1117" s="13">
        <v>42</v>
      </c>
      <c r="P1117" s="13" t="s">
        <v>30</v>
      </c>
      <c r="Q1117" s="13">
        <v>0</v>
      </c>
      <c r="R1117" s="14">
        <v>1732.9199999999998</v>
      </c>
      <c r="S1117" s="15">
        <v>0</v>
      </c>
      <c r="T1117" s="15">
        <v>0</v>
      </c>
      <c r="U1117" s="15">
        <v>1732.9199999999998</v>
      </c>
      <c r="V1117" s="15">
        <v>1732.9199999999998</v>
      </c>
      <c r="W1117" s="15">
        <v>0</v>
      </c>
      <c r="X1117" s="15">
        <v>0</v>
      </c>
      <c r="Y1117" s="16">
        <v>0</v>
      </c>
      <c r="Z1117" s="67" t="s">
        <v>26</v>
      </c>
      <c r="AA1117" s="12" t="s">
        <v>31</v>
      </c>
    </row>
    <row r="1118" spans="1:27" x14ac:dyDescent="0.25">
      <c r="A1118" s="10">
        <v>45675</v>
      </c>
      <c r="B1118" s="11" t="s">
        <v>623</v>
      </c>
      <c r="C1118" s="11" t="s">
        <v>2744</v>
      </c>
      <c r="D1118" s="11" t="s">
        <v>26</v>
      </c>
      <c r="E1118" s="11" t="s">
        <v>100</v>
      </c>
      <c r="F1118" s="11" t="s">
        <v>26</v>
      </c>
      <c r="G1118" s="11">
        <v>21723</v>
      </c>
      <c r="H1118" s="12" t="s">
        <v>4448</v>
      </c>
      <c r="I1118" s="12" t="s">
        <v>27</v>
      </c>
      <c r="J1118" s="12" t="s">
        <v>42</v>
      </c>
      <c r="K1118" s="12" t="s">
        <v>43</v>
      </c>
      <c r="L1118" s="13">
        <v>42.74</v>
      </c>
      <c r="M1118" s="13">
        <v>25</v>
      </c>
      <c r="N1118" s="13">
        <v>1.7096</v>
      </c>
      <c r="O1118" s="13">
        <v>42.5</v>
      </c>
      <c r="P1118" s="13" t="s">
        <v>30</v>
      </c>
      <c r="Q1118" s="13">
        <v>0</v>
      </c>
      <c r="R1118" s="14">
        <v>1816.45</v>
      </c>
      <c r="S1118" s="15">
        <v>0</v>
      </c>
      <c r="T1118" s="15">
        <v>0</v>
      </c>
      <c r="U1118" s="15">
        <v>1816.45</v>
      </c>
      <c r="V1118" s="15">
        <v>1362.3375000000001</v>
      </c>
      <c r="W1118" s="15">
        <v>454.11249999999995</v>
      </c>
      <c r="X1118" s="15">
        <v>0</v>
      </c>
      <c r="Y1118" s="16">
        <v>0</v>
      </c>
      <c r="Z1118" s="67" t="s">
        <v>26</v>
      </c>
      <c r="AA1118" s="12" t="s">
        <v>31</v>
      </c>
    </row>
    <row r="1119" spans="1:27" x14ac:dyDescent="0.25">
      <c r="A1119" s="10">
        <v>45675</v>
      </c>
      <c r="B1119" s="11" t="s">
        <v>723</v>
      </c>
      <c r="C1119" s="11" t="s">
        <v>2745</v>
      </c>
      <c r="D1119" s="11" t="s">
        <v>26</v>
      </c>
      <c r="E1119" s="11" t="s">
        <v>50</v>
      </c>
      <c r="F1119" s="11" t="s">
        <v>26</v>
      </c>
      <c r="G1119" s="11">
        <v>638</v>
      </c>
      <c r="H1119" s="12" t="s">
        <v>163</v>
      </c>
      <c r="I1119" s="12" t="s">
        <v>27</v>
      </c>
      <c r="J1119" s="12" t="s">
        <v>42</v>
      </c>
      <c r="K1119" s="12" t="s">
        <v>43</v>
      </c>
      <c r="L1119" s="13">
        <v>40.96</v>
      </c>
      <c r="M1119" s="13">
        <v>25</v>
      </c>
      <c r="N1119" s="13">
        <v>1.6384000000000001</v>
      </c>
      <c r="O1119" s="13" t="s">
        <v>30</v>
      </c>
      <c r="P1119" s="13">
        <v>56</v>
      </c>
      <c r="Q1119" s="13">
        <v>0</v>
      </c>
      <c r="R1119" s="14">
        <v>1400</v>
      </c>
      <c r="S1119" s="15">
        <v>0</v>
      </c>
      <c r="T1119" s="15">
        <v>0</v>
      </c>
      <c r="U1119" s="15">
        <v>1400</v>
      </c>
      <c r="V1119" s="15">
        <v>0</v>
      </c>
      <c r="W1119" s="15">
        <v>1400</v>
      </c>
      <c r="X1119" s="15">
        <v>0</v>
      </c>
      <c r="Y1119" s="16">
        <v>0</v>
      </c>
      <c r="Z1119" s="67" t="s">
        <v>26</v>
      </c>
      <c r="AA1119" s="12" t="s">
        <v>31</v>
      </c>
    </row>
    <row r="1120" spans="1:27" x14ac:dyDescent="0.25">
      <c r="A1120" s="10">
        <v>45675</v>
      </c>
      <c r="B1120" s="11" t="s">
        <v>2746</v>
      </c>
      <c r="C1120" s="11" t="s">
        <v>2747</v>
      </c>
      <c r="D1120" s="11" t="s">
        <v>26</v>
      </c>
      <c r="E1120" s="11" t="s">
        <v>68</v>
      </c>
      <c r="F1120" s="11" t="s">
        <v>26</v>
      </c>
      <c r="G1120" s="11">
        <v>1517</v>
      </c>
      <c r="H1120" s="12" t="s">
        <v>45</v>
      </c>
      <c r="I1120" s="12" t="s">
        <v>27</v>
      </c>
      <c r="J1120" s="12" t="s">
        <v>33</v>
      </c>
      <c r="K1120" s="12" t="s">
        <v>34</v>
      </c>
      <c r="L1120" s="13">
        <v>38.56</v>
      </c>
      <c r="M1120" s="13">
        <v>25</v>
      </c>
      <c r="N1120" s="13">
        <v>1.5424</v>
      </c>
      <c r="O1120" s="13" t="s">
        <v>30</v>
      </c>
      <c r="P1120" s="13">
        <v>58</v>
      </c>
      <c r="Q1120" s="13">
        <v>0</v>
      </c>
      <c r="R1120" s="14">
        <v>1450</v>
      </c>
      <c r="S1120" s="15">
        <v>0</v>
      </c>
      <c r="T1120" s="15">
        <v>0</v>
      </c>
      <c r="U1120" s="15">
        <v>1450</v>
      </c>
      <c r="V1120" s="15">
        <v>0</v>
      </c>
      <c r="W1120" s="15">
        <v>1450</v>
      </c>
      <c r="X1120" s="15">
        <v>0</v>
      </c>
      <c r="Y1120" s="16">
        <v>0</v>
      </c>
      <c r="Z1120" s="67" t="s">
        <v>26</v>
      </c>
      <c r="AA1120" s="12" t="s">
        <v>31</v>
      </c>
    </row>
    <row r="1121" spans="1:27" x14ac:dyDescent="0.25">
      <c r="A1121" s="10">
        <v>45675</v>
      </c>
      <c r="B1121" s="11" t="s">
        <v>2748</v>
      </c>
      <c r="C1121" s="11" t="s">
        <v>2749</v>
      </c>
      <c r="D1121" s="11" t="s">
        <v>26</v>
      </c>
      <c r="E1121" s="11" t="s">
        <v>63</v>
      </c>
      <c r="F1121" s="11" t="s">
        <v>26</v>
      </c>
      <c r="G1121" s="11">
        <v>10166</v>
      </c>
      <c r="H1121" s="12" t="s">
        <v>140</v>
      </c>
      <c r="I1121" s="12" t="s">
        <v>27</v>
      </c>
      <c r="J1121" s="12" t="s">
        <v>42</v>
      </c>
      <c r="K1121" s="12" t="s">
        <v>43</v>
      </c>
      <c r="L1121" s="13">
        <v>42.94</v>
      </c>
      <c r="M1121" s="13">
        <v>25</v>
      </c>
      <c r="N1121" s="13">
        <v>1.7176</v>
      </c>
      <c r="O1121" s="13">
        <v>35</v>
      </c>
      <c r="P1121" s="13"/>
      <c r="Q1121" s="13">
        <v>0</v>
      </c>
      <c r="R1121" s="15">
        <v>1502.8999999999999</v>
      </c>
      <c r="S1121" s="15">
        <v>0</v>
      </c>
      <c r="T1121" s="15">
        <v>0</v>
      </c>
      <c r="U1121" s="15">
        <v>1502.8999999999999</v>
      </c>
      <c r="V1121" s="15">
        <v>0</v>
      </c>
      <c r="W1121" s="15">
        <v>1502.8999999999999</v>
      </c>
      <c r="X1121" s="15">
        <v>0</v>
      </c>
      <c r="Y1121" s="16">
        <v>0</v>
      </c>
      <c r="Z1121" s="67" t="s">
        <v>26</v>
      </c>
      <c r="AA1121" s="12" t="s">
        <v>31</v>
      </c>
    </row>
    <row r="1122" spans="1:27" x14ac:dyDescent="0.25">
      <c r="A1122" s="10">
        <v>45675</v>
      </c>
      <c r="B1122" s="11" t="s">
        <v>2750</v>
      </c>
      <c r="C1122" s="11" t="s">
        <v>2751</v>
      </c>
      <c r="D1122" s="11" t="s">
        <v>26</v>
      </c>
      <c r="E1122" s="11" t="s">
        <v>520</v>
      </c>
      <c r="F1122" s="11" t="s">
        <v>26</v>
      </c>
      <c r="G1122" s="11">
        <v>4374</v>
      </c>
      <c r="H1122" s="12" t="s">
        <v>140</v>
      </c>
      <c r="I1122" s="12" t="s">
        <v>27</v>
      </c>
      <c r="J1122" s="12" t="s">
        <v>33</v>
      </c>
      <c r="K1122" s="12" t="s">
        <v>34</v>
      </c>
      <c r="L1122" s="13">
        <v>41.36</v>
      </c>
      <c r="M1122" s="13">
        <v>28</v>
      </c>
      <c r="N1122" s="13">
        <v>1.4771428571428571</v>
      </c>
      <c r="O1122" s="13">
        <v>40</v>
      </c>
      <c r="P1122" s="13"/>
      <c r="Q1122" s="13">
        <v>0</v>
      </c>
      <c r="R1122" s="14">
        <v>1654.4</v>
      </c>
      <c r="S1122" s="15">
        <v>0</v>
      </c>
      <c r="T1122" s="15">
        <v>0</v>
      </c>
      <c r="U1122" s="15">
        <v>1654.4</v>
      </c>
      <c r="V1122" s="15">
        <v>0</v>
      </c>
      <c r="W1122" s="15">
        <v>1654.4</v>
      </c>
      <c r="X1122" s="15">
        <v>0</v>
      </c>
      <c r="Y1122" s="16">
        <v>0</v>
      </c>
      <c r="Z1122" s="67" t="s">
        <v>26</v>
      </c>
      <c r="AA1122" s="12" t="s">
        <v>31</v>
      </c>
    </row>
    <row r="1123" spans="1:27" x14ac:dyDescent="0.25">
      <c r="A1123" s="10">
        <v>45675</v>
      </c>
      <c r="B1123" s="11" t="s">
        <v>2752</v>
      </c>
      <c r="C1123" s="11" t="s">
        <v>2753</v>
      </c>
      <c r="D1123" s="11" t="s">
        <v>26</v>
      </c>
      <c r="E1123" s="11" t="s">
        <v>80</v>
      </c>
      <c r="F1123" s="11" t="s">
        <v>26</v>
      </c>
      <c r="G1123" s="11">
        <v>10298</v>
      </c>
      <c r="H1123" s="12" t="s">
        <v>140</v>
      </c>
      <c r="I1123" s="12" t="s">
        <v>27</v>
      </c>
      <c r="J1123" s="12" t="s">
        <v>47</v>
      </c>
      <c r="K1123" s="12" t="s">
        <v>48</v>
      </c>
      <c r="L1123" s="13">
        <v>41.9</v>
      </c>
      <c r="M1123" s="13">
        <v>29</v>
      </c>
      <c r="N1123" s="13">
        <v>1.444827586206896</v>
      </c>
      <c r="O1123" s="13">
        <v>40</v>
      </c>
      <c r="P1123" s="13"/>
      <c r="Q1123" s="13">
        <v>0</v>
      </c>
      <c r="R1123" s="15">
        <v>1676</v>
      </c>
      <c r="S1123" s="15">
        <v>0</v>
      </c>
      <c r="T1123" s="15">
        <v>0</v>
      </c>
      <c r="U1123" s="15">
        <v>1676</v>
      </c>
      <c r="V1123" s="15">
        <v>0</v>
      </c>
      <c r="W1123" s="15">
        <v>1676</v>
      </c>
      <c r="X1123" s="15">
        <v>0</v>
      </c>
      <c r="Y1123" s="16">
        <v>0</v>
      </c>
      <c r="Z1123" s="67" t="s">
        <v>26</v>
      </c>
      <c r="AA1123" s="12" t="s">
        <v>31</v>
      </c>
    </row>
    <row r="1124" spans="1:27" x14ac:dyDescent="0.25">
      <c r="A1124" s="10">
        <v>45675</v>
      </c>
      <c r="B1124" s="11" t="s">
        <v>2754</v>
      </c>
      <c r="C1124" s="11" t="s">
        <v>2755</v>
      </c>
      <c r="D1124" s="11" t="s">
        <v>26</v>
      </c>
      <c r="E1124" s="11" t="s">
        <v>74</v>
      </c>
      <c r="F1124" s="11" t="s">
        <v>26</v>
      </c>
      <c r="G1124" s="11">
        <v>4692</v>
      </c>
      <c r="H1124" s="12" t="s">
        <v>70</v>
      </c>
      <c r="I1124" s="12" t="s">
        <v>27</v>
      </c>
      <c r="J1124" s="12" t="s">
        <v>33</v>
      </c>
      <c r="K1124" s="12" t="s">
        <v>34</v>
      </c>
      <c r="L1124" s="13">
        <v>38.659999999999997</v>
      </c>
      <c r="M1124" s="13">
        <v>25</v>
      </c>
      <c r="N1124" s="13">
        <v>1.5464</v>
      </c>
      <c r="O1124" s="13" t="s">
        <v>30</v>
      </c>
      <c r="P1124" s="13">
        <v>60</v>
      </c>
      <c r="Q1124" s="13">
        <v>0</v>
      </c>
      <c r="R1124" s="15">
        <v>1500</v>
      </c>
      <c r="S1124" s="15">
        <v>0</v>
      </c>
      <c r="T1124" s="15">
        <v>0</v>
      </c>
      <c r="U1124" s="15">
        <v>1500</v>
      </c>
      <c r="V1124" s="15">
        <v>0</v>
      </c>
      <c r="W1124" s="15">
        <v>1500</v>
      </c>
      <c r="X1124" s="15">
        <v>0</v>
      </c>
      <c r="Y1124" s="16">
        <v>0</v>
      </c>
      <c r="Z1124" s="67" t="s">
        <v>26</v>
      </c>
      <c r="AA1124" s="12" t="s">
        <v>31</v>
      </c>
    </row>
    <row r="1125" spans="1:27" x14ac:dyDescent="0.25">
      <c r="A1125" s="10">
        <v>45675</v>
      </c>
      <c r="B1125" s="11" t="s">
        <v>2756</v>
      </c>
      <c r="C1125" s="11" t="s">
        <v>2757</v>
      </c>
      <c r="D1125" s="11" t="s">
        <v>26</v>
      </c>
      <c r="E1125" s="11" t="s">
        <v>1200</v>
      </c>
      <c r="F1125" s="11" t="s">
        <v>26</v>
      </c>
      <c r="G1125" s="11">
        <v>993</v>
      </c>
      <c r="H1125" s="12" t="s">
        <v>163</v>
      </c>
      <c r="I1125" s="12" t="s">
        <v>27</v>
      </c>
      <c r="J1125" s="12" t="s">
        <v>33</v>
      </c>
      <c r="K1125" s="12" t="s">
        <v>34</v>
      </c>
      <c r="L1125" s="13">
        <v>38.4</v>
      </c>
      <c r="M1125" s="13">
        <v>25</v>
      </c>
      <c r="N1125" s="13">
        <v>1.536</v>
      </c>
      <c r="O1125" s="13" t="s">
        <v>30</v>
      </c>
      <c r="P1125" s="13">
        <v>58</v>
      </c>
      <c r="Q1125" s="13">
        <v>0</v>
      </c>
      <c r="R1125" s="14">
        <v>1450</v>
      </c>
      <c r="S1125" s="15">
        <v>0</v>
      </c>
      <c r="T1125" s="15">
        <v>0</v>
      </c>
      <c r="U1125" s="15">
        <v>1450</v>
      </c>
      <c r="V1125" s="15">
        <v>0</v>
      </c>
      <c r="W1125" s="15">
        <v>1450</v>
      </c>
      <c r="X1125" s="15">
        <v>0</v>
      </c>
      <c r="Y1125" s="16">
        <v>0</v>
      </c>
      <c r="Z1125" s="67" t="s">
        <v>26</v>
      </c>
      <c r="AA1125" s="12" t="s">
        <v>31</v>
      </c>
    </row>
    <row r="1126" spans="1:27" x14ac:dyDescent="0.25">
      <c r="A1126" s="10">
        <v>45675</v>
      </c>
      <c r="B1126" s="11" t="s">
        <v>2758</v>
      </c>
      <c r="C1126" s="11" t="s">
        <v>2759</v>
      </c>
      <c r="D1126" s="11" t="s">
        <v>26</v>
      </c>
      <c r="E1126" s="11" t="s">
        <v>60</v>
      </c>
      <c r="F1126" s="11" t="s">
        <v>26</v>
      </c>
      <c r="G1126" s="11" t="s">
        <v>35</v>
      </c>
      <c r="H1126" s="12" t="s">
        <v>36</v>
      </c>
      <c r="I1126" s="12" t="s">
        <v>55</v>
      </c>
      <c r="J1126" s="12" t="s">
        <v>55</v>
      </c>
      <c r="K1126" s="12" t="s">
        <v>56</v>
      </c>
      <c r="L1126" s="13">
        <v>9.02</v>
      </c>
      <c r="M1126" s="13">
        <v>6</v>
      </c>
      <c r="N1126" s="13">
        <v>1.503333333333333</v>
      </c>
      <c r="O1126" s="13">
        <v>20</v>
      </c>
      <c r="P1126" s="13" t="s">
        <v>30</v>
      </c>
      <c r="Q1126" s="13">
        <v>0</v>
      </c>
      <c r="R1126" s="14">
        <v>180.39999999999998</v>
      </c>
      <c r="S1126" s="15">
        <v>0</v>
      </c>
      <c r="T1126" s="15">
        <v>0</v>
      </c>
      <c r="U1126" s="15">
        <v>180.39999999999998</v>
      </c>
      <c r="V1126" s="15">
        <v>0</v>
      </c>
      <c r="W1126" s="15">
        <v>180.39999999999998</v>
      </c>
      <c r="X1126" s="15">
        <v>0</v>
      </c>
      <c r="Y1126" s="16">
        <v>0</v>
      </c>
      <c r="Z1126" s="67" t="s">
        <v>26</v>
      </c>
      <c r="AA1126" s="12" t="s">
        <v>31</v>
      </c>
    </row>
    <row r="1127" spans="1:27" x14ac:dyDescent="0.25">
      <c r="A1127" s="10">
        <v>45675</v>
      </c>
      <c r="B1127" s="11" t="s">
        <v>2760</v>
      </c>
      <c r="C1127" s="11" t="s">
        <v>2761</v>
      </c>
      <c r="D1127" s="11" t="s">
        <v>26</v>
      </c>
      <c r="E1127" s="11" t="s">
        <v>483</v>
      </c>
      <c r="F1127" s="11" t="s">
        <v>26</v>
      </c>
      <c r="G1127" s="11">
        <v>2146</v>
      </c>
      <c r="H1127" s="12" t="s">
        <v>41</v>
      </c>
      <c r="I1127" s="12" t="s">
        <v>55</v>
      </c>
      <c r="J1127" s="12" t="s">
        <v>566</v>
      </c>
      <c r="K1127" s="12" t="s">
        <v>550</v>
      </c>
      <c r="L1127" s="13">
        <v>42.18</v>
      </c>
      <c r="M1127" s="13">
        <v>25</v>
      </c>
      <c r="N1127" s="13">
        <v>1.6872</v>
      </c>
      <c r="O1127" s="13">
        <v>25</v>
      </c>
      <c r="P1127" s="13"/>
      <c r="Q1127" s="13">
        <v>0</v>
      </c>
      <c r="R1127" s="14">
        <v>1054.5</v>
      </c>
      <c r="S1127" s="15">
        <v>0</v>
      </c>
      <c r="T1127" s="15">
        <v>0</v>
      </c>
      <c r="U1127" s="15">
        <v>1054.5</v>
      </c>
      <c r="V1127" s="15">
        <v>0</v>
      </c>
      <c r="W1127" s="15">
        <v>1054.5</v>
      </c>
      <c r="X1127" s="16">
        <v>0</v>
      </c>
      <c r="Y1127" s="16">
        <v>0</v>
      </c>
      <c r="Z1127" s="67" t="s">
        <v>26</v>
      </c>
      <c r="AA1127" s="12" t="s">
        <v>31</v>
      </c>
    </row>
    <row r="1128" spans="1:27" x14ac:dyDescent="0.25">
      <c r="A1128" s="10">
        <v>45675</v>
      </c>
      <c r="B1128" s="11" t="s">
        <v>2762</v>
      </c>
      <c r="C1128" s="11" t="s">
        <v>2763</v>
      </c>
      <c r="D1128" s="11" t="s">
        <v>26</v>
      </c>
      <c r="E1128" s="11" t="s">
        <v>570</v>
      </c>
      <c r="F1128" s="11" t="s">
        <v>26</v>
      </c>
      <c r="G1128" s="11">
        <v>10329</v>
      </c>
      <c r="H1128" s="12" t="s">
        <v>140</v>
      </c>
      <c r="I1128" s="12" t="s">
        <v>27</v>
      </c>
      <c r="J1128" s="12" t="s">
        <v>47</v>
      </c>
      <c r="K1128" s="12" t="s">
        <v>48</v>
      </c>
      <c r="L1128" s="13">
        <v>40.880000000000003</v>
      </c>
      <c r="M1128" s="13">
        <v>28</v>
      </c>
      <c r="N1128" s="13">
        <v>1.46</v>
      </c>
      <c r="O1128" s="13">
        <v>40</v>
      </c>
      <c r="P1128" s="13"/>
      <c r="Q1128" s="13">
        <v>0</v>
      </c>
      <c r="R1128" s="15">
        <v>1635.2</v>
      </c>
      <c r="S1128" s="15">
        <v>0</v>
      </c>
      <c r="T1128" s="15">
        <v>0</v>
      </c>
      <c r="U1128" s="15">
        <v>1635.2</v>
      </c>
      <c r="V1128" s="15">
        <v>0</v>
      </c>
      <c r="W1128" s="15">
        <v>1635.2</v>
      </c>
      <c r="X1128" s="15">
        <v>0</v>
      </c>
      <c r="Y1128" s="16">
        <v>0</v>
      </c>
      <c r="Z1128" s="67" t="s">
        <v>26</v>
      </c>
      <c r="AA1128" s="12" t="s">
        <v>31</v>
      </c>
    </row>
    <row r="1129" spans="1:27" x14ac:dyDescent="0.25">
      <c r="A1129" s="10">
        <v>45675</v>
      </c>
      <c r="B1129" s="11" t="s">
        <v>2764</v>
      </c>
      <c r="C1129" s="11" t="s">
        <v>2765</v>
      </c>
      <c r="D1129" s="11" t="s">
        <v>26</v>
      </c>
      <c r="E1129" s="11" t="s">
        <v>322</v>
      </c>
      <c r="F1129" s="11" t="s">
        <v>26</v>
      </c>
      <c r="G1129" s="11">
        <v>112139</v>
      </c>
      <c r="H1129" s="12" t="s">
        <v>4446</v>
      </c>
      <c r="I1129" s="12" t="s">
        <v>27</v>
      </c>
      <c r="J1129" s="12" t="s">
        <v>33</v>
      </c>
      <c r="K1129" s="12" t="s">
        <v>34</v>
      </c>
      <c r="L1129" s="13">
        <v>36.020000000000003</v>
      </c>
      <c r="M1129" s="13">
        <v>25</v>
      </c>
      <c r="N1129" s="13">
        <v>1.4408000000000001</v>
      </c>
      <c r="O1129" s="13">
        <v>44</v>
      </c>
      <c r="P1129" s="13" t="s">
        <v>30</v>
      </c>
      <c r="Q1129" s="13">
        <v>0</v>
      </c>
      <c r="R1129" s="14">
        <v>1584.88</v>
      </c>
      <c r="S1129" s="15">
        <v>0</v>
      </c>
      <c r="T1129" s="15">
        <v>0</v>
      </c>
      <c r="U1129" s="15">
        <v>1584.88</v>
      </c>
      <c r="V1129" s="15">
        <v>1584.88</v>
      </c>
      <c r="W1129" s="15">
        <v>0</v>
      </c>
      <c r="X1129" s="16">
        <v>0</v>
      </c>
      <c r="Y1129" s="16">
        <v>0</v>
      </c>
      <c r="Z1129" s="67" t="s">
        <v>26</v>
      </c>
      <c r="AA1129" s="12" t="s">
        <v>31</v>
      </c>
    </row>
    <row r="1130" spans="1:27" x14ac:dyDescent="0.25">
      <c r="A1130" s="10">
        <v>45675</v>
      </c>
      <c r="B1130" s="11" t="s">
        <v>2766</v>
      </c>
      <c r="C1130" s="11" t="s">
        <v>2767</v>
      </c>
      <c r="D1130" s="11" t="s">
        <v>26</v>
      </c>
      <c r="E1130" s="11" t="s">
        <v>230</v>
      </c>
      <c r="F1130" s="11" t="s">
        <v>26</v>
      </c>
      <c r="G1130" s="11">
        <v>23138</v>
      </c>
      <c r="H1130" s="12" t="s">
        <v>565</v>
      </c>
      <c r="I1130" s="12" t="s">
        <v>27</v>
      </c>
      <c r="J1130" s="12" t="s">
        <v>33</v>
      </c>
      <c r="K1130" s="12" t="s">
        <v>34</v>
      </c>
      <c r="L1130" s="13">
        <v>42.32</v>
      </c>
      <c r="M1130" s="13">
        <v>29</v>
      </c>
      <c r="N1130" s="13">
        <v>1.4593103448275859</v>
      </c>
      <c r="O1130" s="13"/>
      <c r="P1130" s="13">
        <v>60</v>
      </c>
      <c r="Q1130" s="13">
        <v>0</v>
      </c>
      <c r="R1130" s="14">
        <v>1740</v>
      </c>
      <c r="S1130" s="15">
        <v>0</v>
      </c>
      <c r="T1130" s="15">
        <v>0</v>
      </c>
      <c r="U1130" s="15">
        <v>1740</v>
      </c>
      <c r="V1130" s="15">
        <v>0</v>
      </c>
      <c r="W1130" s="15">
        <v>1740</v>
      </c>
      <c r="X1130" s="15">
        <v>0</v>
      </c>
      <c r="Y1130" s="16">
        <v>0</v>
      </c>
      <c r="Z1130" s="67" t="s">
        <v>26</v>
      </c>
      <c r="AA1130" s="12" t="s">
        <v>31</v>
      </c>
    </row>
    <row r="1131" spans="1:27" x14ac:dyDescent="0.25">
      <c r="A1131" s="10">
        <v>45675</v>
      </c>
      <c r="B1131" s="11" t="s">
        <v>384</v>
      </c>
      <c r="C1131" s="11" t="s">
        <v>2768</v>
      </c>
      <c r="D1131" s="11" t="s">
        <v>26</v>
      </c>
      <c r="E1131" s="11" t="s">
        <v>61</v>
      </c>
      <c r="F1131" s="11" t="s">
        <v>26</v>
      </c>
      <c r="G1131" s="11" t="s">
        <v>35</v>
      </c>
      <c r="H1131" s="12" t="s">
        <v>36</v>
      </c>
      <c r="I1131" s="12" t="s">
        <v>27</v>
      </c>
      <c r="J1131" s="12" t="s">
        <v>42</v>
      </c>
      <c r="K1131" s="12" t="s">
        <v>43</v>
      </c>
      <c r="L1131" s="13">
        <v>9.18</v>
      </c>
      <c r="M1131" s="13">
        <v>6</v>
      </c>
      <c r="N1131" s="13">
        <v>1.53</v>
      </c>
      <c r="O1131" s="13">
        <v>45</v>
      </c>
      <c r="P1131" s="13" t="s">
        <v>30</v>
      </c>
      <c r="Q1131" s="13">
        <v>0</v>
      </c>
      <c r="R1131" s="14">
        <v>413.09999999999997</v>
      </c>
      <c r="S1131" s="15">
        <v>0</v>
      </c>
      <c r="T1131" s="15">
        <v>0</v>
      </c>
      <c r="U1131" s="15">
        <v>413.09999999999997</v>
      </c>
      <c r="V1131" s="15">
        <v>0</v>
      </c>
      <c r="W1131" s="15">
        <v>413.09999999999997</v>
      </c>
      <c r="X1131" s="15">
        <v>0</v>
      </c>
      <c r="Y1131" s="16">
        <v>0</v>
      </c>
      <c r="Z1131" s="67" t="s">
        <v>26</v>
      </c>
      <c r="AA1131" s="12" t="s">
        <v>31</v>
      </c>
    </row>
    <row r="1132" spans="1:27" x14ac:dyDescent="0.25">
      <c r="A1132" s="10">
        <v>45675</v>
      </c>
      <c r="B1132" s="11" t="s">
        <v>616</v>
      </c>
      <c r="C1132" s="11" t="s">
        <v>2769</v>
      </c>
      <c r="D1132" s="11" t="s">
        <v>26</v>
      </c>
      <c r="E1132" s="11" t="s">
        <v>75</v>
      </c>
      <c r="F1132" s="11" t="s">
        <v>26</v>
      </c>
      <c r="G1132" s="11">
        <v>42019</v>
      </c>
      <c r="H1132" s="12" t="s">
        <v>565</v>
      </c>
      <c r="I1132" s="12" t="s">
        <v>55</v>
      </c>
      <c r="J1132" s="12" t="s">
        <v>55</v>
      </c>
      <c r="K1132" s="12" t="s">
        <v>56</v>
      </c>
      <c r="L1132" s="13">
        <v>44.48</v>
      </c>
      <c r="M1132" s="13">
        <v>25</v>
      </c>
      <c r="N1132" s="13">
        <v>1.7791999999999999</v>
      </c>
      <c r="O1132" s="13"/>
      <c r="P1132" s="13">
        <v>24</v>
      </c>
      <c r="Q1132" s="13">
        <v>0</v>
      </c>
      <c r="R1132" s="14">
        <v>600</v>
      </c>
      <c r="S1132" s="15">
        <v>0</v>
      </c>
      <c r="T1132" s="15">
        <v>0</v>
      </c>
      <c r="U1132" s="15">
        <v>600</v>
      </c>
      <c r="V1132" s="15">
        <v>0</v>
      </c>
      <c r="W1132" s="15">
        <v>600</v>
      </c>
      <c r="X1132" s="15">
        <v>0</v>
      </c>
      <c r="Y1132" s="16">
        <v>0</v>
      </c>
      <c r="Z1132" s="67" t="s">
        <v>26</v>
      </c>
      <c r="AA1132" s="12" t="s">
        <v>31</v>
      </c>
    </row>
    <row r="1133" spans="1:27" x14ac:dyDescent="0.25">
      <c r="A1133" s="10">
        <v>45675</v>
      </c>
      <c r="B1133" s="11" t="s">
        <v>2770</v>
      </c>
      <c r="C1133" s="11" t="s">
        <v>2771</v>
      </c>
      <c r="D1133" s="11" t="s">
        <v>26</v>
      </c>
      <c r="E1133" s="11" t="s">
        <v>74</v>
      </c>
      <c r="F1133" s="11" t="s">
        <v>26</v>
      </c>
      <c r="G1133" s="11">
        <v>4693</v>
      </c>
      <c r="H1133" s="12" t="s">
        <v>70</v>
      </c>
      <c r="I1133" s="12" t="s">
        <v>27</v>
      </c>
      <c r="J1133" s="12" t="s">
        <v>33</v>
      </c>
      <c r="K1133" s="12" t="s">
        <v>34</v>
      </c>
      <c r="L1133" s="13">
        <v>37.76</v>
      </c>
      <c r="M1133" s="13">
        <v>25</v>
      </c>
      <c r="N1133" s="13">
        <v>1.5104</v>
      </c>
      <c r="O1133" s="13" t="s">
        <v>30</v>
      </c>
      <c r="P1133" s="13">
        <v>60</v>
      </c>
      <c r="Q1133" s="13">
        <v>0</v>
      </c>
      <c r="R1133" s="15">
        <v>1500</v>
      </c>
      <c r="S1133" s="15">
        <v>0</v>
      </c>
      <c r="T1133" s="15">
        <v>0</v>
      </c>
      <c r="U1133" s="15">
        <v>1500</v>
      </c>
      <c r="V1133" s="15">
        <v>0</v>
      </c>
      <c r="W1133" s="15">
        <v>1500</v>
      </c>
      <c r="X1133" s="15">
        <v>0</v>
      </c>
      <c r="Y1133" s="16">
        <v>0</v>
      </c>
      <c r="Z1133" s="67" t="s">
        <v>26</v>
      </c>
      <c r="AA1133" s="12" t="s">
        <v>31</v>
      </c>
    </row>
    <row r="1134" spans="1:27" x14ac:dyDescent="0.25">
      <c r="A1134" s="10">
        <v>45675</v>
      </c>
      <c r="B1134" s="11" t="s">
        <v>2772</v>
      </c>
      <c r="C1134" s="11" t="s">
        <v>2773</v>
      </c>
      <c r="D1134" s="11" t="s">
        <v>26</v>
      </c>
      <c r="E1134" s="11" t="s">
        <v>246</v>
      </c>
      <c r="F1134" s="11" t="s">
        <v>26</v>
      </c>
      <c r="G1134" s="11" t="s">
        <v>26</v>
      </c>
      <c r="H1134" s="12" t="s">
        <v>4422</v>
      </c>
      <c r="I1134" s="12" t="s">
        <v>27</v>
      </c>
      <c r="J1134" s="12" t="s">
        <v>47</v>
      </c>
      <c r="K1134" s="12" t="s">
        <v>48</v>
      </c>
      <c r="L1134" s="13">
        <v>41.36</v>
      </c>
      <c r="M1134" s="13">
        <v>28</v>
      </c>
      <c r="N1134" s="13">
        <v>1.4771428571428571</v>
      </c>
      <c r="O1134" s="13">
        <v>87</v>
      </c>
      <c r="P1134" s="13" t="s">
        <v>30</v>
      </c>
      <c r="Q1134" s="13">
        <v>0</v>
      </c>
      <c r="R1134" s="14">
        <v>3598.32</v>
      </c>
      <c r="S1134" s="15">
        <v>38</v>
      </c>
      <c r="T1134" s="15">
        <v>1571.68</v>
      </c>
      <c r="U1134" s="15">
        <v>2026.64</v>
      </c>
      <c r="V1134" s="15">
        <v>2026.64</v>
      </c>
      <c r="W1134" s="15">
        <v>0</v>
      </c>
      <c r="X1134" s="15">
        <v>1530.32</v>
      </c>
      <c r="Y1134" s="16">
        <v>41.360000000000127</v>
      </c>
      <c r="Z1134" s="67" t="s">
        <v>41</v>
      </c>
      <c r="AA1134" s="12" t="s">
        <v>78</v>
      </c>
    </row>
    <row r="1135" spans="1:27" x14ac:dyDescent="0.25">
      <c r="A1135" s="10">
        <v>45675</v>
      </c>
      <c r="B1135" s="11" t="s">
        <v>256</v>
      </c>
      <c r="C1135" s="11" t="s">
        <v>2774</v>
      </c>
      <c r="D1135" s="11" t="s">
        <v>26</v>
      </c>
      <c r="E1135" s="11" t="s">
        <v>69</v>
      </c>
      <c r="F1135" s="11" t="s">
        <v>26</v>
      </c>
      <c r="G1135" s="11">
        <v>4694</v>
      </c>
      <c r="H1135" s="12" t="s">
        <v>70</v>
      </c>
      <c r="I1135" s="12" t="s">
        <v>27</v>
      </c>
      <c r="J1135" s="12" t="s">
        <v>33</v>
      </c>
      <c r="K1135" s="12" t="s">
        <v>34</v>
      </c>
      <c r="L1135" s="13">
        <v>38.04</v>
      </c>
      <c r="M1135" s="13">
        <v>25</v>
      </c>
      <c r="N1135" s="13">
        <v>1.5216000000000001</v>
      </c>
      <c r="O1135" s="13" t="s">
        <v>30</v>
      </c>
      <c r="P1135" s="13">
        <v>60</v>
      </c>
      <c r="Q1135" s="13">
        <v>0</v>
      </c>
      <c r="R1135" s="14">
        <v>1500</v>
      </c>
      <c r="S1135" s="15">
        <v>0</v>
      </c>
      <c r="T1135" s="15">
        <v>0</v>
      </c>
      <c r="U1135" s="15">
        <v>1500</v>
      </c>
      <c r="V1135" s="15">
        <v>0</v>
      </c>
      <c r="W1135" s="15">
        <v>1500</v>
      </c>
      <c r="X1135" s="15">
        <v>0</v>
      </c>
      <c r="Y1135" s="16">
        <v>0</v>
      </c>
      <c r="Z1135" s="67" t="s">
        <v>26</v>
      </c>
      <c r="AA1135" s="12" t="s">
        <v>31</v>
      </c>
    </row>
    <row r="1136" spans="1:27" x14ac:dyDescent="0.25">
      <c r="A1136" s="10">
        <v>45675</v>
      </c>
      <c r="B1136" s="11" t="s">
        <v>1664</v>
      </c>
      <c r="C1136" s="11" t="s">
        <v>2775</v>
      </c>
      <c r="D1136" s="11" t="s">
        <v>26</v>
      </c>
      <c r="E1136" s="11" t="s">
        <v>224</v>
      </c>
      <c r="F1136" s="11" t="s">
        <v>26</v>
      </c>
      <c r="G1136" s="11">
        <v>57572</v>
      </c>
      <c r="H1136" s="12" t="s">
        <v>4423</v>
      </c>
      <c r="I1136" s="12" t="s">
        <v>27</v>
      </c>
      <c r="J1136" s="12" t="s">
        <v>42</v>
      </c>
      <c r="K1136" s="12" t="s">
        <v>43</v>
      </c>
      <c r="L1136" s="13">
        <v>37.68</v>
      </c>
      <c r="M1136" s="13">
        <v>25</v>
      </c>
      <c r="N1136" s="13">
        <v>1.5072000000000001</v>
      </c>
      <c r="O1136" s="13">
        <v>42</v>
      </c>
      <c r="P1136" s="13" t="s">
        <v>30</v>
      </c>
      <c r="Q1136" s="13">
        <v>0</v>
      </c>
      <c r="R1136" s="14">
        <v>1582.56</v>
      </c>
      <c r="S1136" s="15">
        <v>0</v>
      </c>
      <c r="T1136" s="15">
        <v>0</v>
      </c>
      <c r="U1136" s="15">
        <v>1582.56</v>
      </c>
      <c r="V1136" s="15">
        <v>1582.56</v>
      </c>
      <c r="W1136" s="15">
        <v>0</v>
      </c>
      <c r="X1136" s="15">
        <v>0</v>
      </c>
      <c r="Y1136" s="16">
        <v>0</v>
      </c>
      <c r="Z1136" s="67" t="s">
        <v>26</v>
      </c>
      <c r="AA1136" s="12" t="s">
        <v>31</v>
      </c>
    </row>
    <row r="1137" spans="1:27" x14ac:dyDescent="0.25">
      <c r="A1137" s="10">
        <v>45675</v>
      </c>
      <c r="B1137" s="11" t="s">
        <v>2776</v>
      </c>
      <c r="C1137" s="11" t="s">
        <v>2777</v>
      </c>
      <c r="D1137" s="11" t="s">
        <v>26</v>
      </c>
      <c r="E1137" s="11" t="s">
        <v>520</v>
      </c>
      <c r="F1137" s="11" t="s">
        <v>26</v>
      </c>
      <c r="G1137" s="11">
        <v>4375</v>
      </c>
      <c r="H1137" s="12" t="s">
        <v>140</v>
      </c>
      <c r="I1137" s="12" t="s">
        <v>27</v>
      </c>
      <c r="J1137" s="12" t="s">
        <v>42</v>
      </c>
      <c r="K1137" s="12" t="s">
        <v>43</v>
      </c>
      <c r="L1137" s="13">
        <v>40.98</v>
      </c>
      <c r="M1137" s="13">
        <v>25</v>
      </c>
      <c r="N1137" s="13">
        <v>1.6392</v>
      </c>
      <c r="O1137" s="13">
        <v>35</v>
      </c>
      <c r="P1137" s="13"/>
      <c r="Q1137" s="13">
        <v>0</v>
      </c>
      <c r="R1137" s="14">
        <v>1434.3</v>
      </c>
      <c r="S1137" s="15">
        <v>0</v>
      </c>
      <c r="T1137" s="15">
        <v>0</v>
      </c>
      <c r="U1137" s="15">
        <v>1434.3</v>
      </c>
      <c r="V1137" s="15">
        <v>0</v>
      </c>
      <c r="W1137" s="15">
        <v>1434.3</v>
      </c>
      <c r="X1137" s="15">
        <v>0</v>
      </c>
      <c r="Y1137" s="16">
        <v>0</v>
      </c>
      <c r="Z1137" s="67" t="s">
        <v>26</v>
      </c>
      <c r="AA1137" s="12" t="s">
        <v>31</v>
      </c>
    </row>
    <row r="1138" spans="1:27" x14ac:dyDescent="0.25">
      <c r="A1138" s="10">
        <v>45675</v>
      </c>
      <c r="B1138" s="11" t="s">
        <v>118</v>
      </c>
      <c r="C1138" s="11" t="s">
        <v>2778</v>
      </c>
      <c r="D1138" s="11" t="s">
        <v>26</v>
      </c>
      <c r="E1138" s="11" t="s">
        <v>184</v>
      </c>
      <c r="F1138" s="11" t="s">
        <v>26</v>
      </c>
      <c r="G1138" s="11">
        <v>1002</v>
      </c>
      <c r="H1138" s="12" t="s">
        <v>141</v>
      </c>
      <c r="I1138" s="12" t="s">
        <v>27</v>
      </c>
      <c r="J1138" s="12" t="s">
        <v>42</v>
      </c>
      <c r="K1138" s="12" t="s">
        <v>43</v>
      </c>
      <c r="L1138" s="13">
        <v>43.3</v>
      </c>
      <c r="M1138" s="13">
        <v>25</v>
      </c>
      <c r="N1138" s="13">
        <v>1.732</v>
      </c>
      <c r="O1138" s="13">
        <v>40</v>
      </c>
      <c r="P1138" s="13" t="s">
        <v>30</v>
      </c>
      <c r="Q1138" s="13">
        <v>0</v>
      </c>
      <c r="R1138" s="14">
        <v>1732</v>
      </c>
      <c r="S1138" s="15">
        <v>0</v>
      </c>
      <c r="T1138" s="15">
        <v>0</v>
      </c>
      <c r="U1138" s="15">
        <v>1732</v>
      </c>
      <c r="V1138" s="15">
        <v>0</v>
      </c>
      <c r="W1138" s="15">
        <v>1732</v>
      </c>
      <c r="X1138" s="15">
        <v>0</v>
      </c>
      <c r="Y1138" s="16">
        <v>0</v>
      </c>
      <c r="Z1138" s="67" t="s">
        <v>26</v>
      </c>
      <c r="AA1138" s="12" t="s">
        <v>31</v>
      </c>
    </row>
    <row r="1139" spans="1:27" x14ac:dyDescent="0.25">
      <c r="A1139" s="10">
        <v>45675</v>
      </c>
      <c r="B1139" s="11" t="s">
        <v>460</v>
      </c>
      <c r="C1139" s="11" t="s">
        <v>2779</v>
      </c>
      <c r="D1139" s="11" t="s">
        <v>26</v>
      </c>
      <c r="E1139" s="11" t="s">
        <v>203</v>
      </c>
      <c r="F1139" s="11" t="s">
        <v>26</v>
      </c>
      <c r="G1139" s="11" t="s">
        <v>35</v>
      </c>
      <c r="H1139" s="12" t="s">
        <v>36</v>
      </c>
      <c r="I1139" s="12" t="s">
        <v>55</v>
      </c>
      <c r="J1139" s="12" t="s">
        <v>55</v>
      </c>
      <c r="K1139" s="12" t="s">
        <v>56</v>
      </c>
      <c r="L1139" s="13">
        <v>13.04</v>
      </c>
      <c r="M1139" s="13">
        <v>8</v>
      </c>
      <c r="N1139" s="13">
        <v>1.63</v>
      </c>
      <c r="O1139" s="13">
        <v>20</v>
      </c>
      <c r="P1139" s="13" t="s">
        <v>30</v>
      </c>
      <c r="Q1139" s="13">
        <v>0</v>
      </c>
      <c r="R1139" s="14">
        <v>260.79999999999995</v>
      </c>
      <c r="S1139" s="15">
        <v>0</v>
      </c>
      <c r="T1139" s="15">
        <v>0</v>
      </c>
      <c r="U1139" s="15">
        <v>260.79999999999995</v>
      </c>
      <c r="V1139" s="15">
        <v>0</v>
      </c>
      <c r="W1139" s="15">
        <v>260.79999999999995</v>
      </c>
      <c r="X1139" s="15">
        <v>0</v>
      </c>
      <c r="Y1139" s="16">
        <v>0</v>
      </c>
      <c r="Z1139" s="67" t="s">
        <v>26</v>
      </c>
      <c r="AA1139" s="12" t="s">
        <v>31</v>
      </c>
    </row>
    <row r="1140" spans="1:27" x14ac:dyDescent="0.25">
      <c r="A1140" s="10">
        <v>45675</v>
      </c>
      <c r="B1140" s="11" t="s">
        <v>344</v>
      </c>
      <c r="C1140" s="11" t="s">
        <v>2780</v>
      </c>
      <c r="D1140" s="11" t="s">
        <v>26</v>
      </c>
      <c r="E1140" s="11" t="s">
        <v>1200</v>
      </c>
      <c r="F1140" s="11" t="s">
        <v>26</v>
      </c>
      <c r="G1140" s="11">
        <v>994</v>
      </c>
      <c r="H1140" s="12" t="s">
        <v>163</v>
      </c>
      <c r="I1140" s="12" t="s">
        <v>27</v>
      </c>
      <c r="J1140" s="12" t="s">
        <v>33</v>
      </c>
      <c r="K1140" s="12" t="s">
        <v>34</v>
      </c>
      <c r="L1140" s="13">
        <v>38.04</v>
      </c>
      <c r="M1140" s="13">
        <v>25</v>
      </c>
      <c r="N1140" s="13">
        <v>1.5216000000000001</v>
      </c>
      <c r="O1140" s="13" t="s">
        <v>30</v>
      </c>
      <c r="P1140" s="13">
        <v>58</v>
      </c>
      <c r="Q1140" s="13">
        <v>0</v>
      </c>
      <c r="R1140" s="14">
        <v>1450</v>
      </c>
      <c r="S1140" s="15">
        <v>0</v>
      </c>
      <c r="T1140" s="15">
        <v>0</v>
      </c>
      <c r="U1140" s="15">
        <v>1450</v>
      </c>
      <c r="V1140" s="15">
        <v>0</v>
      </c>
      <c r="W1140" s="15">
        <v>1450</v>
      </c>
      <c r="X1140" s="15">
        <v>0</v>
      </c>
      <c r="Y1140" s="16">
        <v>0</v>
      </c>
      <c r="Z1140" s="67" t="s">
        <v>26</v>
      </c>
      <c r="AA1140" s="12" t="s">
        <v>31</v>
      </c>
    </row>
    <row r="1141" spans="1:27" x14ac:dyDescent="0.25">
      <c r="A1141" s="10">
        <v>45675</v>
      </c>
      <c r="B1141" s="11" t="s">
        <v>2781</v>
      </c>
      <c r="C1141" s="11" t="s">
        <v>2782</v>
      </c>
      <c r="D1141" s="11" t="s">
        <v>26</v>
      </c>
      <c r="E1141" s="11" t="s">
        <v>61</v>
      </c>
      <c r="F1141" s="11" t="s">
        <v>26</v>
      </c>
      <c r="G1141" s="11" t="s">
        <v>35</v>
      </c>
      <c r="H1141" s="12" t="s">
        <v>36</v>
      </c>
      <c r="I1141" s="12" t="s">
        <v>27</v>
      </c>
      <c r="J1141" s="12" t="s">
        <v>42</v>
      </c>
      <c r="K1141" s="12" t="s">
        <v>43</v>
      </c>
      <c r="L1141" s="13">
        <v>10.36</v>
      </c>
      <c r="M1141" s="13">
        <v>6</v>
      </c>
      <c r="N1141" s="13">
        <v>1.726666666666667</v>
      </c>
      <c r="O1141" s="13">
        <v>45</v>
      </c>
      <c r="P1141" s="13" t="s">
        <v>30</v>
      </c>
      <c r="Q1141" s="13">
        <v>0</v>
      </c>
      <c r="R1141" s="14">
        <v>466.2</v>
      </c>
      <c r="S1141" s="15">
        <v>0</v>
      </c>
      <c r="T1141" s="15">
        <v>0</v>
      </c>
      <c r="U1141" s="15">
        <v>466.2</v>
      </c>
      <c r="V1141" s="15">
        <v>0</v>
      </c>
      <c r="W1141" s="15">
        <v>466.2</v>
      </c>
      <c r="X1141" s="15">
        <v>0</v>
      </c>
      <c r="Y1141" s="16">
        <v>0</v>
      </c>
      <c r="Z1141" s="67" t="s">
        <v>26</v>
      </c>
      <c r="AA1141" s="12" t="s">
        <v>31</v>
      </c>
    </row>
    <row r="1142" spans="1:27" x14ac:dyDescent="0.25">
      <c r="A1142" s="10">
        <v>45675</v>
      </c>
      <c r="B1142" s="11" t="s">
        <v>2783</v>
      </c>
      <c r="C1142" s="11" t="s">
        <v>2784</v>
      </c>
      <c r="D1142" s="11" t="s">
        <v>26</v>
      </c>
      <c r="E1142" s="11" t="s">
        <v>50</v>
      </c>
      <c r="F1142" s="11" t="s">
        <v>26</v>
      </c>
      <c r="G1142" s="11">
        <v>639</v>
      </c>
      <c r="H1142" s="12" t="s">
        <v>163</v>
      </c>
      <c r="I1142" s="12" t="s">
        <v>27</v>
      </c>
      <c r="J1142" s="12" t="s">
        <v>47</v>
      </c>
      <c r="K1142" s="12" t="s">
        <v>48</v>
      </c>
      <c r="L1142" s="13">
        <v>36.68</v>
      </c>
      <c r="M1142" s="13">
        <v>25</v>
      </c>
      <c r="N1142" s="13">
        <v>1.4672000000000001</v>
      </c>
      <c r="O1142" s="13" t="s">
        <v>30</v>
      </c>
      <c r="P1142" s="13">
        <v>58</v>
      </c>
      <c r="Q1142" s="13">
        <v>0</v>
      </c>
      <c r="R1142" s="14">
        <v>1450</v>
      </c>
      <c r="S1142" s="15">
        <v>0</v>
      </c>
      <c r="T1142" s="15">
        <v>0</v>
      </c>
      <c r="U1142" s="15">
        <v>1450</v>
      </c>
      <c r="V1142" s="15">
        <v>0</v>
      </c>
      <c r="W1142" s="15">
        <v>1450</v>
      </c>
      <c r="X1142" s="15">
        <v>0</v>
      </c>
      <c r="Y1142" s="16">
        <v>0</v>
      </c>
      <c r="Z1142" s="67" t="s">
        <v>26</v>
      </c>
      <c r="AA1142" s="12" t="s">
        <v>31</v>
      </c>
    </row>
    <row r="1143" spans="1:27" x14ac:dyDescent="0.25">
      <c r="A1143" s="10">
        <v>45675</v>
      </c>
      <c r="B1143" s="11" t="s">
        <v>2785</v>
      </c>
      <c r="C1143" s="11" t="s">
        <v>2786</v>
      </c>
      <c r="D1143" s="11" t="s">
        <v>26</v>
      </c>
      <c r="E1143" s="11" t="s">
        <v>604</v>
      </c>
      <c r="F1143" s="11" t="s">
        <v>26</v>
      </c>
      <c r="G1143" s="11">
        <v>1103</v>
      </c>
      <c r="H1143" s="12" t="s">
        <v>141</v>
      </c>
      <c r="I1143" s="12" t="s">
        <v>37</v>
      </c>
      <c r="J1143" s="12" t="s">
        <v>85</v>
      </c>
      <c r="K1143" s="12" t="s">
        <v>86</v>
      </c>
      <c r="L1143" s="13">
        <v>39.200000000000003</v>
      </c>
      <c r="M1143" s="13">
        <v>25</v>
      </c>
      <c r="N1143" s="13">
        <v>1.5680000000000001</v>
      </c>
      <c r="O1143" s="13">
        <v>29</v>
      </c>
      <c r="P1143" s="13" t="s">
        <v>30</v>
      </c>
      <c r="Q1143" s="13">
        <v>0</v>
      </c>
      <c r="R1143" s="15">
        <v>1136.8000000000002</v>
      </c>
      <c r="S1143" s="15">
        <v>0</v>
      </c>
      <c r="T1143" s="15">
        <v>0</v>
      </c>
      <c r="U1143" s="15">
        <v>1136.8000000000002</v>
      </c>
      <c r="V1143" s="15">
        <v>0</v>
      </c>
      <c r="W1143" s="15">
        <v>1136.8000000000002</v>
      </c>
      <c r="X1143" s="15">
        <v>0</v>
      </c>
      <c r="Y1143" s="16">
        <v>0</v>
      </c>
      <c r="Z1143" s="67" t="s">
        <v>26</v>
      </c>
      <c r="AA1143" s="12" t="s">
        <v>31</v>
      </c>
    </row>
    <row r="1144" spans="1:27" x14ac:dyDescent="0.25">
      <c r="A1144" s="10">
        <v>45675</v>
      </c>
      <c r="B1144" s="11" t="s">
        <v>674</v>
      </c>
      <c r="C1144" s="11" t="s">
        <v>2787</v>
      </c>
      <c r="D1144" s="11" t="s">
        <v>26</v>
      </c>
      <c r="E1144" s="11" t="s">
        <v>65</v>
      </c>
      <c r="F1144" s="11" t="s">
        <v>26</v>
      </c>
      <c r="G1144" s="11">
        <v>1576</v>
      </c>
      <c r="H1144" s="12" t="s">
        <v>66</v>
      </c>
      <c r="I1144" s="12" t="s">
        <v>37</v>
      </c>
      <c r="J1144" s="12" t="s">
        <v>1909</v>
      </c>
      <c r="K1144" s="12" t="s">
        <v>82</v>
      </c>
      <c r="L1144" s="13">
        <v>39.82</v>
      </c>
      <c r="M1144" s="13">
        <v>25</v>
      </c>
      <c r="N1144" s="13">
        <v>1.5928</v>
      </c>
      <c r="O1144" s="13" t="s">
        <v>30</v>
      </c>
      <c r="P1144" s="13">
        <v>54</v>
      </c>
      <c r="Q1144" s="13">
        <v>0</v>
      </c>
      <c r="R1144" s="15">
        <v>1350</v>
      </c>
      <c r="S1144" s="15">
        <v>0</v>
      </c>
      <c r="T1144" s="15">
        <v>0</v>
      </c>
      <c r="U1144" s="15">
        <v>1350</v>
      </c>
      <c r="V1144" s="15">
        <v>1350</v>
      </c>
      <c r="W1144" s="15">
        <v>0</v>
      </c>
      <c r="X1144" s="15">
        <v>0</v>
      </c>
      <c r="Y1144" s="16">
        <v>0</v>
      </c>
      <c r="Z1144" s="67" t="s">
        <v>26</v>
      </c>
      <c r="AA1144" s="12" t="s">
        <v>31</v>
      </c>
    </row>
    <row r="1145" spans="1:27" x14ac:dyDescent="0.25">
      <c r="A1145" s="10">
        <v>45675</v>
      </c>
      <c r="B1145" s="11" t="s">
        <v>2788</v>
      </c>
      <c r="C1145" s="11" t="s">
        <v>2789</v>
      </c>
      <c r="D1145" s="11" t="s">
        <v>26</v>
      </c>
      <c r="E1145" s="11" t="s">
        <v>658</v>
      </c>
      <c r="F1145" s="11" t="s">
        <v>26</v>
      </c>
      <c r="G1145" s="11">
        <v>855</v>
      </c>
      <c r="H1145" s="12" t="s">
        <v>141</v>
      </c>
      <c r="I1145" s="12" t="s">
        <v>37</v>
      </c>
      <c r="J1145" s="12" t="s">
        <v>85</v>
      </c>
      <c r="K1145" s="12" t="s">
        <v>86</v>
      </c>
      <c r="L1145" s="13">
        <v>39.479999999999997</v>
      </c>
      <c r="M1145" s="13">
        <v>25</v>
      </c>
      <c r="N1145" s="13">
        <v>1.5791999999999999</v>
      </c>
      <c r="O1145" s="13">
        <v>29</v>
      </c>
      <c r="P1145" s="13" t="s">
        <v>30</v>
      </c>
      <c r="Q1145" s="13">
        <v>0</v>
      </c>
      <c r="R1145" s="15">
        <v>1144.9199999999998</v>
      </c>
      <c r="S1145" s="15">
        <v>0</v>
      </c>
      <c r="T1145" s="15">
        <v>0</v>
      </c>
      <c r="U1145" s="15">
        <v>1144.9199999999998</v>
      </c>
      <c r="V1145" s="15">
        <v>0</v>
      </c>
      <c r="W1145" s="15">
        <v>1144.9199999999998</v>
      </c>
      <c r="X1145" s="15">
        <v>0</v>
      </c>
      <c r="Y1145" s="16">
        <v>0</v>
      </c>
      <c r="Z1145" s="67" t="s">
        <v>26</v>
      </c>
      <c r="AA1145" s="12" t="s">
        <v>31</v>
      </c>
    </row>
    <row r="1146" spans="1:27" x14ac:dyDescent="0.25">
      <c r="A1146" s="10">
        <v>45675</v>
      </c>
      <c r="B1146" s="11" t="s">
        <v>1136</v>
      </c>
      <c r="C1146" s="11" t="s">
        <v>2790</v>
      </c>
      <c r="D1146" s="11" t="s">
        <v>26</v>
      </c>
      <c r="E1146" s="11" t="s">
        <v>69</v>
      </c>
      <c r="F1146" s="11" t="s">
        <v>26</v>
      </c>
      <c r="G1146" s="11">
        <v>4695</v>
      </c>
      <c r="H1146" s="12" t="s">
        <v>70</v>
      </c>
      <c r="I1146" s="12" t="s">
        <v>27</v>
      </c>
      <c r="J1146" s="12" t="s">
        <v>42</v>
      </c>
      <c r="K1146" s="12" t="s">
        <v>43</v>
      </c>
      <c r="L1146" s="13">
        <v>44.98</v>
      </c>
      <c r="M1146" s="13">
        <v>25</v>
      </c>
      <c r="N1146" s="13">
        <v>1.7991999999999999</v>
      </c>
      <c r="O1146" s="13" t="s">
        <v>30</v>
      </c>
      <c r="P1146" s="13">
        <v>64</v>
      </c>
      <c r="Q1146" s="13">
        <v>0</v>
      </c>
      <c r="R1146" s="15">
        <v>1600</v>
      </c>
      <c r="S1146" s="15">
        <v>0</v>
      </c>
      <c r="T1146" s="15">
        <v>0</v>
      </c>
      <c r="U1146" s="15">
        <v>1600</v>
      </c>
      <c r="V1146" s="15">
        <v>0</v>
      </c>
      <c r="W1146" s="15">
        <v>1600</v>
      </c>
      <c r="X1146" s="15">
        <v>0</v>
      </c>
      <c r="Y1146" s="16">
        <v>0</v>
      </c>
      <c r="Z1146" s="67" t="s">
        <v>26</v>
      </c>
      <c r="AA1146" s="12" t="s">
        <v>31</v>
      </c>
    </row>
    <row r="1147" spans="1:27" x14ac:dyDescent="0.25">
      <c r="A1147" s="10">
        <v>45675</v>
      </c>
      <c r="B1147" s="11" t="s">
        <v>1368</v>
      </c>
      <c r="C1147" s="11" t="s">
        <v>2791</v>
      </c>
      <c r="D1147" s="11" t="s">
        <v>26</v>
      </c>
      <c r="E1147" s="11" t="s">
        <v>179</v>
      </c>
      <c r="F1147" s="11" t="s">
        <v>26</v>
      </c>
      <c r="G1147" s="11">
        <v>57729</v>
      </c>
      <c r="H1147" s="12" t="s">
        <v>4423</v>
      </c>
      <c r="I1147" s="12" t="s">
        <v>27</v>
      </c>
      <c r="J1147" s="12" t="s">
        <v>42</v>
      </c>
      <c r="K1147" s="12" t="s">
        <v>43</v>
      </c>
      <c r="L1147" s="13">
        <v>41.5</v>
      </c>
      <c r="M1147" s="13">
        <v>25</v>
      </c>
      <c r="N1147" s="13">
        <v>1.66</v>
      </c>
      <c r="O1147" s="13">
        <v>42</v>
      </c>
      <c r="P1147" s="13" t="s">
        <v>30</v>
      </c>
      <c r="Q1147" s="13">
        <v>0</v>
      </c>
      <c r="R1147" s="15">
        <v>1743</v>
      </c>
      <c r="S1147" s="15">
        <v>0</v>
      </c>
      <c r="T1147" s="15">
        <v>0</v>
      </c>
      <c r="U1147" s="15">
        <v>1743</v>
      </c>
      <c r="V1147" s="15">
        <v>1743</v>
      </c>
      <c r="W1147" s="15">
        <v>0</v>
      </c>
      <c r="X1147" s="15">
        <v>0</v>
      </c>
      <c r="Y1147" s="16">
        <v>0</v>
      </c>
      <c r="Z1147" s="67" t="s">
        <v>26</v>
      </c>
      <c r="AA1147" s="12" t="s">
        <v>31</v>
      </c>
    </row>
    <row r="1148" spans="1:27" x14ac:dyDescent="0.25">
      <c r="A1148" s="10">
        <v>45675</v>
      </c>
      <c r="B1148" s="11" t="s">
        <v>2792</v>
      </c>
      <c r="C1148" s="11" t="s">
        <v>2793</v>
      </c>
      <c r="D1148" s="11" t="s">
        <v>26</v>
      </c>
      <c r="E1148" s="11" t="s">
        <v>230</v>
      </c>
      <c r="F1148" s="11" t="s">
        <v>26</v>
      </c>
      <c r="G1148" s="11">
        <v>23139</v>
      </c>
      <c r="H1148" s="12" t="s">
        <v>565</v>
      </c>
      <c r="I1148" s="12" t="s">
        <v>27</v>
      </c>
      <c r="J1148" s="12" t="s">
        <v>33</v>
      </c>
      <c r="K1148" s="12" t="s">
        <v>34</v>
      </c>
      <c r="L1148" s="13">
        <v>41.14</v>
      </c>
      <c r="M1148" s="13">
        <v>28</v>
      </c>
      <c r="N1148" s="13">
        <v>1.4692857142857141</v>
      </c>
      <c r="O1148" s="13"/>
      <c r="P1148" s="13">
        <v>60</v>
      </c>
      <c r="Q1148" s="13">
        <v>0</v>
      </c>
      <c r="R1148" s="15">
        <v>1680</v>
      </c>
      <c r="S1148" s="15">
        <v>0</v>
      </c>
      <c r="T1148" s="15">
        <v>0</v>
      </c>
      <c r="U1148" s="15">
        <v>1680</v>
      </c>
      <c r="V1148" s="15">
        <v>0</v>
      </c>
      <c r="W1148" s="15">
        <v>1680</v>
      </c>
      <c r="X1148" s="15">
        <v>0</v>
      </c>
      <c r="Y1148" s="16">
        <v>0</v>
      </c>
      <c r="Z1148" s="67" t="s">
        <v>26</v>
      </c>
      <c r="AA1148" s="12" t="s">
        <v>31</v>
      </c>
    </row>
    <row r="1149" spans="1:27" x14ac:dyDescent="0.25">
      <c r="A1149" s="10">
        <v>45675</v>
      </c>
      <c r="B1149" s="11" t="s">
        <v>1311</v>
      </c>
      <c r="C1149" s="11" t="s">
        <v>2794</v>
      </c>
      <c r="D1149" s="11" t="s">
        <v>26</v>
      </c>
      <c r="E1149" s="11" t="s">
        <v>59</v>
      </c>
      <c r="F1149" s="11" t="s">
        <v>26</v>
      </c>
      <c r="G1149" s="11">
        <v>112136</v>
      </c>
      <c r="H1149" s="12" t="s">
        <v>4446</v>
      </c>
      <c r="I1149" s="12" t="s">
        <v>27</v>
      </c>
      <c r="J1149" s="12" t="s">
        <v>33</v>
      </c>
      <c r="K1149" s="12" t="s">
        <v>34</v>
      </c>
      <c r="L1149" s="13">
        <v>35.700000000000003</v>
      </c>
      <c r="M1149" s="13">
        <v>25</v>
      </c>
      <c r="N1149" s="13">
        <v>1.4279999999999999</v>
      </c>
      <c r="O1149" s="13">
        <v>44</v>
      </c>
      <c r="P1149" s="13" t="s">
        <v>30</v>
      </c>
      <c r="Q1149" s="13">
        <v>0</v>
      </c>
      <c r="R1149" s="15">
        <v>1570.8000000000002</v>
      </c>
      <c r="S1149" s="15">
        <v>0</v>
      </c>
      <c r="T1149" s="15">
        <v>0</v>
      </c>
      <c r="U1149" s="15">
        <v>1570.8000000000002</v>
      </c>
      <c r="V1149" s="15">
        <v>1570.8000000000002</v>
      </c>
      <c r="W1149" s="15">
        <v>0</v>
      </c>
      <c r="X1149" s="15">
        <v>0</v>
      </c>
      <c r="Y1149" s="16">
        <v>0</v>
      </c>
      <c r="Z1149" s="67" t="s">
        <v>26</v>
      </c>
      <c r="AA1149" s="12" t="s">
        <v>31</v>
      </c>
    </row>
    <row r="1150" spans="1:27" x14ac:dyDescent="0.25">
      <c r="A1150" s="10">
        <v>45675</v>
      </c>
      <c r="B1150" s="11" t="s">
        <v>365</v>
      </c>
      <c r="C1150" s="11" t="s">
        <v>2795</v>
      </c>
      <c r="D1150" s="11" t="s">
        <v>26</v>
      </c>
      <c r="E1150" s="11" t="s">
        <v>244</v>
      </c>
      <c r="F1150" s="11" t="s">
        <v>26</v>
      </c>
      <c r="G1150" s="11" t="s">
        <v>26</v>
      </c>
      <c r="H1150" s="12" t="s">
        <v>4424</v>
      </c>
      <c r="I1150" s="12" t="s">
        <v>27</v>
      </c>
      <c r="J1150" s="12" t="s">
        <v>47</v>
      </c>
      <c r="K1150" s="12" t="s">
        <v>48</v>
      </c>
      <c r="L1150" s="13">
        <v>40.1</v>
      </c>
      <c r="M1150" s="13">
        <v>28</v>
      </c>
      <c r="N1150" s="13">
        <v>1.4321428571428569</v>
      </c>
      <c r="O1150" s="13">
        <v>90</v>
      </c>
      <c r="P1150" s="13" t="s">
        <v>30</v>
      </c>
      <c r="Q1150" s="13">
        <v>0</v>
      </c>
      <c r="R1150" s="14">
        <v>3609</v>
      </c>
      <c r="S1150" s="15">
        <v>38</v>
      </c>
      <c r="T1150" s="15">
        <v>1523.8</v>
      </c>
      <c r="U1150" s="15">
        <v>2085.1999999999998</v>
      </c>
      <c r="V1150" s="15">
        <v>2085.1999999999998</v>
      </c>
      <c r="W1150" s="15">
        <v>0</v>
      </c>
      <c r="X1150" s="15">
        <v>1483.7</v>
      </c>
      <c r="Y1150" s="16">
        <v>40.099999999999909</v>
      </c>
      <c r="Z1150" s="67" t="s">
        <v>141</v>
      </c>
      <c r="AA1150" s="12" t="s">
        <v>657</v>
      </c>
    </row>
    <row r="1151" spans="1:27" x14ac:dyDescent="0.25">
      <c r="A1151" s="10">
        <v>45675</v>
      </c>
      <c r="B1151" s="11" t="s">
        <v>259</v>
      </c>
      <c r="C1151" s="11" t="s">
        <v>2796</v>
      </c>
      <c r="D1151" s="11" t="s">
        <v>26</v>
      </c>
      <c r="E1151" s="11" t="s">
        <v>485</v>
      </c>
      <c r="F1151" s="11" t="s">
        <v>26</v>
      </c>
      <c r="G1151" s="11">
        <v>72139</v>
      </c>
      <c r="H1151" s="12" t="s">
        <v>4448</v>
      </c>
      <c r="I1151" s="12" t="s">
        <v>27</v>
      </c>
      <c r="J1151" s="12" t="s">
        <v>42</v>
      </c>
      <c r="K1151" s="12" t="s">
        <v>43</v>
      </c>
      <c r="L1151" s="13">
        <v>43.68</v>
      </c>
      <c r="M1151" s="13">
        <v>25</v>
      </c>
      <c r="N1151" s="13">
        <v>1.7472000000000001</v>
      </c>
      <c r="O1151" s="13">
        <v>42.5</v>
      </c>
      <c r="P1151" s="13" t="s">
        <v>30</v>
      </c>
      <c r="Q1151" s="13">
        <v>0</v>
      </c>
      <c r="R1151" s="14">
        <v>1856.4</v>
      </c>
      <c r="S1151" s="15">
        <v>0</v>
      </c>
      <c r="T1151" s="15">
        <v>0</v>
      </c>
      <c r="U1151" s="15">
        <v>1856.4</v>
      </c>
      <c r="V1151" s="15">
        <v>1392.3000000000002</v>
      </c>
      <c r="W1151" s="15">
        <v>464.09999999999991</v>
      </c>
      <c r="X1151" s="15">
        <v>0</v>
      </c>
      <c r="Y1151" s="16">
        <v>0</v>
      </c>
      <c r="Z1151" s="67" t="s">
        <v>26</v>
      </c>
      <c r="AA1151" s="12" t="s">
        <v>31</v>
      </c>
    </row>
    <row r="1152" spans="1:27" x14ac:dyDescent="0.25">
      <c r="A1152" s="10">
        <v>45675</v>
      </c>
      <c r="B1152" s="11" t="s">
        <v>2797</v>
      </c>
      <c r="C1152" s="11" t="s">
        <v>2798</v>
      </c>
      <c r="D1152" s="11" t="s">
        <v>26</v>
      </c>
      <c r="E1152" s="11" t="s">
        <v>542</v>
      </c>
      <c r="F1152" s="11" t="s">
        <v>26</v>
      </c>
      <c r="G1152" s="11" t="s">
        <v>35</v>
      </c>
      <c r="H1152" s="12" t="s">
        <v>36</v>
      </c>
      <c r="I1152" s="12" t="s">
        <v>55</v>
      </c>
      <c r="J1152" s="12" t="s">
        <v>55</v>
      </c>
      <c r="K1152" s="12" t="s">
        <v>56</v>
      </c>
      <c r="L1152" s="13">
        <v>38.880000000000003</v>
      </c>
      <c r="M1152" s="13">
        <v>24</v>
      </c>
      <c r="N1152" s="13">
        <v>1.62</v>
      </c>
      <c r="O1152" s="13">
        <v>20</v>
      </c>
      <c r="P1152" s="13" t="s">
        <v>30</v>
      </c>
      <c r="Q1152" s="13">
        <v>0</v>
      </c>
      <c r="R1152" s="14">
        <v>777.6</v>
      </c>
      <c r="S1152" s="15">
        <v>0</v>
      </c>
      <c r="T1152" s="15">
        <v>0</v>
      </c>
      <c r="U1152" s="15">
        <v>777.6</v>
      </c>
      <c r="V1152" s="15">
        <v>0</v>
      </c>
      <c r="W1152" s="15">
        <v>777.6</v>
      </c>
      <c r="X1152" s="15">
        <v>0</v>
      </c>
      <c r="Y1152" s="16">
        <v>0</v>
      </c>
      <c r="Z1152" s="67" t="s">
        <v>26</v>
      </c>
      <c r="AA1152" s="12" t="s">
        <v>31</v>
      </c>
    </row>
    <row r="1153" spans="1:27" x14ac:dyDescent="0.25">
      <c r="A1153" s="10">
        <v>45675</v>
      </c>
      <c r="B1153" s="11" t="s">
        <v>452</v>
      </c>
      <c r="C1153" s="11" t="s">
        <v>2799</v>
      </c>
      <c r="D1153" s="11" t="s">
        <v>26</v>
      </c>
      <c r="E1153" s="11" t="s">
        <v>574</v>
      </c>
      <c r="F1153" s="11" t="s">
        <v>26</v>
      </c>
      <c r="G1153" s="11">
        <v>771</v>
      </c>
      <c r="H1153" s="12" t="s">
        <v>141</v>
      </c>
      <c r="I1153" s="12" t="s">
        <v>37</v>
      </c>
      <c r="J1153" s="12" t="s">
        <v>599</v>
      </c>
      <c r="K1153" s="12" t="s">
        <v>82</v>
      </c>
      <c r="L1153" s="13">
        <v>40.32</v>
      </c>
      <c r="M1153" s="13">
        <v>25</v>
      </c>
      <c r="N1153" s="13">
        <v>1.6128</v>
      </c>
      <c r="O1153" s="13">
        <v>29</v>
      </c>
      <c r="P1153" s="13" t="s">
        <v>30</v>
      </c>
      <c r="Q1153" s="13">
        <v>0</v>
      </c>
      <c r="R1153" s="14">
        <v>1169.28</v>
      </c>
      <c r="S1153" s="15">
        <v>0</v>
      </c>
      <c r="T1153" s="15">
        <v>0</v>
      </c>
      <c r="U1153" s="15">
        <v>1169.28</v>
      </c>
      <c r="V1153" s="15">
        <v>0</v>
      </c>
      <c r="W1153" s="15">
        <v>1169.28</v>
      </c>
      <c r="X1153" s="15">
        <v>0</v>
      </c>
      <c r="Y1153" s="16">
        <v>0</v>
      </c>
      <c r="Z1153" s="67" t="s">
        <v>26</v>
      </c>
      <c r="AA1153" s="12" t="s">
        <v>31</v>
      </c>
    </row>
    <row r="1154" spans="1:27" x14ac:dyDescent="0.25">
      <c r="A1154" s="10">
        <v>45675</v>
      </c>
      <c r="B1154" s="11" t="s">
        <v>2552</v>
      </c>
      <c r="C1154" s="11" t="s">
        <v>2800</v>
      </c>
      <c r="D1154" s="11" t="s">
        <v>26</v>
      </c>
      <c r="E1154" s="11" t="s">
        <v>75</v>
      </c>
      <c r="F1154" s="11" t="s">
        <v>26</v>
      </c>
      <c r="G1154" s="11">
        <v>42020</v>
      </c>
      <c r="H1154" s="12" t="s">
        <v>565</v>
      </c>
      <c r="I1154" s="12" t="s">
        <v>55</v>
      </c>
      <c r="J1154" s="12" t="s">
        <v>55</v>
      </c>
      <c r="K1154" s="12" t="s">
        <v>56</v>
      </c>
      <c r="L1154" s="13">
        <v>46.62</v>
      </c>
      <c r="M1154" s="13">
        <v>28</v>
      </c>
      <c r="N1154" s="13">
        <v>1.665</v>
      </c>
      <c r="O1154" s="13"/>
      <c r="P1154" s="13">
        <v>24</v>
      </c>
      <c r="Q1154" s="13">
        <v>0</v>
      </c>
      <c r="R1154" s="14">
        <v>672</v>
      </c>
      <c r="S1154" s="15">
        <v>0</v>
      </c>
      <c r="T1154" s="15">
        <v>0</v>
      </c>
      <c r="U1154" s="15">
        <v>672</v>
      </c>
      <c r="V1154" s="15">
        <v>0</v>
      </c>
      <c r="W1154" s="15">
        <v>672</v>
      </c>
      <c r="X1154" s="15">
        <v>0</v>
      </c>
      <c r="Y1154" s="16">
        <v>0</v>
      </c>
      <c r="Z1154" s="67" t="s">
        <v>26</v>
      </c>
      <c r="AA1154" s="12" t="s">
        <v>31</v>
      </c>
    </row>
    <row r="1155" spans="1:27" x14ac:dyDescent="0.25">
      <c r="A1155" s="10">
        <v>45675</v>
      </c>
      <c r="B1155" s="11" t="s">
        <v>1896</v>
      </c>
      <c r="C1155" s="11" t="s">
        <v>2801</v>
      </c>
      <c r="D1155" s="11" t="s">
        <v>26</v>
      </c>
      <c r="E1155" s="11" t="s">
        <v>57</v>
      </c>
      <c r="F1155" s="11" t="s">
        <v>26</v>
      </c>
      <c r="G1155" s="11">
        <v>2739</v>
      </c>
      <c r="H1155" s="12" t="s">
        <v>41</v>
      </c>
      <c r="I1155" s="12" t="s">
        <v>27</v>
      </c>
      <c r="J1155" s="12" t="s">
        <v>33</v>
      </c>
      <c r="K1155" s="12" t="s">
        <v>34</v>
      </c>
      <c r="L1155" s="13">
        <v>36.479999999999997</v>
      </c>
      <c r="M1155" s="13">
        <v>25</v>
      </c>
      <c r="N1155" s="13">
        <v>1.4592000000000001</v>
      </c>
      <c r="O1155" s="13" t="s">
        <v>30</v>
      </c>
      <c r="P1155" s="13">
        <v>60</v>
      </c>
      <c r="Q1155" s="13">
        <v>0</v>
      </c>
      <c r="R1155" s="14">
        <v>1500</v>
      </c>
      <c r="S1155" s="15">
        <v>0</v>
      </c>
      <c r="T1155" s="15">
        <v>0</v>
      </c>
      <c r="U1155" s="15">
        <v>1500</v>
      </c>
      <c r="V1155" s="15">
        <v>0</v>
      </c>
      <c r="W1155" s="15">
        <v>1500</v>
      </c>
      <c r="X1155" s="15">
        <v>0</v>
      </c>
      <c r="Y1155" s="16">
        <v>0</v>
      </c>
      <c r="Z1155" s="67" t="s">
        <v>26</v>
      </c>
      <c r="AA1155" s="12" t="s">
        <v>31</v>
      </c>
    </row>
    <row r="1156" spans="1:27" x14ac:dyDescent="0.25">
      <c r="A1156" s="10">
        <v>45675</v>
      </c>
      <c r="B1156" s="11" t="s">
        <v>108</v>
      </c>
      <c r="C1156" s="11" t="s">
        <v>2802</v>
      </c>
      <c r="D1156" s="11" t="s">
        <v>26</v>
      </c>
      <c r="E1156" s="11" t="s">
        <v>246</v>
      </c>
      <c r="F1156" s="11" t="s">
        <v>26</v>
      </c>
      <c r="G1156" s="11">
        <v>2955</v>
      </c>
      <c r="H1156" s="12" t="s">
        <v>41</v>
      </c>
      <c r="I1156" s="12" t="s">
        <v>55</v>
      </c>
      <c r="J1156" s="12" t="s">
        <v>55</v>
      </c>
      <c r="K1156" s="12" t="s">
        <v>56</v>
      </c>
      <c r="L1156" s="13">
        <v>43</v>
      </c>
      <c r="M1156" s="13">
        <v>25</v>
      </c>
      <c r="N1156" s="13">
        <v>1.72</v>
      </c>
      <c r="O1156" s="13" t="s">
        <v>30</v>
      </c>
      <c r="P1156" s="13">
        <v>24</v>
      </c>
      <c r="Q1156" s="13">
        <v>0</v>
      </c>
      <c r="R1156" s="15">
        <v>600</v>
      </c>
      <c r="S1156" s="15">
        <v>0</v>
      </c>
      <c r="T1156" s="15">
        <v>0</v>
      </c>
      <c r="U1156" s="15">
        <v>600</v>
      </c>
      <c r="V1156" s="15">
        <v>0</v>
      </c>
      <c r="W1156" s="15">
        <v>600</v>
      </c>
      <c r="X1156" s="15">
        <v>0</v>
      </c>
      <c r="Y1156" s="16">
        <v>0</v>
      </c>
      <c r="Z1156" s="67" t="s">
        <v>26</v>
      </c>
      <c r="AA1156" s="12" t="s">
        <v>31</v>
      </c>
    </row>
    <row r="1157" spans="1:27" x14ac:dyDescent="0.25">
      <c r="A1157" s="10">
        <v>45675</v>
      </c>
      <c r="B1157" s="11" t="s">
        <v>2716</v>
      </c>
      <c r="C1157" s="11" t="s">
        <v>2803</v>
      </c>
      <c r="D1157" s="11" t="s">
        <v>26</v>
      </c>
      <c r="E1157" s="11" t="s">
        <v>483</v>
      </c>
      <c r="F1157" s="11" t="s">
        <v>26</v>
      </c>
      <c r="G1157" s="11">
        <v>2148</v>
      </c>
      <c r="H1157" s="12" t="s">
        <v>41</v>
      </c>
      <c r="I1157" s="12" t="s">
        <v>55</v>
      </c>
      <c r="J1157" s="12" t="s">
        <v>566</v>
      </c>
      <c r="K1157" s="12" t="s">
        <v>550</v>
      </c>
      <c r="L1157" s="13">
        <v>44.28</v>
      </c>
      <c r="M1157" s="13">
        <v>25</v>
      </c>
      <c r="N1157" s="13">
        <v>1.7712000000000001</v>
      </c>
      <c r="O1157" s="13">
        <v>25</v>
      </c>
      <c r="P1157" s="13"/>
      <c r="Q1157" s="13">
        <v>0</v>
      </c>
      <c r="R1157" s="14">
        <v>1107</v>
      </c>
      <c r="S1157" s="15">
        <v>0</v>
      </c>
      <c r="T1157" s="15">
        <v>0</v>
      </c>
      <c r="U1157" s="15">
        <v>1107</v>
      </c>
      <c r="V1157" s="15">
        <v>0</v>
      </c>
      <c r="W1157" s="15">
        <v>1107</v>
      </c>
      <c r="X1157" s="15">
        <v>0</v>
      </c>
      <c r="Y1157" s="16">
        <v>0</v>
      </c>
      <c r="Z1157" s="67" t="s">
        <v>26</v>
      </c>
      <c r="AA1157" s="12" t="s">
        <v>31</v>
      </c>
    </row>
    <row r="1158" spans="1:27" x14ac:dyDescent="0.25">
      <c r="A1158" s="10">
        <v>45675</v>
      </c>
      <c r="B1158" s="11" t="s">
        <v>255</v>
      </c>
      <c r="C1158" s="11" t="s">
        <v>2804</v>
      </c>
      <c r="D1158" s="11" t="s">
        <v>26</v>
      </c>
      <c r="E1158" s="11" t="s">
        <v>40</v>
      </c>
      <c r="F1158" s="11" t="s">
        <v>26</v>
      </c>
      <c r="G1158" s="11">
        <v>2450</v>
      </c>
      <c r="H1158" s="12" t="s">
        <v>41</v>
      </c>
      <c r="I1158" s="12" t="s">
        <v>27</v>
      </c>
      <c r="J1158" s="12" t="s">
        <v>33</v>
      </c>
      <c r="K1158" s="12" t="s">
        <v>34</v>
      </c>
      <c r="L1158" s="13">
        <v>38.78</v>
      </c>
      <c r="M1158" s="13">
        <v>25</v>
      </c>
      <c r="N1158" s="13">
        <v>1.5511999999999999</v>
      </c>
      <c r="O1158" s="13" t="s">
        <v>30</v>
      </c>
      <c r="P1158" s="13">
        <v>60</v>
      </c>
      <c r="Q1158" s="13">
        <v>0</v>
      </c>
      <c r="R1158" s="14">
        <v>1500</v>
      </c>
      <c r="S1158" s="15">
        <v>0</v>
      </c>
      <c r="T1158" s="15">
        <v>0</v>
      </c>
      <c r="U1158" s="15">
        <v>1500</v>
      </c>
      <c r="V1158" s="15">
        <v>0</v>
      </c>
      <c r="W1158" s="15">
        <v>1500</v>
      </c>
      <c r="X1158" s="15">
        <v>0</v>
      </c>
      <c r="Y1158" s="16">
        <v>0</v>
      </c>
      <c r="Z1158" s="67" t="s">
        <v>26</v>
      </c>
      <c r="AA1158" s="12" t="s">
        <v>31</v>
      </c>
    </row>
    <row r="1159" spans="1:27" x14ac:dyDescent="0.25">
      <c r="A1159" s="10">
        <v>45675</v>
      </c>
      <c r="B1159" s="11" t="s">
        <v>2805</v>
      </c>
      <c r="C1159" s="11" t="s">
        <v>2806</v>
      </c>
      <c r="D1159" s="11" t="s">
        <v>26</v>
      </c>
      <c r="E1159" s="11" t="s">
        <v>509</v>
      </c>
      <c r="F1159" s="11" t="s">
        <v>26</v>
      </c>
      <c r="G1159" s="11">
        <v>1304</v>
      </c>
      <c r="H1159" s="12" t="s">
        <v>141</v>
      </c>
      <c r="I1159" s="12" t="s">
        <v>27</v>
      </c>
      <c r="J1159" s="12" t="s">
        <v>42</v>
      </c>
      <c r="K1159" s="12" t="s">
        <v>43</v>
      </c>
      <c r="L1159" s="13">
        <v>43.12</v>
      </c>
      <c r="M1159" s="13">
        <v>25</v>
      </c>
      <c r="N1159" s="13">
        <v>1.7248000000000001</v>
      </c>
      <c r="O1159" s="13">
        <v>40</v>
      </c>
      <c r="P1159" s="13" t="s">
        <v>30</v>
      </c>
      <c r="Q1159" s="13">
        <v>0</v>
      </c>
      <c r="R1159" s="14">
        <v>1724.8</v>
      </c>
      <c r="S1159" s="15">
        <v>0</v>
      </c>
      <c r="T1159" s="15">
        <v>0</v>
      </c>
      <c r="U1159" s="15">
        <v>1724.8</v>
      </c>
      <c r="V1159" s="15">
        <v>0</v>
      </c>
      <c r="W1159" s="15">
        <v>1724.8</v>
      </c>
      <c r="X1159" s="15">
        <v>0</v>
      </c>
      <c r="Y1159" s="16">
        <v>0</v>
      </c>
      <c r="Z1159" s="67" t="s">
        <v>26</v>
      </c>
      <c r="AA1159" s="12" t="s">
        <v>31</v>
      </c>
    </row>
    <row r="1160" spans="1:27" x14ac:dyDescent="0.25">
      <c r="A1160" s="10">
        <v>45675</v>
      </c>
      <c r="B1160" s="11" t="s">
        <v>2807</v>
      </c>
      <c r="C1160" s="11" t="s">
        <v>2808</v>
      </c>
      <c r="D1160" s="11" t="s">
        <v>26</v>
      </c>
      <c r="E1160" s="11" t="s">
        <v>501</v>
      </c>
      <c r="F1160" s="11" t="s">
        <v>26</v>
      </c>
      <c r="G1160" s="11" t="s">
        <v>26</v>
      </c>
      <c r="H1160" s="12" t="s">
        <v>4424</v>
      </c>
      <c r="I1160" s="12" t="s">
        <v>27</v>
      </c>
      <c r="J1160" s="12" t="s">
        <v>47</v>
      </c>
      <c r="K1160" s="12" t="s">
        <v>48</v>
      </c>
      <c r="L1160" s="13">
        <v>42.66</v>
      </c>
      <c r="M1160" s="13">
        <v>29</v>
      </c>
      <c r="N1160" s="13">
        <v>1.471034482758621</v>
      </c>
      <c r="O1160" s="13">
        <v>90</v>
      </c>
      <c r="P1160" s="13" t="s">
        <v>30</v>
      </c>
      <c r="Q1160" s="13">
        <v>0</v>
      </c>
      <c r="R1160" s="14">
        <v>3839.3999999999996</v>
      </c>
      <c r="S1160" s="15">
        <v>38</v>
      </c>
      <c r="T1160" s="15">
        <v>1621.08</v>
      </c>
      <c r="U1160" s="15">
        <v>2218.3199999999997</v>
      </c>
      <c r="V1160" s="15">
        <v>2218.3199999999997</v>
      </c>
      <c r="W1160" s="15">
        <v>0</v>
      </c>
      <c r="X1160" s="15">
        <v>1578.4199999999998</v>
      </c>
      <c r="Y1160" s="16">
        <v>42.660000000000082</v>
      </c>
      <c r="Z1160" s="67" t="s">
        <v>141</v>
      </c>
      <c r="AA1160" s="12" t="s">
        <v>657</v>
      </c>
    </row>
    <row r="1161" spans="1:27" x14ac:dyDescent="0.25">
      <c r="A1161" s="10">
        <v>45677</v>
      </c>
      <c r="B1161" s="11" t="s">
        <v>430</v>
      </c>
      <c r="C1161" s="11" t="s">
        <v>2809</v>
      </c>
      <c r="D1161" s="11" t="s">
        <v>26</v>
      </c>
      <c r="E1161" s="11" t="s">
        <v>68</v>
      </c>
      <c r="F1161" s="11" t="s">
        <v>26</v>
      </c>
      <c r="G1161" s="11">
        <v>1505</v>
      </c>
      <c r="H1161" s="12" t="s">
        <v>45</v>
      </c>
      <c r="I1161" s="12" t="s">
        <v>27</v>
      </c>
      <c r="J1161" s="12" t="s">
        <v>33</v>
      </c>
      <c r="K1161" s="12" t="s">
        <v>34</v>
      </c>
      <c r="L1161" s="13">
        <v>35.9</v>
      </c>
      <c r="M1161" s="13">
        <v>25</v>
      </c>
      <c r="N1161" s="13">
        <v>1.4359999999999999</v>
      </c>
      <c r="O1161" s="13" t="s">
        <v>30</v>
      </c>
      <c r="P1161" s="13">
        <v>58</v>
      </c>
      <c r="Q1161" s="13">
        <v>0</v>
      </c>
      <c r="R1161" s="14">
        <v>1450</v>
      </c>
      <c r="S1161" s="15">
        <v>0</v>
      </c>
      <c r="T1161" s="15">
        <v>0</v>
      </c>
      <c r="U1161" s="15">
        <v>1450</v>
      </c>
      <c r="V1161" s="15">
        <v>0</v>
      </c>
      <c r="W1161" s="15">
        <v>1450</v>
      </c>
      <c r="X1161" s="15">
        <v>0</v>
      </c>
      <c r="Y1161" s="16">
        <v>0</v>
      </c>
      <c r="Z1161" s="67" t="s">
        <v>26</v>
      </c>
      <c r="AA1161" s="12" t="s">
        <v>31</v>
      </c>
    </row>
    <row r="1162" spans="1:27" x14ac:dyDescent="0.25">
      <c r="A1162" s="10">
        <v>45677</v>
      </c>
      <c r="B1162" s="11" t="s">
        <v>123</v>
      </c>
      <c r="C1162" s="11" t="s">
        <v>2810</v>
      </c>
      <c r="D1162" s="11" t="s">
        <v>26</v>
      </c>
      <c r="E1162" s="11" t="s">
        <v>501</v>
      </c>
      <c r="F1162" s="11" t="s">
        <v>26</v>
      </c>
      <c r="G1162" s="11" t="s">
        <v>26</v>
      </c>
      <c r="H1162" s="12" t="s">
        <v>4422</v>
      </c>
      <c r="I1162" s="12" t="s">
        <v>27</v>
      </c>
      <c r="J1162" s="12" t="s">
        <v>47</v>
      </c>
      <c r="K1162" s="12" t="s">
        <v>48</v>
      </c>
      <c r="L1162" s="13">
        <v>42.76</v>
      </c>
      <c r="M1162" s="13">
        <v>29</v>
      </c>
      <c r="N1162" s="13">
        <v>1.4744827586206899</v>
      </c>
      <c r="O1162" s="13">
        <v>87</v>
      </c>
      <c r="P1162" s="13" t="s">
        <v>30</v>
      </c>
      <c r="Q1162" s="13">
        <v>0</v>
      </c>
      <c r="R1162" s="14">
        <v>3720.12</v>
      </c>
      <c r="S1162" s="15">
        <v>38</v>
      </c>
      <c r="T1162" s="15">
        <v>1624.8799999999999</v>
      </c>
      <c r="U1162" s="15">
        <v>2095.2399999999998</v>
      </c>
      <c r="V1162" s="15">
        <v>2095.2399999999998</v>
      </c>
      <c r="W1162" s="15">
        <v>0</v>
      </c>
      <c r="X1162" s="15">
        <v>1539.36</v>
      </c>
      <c r="Y1162" s="16">
        <v>85.519999999999982</v>
      </c>
      <c r="Z1162" s="67" t="s">
        <v>141</v>
      </c>
      <c r="AA1162" s="12" t="s">
        <v>78</v>
      </c>
    </row>
    <row r="1163" spans="1:27" x14ac:dyDescent="0.25">
      <c r="A1163" s="10">
        <v>45677</v>
      </c>
      <c r="B1163" s="11" t="s">
        <v>2309</v>
      </c>
      <c r="C1163" s="11" t="s">
        <v>2811</v>
      </c>
      <c r="D1163" s="11" t="s">
        <v>26</v>
      </c>
      <c r="E1163" s="11" t="s">
        <v>32</v>
      </c>
      <c r="F1163" s="11" t="s">
        <v>26</v>
      </c>
      <c r="G1163" s="11">
        <v>1522</v>
      </c>
      <c r="H1163" s="12" t="s">
        <v>45</v>
      </c>
      <c r="I1163" s="12" t="s">
        <v>27</v>
      </c>
      <c r="J1163" s="12" t="s">
        <v>42</v>
      </c>
      <c r="K1163" s="12" t="s">
        <v>43</v>
      </c>
      <c r="L1163" s="13">
        <v>43.72</v>
      </c>
      <c r="M1163" s="13">
        <v>25</v>
      </c>
      <c r="N1163" s="13">
        <v>1.7487999999999999</v>
      </c>
      <c r="O1163" s="13" t="s">
        <v>30</v>
      </c>
      <c r="P1163" s="13">
        <v>62</v>
      </c>
      <c r="Q1163" s="13">
        <v>0</v>
      </c>
      <c r="R1163" s="14">
        <v>1550</v>
      </c>
      <c r="S1163" s="15">
        <v>0</v>
      </c>
      <c r="T1163" s="15">
        <v>0</v>
      </c>
      <c r="U1163" s="15">
        <v>1550</v>
      </c>
      <c r="V1163" s="15">
        <v>0</v>
      </c>
      <c r="W1163" s="15">
        <v>1550</v>
      </c>
      <c r="X1163" s="15">
        <v>0</v>
      </c>
      <c r="Y1163" s="16">
        <v>0</v>
      </c>
      <c r="Z1163" s="67" t="s">
        <v>26</v>
      </c>
      <c r="AA1163" s="12" t="s">
        <v>31</v>
      </c>
    </row>
    <row r="1164" spans="1:27" x14ac:dyDescent="0.25">
      <c r="A1164" s="10">
        <v>45677</v>
      </c>
      <c r="B1164" s="11" t="s">
        <v>2229</v>
      </c>
      <c r="C1164" s="11" t="s">
        <v>2812</v>
      </c>
      <c r="D1164" s="11" t="s">
        <v>26</v>
      </c>
      <c r="E1164" s="11" t="s">
        <v>184</v>
      </c>
      <c r="F1164" s="11" t="s">
        <v>26</v>
      </c>
      <c r="G1164" s="11">
        <v>1003</v>
      </c>
      <c r="H1164" s="12" t="s">
        <v>141</v>
      </c>
      <c r="I1164" s="12" t="s">
        <v>27</v>
      </c>
      <c r="J1164" s="12" t="s">
        <v>47</v>
      </c>
      <c r="K1164" s="12" t="s">
        <v>48</v>
      </c>
      <c r="L1164" s="13">
        <v>39.9</v>
      </c>
      <c r="M1164" s="13">
        <v>27</v>
      </c>
      <c r="N1164" s="13">
        <v>1.4777777777777781</v>
      </c>
      <c r="O1164" s="13">
        <v>40</v>
      </c>
      <c r="P1164" s="13" t="s">
        <v>30</v>
      </c>
      <c r="Q1164" s="13">
        <v>0</v>
      </c>
      <c r="R1164" s="14">
        <v>1596</v>
      </c>
      <c r="S1164" s="15">
        <v>0</v>
      </c>
      <c r="T1164" s="15">
        <v>0</v>
      </c>
      <c r="U1164" s="15">
        <v>1596</v>
      </c>
      <c r="V1164" s="15">
        <v>0</v>
      </c>
      <c r="W1164" s="15">
        <v>1596</v>
      </c>
      <c r="X1164" s="15">
        <v>0</v>
      </c>
      <c r="Y1164" s="16">
        <v>0</v>
      </c>
      <c r="Z1164" s="67" t="s">
        <v>26</v>
      </c>
      <c r="AA1164" s="12" t="s">
        <v>31</v>
      </c>
    </row>
    <row r="1165" spans="1:27" x14ac:dyDescent="0.25">
      <c r="A1165" s="10">
        <v>45677</v>
      </c>
      <c r="B1165" s="11" t="s">
        <v>2559</v>
      </c>
      <c r="C1165" s="11" t="s">
        <v>2813</v>
      </c>
      <c r="D1165" s="11" t="s">
        <v>26</v>
      </c>
      <c r="E1165" s="11" t="s">
        <v>81</v>
      </c>
      <c r="F1165" s="11" t="s">
        <v>26</v>
      </c>
      <c r="G1165" s="11" t="s">
        <v>26</v>
      </c>
      <c r="H1165" s="12" t="s">
        <v>4422</v>
      </c>
      <c r="I1165" s="12" t="s">
        <v>27</v>
      </c>
      <c r="J1165" s="12" t="s">
        <v>33</v>
      </c>
      <c r="K1165" s="12" t="s">
        <v>34</v>
      </c>
      <c r="L1165" s="13">
        <v>43.32</v>
      </c>
      <c r="M1165" s="13">
        <v>30</v>
      </c>
      <c r="N1165" s="13">
        <v>1.444</v>
      </c>
      <c r="O1165" s="13">
        <v>85</v>
      </c>
      <c r="P1165" s="13" t="s">
        <v>30</v>
      </c>
      <c r="Q1165" s="13">
        <v>0</v>
      </c>
      <c r="R1165" s="14">
        <v>3682.2</v>
      </c>
      <c r="S1165" s="15">
        <v>38</v>
      </c>
      <c r="T1165" s="15">
        <v>1646.16</v>
      </c>
      <c r="U1165" s="15">
        <v>2036.0399999999997</v>
      </c>
      <c r="V1165" s="15">
        <v>2036.0399999999997</v>
      </c>
      <c r="W1165" s="15">
        <v>0</v>
      </c>
      <c r="X1165" s="15">
        <v>1559.52</v>
      </c>
      <c r="Y1165" s="16">
        <v>86.6400000000001</v>
      </c>
      <c r="Z1165" s="67" t="s">
        <v>141</v>
      </c>
      <c r="AA1165" s="12" t="s">
        <v>78</v>
      </c>
    </row>
    <row r="1166" spans="1:27" x14ac:dyDescent="0.25">
      <c r="A1166" s="10">
        <v>45677</v>
      </c>
      <c r="B1166" s="11" t="s">
        <v>2814</v>
      </c>
      <c r="C1166" s="11" t="s">
        <v>2815</v>
      </c>
      <c r="D1166" s="11" t="s">
        <v>26</v>
      </c>
      <c r="E1166" s="11" t="s">
        <v>53</v>
      </c>
      <c r="F1166" s="11" t="s">
        <v>26</v>
      </c>
      <c r="G1166" s="11" t="s">
        <v>26</v>
      </c>
      <c r="H1166" s="12" t="s">
        <v>4422</v>
      </c>
      <c r="I1166" s="12" t="s">
        <v>27</v>
      </c>
      <c r="J1166" s="12" t="s">
        <v>47</v>
      </c>
      <c r="K1166" s="12" t="s">
        <v>48</v>
      </c>
      <c r="L1166" s="13">
        <v>44.66</v>
      </c>
      <c r="M1166" s="13">
        <v>30</v>
      </c>
      <c r="N1166" s="13">
        <v>1.488666666666667</v>
      </c>
      <c r="O1166" s="13">
        <v>87</v>
      </c>
      <c r="P1166" s="13" t="s">
        <v>30</v>
      </c>
      <c r="Q1166" s="13">
        <v>0</v>
      </c>
      <c r="R1166" s="14">
        <v>3885.4199999999996</v>
      </c>
      <c r="S1166" s="15">
        <v>38</v>
      </c>
      <c r="T1166" s="15">
        <v>1697.08</v>
      </c>
      <c r="U1166" s="15">
        <v>2188.3399999999997</v>
      </c>
      <c r="V1166" s="15">
        <v>2188.3399999999997</v>
      </c>
      <c r="W1166" s="15">
        <v>0</v>
      </c>
      <c r="X1166" s="15">
        <v>1652.4199999999998</v>
      </c>
      <c r="Y1166" s="16">
        <v>44.660000000000082</v>
      </c>
      <c r="Z1166" s="67" t="s">
        <v>41</v>
      </c>
      <c r="AA1166" s="12" t="s">
        <v>78</v>
      </c>
    </row>
    <row r="1167" spans="1:27" x14ac:dyDescent="0.25">
      <c r="A1167" s="10">
        <v>45677</v>
      </c>
      <c r="B1167" s="11" t="s">
        <v>2816</v>
      </c>
      <c r="C1167" s="11" t="s">
        <v>2817</v>
      </c>
      <c r="D1167" s="11" t="s">
        <v>26</v>
      </c>
      <c r="E1167" s="11" t="s">
        <v>100</v>
      </c>
      <c r="F1167" s="11" t="s">
        <v>26</v>
      </c>
      <c r="G1167" s="11">
        <v>21725</v>
      </c>
      <c r="H1167" s="12" t="s">
        <v>4448</v>
      </c>
      <c r="I1167" s="12" t="s">
        <v>27</v>
      </c>
      <c r="J1167" s="12" t="s">
        <v>33</v>
      </c>
      <c r="K1167" s="12" t="s">
        <v>34</v>
      </c>
      <c r="L1167" s="13">
        <v>37.979999999999997</v>
      </c>
      <c r="M1167" s="13">
        <v>25</v>
      </c>
      <c r="N1167" s="13">
        <v>1.5192000000000001</v>
      </c>
      <c r="O1167" s="13">
        <v>45.33</v>
      </c>
      <c r="P1167" s="13" t="s">
        <v>30</v>
      </c>
      <c r="Q1167" s="13">
        <v>0</v>
      </c>
      <c r="R1167" s="15">
        <v>1721.6333999999997</v>
      </c>
      <c r="S1167" s="15">
        <v>0</v>
      </c>
      <c r="T1167" s="15">
        <v>0</v>
      </c>
      <c r="U1167" s="15">
        <v>1721.6333999999997</v>
      </c>
      <c r="V1167" s="15">
        <v>1291.2250499999998</v>
      </c>
      <c r="W1167" s="15">
        <v>430.40834999999993</v>
      </c>
      <c r="X1167" s="15">
        <v>0</v>
      </c>
      <c r="Y1167" s="16">
        <v>0</v>
      </c>
      <c r="Z1167" s="67" t="s">
        <v>26</v>
      </c>
      <c r="AA1167" s="12" t="s">
        <v>31</v>
      </c>
    </row>
    <row r="1168" spans="1:27" x14ac:dyDescent="0.25">
      <c r="A1168" s="10">
        <v>45677</v>
      </c>
      <c r="B1168" s="11" t="s">
        <v>1871</v>
      </c>
      <c r="C1168" s="11" t="s">
        <v>2818</v>
      </c>
      <c r="D1168" s="11" t="s">
        <v>26</v>
      </c>
      <c r="E1168" s="11" t="s">
        <v>605</v>
      </c>
      <c r="F1168" s="11" t="s">
        <v>26</v>
      </c>
      <c r="G1168" s="11" t="s">
        <v>26</v>
      </c>
      <c r="H1168" s="12" t="s">
        <v>4422</v>
      </c>
      <c r="I1168" s="12" t="s">
        <v>27</v>
      </c>
      <c r="J1168" s="12" t="s">
        <v>42</v>
      </c>
      <c r="K1168" s="12" t="s">
        <v>43</v>
      </c>
      <c r="L1168" s="13">
        <v>41.8</v>
      </c>
      <c r="M1168" s="13">
        <v>25</v>
      </c>
      <c r="N1168" s="13">
        <v>1.6719999999999999</v>
      </c>
      <c r="O1168" s="13">
        <v>83</v>
      </c>
      <c r="P1168" s="13" t="s">
        <v>30</v>
      </c>
      <c r="Q1168" s="13">
        <v>0</v>
      </c>
      <c r="R1168" s="15">
        <v>3469.3999999999996</v>
      </c>
      <c r="S1168" s="15">
        <v>38</v>
      </c>
      <c r="T1168" s="15">
        <v>1588.3999999999999</v>
      </c>
      <c r="U1168" s="15">
        <v>1880.9999999999998</v>
      </c>
      <c r="V1168" s="15">
        <v>1880.9999999999998</v>
      </c>
      <c r="W1168" s="15">
        <v>0</v>
      </c>
      <c r="X1168" s="15">
        <v>1504.8</v>
      </c>
      <c r="Y1168" s="16">
        <v>83.599999999999909</v>
      </c>
      <c r="Z1168" s="67" t="s">
        <v>141</v>
      </c>
      <c r="AA1168" s="12" t="s">
        <v>78</v>
      </c>
    </row>
    <row r="1169" spans="1:27" x14ac:dyDescent="0.25">
      <c r="A1169" s="10">
        <v>45677</v>
      </c>
      <c r="B1169" s="11" t="s">
        <v>2819</v>
      </c>
      <c r="C1169" s="11" t="s">
        <v>2820</v>
      </c>
      <c r="D1169" s="11" t="s">
        <v>26</v>
      </c>
      <c r="E1169" s="11" t="s">
        <v>88</v>
      </c>
      <c r="F1169" s="11" t="s">
        <v>26</v>
      </c>
      <c r="G1169" s="11" t="s">
        <v>35</v>
      </c>
      <c r="H1169" s="12" t="s">
        <v>36</v>
      </c>
      <c r="I1169" s="12" t="s">
        <v>27</v>
      </c>
      <c r="J1169" s="12" t="s">
        <v>42</v>
      </c>
      <c r="K1169" s="12" t="s">
        <v>43</v>
      </c>
      <c r="L1169" s="13">
        <v>38.44</v>
      </c>
      <c r="M1169" s="13">
        <v>25</v>
      </c>
      <c r="N1169" s="13">
        <v>1.5376000000000001</v>
      </c>
      <c r="O1169" s="13">
        <v>45</v>
      </c>
      <c r="P1169" s="13" t="s">
        <v>30</v>
      </c>
      <c r="Q1169" s="13">
        <v>0</v>
      </c>
      <c r="R1169" s="15">
        <v>1729.8</v>
      </c>
      <c r="S1169" s="15">
        <v>0</v>
      </c>
      <c r="T1169" s="15">
        <v>0</v>
      </c>
      <c r="U1169" s="15">
        <v>1729.8</v>
      </c>
      <c r="V1169" s="15">
        <v>0</v>
      </c>
      <c r="W1169" s="15">
        <v>1729.8</v>
      </c>
      <c r="X1169" s="15">
        <v>0</v>
      </c>
      <c r="Y1169" s="16">
        <v>0</v>
      </c>
      <c r="Z1169" s="67" t="s">
        <v>26</v>
      </c>
      <c r="AA1169" s="12" t="s">
        <v>31</v>
      </c>
    </row>
    <row r="1170" spans="1:27" x14ac:dyDescent="0.25">
      <c r="A1170" s="10">
        <v>45677</v>
      </c>
      <c r="B1170" s="11" t="s">
        <v>2821</v>
      </c>
      <c r="C1170" s="11" t="s">
        <v>2822</v>
      </c>
      <c r="D1170" s="11" t="s">
        <v>26</v>
      </c>
      <c r="E1170" s="11" t="s">
        <v>57</v>
      </c>
      <c r="F1170" s="11" t="s">
        <v>26</v>
      </c>
      <c r="G1170" s="11" t="s">
        <v>26</v>
      </c>
      <c r="H1170" s="12" t="s">
        <v>4422</v>
      </c>
      <c r="I1170" s="12" t="s">
        <v>27</v>
      </c>
      <c r="J1170" s="12" t="s">
        <v>33</v>
      </c>
      <c r="K1170" s="12" t="s">
        <v>34</v>
      </c>
      <c r="L1170" s="13">
        <v>43.08</v>
      </c>
      <c r="M1170" s="13">
        <v>30</v>
      </c>
      <c r="N1170" s="13">
        <v>1.4359999999999999</v>
      </c>
      <c r="O1170" s="13">
        <v>85</v>
      </c>
      <c r="P1170" s="13" t="s">
        <v>30</v>
      </c>
      <c r="Q1170" s="13">
        <v>0</v>
      </c>
      <c r="R1170" s="15">
        <v>3661.7999999999997</v>
      </c>
      <c r="S1170" s="15">
        <v>38</v>
      </c>
      <c r="T1170" s="15">
        <v>1637.04</v>
      </c>
      <c r="U1170" s="15">
        <v>2024.7599999999998</v>
      </c>
      <c r="V1170" s="15">
        <v>2024.7599999999998</v>
      </c>
      <c r="W1170" s="15">
        <v>0</v>
      </c>
      <c r="X1170" s="15">
        <v>1593.96</v>
      </c>
      <c r="Y1170" s="16">
        <v>43.079999999999927</v>
      </c>
      <c r="Z1170" s="67" t="s">
        <v>41</v>
      </c>
      <c r="AA1170" s="12" t="s">
        <v>78</v>
      </c>
    </row>
    <row r="1171" spans="1:27" x14ac:dyDescent="0.25">
      <c r="A1171" s="10">
        <v>45677</v>
      </c>
      <c r="B1171" s="11" t="s">
        <v>665</v>
      </c>
      <c r="C1171" s="11" t="s">
        <v>2823</v>
      </c>
      <c r="D1171" s="11" t="s">
        <v>26</v>
      </c>
      <c r="E1171" s="11" t="s">
        <v>322</v>
      </c>
      <c r="F1171" s="11" t="s">
        <v>26</v>
      </c>
      <c r="G1171" s="11">
        <v>112148</v>
      </c>
      <c r="H1171" s="12" t="s">
        <v>4446</v>
      </c>
      <c r="I1171" s="12" t="s">
        <v>27</v>
      </c>
      <c r="J1171" s="12" t="s">
        <v>33</v>
      </c>
      <c r="K1171" s="12" t="s">
        <v>34</v>
      </c>
      <c r="L1171" s="13">
        <v>38.020000000000003</v>
      </c>
      <c r="M1171" s="13">
        <v>25</v>
      </c>
      <c r="N1171" s="13">
        <v>1.5207999999999999</v>
      </c>
      <c r="O1171" s="13">
        <v>44</v>
      </c>
      <c r="P1171" s="13" t="s">
        <v>30</v>
      </c>
      <c r="Q1171" s="13">
        <v>0</v>
      </c>
      <c r="R1171" s="15">
        <v>1672.88</v>
      </c>
      <c r="S1171" s="15">
        <v>0</v>
      </c>
      <c r="T1171" s="15">
        <v>0</v>
      </c>
      <c r="U1171" s="15">
        <v>1672.88</v>
      </c>
      <c r="V1171" s="15">
        <v>1672.88</v>
      </c>
      <c r="W1171" s="15">
        <v>0</v>
      </c>
      <c r="X1171" s="15">
        <v>0</v>
      </c>
      <c r="Y1171" s="16">
        <v>0</v>
      </c>
      <c r="Z1171" s="67" t="s">
        <v>26</v>
      </c>
      <c r="AA1171" s="12" t="s">
        <v>31</v>
      </c>
    </row>
    <row r="1172" spans="1:27" x14ac:dyDescent="0.25">
      <c r="A1172" s="10">
        <v>45677</v>
      </c>
      <c r="B1172" s="11" t="s">
        <v>2824</v>
      </c>
      <c r="C1172" s="11" t="s">
        <v>2825</v>
      </c>
      <c r="D1172" s="11" t="s">
        <v>26</v>
      </c>
      <c r="E1172" s="11" t="s">
        <v>50</v>
      </c>
      <c r="F1172" s="11" t="s">
        <v>26</v>
      </c>
      <c r="G1172" s="11">
        <v>640</v>
      </c>
      <c r="H1172" s="12" t="s">
        <v>163</v>
      </c>
      <c r="I1172" s="12" t="s">
        <v>27</v>
      </c>
      <c r="J1172" s="12" t="s">
        <v>42</v>
      </c>
      <c r="K1172" s="12" t="s">
        <v>43</v>
      </c>
      <c r="L1172" s="13">
        <v>42.3</v>
      </c>
      <c r="M1172" s="13">
        <v>25</v>
      </c>
      <c r="N1172" s="13">
        <v>1.6919999999999999</v>
      </c>
      <c r="O1172" s="13" t="s">
        <v>30</v>
      </c>
      <c r="P1172" s="13">
        <v>56</v>
      </c>
      <c r="Q1172" s="13">
        <v>0</v>
      </c>
      <c r="R1172" s="15">
        <v>1400</v>
      </c>
      <c r="S1172" s="15">
        <v>0</v>
      </c>
      <c r="T1172" s="15">
        <v>0</v>
      </c>
      <c r="U1172" s="15">
        <v>1400</v>
      </c>
      <c r="V1172" s="15">
        <v>0</v>
      </c>
      <c r="W1172" s="15">
        <v>1400</v>
      </c>
      <c r="X1172" s="15">
        <v>0</v>
      </c>
      <c r="Y1172" s="16">
        <v>0</v>
      </c>
      <c r="Z1172" s="67" t="s">
        <v>26</v>
      </c>
      <c r="AA1172" s="12" t="s">
        <v>31</v>
      </c>
    </row>
    <row r="1173" spans="1:27" x14ac:dyDescent="0.25">
      <c r="A1173" s="10">
        <v>45677</v>
      </c>
      <c r="B1173" s="11" t="s">
        <v>2826</v>
      </c>
      <c r="C1173" s="11" t="s">
        <v>2827</v>
      </c>
      <c r="D1173" s="11" t="s">
        <v>26</v>
      </c>
      <c r="E1173" s="11" t="s">
        <v>84</v>
      </c>
      <c r="F1173" s="11" t="s">
        <v>26</v>
      </c>
      <c r="G1173" s="11">
        <v>44353</v>
      </c>
      <c r="H1173" s="12" t="s">
        <v>4423</v>
      </c>
      <c r="I1173" s="12" t="s">
        <v>27</v>
      </c>
      <c r="J1173" s="12" t="s">
        <v>33</v>
      </c>
      <c r="K1173" s="12" t="s">
        <v>34</v>
      </c>
      <c r="L1173" s="13">
        <v>36.200000000000003</v>
      </c>
      <c r="M1173" s="13">
        <v>25</v>
      </c>
      <c r="N1173" s="13">
        <v>1.448</v>
      </c>
      <c r="O1173" s="13">
        <v>45</v>
      </c>
      <c r="P1173" s="13" t="s">
        <v>30</v>
      </c>
      <c r="Q1173" s="13">
        <v>0</v>
      </c>
      <c r="R1173" s="15">
        <v>1629.0000000000002</v>
      </c>
      <c r="S1173" s="15">
        <v>0</v>
      </c>
      <c r="T1173" s="15">
        <v>0</v>
      </c>
      <c r="U1173" s="15">
        <v>1629.0000000000002</v>
      </c>
      <c r="V1173" s="15">
        <v>1629.0000000000002</v>
      </c>
      <c r="W1173" s="15">
        <v>0</v>
      </c>
      <c r="X1173" s="15">
        <v>0</v>
      </c>
      <c r="Y1173" s="16">
        <v>0</v>
      </c>
      <c r="Z1173" s="67" t="s">
        <v>26</v>
      </c>
      <c r="AA1173" s="12" t="s">
        <v>31</v>
      </c>
    </row>
    <row r="1174" spans="1:27" x14ac:dyDescent="0.25">
      <c r="A1174" s="10">
        <v>45677</v>
      </c>
      <c r="B1174" s="11" t="s">
        <v>2828</v>
      </c>
      <c r="C1174" s="11" t="s">
        <v>2829</v>
      </c>
      <c r="D1174" s="11" t="s">
        <v>26</v>
      </c>
      <c r="E1174" s="11" t="s">
        <v>183</v>
      </c>
      <c r="F1174" s="11" t="s">
        <v>26</v>
      </c>
      <c r="G1174" s="11">
        <v>4677</v>
      </c>
      <c r="H1174" s="12" t="s">
        <v>41</v>
      </c>
      <c r="I1174" s="12" t="s">
        <v>55</v>
      </c>
      <c r="J1174" s="12" t="s">
        <v>55</v>
      </c>
      <c r="K1174" s="12" t="s">
        <v>56</v>
      </c>
      <c r="L1174" s="13">
        <v>31.5</v>
      </c>
      <c r="M1174" s="13">
        <v>19</v>
      </c>
      <c r="N1174" s="13">
        <v>1.6578947368421051</v>
      </c>
      <c r="O1174" s="13" t="s">
        <v>30</v>
      </c>
      <c r="P1174" s="13">
        <v>24</v>
      </c>
      <c r="Q1174" s="13">
        <v>0</v>
      </c>
      <c r="R1174" s="14">
        <v>456</v>
      </c>
      <c r="S1174" s="15">
        <v>0</v>
      </c>
      <c r="T1174" s="15">
        <v>0</v>
      </c>
      <c r="U1174" s="15">
        <v>456</v>
      </c>
      <c r="V1174" s="15">
        <v>0</v>
      </c>
      <c r="W1174" s="15">
        <v>456</v>
      </c>
      <c r="X1174" s="15">
        <v>0</v>
      </c>
      <c r="Y1174" s="16">
        <v>0</v>
      </c>
      <c r="Z1174" s="67" t="s">
        <v>26</v>
      </c>
      <c r="AA1174" s="12" t="s">
        <v>31</v>
      </c>
    </row>
    <row r="1175" spans="1:27" x14ac:dyDescent="0.25">
      <c r="A1175" s="10">
        <v>45677</v>
      </c>
      <c r="B1175" s="11" t="s">
        <v>2830</v>
      </c>
      <c r="C1175" s="11" t="s">
        <v>2831</v>
      </c>
      <c r="D1175" s="11" t="s">
        <v>26</v>
      </c>
      <c r="E1175" s="11" t="s">
        <v>244</v>
      </c>
      <c r="F1175" s="11" t="s">
        <v>26</v>
      </c>
      <c r="G1175" s="11">
        <v>954</v>
      </c>
      <c r="H1175" s="12" t="s">
        <v>141</v>
      </c>
      <c r="I1175" s="12" t="s">
        <v>27</v>
      </c>
      <c r="J1175" s="12" t="s">
        <v>33</v>
      </c>
      <c r="K1175" s="12" t="s">
        <v>34</v>
      </c>
      <c r="L1175" s="13">
        <v>42.52</v>
      </c>
      <c r="M1175" s="13">
        <v>29</v>
      </c>
      <c r="N1175" s="13">
        <v>1.4662068965517241</v>
      </c>
      <c r="O1175" s="13">
        <v>40</v>
      </c>
      <c r="P1175" s="13" t="s">
        <v>30</v>
      </c>
      <c r="Q1175" s="13">
        <v>0</v>
      </c>
      <c r="R1175" s="15">
        <v>1700.8000000000002</v>
      </c>
      <c r="S1175" s="15">
        <v>0</v>
      </c>
      <c r="T1175" s="15">
        <v>0</v>
      </c>
      <c r="U1175" s="15">
        <v>1700.8000000000002</v>
      </c>
      <c r="V1175" s="15">
        <v>0</v>
      </c>
      <c r="W1175" s="15">
        <v>1700.8000000000002</v>
      </c>
      <c r="X1175" s="15">
        <v>0</v>
      </c>
      <c r="Y1175" s="16">
        <v>0</v>
      </c>
      <c r="Z1175" s="67" t="s">
        <v>26</v>
      </c>
      <c r="AA1175" s="12" t="s">
        <v>31</v>
      </c>
    </row>
    <row r="1176" spans="1:27" x14ac:dyDescent="0.25">
      <c r="A1176" s="10">
        <v>45677</v>
      </c>
      <c r="B1176" s="11" t="s">
        <v>199</v>
      </c>
      <c r="C1176" s="11" t="s">
        <v>2832</v>
      </c>
      <c r="D1176" s="11" t="s">
        <v>26</v>
      </c>
      <c r="E1176" s="11" t="s">
        <v>654</v>
      </c>
      <c r="F1176" s="11" t="s">
        <v>26</v>
      </c>
      <c r="G1176" s="11">
        <v>2809</v>
      </c>
      <c r="H1176" s="12" t="s">
        <v>41</v>
      </c>
      <c r="I1176" s="12" t="s">
        <v>55</v>
      </c>
      <c r="J1176" s="12" t="s">
        <v>55</v>
      </c>
      <c r="K1176" s="12" t="s">
        <v>56</v>
      </c>
      <c r="L1176" s="13">
        <v>31.72</v>
      </c>
      <c r="M1176" s="13">
        <v>19</v>
      </c>
      <c r="N1176" s="13">
        <v>1.669473684210526</v>
      </c>
      <c r="O1176" s="13" t="s">
        <v>30</v>
      </c>
      <c r="P1176" s="13">
        <v>24</v>
      </c>
      <c r="Q1176" s="13">
        <v>0</v>
      </c>
      <c r="R1176" s="15">
        <v>456</v>
      </c>
      <c r="S1176" s="15">
        <v>0</v>
      </c>
      <c r="T1176" s="15">
        <v>0</v>
      </c>
      <c r="U1176" s="15">
        <v>456</v>
      </c>
      <c r="V1176" s="15">
        <v>0</v>
      </c>
      <c r="W1176" s="15">
        <v>456</v>
      </c>
      <c r="X1176" s="15">
        <v>0</v>
      </c>
      <c r="Y1176" s="16">
        <v>0</v>
      </c>
      <c r="Z1176" s="67" t="s">
        <v>26</v>
      </c>
      <c r="AA1176" s="12" t="s">
        <v>31</v>
      </c>
    </row>
    <row r="1177" spans="1:27" x14ac:dyDescent="0.25">
      <c r="A1177" s="10">
        <v>45677</v>
      </c>
      <c r="B1177" s="11" t="s">
        <v>354</v>
      </c>
      <c r="C1177" s="11" t="s">
        <v>2833</v>
      </c>
      <c r="D1177" s="11" t="s">
        <v>26</v>
      </c>
      <c r="E1177" s="11" t="s">
        <v>91</v>
      </c>
      <c r="F1177" s="11" t="s">
        <v>26</v>
      </c>
      <c r="G1177" s="11">
        <v>2459</v>
      </c>
      <c r="H1177" s="12" t="s">
        <v>41</v>
      </c>
      <c r="I1177" s="12" t="s">
        <v>55</v>
      </c>
      <c r="J1177" s="12" t="s">
        <v>55</v>
      </c>
      <c r="K1177" s="12" t="s">
        <v>56</v>
      </c>
      <c r="L1177" s="13">
        <v>32.159999999999997</v>
      </c>
      <c r="M1177" s="13">
        <v>19</v>
      </c>
      <c r="N1177" s="13">
        <v>1.692631578947368</v>
      </c>
      <c r="O1177" s="13" t="s">
        <v>30</v>
      </c>
      <c r="P1177" s="13">
        <v>24</v>
      </c>
      <c r="Q1177" s="13">
        <v>0</v>
      </c>
      <c r="R1177" s="14">
        <v>456</v>
      </c>
      <c r="S1177" s="15">
        <v>0</v>
      </c>
      <c r="T1177" s="15">
        <v>0</v>
      </c>
      <c r="U1177" s="15">
        <v>456</v>
      </c>
      <c r="V1177" s="15">
        <v>0</v>
      </c>
      <c r="W1177" s="15">
        <v>456</v>
      </c>
      <c r="X1177" s="15">
        <v>0</v>
      </c>
      <c r="Y1177" s="16">
        <v>0</v>
      </c>
      <c r="Z1177" s="67" t="s">
        <v>26</v>
      </c>
      <c r="AA1177" s="12" t="s">
        <v>31</v>
      </c>
    </row>
    <row r="1178" spans="1:27" x14ac:dyDescent="0.25">
      <c r="A1178" s="10">
        <v>45677</v>
      </c>
      <c r="B1178" s="11" t="s">
        <v>2834</v>
      </c>
      <c r="C1178" s="11" t="s">
        <v>2835</v>
      </c>
      <c r="D1178" s="11" t="s">
        <v>26</v>
      </c>
      <c r="E1178" s="11" t="s">
        <v>604</v>
      </c>
      <c r="F1178" s="11" t="s">
        <v>26</v>
      </c>
      <c r="G1178" s="11">
        <v>1104</v>
      </c>
      <c r="H1178" s="12" t="s">
        <v>141</v>
      </c>
      <c r="I1178" s="12" t="s">
        <v>27</v>
      </c>
      <c r="J1178" s="12" t="s">
        <v>33</v>
      </c>
      <c r="K1178" s="12" t="s">
        <v>34</v>
      </c>
      <c r="L1178" s="13">
        <v>40.1</v>
      </c>
      <c r="M1178" s="13">
        <v>28</v>
      </c>
      <c r="N1178" s="13">
        <v>1.4321428571428569</v>
      </c>
      <c r="O1178" s="13">
        <v>40</v>
      </c>
      <c r="P1178" s="13" t="s">
        <v>30</v>
      </c>
      <c r="Q1178" s="13">
        <v>0</v>
      </c>
      <c r="R1178" s="14">
        <v>1604</v>
      </c>
      <c r="S1178" s="15">
        <v>0</v>
      </c>
      <c r="T1178" s="15">
        <v>0</v>
      </c>
      <c r="U1178" s="15">
        <v>1604</v>
      </c>
      <c r="V1178" s="15">
        <v>0</v>
      </c>
      <c r="W1178" s="15">
        <v>1604</v>
      </c>
      <c r="X1178" s="15">
        <v>0</v>
      </c>
      <c r="Y1178" s="16">
        <v>0</v>
      </c>
      <c r="Z1178" s="67" t="s">
        <v>26</v>
      </c>
      <c r="AA1178" s="12" t="s">
        <v>31</v>
      </c>
    </row>
    <row r="1179" spans="1:27" x14ac:dyDescent="0.25">
      <c r="A1179" s="10">
        <v>45677</v>
      </c>
      <c r="B1179" s="11" t="s">
        <v>2836</v>
      </c>
      <c r="C1179" s="11" t="s">
        <v>2837</v>
      </c>
      <c r="D1179" s="11" t="s">
        <v>26</v>
      </c>
      <c r="E1179" s="11" t="s">
        <v>98</v>
      </c>
      <c r="F1179" s="11" t="s">
        <v>26</v>
      </c>
      <c r="G1179" s="11" t="s">
        <v>26</v>
      </c>
      <c r="H1179" s="12" t="s">
        <v>4422</v>
      </c>
      <c r="I1179" s="12" t="s">
        <v>27</v>
      </c>
      <c r="J1179" s="12" t="s">
        <v>42</v>
      </c>
      <c r="K1179" s="12" t="s">
        <v>43</v>
      </c>
      <c r="L1179" s="13">
        <v>41.98</v>
      </c>
      <c r="M1179" s="13">
        <v>25</v>
      </c>
      <c r="N1179" s="13">
        <v>1.6792</v>
      </c>
      <c r="O1179" s="13">
        <v>83</v>
      </c>
      <c r="P1179" s="13" t="s">
        <v>30</v>
      </c>
      <c r="Q1179" s="13">
        <v>0</v>
      </c>
      <c r="R1179" s="14">
        <v>3484.3399999999997</v>
      </c>
      <c r="S1179" s="15">
        <v>38</v>
      </c>
      <c r="T1179" s="15">
        <v>1595.2399999999998</v>
      </c>
      <c r="U1179" s="15">
        <v>1889.1</v>
      </c>
      <c r="V1179" s="15">
        <v>1889.1</v>
      </c>
      <c r="W1179" s="15">
        <v>0</v>
      </c>
      <c r="X1179" s="15">
        <v>1511.28</v>
      </c>
      <c r="Y1179" s="16">
        <v>83.959999999999809</v>
      </c>
      <c r="Z1179" s="67" t="s">
        <v>140</v>
      </c>
      <c r="AA1179" s="12" t="s">
        <v>78</v>
      </c>
    </row>
    <row r="1180" spans="1:27" x14ac:dyDescent="0.25">
      <c r="A1180" s="10">
        <v>45677</v>
      </c>
      <c r="B1180" s="11" t="s">
        <v>2838</v>
      </c>
      <c r="C1180" s="11" t="s">
        <v>2839</v>
      </c>
      <c r="D1180" s="11" t="s">
        <v>26</v>
      </c>
      <c r="E1180" s="11" t="s">
        <v>559</v>
      </c>
      <c r="F1180" s="11" t="s">
        <v>26</v>
      </c>
      <c r="G1180" s="11">
        <v>2565</v>
      </c>
      <c r="H1180" s="12" t="s">
        <v>41</v>
      </c>
      <c r="I1180" s="12" t="s">
        <v>55</v>
      </c>
      <c r="J1180" s="12" t="s">
        <v>55</v>
      </c>
      <c r="K1180" s="12" t="s">
        <v>56</v>
      </c>
      <c r="L1180" s="13">
        <v>32.28</v>
      </c>
      <c r="M1180" s="13">
        <v>19</v>
      </c>
      <c r="N1180" s="13">
        <v>1.698947368421053</v>
      </c>
      <c r="O1180" s="13" t="s">
        <v>30</v>
      </c>
      <c r="P1180" s="13">
        <v>24</v>
      </c>
      <c r="Q1180" s="13">
        <v>0</v>
      </c>
      <c r="R1180" s="14">
        <v>456</v>
      </c>
      <c r="S1180" s="15">
        <v>0</v>
      </c>
      <c r="T1180" s="15">
        <v>0</v>
      </c>
      <c r="U1180" s="15">
        <v>456</v>
      </c>
      <c r="V1180" s="15">
        <v>0</v>
      </c>
      <c r="W1180" s="15">
        <v>456</v>
      </c>
      <c r="X1180" s="15">
        <v>0</v>
      </c>
      <c r="Y1180" s="16">
        <v>0</v>
      </c>
      <c r="Z1180" s="67" t="s">
        <v>26</v>
      </c>
      <c r="AA1180" s="12" t="s">
        <v>31</v>
      </c>
    </row>
    <row r="1181" spans="1:27" x14ac:dyDescent="0.25">
      <c r="A1181" s="10">
        <v>45677</v>
      </c>
      <c r="B1181" s="11" t="s">
        <v>2840</v>
      </c>
      <c r="C1181" s="11" t="s">
        <v>2841</v>
      </c>
      <c r="D1181" s="11" t="s">
        <v>26</v>
      </c>
      <c r="E1181" s="11" t="s">
        <v>701</v>
      </c>
      <c r="F1181" s="11" t="s">
        <v>26</v>
      </c>
      <c r="G1181" s="11">
        <v>2601</v>
      </c>
      <c r="H1181" s="12" t="s">
        <v>41</v>
      </c>
      <c r="I1181" s="12" t="s">
        <v>55</v>
      </c>
      <c r="J1181" s="12" t="s">
        <v>55</v>
      </c>
      <c r="K1181" s="12" t="s">
        <v>56</v>
      </c>
      <c r="L1181" s="13">
        <v>32.64</v>
      </c>
      <c r="M1181" s="13">
        <v>19</v>
      </c>
      <c r="N1181" s="13">
        <v>1.7178947368421049</v>
      </c>
      <c r="O1181" s="13" t="s">
        <v>30</v>
      </c>
      <c r="P1181" s="13">
        <v>24</v>
      </c>
      <c r="Q1181" s="13">
        <v>0</v>
      </c>
      <c r="R1181" s="15">
        <v>456</v>
      </c>
      <c r="S1181" s="15">
        <v>0</v>
      </c>
      <c r="T1181" s="15">
        <v>0</v>
      </c>
      <c r="U1181" s="15">
        <v>456</v>
      </c>
      <c r="V1181" s="15">
        <v>0</v>
      </c>
      <c r="W1181" s="15">
        <v>456</v>
      </c>
      <c r="X1181" s="15">
        <v>0</v>
      </c>
      <c r="Y1181" s="16">
        <v>0</v>
      </c>
      <c r="Z1181" s="67" t="s">
        <v>26</v>
      </c>
      <c r="AA1181" s="12" t="s">
        <v>31</v>
      </c>
    </row>
    <row r="1182" spans="1:27" x14ac:dyDescent="0.25">
      <c r="A1182" s="10">
        <v>45677</v>
      </c>
      <c r="B1182" s="11" t="s">
        <v>2842</v>
      </c>
      <c r="C1182" s="11" t="s">
        <v>2843</v>
      </c>
      <c r="D1182" s="11" t="s">
        <v>26</v>
      </c>
      <c r="E1182" s="11" t="s">
        <v>75</v>
      </c>
      <c r="F1182" s="11" t="s">
        <v>26</v>
      </c>
      <c r="G1182" s="11">
        <v>42021</v>
      </c>
      <c r="H1182" s="12" t="s">
        <v>565</v>
      </c>
      <c r="I1182" s="12" t="s">
        <v>55</v>
      </c>
      <c r="J1182" s="12" t="s">
        <v>55</v>
      </c>
      <c r="K1182" s="12" t="s">
        <v>56</v>
      </c>
      <c r="L1182" s="13">
        <v>38.200000000000003</v>
      </c>
      <c r="M1182" s="13">
        <v>25</v>
      </c>
      <c r="N1182" s="13">
        <v>1.528</v>
      </c>
      <c r="O1182" s="13"/>
      <c r="P1182" s="13">
        <v>24</v>
      </c>
      <c r="Q1182" s="13">
        <v>0</v>
      </c>
      <c r="R1182" s="14">
        <v>600</v>
      </c>
      <c r="S1182" s="15">
        <v>0</v>
      </c>
      <c r="T1182" s="15">
        <v>0</v>
      </c>
      <c r="U1182" s="15">
        <v>600</v>
      </c>
      <c r="V1182" s="15">
        <v>0</v>
      </c>
      <c r="W1182" s="15">
        <v>600</v>
      </c>
      <c r="X1182" s="15">
        <v>0</v>
      </c>
      <c r="Y1182" s="16">
        <v>0</v>
      </c>
      <c r="Z1182" s="67" t="s">
        <v>26</v>
      </c>
      <c r="AA1182" s="12" t="s">
        <v>31</v>
      </c>
    </row>
    <row r="1183" spans="1:27" x14ac:dyDescent="0.25">
      <c r="A1183" s="10">
        <v>45677</v>
      </c>
      <c r="B1183" s="11" t="s">
        <v>2844</v>
      </c>
      <c r="C1183" s="11" t="s">
        <v>2845</v>
      </c>
      <c r="D1183" s="11" t="s">
        <v>26</v>
      </c>
      <c r="E1183" s="11" t="s">
        <v>44</v>
      </c>
      <c r="F1183" s="11" t="s">
        <v>26</v>
      </c>
      <c r="G1183" s="11">
        <v>1567</v>
      </c>
      <c r="H1183" s="12" t="s">
        <v>45</v>
      </c>
      <c r="I1183" s="12" t="s">
        <v>27</v>
      </c>
      <c r="J1183" s="12" t="s">
        <v>33</v>
      </c>
      <c r="K1183" s="12" t="s">
        <v>34</v>
      </c>
      <c r="L1183" s="13">
        <v>38.82</v>
      </c>
      <c r="M1183" s="13">
        <v>25</v>
      </c>
      <c r="N1183" s="13">
        <v>1.5528</v>
      </c>
      <c r="O1183" s="13" t="s">
        <v>30</v>
      </c>
      <c r="P1183" s="13">
        <v>58</v>
      </c>
      <c r="Q1183" s="13">
        <v>0</v>
      </c>
      <c r="R1183" s="14">
        <v>1450</v>
      </c>
      <c r="S1183" s="15">
        <v>0</v>
      </c>
      <c r="T1183" s="15">
        <v>0</v>
      </c>
      <c r="U1183" s="15">
        <v>1450</v>
      </c>
      <c r="V1183" s="15">
        <v>0</v>
      </c>
      <c r="W1183" s="15">
        <v>1450</v>
      </c>
      <c r="X1183" s="15">
        <v>0</v>
      </c>
      <c r="Y1183" s="16">
        <v>0</v>
      </c>
      <c r="Z1183" s="67" t="s">
        <v>26</v>
      </c>
      <c r="AA1183" s="12" t="s">
        <v>31</v>
      </c>
    </row>
    <row r="1184" spans="1:27" x14ac:dyDescent="0.25">
      <c r="A1184" s="10">
        <v>45677</v>
      </c>
      <c r="B1184" s="11" t="s">
        <v>2846</v>
      </c>
      <c r="C1184" s="11" t="s">
        <v>2847</v>
      </c>
      <c r="D1184" s="11" t="s">
        <v>26</v>
      </c>
      <c r="E1184" s="11" t="s">
        <v>180</v>
      </c>
      <c r="F1184" s="11" t="s">
        <v>26</v>
      </c>
      <c r="G1184" s="11" t="s">
        <v>35</v>
      </c>
      <c r="H1184" s="12" t="s">
        <v>36</v>
      </c>
      <c r="I1184" s="12" t="s">
        <v>55</v>
      </c>
      <c r="J1184" s="12" t="s">
        <v>55</v>
      </c>
      <c r="K1184" s="12" t="s">
        <v>56</v>
      </c>
      <c r="L1184" s="13">
        <v>15.38</v>
      </c>
      <c r="M1184" s="13">
        <v>10</v>
      </c>
      <c r="N1184" s="13">
        <v>1.538</v>
      </c>
      <c r="O1184" s="13">
        <v>20</v>
      </c>
      <c r="P1184" s="13" t="s">
        <v>30</v>
      </c>
      <c r="Q1184" s="13">
        <v>0</v>
      </c>
      <c r="R1184" s="14">
        <v>307.60000000000002</v>
      </c>
      <c r="S1184" s="15">
        <v>0</v>
      </c>
      <c r="T1184" s="15">
        <v>0</v>
      </c>
      <c r="U1184" s="15">
        <v>307.60000000000002</v>
      </c>
      <c r="V1184" s="15">
        <v>0</v>
      </c>
      <c r="W1184" s="15">
        <v>307.60000000000002</v>
      </c>
      <c r="X1184" s="15">
        <v>0</v>
      </c>
      <c r="Y1184" s="16">
        <v>0</v>
      </c>
      <c r="Z1184" s="67" t="s">
        <v>26</v>
      </c>
      <c r="AA1184" s="12" t="s">
        <v>31</v>
      </c>
    </row>
    <row r="1185" spans="1:27" x14ac:dyDescent="0.25">
      <c r="A1185" s="10">
        <v>45677</v>
      </c>
      <c r="B1185" s="11" t="s">
        <v>2848</v>
      </c>
      <c r="C1185" s="11" t="s">
        <v>2849</v>
      </c>
      <c r="D1185" s="11" t="s">
        <v>26</v>
      </c>
      <c r="E1185" s="11" t="s">
        <v>49</v>
      </c>
      <c r="F1185" s="11" t="s">
        <v>26</v>
      </c>
      <c r="G1185" s="11">
        <v>1562</v>
      </c>
      <c r="H1185" s="12" t="s">
        <v>45</v>
      </c>
      <c r="I1185" s="12" t="s">
        <v>27</v>
      </c>
      <c r="J1185" s="12" t="s">
        <v>33</v>
      </c>
      <c r="K1185" s="12" t="s">
        <v>34</v>
      </c>
      <c r="L1185" s="13">
        <v>36.24</v>
      </c>
      <c r="M1185" s="13">
        <v>25</v>
      </c>
      <c r="N1185" s="13">
        <v>1.4496</v>
      </c>
      <c r="O1185" s="13" t="s">
        <v>30</v>
      </c>
      <c r="P1185" s="13">
        <v>58</v>
      </c>
      <c r="Q1185" s="13">
        <v>0</v>
      </c>
      <c r="R1185" s="14">
        <v>1450</v>
      </c>
      <c r="S1185" s="15">
        <v>0</v>
      </c>
      <c r="T1185" s="15">
        <v>0</v>
      </c>
      <c r="U1185" s="15">
        <v>1450</v>
      </c>
      <c r="V1185" s="15">
        <v>0</v>
      </c>
      <c r="W1185" s="15">
        <v>1450</v>
      </c>
      <c r="X1185" s="15">
        <v>0</v>
      </c>
      <c r="Y1185" s="16">
        <v>0</v>
      </c>
      <c r="Z1185" s="67" t="s">
        <v>26</v>
      </c>
      <c r="AA1185" s="12" t="s">
        <v>31</v>
      </c>
    </row>
    <row r="1186" spans="1:27" x14ac:dyDescent="0.25">
      <c r="A1186" s="10">
        <v>45677</v>
      </c>
      <c r="B1186" s="11" t="s">
        <v>2850</v>
      </c>
      <c r="C1186" s="11" t="s">
        <v>2851</v>
      </c>
      <c r="D1186" s="11" t="s">
        <v>26</v>
      </c>
      <c r="E1186" s="11" t="s">
        <v>658</v>
      </c>
      <c r="F1186" s="11" t="s">
        <v>26</v>
      </c>
      <c r="G1186" s="11">
        <v>856</v>
      </c>
      <c r="H1186" s="12" t="s">
        <v>141</v>
      </c>
      <c r="I1186" s="12" t="s">
        <v>37</v>
      </c>
      <c r="J1186" s="12" t="s">
        <v>599</v>
      </c>
      <c r="K1186" s="12" t="s">
        <v>82</v>
      </c>
      <c r="L1186" s="13">
        <v>40.56</v>
      </c>
      <c r="M1186" s="13">
        <v>25</v>
      </c>
      <c r="N1186" s="13">
        <v>1.6224000000000001</v>
      </c>
      <c r="O1186" s="13">
        <v>29</v>
      </c>
      <c r="P1186" s="13" t="s">
        <v>30</v>
      </c>
      <c r="Q1186" s="13">
        <v>0</v>
      </c>
      <c r="R1186" s="15">
        <v>1176.24</v>
      </c>
      <c r="S1186" s="15">
        <v>0</v>
      </c>
      <c r="T1186" s="15">
        <v>0</v>
      </c>
      <c r="U1186" s="15">
        <v>1176.24</v>
      </c>
      <c r="V1186" s="15">
        <v>0</v>
      </c>
      <c r="W1186" s="15">
        <v>1176.24</v>
      </c>
      <c r="X1186" s="15">
        <v>0</v>
      </c>
      <c r="Y1186" s="16">
        <v>0</v>
      </c>
      <c r="Z1186" s="67" t="s">
        <v>26</v>
      </c>
      <c r="AA1186" s="12" t="s">
        <v>31</v>
      </c>
    </row>
    <row r="1187" spans="1:27" x14ac:dyDescent="0.25">
      <c r="A1187" s="10">
        <v>45677</v>
      </c>
      <c r="B1187" s="11" t="s">
        <v>2852</v>
      </c>
      <c r="C1187" s="11" t="s">
        <v>2853</v>
      </c>
      <c r="D1187" s="11" t="s">
        <v>26</v>
      </c>
      <c r="E1187" s="11" t="s">
        <v>435</v>
      </c>
      <c r="F1187" s="11" t="s">
        <v>26</v>
      </c>
      <c r="G1187" s="11">
        <v>3506</v>
      </c>
      <c r="H1187" s="12" t="s">
        <v>41</v>
      </c>
      <c r="I1187" s="12" t="s">
        <v>27</v>
      </c>
      <c r="J1187" s="12" t="s">
        <v>557</v>
      </c>
      <c r="K1187" s="12" t="s">
        <v>558</v>
      </c>
      <c r="L1187" s="13">
        <v>40.82</v>
      </c>
      <c r="M1187" s="13">
        <v>25</v>
      </c>
      <c r="N1187" s="13">
        <v>1.6328</v>
      </c>
      <c r="O1187" s="13">
        <v>45</v>
      </c>
      <c r="P1187" s="13"/>
      <c r="Q1187" s="13">
        <v>0</v>
      </c>
      <c r="R1187" s="15">
        <v>1836.9</v>
      </c>
      <c r="S1187" s="15">
        <v>0</v>
      </c>
      <c r="T1187" s="15">
        <v>0</v>
      </c>
      <c r="U1187" s="15">
        <v>1836.9</v>
      </c>
      <c r="V1187" s="15">
        <v>0</v>
      </c>
      <c r="W1187" s="15">
        <v>1836.9</v>
      </c>
      <c r="X1187" s="15">
        <v>0</v>
      </c>
      <c r="Y1187" s="16">
        <v>0</v>
      </c>
      <c r="Z1187" s="67" t="s">
        <v>26</v>
      </c>
      <c r="AA1187" s="12" t="s">
        <v>31</v>
      </c>
    </row>
    <row r="1188" spans="1:27" x14ac:dyDescent="0.25">
      <c r="A1188" s="10">
        <v>45677</v>
      </c>
      <c r="B1188" s="11" t="s">
        <v>2854</v>
      </c>
      <c r="C1188" s="11" t="s">
        <v>2855</v>
      </c>
      <c r="D1188" s="11" t="s">
        <v>26</v>
      </c>
      <c r="E1188" s="11" t="s">
        <v>240</v>
      </c>
      <c r="F1188" s="11" t="s">
        <v>26</v>
      </c>
      <c r="G1188" s="11" t="s">
        <v>26</v>
      </c>
      <c r="H1188" s="12" t="s">
        <v>4422</v>
      </c>
      <c r="I1188" s="12" t="s">
        <v>27</v>
      </c>
      <c r="J1188" s="12" t="s">
        <v>42</v>
      </c>
      <c r="K1188" s="12" t="s">
        <v>43</v>
      </c>
      <c r="L1188" s="13">
        <v>43.42</v>
      </c>
      <c r="M1188" s="13">
        <v>25</v>
      </c>
      <c r="N1188" s="13">
        <v>1.7367999999999999</v>
      </c>
      <c r="O1188" s="13">
        <v>83</v>
      </c>
      <c r="P1188" s="13" t="s">
        <v>30</v>
      </c>
      <c r="Q1188" s="13">
        <v>0</v>
      </c>
      <c r="R1188" s="15">
        <v>3603.86</v>
      </c>
      <c r="S1188" s="15">
        <v>38</v>
      </c>
      <c r="T1188" s="15">
        <v>1649.96</v>
      </c>
      <c r="U1188" s="15">
        <v>1953.9</v>
      </c>
      <c r="V1188" s="15">
        <v>1953.9</v>
      </c>
      <c r="W1188" s="15">
        <v>0</v>
      </c>
      <c r="X1188" s="15">
        <v>1606.54</v>
      </c>
      <c r="Y1188" s="16">
        <v>43.420000000000073</v>
      </c>
      <c r="Z1188" s="67" t="s">
        <v>41</v>
      </c>
      <c r="AA1188" s="12" t="s">
        <v>78</v>
      </c>
    </row>
    <row r="1189" spans="1:27" x14ac:dyDescent="0.25">
      <c r="A1189" s="10">
        <v>45677</v>
      </c>
      <c r="B1189" s="11" t="s">
        <v>359</v>
      </c>
      <c r="C1189" s="11" t="s">
        <v>2856</v>
      </c>
      <c r="D1189" s="11" t="s">
        <v>26</v>
      </c>
      <c r="E1189" s="11" t="s">
        <v>505</v>
      </c>
      <c r="F1189" s="11" t="s">
        <v>26</v>
      </c>
      <c r="G1189" s="11">
        <v>1252</v>
      </c>
      <c r="H1189" s="12" t="s">
        <v>141</v>
      </c>
      <c r="I1189" s="12" t="s">
        <v>37</v>
      </c>
      <c r="J1189" s="12" t="s">
        <v>85</v>
      </c>
      <c r="K1189" s="12" t="s">
        <v>86</v>
      </c>
      <c r="L1189" s="13">
        <v>39.020000000000003</v>
      </c>
      <c r="M1189" s="13">
        <v>25</v>
      </c>
      <c r="N1189" s="13">
        <v>1.5608</v>
      </c>
      <c r="O1189" s="13">
        <v>29</v>
      </c>
      <c r="P1189" s="13" t="s">
        <v>30</v>
      </c>
      <c r="Q1189" s="13">
        <v>0</v>
      </c>
      <c r="R1189" s="15">
        <v>1131.5800000000002</v>
      </c>
      <c r="S1189" s="15">
        <v>0</v>
      </c>
      <c r="T1189" s="15">
        <v>0</v>
      </c>
      <c r="U1189" s="15">
        <v>1131.5800000000002</v>
      </c>
      <c r="V1189" s="15">
        <v>0</v>
      </c>
      <c r="W1189" s="15">
        <v>1131.5800000000002</v>
      </c>
      <c r="X1189" s="15">
        <v>0</v>
      </c>
      <c r="Y1189" s="16">
        <v>0</v>
      </c>
      <c r="Z1189" s="67" t="s">
        <v>26</v>
      </c>
      <c r="AA1189" s="12" t="s">
        <v>31</v>
      </c>
    </row>
    <row r="1190" spans="1:27" x14ac:dyDescent="0.25">
      <c r="A1190" s="10">
        <v>45677</v>
      </c>
      <c r="B1190" s="11" t="s">
        <v>673</v>
      </c>
      <c r="C1190" s="11" t="s">
        <v>2857</v>
      </c>
      <c r="D1190" s="11" t="s">
        <v>26</v>
      </c>
      <c r="E1190" s="11" t="s">
        <v>230</v>
      </c>
      <c r="F1190" s="11" t="s">
        <v>26</v>
      </c>
      <c r="G1190" s="11">
        <v>23140</v>
      </c>
      <c r="H1190" s="12" t="s">
        <v>565</v>
      </c>
      <c r="I1190" s="12" t="s">
        <v>55</v>
      </c>
      <c r="J1190" s="12" t="s">
        <v>55</v>
      </c>
      <c r="K1190" s="12" t="s">
        <v>56</v>
      </c>
      <c r="L1190" s="13">
        <v>39.619999999999997</v>
      </c>
      <c r="M1190" s="13">
        <v>25</v>
      </c>
      <c r="N1190" s="13">
        <v>1.5848</v>
      </c>
      <c r="O1190" s="13"/>
      <c r="P1190" s="13">
        <v>24</v>
      </c>
      <c r="Q1190" s="13">
        <v>0</v>
      </c>
      <c r="R1190" s="14">
        <v>600</v>
      </c>
      <c r="S1190" s="15">
        <v>0</v>
      </c>
      <c r="T1190" s="15">
        <v>0</v>
      </c>
      <c r="U1190" s="15">
        <v>600</v>
      </c>
      <c r="V1190" s="15">
        <v>0</v>
      </c>
      <c r="W1190" s="15">
        <v>600</v>
      </c>
      <c r="X1190" s="15">
        <v>0</v>
      </c>
      <c r="Y1190" s="16">
        <v>0</v>
      </c>
      <c r="Z1190" s="67" t="s">
        <v>26</v>
      </c>
      <c r="AA1190" s="12" t="s">
        <v>31</v>
      </c>
    </row>
    <row r="1191" spans="1:27" x14ac:dyDescent="0.25">
      <c r="A1191" s="10">
        <v>45677</v>
      </c>
      <c r="B1191" s="11" t="s">
        <v>2858</v>
      </c>
      <c r="C1191" s="11" t="s">
        <v>2859</v>
      </c>
      <c r="D1191" s="11" t="s">
        <v>26</v>
      </c>
      <c r="E1191" s="11" t="s">
        <v>589</v>
      </c>
      <c r="F1191" s="11" t="s">
        <v>26</v>
      </c>
      <c r="G1191" s="11">
        <v>4586</v>
      </c>
      <c r="H1191" s="12" t="s">
        <v>4423</v>
      </c>
      <c r="I1191" s="12" t="s">
        <v>27</v>
      </c>
      <c r="J1191" s="12" t="s">
        <v>33</v>
      </c>
      <c r="K1191" s="12" t="s">
        <v>34</v>
      </c>
      <c r="L1191" s="13">
        <v>33.6</v>
      </c>
      <c r="M1191" s="13">
        <v>25</v>
      </c>
      <c r="N1191" s="13">
        <v>1.3440000000000001</v>
      </c>
      <c r="O1191" s="13">
        <v>45</v>
      </c>
      <c r="P1191" s="13" t="s">
        <v>30</v>
      </c>
      <c r="Q1191" s="13">
        <v>0</v>
      </c>
      <c r="R1191" s="15">
        <v>1512</v>
      </c>
      <c r="S1191" s="15">
        <v>0</v>
      </c>
      <c r="T1191" s="15">
        <v>0</v>
      </c>
      <c r="U1191" s="15">
        <v>1512</v>
      </c>
      <c r="V1191" s="15">
        <v>1512</v>
      </c>
      <c r="W1191" s="15">
        <v>0</v>
      </c>
      <c r="X1191" s="15">
        <v>0</v>
      </c>
      <c r="Y1191" s="16">
        <v>0</v>
      </c>
      <c r="Z1191" s="67" t="s">
        <v>26</v>
      </c>
      <c r="AA1191" s="12" t="s">
        <v>31</v>
      </c>
    </row>
    <row r="1192" spans="1:27" x14ac:dyDescent="0.25">
      <c r="A1192" s="10">
        <v>45677</v>
      </c>
      <c r="B1192" s="11" t="s">
        <v>132</v>
      </c>
      <c r="C1192" s="11" t="s">
        <v>2860</v>
      </c>
      <c r="D1192" s="11" t="s">
        <v>26</v>
      </c>
      <c r="E1192" s="11" t="s">
        <v>105</v>
      </c>
      <c r="F1192" s="11" t="s">
        <v>26</v>
      </c>
      <c r="G1192" s="11">
        <v>2602</v>
      </c>
      <c r="H1192" s="12" t="s">
        <v>41</v>
      </c>
      <c r="I1192" s="12" t="s">
        <v>55</v>
      </c>
      <c r="J1192" s="12" t="s">
        <v>55</v>
      </c>
      <c r="K1192" s="12" t="s">
        <v>56</v>
      </c>
      <c r="L1192" s="13">
        <v>32.380000000000003</v>
      </c>
      <c r="M1192" s="13">
        <v>19</v>
      </c>
      <c r="N1192" s="13">
        <v>1.7042105263157901</v>
      </c>
      <c r="O1192" s="13" t="s">
        <v>30</v>
      </c>
      <c r="P1192" s="13">
        <v>24</v>
      </c>
      <c r="Q1192" s="13">
        <v>0</v>
      </c>
      <c r="R1192" s="15">
        <v>456</v>
      </c>
      <c r="S1192" s="15">
        <v>0</v>
      </c>
      <c r="T1192" s="15">
        <v>0</v>
      </c>
      <c r="U1192" s="15">
        <v>456</v>
      </c>
      <c r="V1192" s="15">
        <v>0</v>
      </c>
      <c r="W1192" s="15">
        <v>456</v>
      </c>
      <c r="X1192" s="15">
        <v>0</v>
      </c>
      <c r="Y1192" s="16">
        <v>0</v>
      </c>
      <c r="Z1192" s="67" t="s">
        <v>26</v>
      </c>
      <c r="AA1192" s="12" t="s">
        <v>31</v>
      </c>
    </row>
    <row r="1193" spans="1:27" x14ac:dyDescent="0.25">
      <c r="A1193" s="10">
        <v>45677</v>
      </c>
      <c r="B1193" s="11" t="s">
        <v>2861</v>
      </c>
      <c r="C1193" s="11" t="s">
        <v>2862</v>
      </c>
      <c r="D1193" s="11" t="s">
        <v>26</v>
      </c>
      <c r="E1193" s="11" t="s">
        <v>509</v>
      </c>
      <c r="F1193" s="11" t="s">
        <v>26</v>
      </c>
      <c r="G1193" s="11">
        <v>1305</v>
      </c>
      <c r="H1193" s="12" t="s">
        <v>141</v>
      </c>
      <c r="I1193" s="12" t="s">
        <v>37</v>
      </c>
      <c r="J1193" s="12" t="s">
        <v>599</v>
      </c>
      <c r="K1193" s="12" t="s">
        <v>82</v>
      </c>
      <c r="L1193" s="13">
        <v>40.520000000000003</v>
      </c>
      <c r="M1193" s="13">
        <v>25</v>
      </c>
      <c r="N1193" s="13">
        <v>1.6208</v>
      </c>
      <c r="O1193" s="13">
        <v>29</v>
      </c>
      <c r="P1193" s="13" t="s">
        <v>30</v>
      </c>
      <c r="Q1193" s="13">
        <v>0</v>
      </c>
      <c r="R1193" s="14">
        <v>1175.0800000000002</v>
      </c>
      <c r="S1193" s="15">
        <v>0</v>
      </c>
      <c r="T1193" s="15">
        <v>0</v>
      </c>
      <c r="U1193" s="15">
        <v>1175.0800000000002</v>
      </c>
      <c r="V1193" s="15">
        <v>0</v>
      </c>
      <c r="W1193" s="15">
        <v>1175.0800000000002</v>
      </c>
      <c r="X1193" s="15">
        <v>0</v>
      </c>
      <c r="Y1193" s="16">
        <v>0</v>
      </c>
      <c r="Z1193" s="67" t="s">
        <v>26</v>
      </c>
      <c r="AA1193" s="12" t="s">
        <v>31</v>
      </c>
    </row>
    <row r="1194" spans="1:27" x14ac:dyDescent="0.25">
      <c r="A1194" s="10">
        <v>45677</v>
      </c>
      <c r="B1194" s="11" t="s">
        <v>2863</v>
      </c>
      <c r="C1194" s="11" t="s">
        <v>2864</v>
      </c>
      <c r="D1194" s="11" t="s">
        <v>26</v>
      </c>
      <c r="E1194" s="11" t="s">
        <v>63</v>
      </c>
      <c r="F1194" s="11" t="s">
        <v>26</v>
      </c>
      <c r="G1194" s="11" t="s">
        <v>26</v>
      </c>
      <c r="H1194" s="12" t="s">
        <v>4422</v>
      </c>
      <c r="I1194" s="12" t="s">
        <v>27</v>
      </c>
      <c r="J1194" s="12" t="s">
        <v>33</v>
      </c>
      <c r="K1194" s="12" t="s">
        <v>34</v>
      </c>
      <c r="L1194" s="13">
        <v>42.1</v>
      </c>
      <c r="M1194" s="13">
        <v>29</v>
      </c>
      <c r="N1194" s="13">
        <v>1.4517241379310351</v>
      </c>
      <c r="O1194" s="13">
        <v>85</v>
      </c>
      <c r="P1194" s="13" t="s">
        <v>30</v>
      </c>
      <c r="Q1194" s="13">
        <v>0</v>
      </c>
      <c r="R1194" s="15">
        <v>3578.5</v>
      </c>
      <c r="S1194" s="15">
        <v>38</v>
      </c>
      <c r="T1194" s="15">
        <v>1599.8</v>
      </c>
      <c r="U1194" s="15">
        <v>1978.7</v>
      </c>
      <c r="V1194" s="15">
        <v>1978.7</v>
      </c>
      <c r="W1194" s="15">
        <v>0</v>
      </c>
      <c r="X1194" s="15">
        <v>1515.6000000000001</v>
      </c>
      <c r="Y1194" s="16">
        <v>84.199999999999818</v>
      </c>
      <c r="Z1194" s="67" t="s">
        <v>140</v>
      </c>
      <c r="AA1194" s="12" t="s">
        <v>78</v>
      </c>
    </row>
    <row r="1195" spans="1:27" x14ac:dyDescent="0.25">
      <c r="A1195" s="10">
        <v>45677</v>
      </c>
      <c r="B1195" s="11" t="s">
        <v>2865</v>
      </c>
      <c r="C1195" s="11" t="s">
        <v>2866</v>
      </c>
      <c r="D1195" s="11" t="s">
        <v>26</v>
      </c>
      <c r="E1195" s="11" t="s">
        <v>486</v>
      </c>
      <c r="F1195" s="11" t="s">
        <v>26</v>
      </c>
      <c r="G1195" s="11">
        <v>72887</v>
      </c>
      <c r="H1195" s="12" t="s">
        <v>4448</v>
      </c>
      <c r="I1195" s="12" t="s">
        <v>27</v>
      </c>
      <c r="J1195" s="12" t="s">
        <v>42</v>
      </c>
      <c r="K1195" s="12" t="s">
        <v>43</v>
      </c>
      <c r="L1195" s="13">
        <v>43.58</v>
      </c>
      <c r="M1195" s="13">
        <v>25</v>
      </c>
      <c r="N1195" s="13">
        <v>1.7432000000000001</v>
      </c>
      <c r="O1195" s="13">
        <v>42.5</v>
      </c>
      <c r="P1195" s="13" t="s">
        <v>30</v>
      </c>
      <c r="Q1195" s="13">
        <v>0</v>
      </c>
      <c r="R1195" s="14">
        <v>1852.1499999999999</v>
      </c>
      <c r="S1195" s="15">
        <v>0</v>
      </c>
      <c r="T1195" s="15">
        <v>0</v>
      </c>
      <c r="U1195" s="15">
        <v>1852.1499999999999</v>
      </c>
      <c r="V1195" s="15">
        <v>1389.1125</v>
      </c>
      <c r="W1195" s="15">
        <v>463.03749999999991</v>
      </c>
      <c r="X1195" s="15">
        <v>0</v>
      </c>
      <c r="Y1195" s="16">
        <v>0</v>
      </c>
      <c r="Z1195" s="67" t="s">
        <v>26</v>
      </c>
      <c r="AA1195" s="12" t="s">
        <v>31</v>
      </c>
    </row>
    <row r="1196" spans="1:27" x14ac:dyDescent="0.25">
      <c r="A1196" s="10">
        <v>45677</v>
      </c>
      <c r="B1196" s="11" t="s">
        <v>662</v>
      </c>
      <c r="C1196" s="11" t="s">
        <v>2867</v>
      </c>
      <c r="D1196" s="11" t="s">
        <v>26</v>
      </c>
      <c r="E1196" s="11" t="s">
        <v>1200</v>
      </c>
      <c r="F1196" s="11" t="s">
        <v>26</v>
      </c>
      <c r="G1196" s="11">
        <v>995</v>
      </c>
      <c r="H1196" s="12" t="s">
        <v>163</v>
      </c>
      <c r="I1196" s="12" t="s">
        <v>27</v>
      </c>
      <c r="J1196" s="12" t="s">
        <v>42</v>
      </c>
      <c r="K1196" s="12" t="s">
        <v>43</v>
      </c>
      <c r="L1196" s="13">
        <v>42.88</v>
      </c>
      <c r="M1196" s="13">
        <v>25</v>
      </c>
      <c r="N1196" s="13">
        <v>1.7152000000000001</v>
      </c>
      <c r="O1196" s="13" t="s">
        <v>30</v>
      </c>
      <c r="P1196" s="13">
        <v>56</v>
      </c>
      <c r="Q1196" s="13">
        <v>0</v>
      </c>
      <c r="R1196" s="15">
        <v>1400</v>
      </c>
      <c r="S1196" s="15">
        <v>0</v>
      </c>
      <c r="T1196" s="15">
        <v>0</v>
      </c>
      <c r="U1196" s="15">
        <v>1400</v>
      </c>
      <c r="V1196" s="15">
        <v>0</v>
      </c>
      <c r="W1196" s="15">
        <v>1400</v>
      </c>
      <c r="X1196" s="15">
        <v>0</v>
      </c>
      <c r="Y1196" s="16">
        <v>0</v>
      </c>
      <c r="Z1196" s="67" t="s">
        <v>26</v>
      </c>
      <c r="AA1196" s="12" t="s">
        <v>31</v>
      </c>
    </row>
    <row r="1197" spans="1:27" x14ac:dyDescent="0.25">
      <c r="A1197" s="10">
        <v>45677</v>
      </c>
      <c r="B1197" s="11" t="s">
        <v>2868</v>
      </c>
      <c r="C1197" s="11" t="s">
        <v>2869</v>
      </c>
      <c r="D1197" s="11" t="s">
        <v>26</v>
      </c>
      <c r="E1197" s="11" t="s">
        <v>80</v>
      </c>
      <c r="F1197" s="11" t="s">
        <v>26</v>
      </c>
      <c r="G1197" s="11" t="s">
        <v>26</v>
      </c>
      <c r="H1197" s="12" t="s">
        <v>4422</v>
      </c>
      <c r="I1197" s="12" t="s">
        <v>27</v>
      </c>
      <c r="J1197" s="12" t="s">
        <v>47</v>
      </c>
      <c r="K1197" s="12" t="s">
        <v>48</v>
      </c>
      <c r="L1197" s="13">
        <v>42.36</v>
      </c>
      <c r="M1197" s="13">
        <v>29</v>
      </c>
      <c r="N1197" s="13">
        <v>1.460689655172414</v>
      </c>
      <c r="O1197" s="13">
        <v>87</v>
      </c>
      <c r="P1197" s="13" t="s">
        <v>30</v>
      </c>
      <c r="Q1197" s="13">
        <v>0</v>
      </c>
      <c r="R1197" s="14">
        <v>3685.32</v>
      </c>
      <c r="S1197" s="15">
        <v>38</v>
      </c>
      <c r="T1197" s="15">
        <v>1609.68</v>
      </c>
      <c r="U1197" s="15">
        <v>2075.6400000000003</v>
      </c>
      <c r="V1197" s="15">
        <v>2075.6400000000003</v>
      </c>
      <c r="W1197" s="15">
        <v>0</v>
      </c>
      <c r="X1197" s="16">
        <v>1524.96</v>
      </c>
      <c r="Y1197" s="16">
        <v>84.720000000000027</v>
      </c>
      <c r="Z1197" s="67" t="s">
        <v>140</v>
      </c>
      <c r="AA1197" s="12" t="s">
        <v>78</v>
      </c>
    </row>
    <row r="1198" spans="1:27" x14ac:dyDescent="0.25">
      <c r="A1198" s="10">
        <v>45677</v>
      </c>
      <c r="B1198" s="11" t="s">
        <v>2870</v>
      </c>
      <c r="C1198" s="11" t="s">
        <v>2871</v>
      </c>
      <c r="D1198" s="11" t="s">
        <v>26</v>
      </c>
      <c r="E1198" s="11" t="s">
        <v>569</v>
      </c>
      <c r="F1198" s="11" t="s">
        <v>26</v>
      </c>
      <c r="G1198" s="11">
        <v>112165</v>
      </c>
      <c r="H1198" s="12" t="s">
        <v>4446</v>
      </c>
      <c r="I1198" s="12" t="s">
        <v>27</v>
      </c>
      <c r="J1198" s="12" t="s">
        <v>33</v>
      </c>
      <c r="K1198" s="12" t="s">
        <v>34</v>
      </c>
      <c r="L1198" s="13">
        <v>35.299999999999997</v>
      </c>
      <c r="M1198" s="13">
        <v>25</v>
      </c>
      <c r="N1198" s="13">
        <v>1.4119999999999999</v>
      </c>
      <c r="O1198" s="13">
        <v>44</v>
      </c>
      <c r="P1198" s="13" t="s">
        <v>30</v>
      </c>
      <c r="Q1198" s="13">
        <v>0</v>
      </c>
      <c r="R1198" s="14">
        <v>1553.1999999999998</v>
      </c>
      <c r="S1198" s="15">
        <v>0</v>
      </c>
      <c r="T1198" s="15">
        <v>0</v>
      </c>
      <c r="U1198" s="15">
        <v>1553.1999999999998</v>
      </c>
      <c r="V1198" s="15">
        <v>1553.1999999999998</v>
      </c>
      <c r="W1198" s="15">
        <v>0</v>
      </c>
      <c r="X1198" s="16">
        <v>0</v>
      </c>
      <c r="Y1198" s="16">
        <v>0</v>
      </c>
      <c r="Z1198" s="67" t="s">
        <v>26</v>
      </c>
      <c r="AA1198" s="12" t="s">
        <v>31</v>
      </c>
    </row>
    <row r="1199" spans="1:27" x14ac:dyDescent="0.25">
      <c r="A1199" s="10">
        <v>45677</v>
      </c>
      <c r="B1199" s="11" t="s">
        <v>127</v>
      </c>
      <c r="C1199" s="11" t="s">
        <v>2872</v>
      </c>
      <c r="D1199" s="11" t="s">
        <v>26</v>
      </c>
      <c r="E1199" s="11" t="s">
        <v>567</v>
      </c>
      <c r="F1199" s="11" t="s">
        <v>26</v>
      </c>
      <c r="G1199" s="11">
        <v>112150</v>
      </c>
      <c r="H1199" s="12" t="s">
        <v>4446</v>
      </c>
      <c r="I1199" s="12" t="s">
        <v>27</v>
      </c>
      <c r="J1199" s="12" t="s">
        <v>42</v>
      </c>
      <c r="K1199" s="12" t="s">
        <v>43</v>
      </c>
      <c r="L1199" s="13">
        <v>41.18</v>
      </c>
      <c r="M1199" s="13">
        <v>25</v>
      </c>
      <c r="N1199" s="13">
        <v>1.6472</v>
      </c>
      <c r="O1199" s="13">
        <v>42</v>
      </c>
      <c r="P1199" s="13" t="s">
        <v>30</v>
      </c>
      <c r="Q1199" s="13">
        <v>0</v>
      </c>
      <c r="R1199" s="15">
        <v>1729.56</v>
      </c>
      <c r="S1199" s="15">
        <v>0</v>
      </c>
      <c r="T1199" s="15">
        <v>0</v>
      </c>
      <c r="U1199" s="15">
        <v>1729.56</v>
      </c>
      <c r="V1199" s="15">
        <v>1729.56</v>
      </c>
      <c r="W1199" s="15">
        <v>0</v>
      </c>
      <c r="X1199" s="15">
        <v>0</v>
      </c>
      <c r="Y1199" s="16">
        <v>0</v>
      </c>
      <c r="Z1199" s="67" t="s">
        <v>26</v>
      </c>
      <c r="AA1199" s="12" t="s">
        <v>31</v>
      </c>
    </row>
    <row r="1200" spans="1:27" x14ac:dyDescent="0.25">
      <c r="A1200" s="10">
        <v>45677</v>
      </c>
      <c r="B1200" s="11" t="s">
        <v>733</v>
      </c>
      <c r="C1200" s="11" t="s">
        <v>2873</v>
      </c>
      <c r="D1200" s="11" t="s">
        <v>26</v>
      </c>
      <c r="E1200" s="11" t="s">
        <v>53</v>
      </c>
      <c r="F1200" s="11" t="s">
        <v>26</v>
      </c>
      <c r="G1200" s="11">
        <v>3758</v>
      </c>
      <c r="H1200" s="12" t="s">
        <v>41</v>
      </c>
      <c r="I1200" s="12" t="s">
        <v>55</v>
      </c>
      <c r="J1200" s="12" t="s">
        <v>55</v>
      </c>
      <c r="K1200" s="12" t="s">
        <v>56</v>
      </c>
      <c r="L1200" s="13">
        <v>41.66</v>
      </c>
      <c r="M1200" s="13">
        <v>25</v>
      </c>
      <c r="N1200" s="13">
        <v>1.6664000000000001</v>
      </c>
      <c r="O1200" s="13" t="s">
        <v>30</v>
      </c>
      <c r="P1200" s="13">
        <v>24</v>
      </c>
      <c r="Q1200" s="13">
        <v>0</v>
      </c>
      <c r="R1200" s="14">
        <v>600</v>
      </c>
      <c r="S1200" s="15">
        <v>0</v>
      </c>
      <c r="T1200" s="15">
        <v>0</v>
      </c>
      <c r="U1200" s="15">
        <v>600</v>
      </c>
      <c r="V1200" s="15">
        <v>0</v>
      </c>
      <c r="W1200" s="15">
        <v>600</v>
      </c>
      <c r="X1200" s="15">
        <v>0</v>
      </c>
      <c r="Y1200" s="16">
        <v>0</v>
      </c>
      <c r="Z1200" s="67" t="s">
        <v>26</v>
      </c>
      <c r="AA1200" s="12" t="s">
        <v>31</v>
      </c>
    </row>
    <row r="1201" spans="1:27" x14ac:dyDescent="0.25">
      <c r="A1201" s="10">
        <v>45677</v>
      </c>
      <c r="B1201" s="11" t="s">
        <v>636</v>
      </c>
      <c r="C1201" s="11" t="s">
        <v>2874</v>
      </c>
      <c r="D1201" s="11" t="s">
        <v>26</v>
      </c>
      <c r="E1201" s="11" t="s">
        <v>501</v>
      </c>
      <c r="F1201" s="11" t="s">
        <v>26</v>
      </c>
      <c r="G1201" s="11">
        <v>802</v>
      </c>
      <c r="H1201" s="12" t="s">
        <v>141</v>
      </c>
      <c r="I1201" s="12" t="s">
        <v>37</v>
      </c>
      <c r="J1201" s="12" t="s">
        <v>599</v>
      </c>
      <c r="K1201" s="12" t="s">
        <v>82</v>
      </c>
      <c r="L1201" s="13">
        <v>41.26</v>
      </c>
      <c r="M1201" s="13">
        <v>25</v>
      </c>
      <c r="N1201" s="13">
        <v>1.6504000000000001</v>
      </c>
      <c r="O1201" s="13">
        <v>29</v>
      </c>
      <c r="P1201" s="13" t="s">
        <v>30</v>
      </c>
      <c r="Q1201" s="13">
        <v>0</v>
      </c>
      <c r="R1201" s="15">
        <v>1196.54</v>
      </c>
      <c r="S1201" s="15">
        <v>0</v>
      </c>
      <c r="T1201" s="15">
        <v>0</v>
      </c>
      <c r="U1201" s="15">
        <v>1196.54</v>
      </c>
      <c r="V1201" s="15">
        <v>0</v>
      </c>
      <c r="W1201" s="15">
        <v>1196.54</v>
      </c>
      <c r="X1201" s="15">
        <v>0</v>
      </c>
      <c r="Y1201" s="16">
        <v>0</v>
      </c>
      <c r="Z1201" s="67" t="s">
        <v>26</v>
      </c>
      <c r="AA1201" s="12" t="s">
        <v>31</v>
      </c>
    </row>
    <row r="1202" spans="1:27" x14ac:dyDescent="0.25">
      <c r="A1202" s="10">
        <v>45677</v>
      </c>
      <c r="B1202" s="11" t="s">
        <v>2875</v>
      </c>
      <c r="C1202" s="11" t="s">
        <v>2876</v>
      </c>
      <c r="D1202" s="11" t="s">
        <v>26</v>
      </c>
      <c r="E1202" s="11" t="s">
        <v>561</v>
      </c>
      <c r="F1202" s="11" t="s">
        <v>26</v>
      </c>
      <c r="G1202" s="11">
        <v>112141</v>
      </c>
      <c r="H1202" s="12" t="s">
        <v>4446</v>
      </c>
      <c r="I1202" s="12" t="s">
        <v>27</v>
      </c>
      <c r="J1202" s="12" t="s">
        <v>33</v>
      </c>
      <c r="K1202" s="12" t="s">
        <v>34</v>
      </c>
      <c r="L1202" s="13">
        <v>36.6</v>
      </c>
      <c r="M1202" s="13">
        <v>25</v>
      </c>
      <c r="N1202" s="13">
        <v>1.464</v>
      </c>
      <c r="O1202" s="13">
        <v>44</v>
      </c>
      <c r="P1202" s="13" t="s">
        <v>30</v>
      </c>
      <c r="Q1202" s="13">
        <v>0</v>
      </c>
      <c r="R1202" s="14">
        <v>1610.4</v>
      </c>
      <c r="S1202" s="15">
        <v>0</v>
      </c>
      <c r="T1202" s="15">
        <v>0</v>
      </c>
      <c r="U1202" s="15">
        <v>1610.4</v>
      </c>
      <c r="V1202" s="15">
        <v>1610.4</v>
      </c>
      <c r="W1202" s="15">
        <v>0</v>
      </c>
      <c r="X1202" s="15">
        <v>0</v>
      </c>
      <c r="Y1202" s="16">
        <v>0</v>
      </c>
      <c r="Z1202" s="67" t="s">
        <v>26</v>
      </c>
      <c r="AA1202" s="12" t="s">
        <v>31</v>
      </c>
    </row>
    <row r="1203" spans="1:27" x14ac:dyDescent="0.25">
      <c r="A1203" s="10">
        <v>45677</v>
      </c>
      <c r="B1203" s="11" t="s">
        <v>287</v>
      </c>
      <c r="C1203" s="11" t="s">
        <v>2877</v>
      </c>
      <c r="D1203" s="11" t="s">
        <v>26</v>
      </c>
      <c r="E1203" s="11" t="s">
        <v>57</v>
      </c>
      <c r="F1203" s="11" t="s">
        <v>26</v>
      </c>
      <c r="G1203" s="11">
        <v>2740</v>
      </c>
      <c r="H1203" s="12" t="s">
        <v>41</v>
      </c>
      <c r="I1203" s="12" t="s">
        <v>27</v>
      </c>
      <c r="J1203" s="12" t="s">
        <v>42</v>
      </c>
      <c r="K1203" s="12" t="s">
        <v>43</v>
      </c>
      <c r="L1203" s="13">
        <v>42.58</v>
      </c>
      <c r="M1203" s="13">
        <v>25</v>
      </c>
      <c r="N1203" s="13">
        <v>1.7032</v>
      </c>
      <c r="O1203" s="13" t="s">
        <v>30</v>
      </c>
      <c r="P1203" s="13">
        <v>64</v>
      </c>
      <c r="Q1203" s="13">
        <v>0</v>
      </c>
      <c r="R1203" s="15">
        <v>1600</v>
      </c>
      <c r="S1203" s="15">
        <v>0</v>
      </c>
      <c r="T1203" s="15">
        <v>0</v>
      </c>
      <c r="U1203" s="15">
        <v>1600</v>
      </c>
      <c r="V1203" s="15">
        <v>0</v>
      </c>
      <c r="W1203" s="15">
        <v>1600</v>
      </c>
      <c r="X1203" s="15">
        <v>0</v>
      </c>
      <c r="Y1203" s="16">
        <v>0</v>
      </c>
      <c r="Z1203" s="67" t="s">
        <v>26</v>
      </c>
      <c r="AA1203" s="12" t="s">
        <v>31</v>
      </c>
    </row>
    <row r="1204" spans="1:27" x14ac:dyDescent="0.25">
      <c r="A1204" s="10">
        <v>45677</v>
      </c>
      <c r="B1204" s="11" t="s">
        <v>2878</v>
      </c>
      <c r="C1204" s="11" t="s">
        <v>2879</v>
      </c>
      <c r="D1204" s="11" t="s">
        <v>26</v>
      </c>
      <c r="E1204" s="11" t="s">
        <v>570</v>
      </c>
      <c r="F1204" s="11" t="s">
        <v>26</v>
      </c>
      <c r="G1204" s="11">
        <v>10330</v>
      </c>
      <c r="H1204" s="12" t="s">
        <v>140</v>
      </c>
      <c r="I1204" s="12" t="s">
        <v>27</v>
      </c>
      <c r="J1204" s="12" t="s">
        <v>47</v>
      </c>
      <c r="K1204" s="12" t="s">
        <v>48</v>
      </c>
      <c r="L1204" s="13">
        <v>42.88</v>
      </c>
      <c r="M1204" s="13">
        <v>29</v>
      </c>
      <c r="N1204" s="13">
        <v>1.478620689655173</v>
      </c>
      <c r="O1204" s="13">
        <v>40</v>
      </c>
      <c r="P1204" s="13"/>
      <c r="Q1204" s="13">
        <v>0</v>
      </c>
      <c r="R1204" s="15">
        <v>1715.2</v>
      </c>
      <c r="S1204" s="15">
        <v>0</v>
      </c>
      <c r="T1204" s="15">
        <v>0</v>
      </c>
      <c r="U1204" s="15">
        <v>1715.2</v>
      </c>
      <c r="V1204" s="15">
        <v>0</v>
      </c>
      <c r="W1204" s="15">
        <v>1715.2</v>
      </c>
      <c r="X1204" s="15">
        <v>0</v>
      </c>
      <c r="Y1204" s="16">
        <v>0</v>
      </c>
      <c r="Z1204" s="67" t="s">
        <v>26</v>
      </c>
      <c r="AA1204" s="12" t="s">
        <v>31</v>
      </c>
    </row>
    <row r="1205" spans="1:27" x14ac:dyDescent="0.25">
      <c r="A1205" s="10">
        <v>45677</v>
      </c>
      <c r="B1205" s="11" t="s">
        <v>474</v>
      </c>
      <c r="C1205" s="11" t="s">
        <v>2880</v>
      </c>
      <c r="D1205" s="11" t="s">
        <v>26</v>
      </c>
      <c r="E1205" s="11" t="s">
        <v>50</v>
      </c>
      <c r="F1205" s="11" t="s">
        <v>26</v>
      </c>
      <c r="G1205" s="11">
        <v>641</v>
      </c>
      <c r="H1205" s="12" t="s">
        <v>163</v>
      </c>
      <c r="I1205" s="12" t="s">
        <v>27</v>
      </c>
      <c r="J1205" s="12" t="s">
        <v>33</v>
      </c>
      <c r="K1205" s="12" t="s">
        <v>34</v>
      </c>
      <c r="L1205" s="13">
        <v>37.54</v>
      </c>
      <c r="M1205" s="13">
        <v>25</v>
      </c>
      <c r="N1205" s="13">
        <v>1.5016</v>
      </c>
      <c r="O1205" s="13" t="s">
        <v>30</v>
      </c>
      <c r="P1205" s="13">
        <v>58</v>
      </c>
      <c r="Q1205" s="13">
        <v>0</v>
      </c>
      <c r="R1205" s="14">
        <v>1450</v>
      </c>
      <c r="S1205" s="15">
        <v>0</v>
      </c>
      <c r="T1205" s="15">
        <v>0</v>
      </c>
      <c r="U1205" s="15">
        <v>1450</v>
      </c>
      <c r="V1205" s="15">
        <v>0</v>
      </c>
      <c r="W1205" s="15">
        <v>1450</v>
      </c>
      <c r="X1205" s="15">
        <v>0</v>
      </c>
      <c r="Y1205" s="16">
        <v>0</v>
      </c>
      <c r="Z1205" s="67" t="s">
        <v>26</v>
      </c>
      <c r="AA1205" s="12" t="s">
        <v>31</v>
      </c>
    </row>
    <row r="1206" spans="1:27" x14ac:dyDescent="0.25">
      <c r="A1206" s="10">
        <v>45677</v>
      </c>
      <c r="B1206" s="11" t="s">
        <v>2881</v>
      </c>
      <c r="C1206" s="11" t="s">
        <v>2882</v>
      </c>
      <c r="D1206" s="11" t="s">
        <v>26</v>
      </c>
      <c r="E1206" s="11" t="s">
        <v>100</v>
      </c>
      <c r="F1206" s="11" t="s">
        <v>26</v>
      </c>
      <c r="G1206" s="11">
        <v>21726</v>
      </c>
      <c r="H1206" s="12" t="s">
        <v>4448</v>
      </c>
      <c r="I1206" s="12" t="s">
        <v>27</v>
      </c>
      <c r="J1206" s="12" t="s">
        <v>47</v>
      </c>
      <c r="K1206" s="12" t="s">
        <v>48</v>
      </c>
      <c r="L1206" s="13">
        <v>35.880000000000003</v>
      </c>
      <c r="M1206" s="13">
        <v>25</v>
      </c>
      <c r="N1206" s="13">
        <v>1.4352</v>
      </c>
      <c r="O1206" s="13">
        <v>46.66</v>
      </c>
      <c r="P1206" s="13" t="s">
        <v>30</v>
      </c>
      <c r="Q1206" s="13">
        <v>0</v>
      </c>
      <c r="R1206" s="15">
        <v>1674.1608000000001</v>
      </c>
      <c r="S1206" s="15">
        <v>0</v>
      </c>
      <c r="T1206" s="15">
        <v>0</v>
      </c>
      <c r="U1206" s="15">
        <v>1674.1608000000001</v>
      </c>
      <c r="V1206" s="15">
        <v>1255.6206000000002</v>
      </c>
      <c r="W1206" s="15">
        <v>418.54019999999991</v>
      </c>
      <c r="X1206" s="15">
        <v>0</v>
      </c>
      <c r="Y1206" s="16">
        <v>0</v>
      </c>
      <c r="Z1206" s="67" t="s">
        <v>26</v>
      </c>
      <c r="AA1206" s="12" t="s">
        <v>31</v>
      </c>
    </row>
    <row r="1207" spans="1:27" x14ac:dyDescent="0.25">
      <c r="A1207" s="10">
        <v>45677</v>
      </c>
      <c r="B1207" s="11" t="s">
        <v>467</v>
      </c>
      <c r="C1207" s="11" t="s">
        <v>2883</v>
      </c>
      <c r="D1207" s="11" t="s">
        <v>26</v>
      </c>
      <c r="E1207" s="11" t="s">
        <v>65</v>
      </c>
      <c r="F1207" s="11" t="s">
        <v>26</v>
      </c>
      <c r="G1207" s="11">
        <v>1578</v>
      </c>
      <c r="H1207" s="12" t="s">
        <v>66</v>
      </c>
      <c r="I1207" s="12" t="s">
        <v>27</v>
      </c>
      <c r="J1207" s="12" t="s">
        <v>557</v>
      </c>
      <c r="K1207" s="12" t="s">
        <v>558</v>
      </c>
      <c r="L1207" s="13">
        <v>41.74</v>
      </c>
      <c r="M1207" s="13">
        <v>25</v>
      </c>
      <c r="N1207" s="13">
        <v>1.6696</v>
      </c>
      <c r="O1207" s="13">
        <v>45</v>
      </c>
      <c r="P1207" s="13"/>
      <c r="Q1207" s="13">
        <v>0</v>
      </c>
      <c r="R1207" s="14">
        <v>1878.3000000000002</v>
      </c>
      <c r="S1207" s="15">
        <v>0</v>
      </c>
      <c r="T1207" s="15">
        <v>0</v>
      </c>
      <c r="U1207" s="15">
        <v>1878.3000000000002</v>
      </c>
      <c r="V1207" s="15">
        <v>1878.3000000000002</v>
      </c>
      <c r="W1207" s="15">
        <v>0</v>
      </c>
      <c r="X1207" s="15">
        <v>0</v>
      </c>
      <c r="Y1207" s="16">
        <v>0</v>
      </c>
      <c r="Z1207" s="67" t="s">
        <v>26</v>
      </c>
      <c r="AA1207" s="12" t="s">
        <v>31</v>
      </c>
    </row>
    <row r="1208" spans="1:27" x14ac:dyDescent="0.25">
      <c r="A1208" s="10">
        <v>45677</v>
      </c>
      <c r="B1208" s="11" t="s">
        <v>408</v>
      </c>
      <c r="C1208" s="11" t="s">
        <v>2884</v>
      </c>
      <c r="D1208" s="11" t="s">
        <v>26</v>
      </c>
      <c r="E1208" s="11" t="s">
        <v>237</v>
      </c>
      <c r="F1208" s="11" t="s">
        <v>26</v>
      </c>
      <c r="G1208" s="11">
        <v>44300</v>
      </c>
      <c r="H1208" s="12" t="s">
        <v>4423</v>
      </c>
      <c r="I1208" s="12" t="s">
        <v>27</v>
      </c>
      <c r="J1208" s="12" t="s">
        <v>42</v>
      </c>
      <c r="K1208" s="12" t="s">
        <v>43</v>
      </c>
      <c r="L1208" s="13">
        <v>39.32</v>
      </c>
      <c r="M1208" s="13">
        <v>25</v>
      </c>
      <c r="N1208" s="13">
        <v>1.5728</v>
      </c>
      <c r="O1208" s="13">
        <v>42</v>
      </c>
      <c r="P1208" s="13" t="s">
        <v>30</v>
      </c>
      <c r="Q1208" s="13">
        <v>0</v>
      </c>
      <c r="R1208" s="15">
        <v>1651.44</v>
      </c>
      <c r="S1208" s="15">
        <v>0</v>
      </c>
      <c r="T1208" s="15">
        <v>0</v>
      </c>
      <c r="U1208" s="15">
        <v>1651.44</v>
      </c>
      <c r="V1208" s="15">
        <v>1651.44</v>
      </c>
      <c r="W1208" s="15">
        <v>0</v>
      </c>
      <c r="X1208" s="15">
        <v>0</v>
      </c>
      <c r="Y1208" s="16">
        <v>0</v>
      </c>
      <c r="Z1208" s="67" t="s">
        <v>26</v>
      </c>
      <c r="AA1208" s="12" t="s">
        <v>31</v>
      </c>
    </row>
    <row r="1209" spans="1:27" x14ac:dyDescent="0.25">
      <c r="A1209" s="10">
        <v>45677</v>
      </c>
      <c r="B1209" s="11" t="s">
        <v>2885</v>
      </c>
      <c r="C1209" s="11" t="s">
        <v>2886</v>
      </c>
      <c r="D1209" s="11" t="s">
        <v>26</v>
      </c>
      <c r="E1209" s="11" t="s">
        <v>75</v>
      </c>
      <c r="F1209" s="11" t="s">
        <v>26</v>
      </c>
      <c r="G1209" s="11">
        <v>42022</v>
      </c>
      <c r="H1209" s="12" t="s">
        <v>565</v>
      </c>
      <c r="I1209" s="12" t="s">
        <v>55</v>
      </c>
      <c r="J1209" s="12" t="s">
        <v>55</v>
      </c>
      <c r="K1209" s="12" t="s">
        <v>56</v>
      </c>
      <c r="L1209" s="13">
        <v>40.32</v>
      </c>
      <c r="M1209" s="13">
        <v>25</v>
      </c>
      <c r="N1209" s="13">
        <v>1.6128</v>
      </c>
      <c r="O1209" s="13"/>
      <c r="P1209" s="13">
        <v>24</v>
      </c>
      <c r="Q1209" s="13">
        <v>0</v>
      </c>
      <c r="R1209" s="15">
        <v>600</v>
      </c>
      <c r="S1209" s="15">
        <v>0</v>
      </c>
      <c r="T1209" s="15">
        <v>0</v>
      </c>
      <c r="U1209" s="15">
        <v>600</v>
      </c>
      <c r="V1209" s="15">
        <v>0</v>
      </c>
      <c r="W1209" s="15">
        <v>600</v>
      </c>
      <c r="X1209" s="15">
        <v>0</v>
      </c>
      <c r="Y1209" s="16">
        <v>0</v>
      </c>
      <c r="Z1209" s="67" t="s">
        <v>26</v>
      </c>
      <c r="AA1209" s="12" t="s">
        <v>31</v>
      </c>
    </row>
    <row r="1210" spans="1:27" x14ac:dyDescent="0.25">
      <c r="A1210" s="10">
        <v>45677</v>
      </c>
      <c r="B1210" s="11" t="s">
        <v>2887</v>
      </c>
      <c r="C1210" s="11" t="s">
        <v>2888</v>
      </c>
      <c r="D1210" s="11" t="s">
        <v>26</v>
      </c>
      <c r="E1210" s="11" t="s">
        <v>520</v>
      </c>
      <c r="F1210" s="11" t="s">
        <v>26</v>
      </c>
      <c r="G1210" s="11">
        <v>4378</v>
      </c>
      <c r="H1210" s="12" t="s">
        <v>140</v>
      </c>
      <c r="I1210" s="12" t="s">
        <v>27</v>
      </c>
      <c r="J1210" s="12" t="s">
        <v>42</v>
      </c>
      <c r="K1210" s="12" t="s">
        <v>43</v>
      </c>
      <c r="L1210" s="13">
        <v>41.96</v>
      </c>
      <c r="M1210" s="13">
        <v>25</v>
      </c>
      <c r="N1210" s="13">
        <v>1.6783999999999999</v>
      </c>
      <c r="O1210" s="13">
        <v>35</v>
      </c>
      <c r="P1210" s="13"/>
      <c r="Q1210" s="13">
        <v>0</v>
      </c>
      <c r="R1210" s="14">
        <v>1468.6000000000001</v>
      </c>
      <c r="S1210" s="15">
        <v>0</v>
      </c>
      <c r="T1210" s="15">
        <v>0</v>
      </c>
      <c r="U1210" s="15">
        <v>1468.6000000000001</v>
      </c>
      <c r="V1210" s="15">
        <v>0</v>
      </c>
      <c r="W1210" s="15">
        <v>1468.6000000000001</v>
      </c>
      <c r="X1210" s="15">
        <v>0</v>
      </c>
      <c r="Y1210" s="16">
        <v>0</v>
      </c>
      <c r="Z1210" s="67" t="s">
        <v>26</v>
      </c>
      <c r="AA1210" s="12" t="s">
        <v>31</v>
      </c>
    </row>
    <row r="1211" spans="1:27" x14ac:dyDescent="0.25">
      <c r="A1211" s="10">
        <v>45677</v>
      </c>
      <c r="B1211" s="11" t="s">
        <v>2889</v>
      </c>
      <c r="C1211" s="11" t="s">
        <v>2890</v>
      </c>
      <c r="D1211" s="11" t="s">
        <v>26</v>
      </c>
      <c r="E1211" s="11" t="s">
        <v>230</v>
      </c>
      <c r="F1211" s="11" t="s">
        <v>26</v>
      </c>
      <c r="G1211" s="11">
        <v>23141</v>
      </c>
      <c r="H1211" s="12" t="s">
        <v>565</v>
      </c>
      <c r="I1211" s="12" t="s">
        <v>55</v>
      </c>
      <c r="J1211" s="12" t="s">
        <v>55</v>
      </c>
      <c r="K1211" s="12" t="s">
        <v>56</v>
      </c>
      <c r="L1211" s="13">
        <v>40.159999999999997</v>
      </c>
      <c r="M1211" s="13">
        <v>25</v>
      </c>
      <c r="N1211" s="13">
        <v>1.6064000000000001</v>
      </c>
      <c r="O1211" s="13"/>
      <c r="P1211" s="13">
        <v>24</v>
      </c>
      <c r="Q1211" s="13">
        <v>0</v>
      </c>
      <c r="R1211" s="15">
        <v>600</v>
      </c>
      <c r="S1211" s="15">
        <v>0</v>
      </c>
      <c r="T1211" s="15">
        <v>0</v>
      </c>
      <c r="U1211" s="15">
        <v>600</v>
      </c>
      <c r="V1211" s="15">
        <v>0</v>
      </c>
      <c r="W1211" s="15">
        <v>600</v>
      </c>
      <c r="X1211" s="15">
        <v>0</v>
      </c>
      <c r="Y1211" s="16">
        <v>0</v>
      </c>
      <c r="Z1211" s="67" t="s">
        <v>26</v>
      </c>
      <c r="AA1211" s="12" t="s">
        <v>31</v>
      </c>
    </row>
    <row r="1212" spans="1:27" x14ac:dyDescent="0.25">
      <c r="A1212" s="10">
        <v>45677</v>
      </c>
      <c r="B1212" s="11" t="s">
        <v>258</v>
      </c>
      <c r="C1212" s="11" t="s">
        <v>2891</v>
      </c>
      <c r="D1212" s="11" t="s">
        <v>26</v>
      </c>
      <c r="E1212" s="11" t="s">
        <v>44</v>
      </c>
      <c r="F1212" s="11" t="s">
        <v>26</v>
      </c>
      <c r="G1212" s="11">
        <v>1568</v>
      </c>
      <c r="H1212" s="12" t="s">
        <v>45</v>
      </c>
      <c r="I1212" s="12" t="s">
        <v>27</v>
      </c>
      <c r="J1212" s="12" t="s">
        <v>42</v>
      </c>
      <c r="K1212" s="12" t="s">
        <v>43</v>
      </c>
      <c r="L1212" s="13">
        <v>44</v>
      </c>
      <c r="M1212" s="13">
        <v>25</v>
      </c>
      <c r="N1212" s="13">
        <v>1.76</v>
      </c>
      <c r="O1212" s="13" t="s">
        <v>30</v>
      </c>
      <c r="P1212" s="13">
        <v>62</v>
      </c>
      <c r="Q1212" s="13">
        <v>0</v>
      </c>
      <c r="R1212" s="14">
        <v>1550</v>
      </c>
      <c r="S1212" s="15">
        <v>0</v>
      </c>
      <c r="T1212" s="15">
        <v>0</v>
      </c>
      <c r="U1212" s="15">
        <v>1550</v>
      </c>
      <c r="V1212" s="15">
        <v>0</v>
      </c>
      <c r="W1212" s="15">
        <v>1550</v>
      </c>
      <c r="X1212" s="15">
        <v>0</v>
      </c>
      <c r="Y1212" s="16">
        <v>0</v>
      </c>
      <c r="Z1212" s="67" t="s">
        <v>26</v>
      </c>
      <c r="AA1212" s="12" t="s">
        <v>31</v>
      </c>
    </row>
    <row r="1213" spans="1:27" x14ac:dyDescent="0.25">
      <c r="A1213" s="10">
        <v>45677</v>
      </c>
      <c r="B1213" s="11" t="s">
        <v>2892</v>
      </c>
      <c r="C1213" s="11" t="s">
        <v>2893</v>
      </c>
      <c r="D1213" s="11" t="s">
        <v>26</v>
      </c>
      <c r="E1213" s="11" t="s">
        <v>49</v>
      </c>
      <c r="F1213" s="11" t="s">
        <v>26</v>
      </c>
      <c r="G1213" s="11">
        <v>1563</v>
      </c>
      <c r="H1213" s="12" t="s">
        <v>45</v>
      </c>
      <c r="I1213" s="12" t="s">
        <v>27</v>
      </c>
      <c r="J1213" s="12" t="s">
        <v>42</v>
      </c>
      <c r="K1213" s="12" t="s">
        <v>43</v>
      </c>
      <c r="L1213" s="13">
        <v>42.84</v>
      </c>
      <c r="M1213" s="13">
        <v>25</v>
      </c>
      <c r="N1213" s="13">
        <v>1.7136</v>
      </c>
      <c r="O1213" s="13" t="s">
        <v>30</v>
      </c>
      <c r="P1213" s="13">
        <v>62</v>
      </c>
      <c r="Q1213" s="13">
        <v>0</v>
      </c>
      <c r="R1213" s="14">
        <v>1550</v>
      </c>
      <c r="S1213" s="15">
        <v>0</v>
      </c>
      <c r="T1213" s="15">
        <v>0</v>
      </c>
      <c r="U1213" s="15">
        <v>1550</v>
      </c>
      <c r="V1213" s="15">
        <v>0</v>
      </c>
      <c r="W1213" s="15">
        <v>1550</v>
      </c>
      <c r="X1213" s="15">
        <v>0</v>
      </c>
      <c r="Y1213" s="16">
        <v>0</v>
      </c>
      <c r="Z1213" s="67" t="s">
        <v>26</v>
      </c>
      <c r="AA1213" s="12" t="s">
        <v>31</v>
      </c>
    </row>
    <row r="1214" spans="1:27" x14ac:dyDescent="0.25">
      <c r="A1214" s="10">
        <v>45677</v>
      </c>
      <c r="B1214" s="11" t="s">
        <v>2734</v>
      </c>
      <c r="C1214" s="11" t="s">
        <v>2894</v>
      </c>
      <c r="D1214" s="11" t="s">
        <v>26</v>
      </c>
      <c r="E1214" s="11" t="s">
        <v>244</v>
      </c>
      <c r="F1214" s="11" t="s">
        <v>26</v>
      </c>
      <c r="G1214" s="11">
        <v>955</v>
      </c>
      <c r="H1214" s="12" t="s">
        <v>141</v>
      </c>
      <c r="I1214" s="12" t="s">
        <v>37</v>
      </c>
      <c r="J1214" s="12" t="s">
        <v>599</v>
      </c>
      <c r="K1214" s="12" t="s">
        <v>82</v>
      </c>
      <c r="L1214" s="13">
        <v>40.119999999999997</v>
      </c>
      <c r="M1214" s="13">
        <v>25</v>
      </c>
      <c r="N1214" s="13">
        <v>1.6048</v>
      </c>
      <c r="O1214" s="13">
        <v>29</v>
      </c>
      <c r="P1214" s="13" t="s">
        <v>30</v>
      </c>
      <c r="Q1214" s="13">
        <v>0</v>
      </c>
      <c r="R1214" s="15">
        <v>1163.48</v>
      </c>
      <c r="S1214" s="15">
        <v>0</v>
      </c>
      <c r="T1214" s="15">
        <v>0</v>
      </c>
      <c r="U1214" s="15">
        <v>1163.48</v>
      </c>
      <c r="V1214" s="15">
        <v>0</v>
      </c>
      <c r="W1214" s="15">
        <v>1163.48</v>
      </c>
      <c r="X1214" s="15">
        <v>0</v>
      </c>
      <c r="Y1214" s="16">
        <v>0</v>
      </c>
      <c r="Z1214" s="67" t="s">
        <v>26</v>
      </c>
      <c r="AA1214" s="12" t="s">
        <v>31</v>
      </c>
    </row>
    <row r="1215" spans="1:27" x14ac:dyDescent="0.25">
      <c r="A1215" s="10">
        <v>45677</v>
      </c>
      <c r="B1215" s="11" t="s">
        <v>2895</v>
      </c>
      <c r="C1215" s="11" t="s">
        <v>2896</v>
      </c>
      <c r="D1215" s="11" t="s">
        <v>26</v>
      </c>
      <c r="E1215" s="11" t="s">
        <v>604</v>
      </c>
      <c r="F1215" s="11" t="s">
        <v>26</v>
      </c>
      <c r="G1215" s="11">
        <v>1105</v>
      </c>
      <c r="H1215" s="12" t="s">
        <v>141</v>
      </c>
      <c r="I1215" s="12" t="s">
        <v>37</v>
      </c>
      <c r="J1215" s="12" t="s">
        <v>599</v>
      </c>
      <c r="K1215" s="12" t="s">
        <v>82</v>
      </c>
      <c r="L1215" s="13">
        <v>39.619999999999997</v>
      </c>
      <c r="M1215" s="13">
        <v>25</v>
      </c>
      <c r="N1215" s="13">
        <v>1.5848</v>
      </c>
      <c r="O1215" s="13">
        <v>29</v>
      </c>
      <c r="P1215" s="13" t="s">
        <v>30</v>
      </c>
      <c r="Q1215" s="13">
        <v>0</v>
      </c>
      <c r="R1215" s="15">
        <v>1148.98</v>
      </c>
      <c r="S1215" s="15">
        <v>0</v>
      </c>
      <c r="T1215" s="15">
        <v>0</v>
      </c>
      <c r="U1215" s="15">
        <v>1148.98</v>
      </c>
      <c r="V1215" s="15">
        <v>0</v>
      </c>
      <c r="W1215" s="15">
        <v>1148.98</v>
      </c>
      <c r="X1215" s="15">
        <v>0</v>
      </c>
      <c r="Y1215" s="16">
        <v>0</v>
      </c>
      <c r="Z1215" s="67" t="s">
        <v>26</v>
      </c>
      <c r="AA1215" s="12" t="s">
        <v>31</v>
      </c>
    </row>
    <row r="1216" spans="1:27" x14ac:dyDescent="0.25">
      <c r="A1216" s="10">
        <v>45677</v>
      </c>
      <c r="B1216" s="11" t="s">
        <v>1066</v>
      </c>
      <c r="C1216" s="11" t="s">
        <v>2897</v>
      </c>
      <c r="D1216" s="11" t="s">
        <v>26</v>
      </c>
      <c r="E1216" s="11" t="s">
        <v>658</v>
      </c>
      <c r="F1216" s="11" t="s">
        <v>26</v>
      </c>
      <c r="G1216" s="11">
        <v>857</v>
      </c>
      <c r="H1216" s="12" t="s">
        <v>141</v>
      </c>
      <c r="I1216" s="12" t="s">
        <v>37</v>
      </c>
      <c r="J1216" s="12" t="s">
        <v>599</v>
      </c>
      <c r="K1216" s="12" t="s">
        <v>82</v>
      </c>
      <c r="L1216" s="13">
        <v>40.659999999999997</v>
      </c>
      <c r="M1216" s="13">
        <v>25</v>
      </c>
      <c r="N1216" s="13">
        <v>1.6264000000000001</v>
      </c>
      <c r="O1216" s="13">
        <v>29</v>
      </c>
      <c r="P1216" s="13" t="s">
        <v>30</v>
      </c>
      <c r="Q1216" s="13">
        <v>0</v>
      </c>
      <c r="R1216" s="15">
        <v>1179.1399999999999</v>
      </c>
      <c r="S1216" s="15">
        <v>0</v>
      </c>
      <c r="T1216" s="15">
        <v>0</v>
      </c>
      <c r="U1216" s="15">
        <v>1179.1399999999999</v>
      </c>
      <c r="V1216" s="15">
        <v>0</v>
      </c>
      <c r="W1216" s="15">
        <v>1179.1399999999999</v>
      </c>
      <c r="X1216" s="15">
        <v>0</v>
      </c>
      <c r="Y1216" s="16">
        <v>0</v>
      </c>
      <c r="Z1216" s="67" t="s">
        <v>26</v>
      </c>
      <c r="AA1216" s="12" t="s">
        <v>31</v>
      </c>
    </row>
    <row r="1217" spans="1:27" x14ac:dyDescent="0.25">
      <c r="A1217" s="10">
        <v>45677</v>
      </c>
      <c r="B1217" s="11" t="s">
        <v>2898</v>
      </c>
      <c r="C1217" s="11" t="s">
        <v>2899</v>
      </c>
      <c r="D1217" s="11" t="s">
        <v>26</v>
      </c>
      <c r="E1217" s="11" t="s">
        <v>246</v>
      </c>
      <c r="F1217" s="11" t="s">
        <v>26</v>
      </c>
      <c r="G1217" s="11">
        <v>2956</v>
      </c>
      <c r="H1217" s="12" t="s">
        <v>41</v>
      </c>
      <c r="I1217" s="12" t="s">
        <v>55</v>
      </c>
      <c r="J1217" s="12" t="s">
        <v>55</v>
      </c>
      <c r="K1217" s="12" t="s">
        <v>56</v>
      </c>
      <c r="L1217" s="13">
        <v>37.36</v>
      </c>
      <c r="M1217" s="13">
        <v>25</v>
      </c>
      <c r="N1217" s="13">
        <v>1.4944</v>
      </c>
      <c r="O1217" s="13" t="s">
        <v>30</v>
      </c>
      <c r="P1217" s="13">
        <v>24</v>
      </c>
      <c r="Q1217" s="13">
        <v>0</v>
      </c>
      <c r="R1217" s="14">
        <v>600</v>
      </c>
      <c r="S1217" s="15">
        <v>0</v>
      </c>
      <c r="T1217" s="15">
        <v>0</v>
      </c>
      <c r="U1217" s="15">
        <v>600</v>
      </c>
      <c r="V1217" s="15">
        <v>0</v>
      </c>
      <c r="W1217" s="15">
        <v>600</v>
      </c>
      <c r="X1217" s="15">
        <v>0</v>
      </c>
      <c r="Y1217" s="16">
        <v>0</v>
      </c>
      <c r="Z1217" s="67" t="s">
        <v>26</v>
      </c>
      <c r="AA1217" s="12" t="s">
        <v>31</v>
      </c>
    </row>
    <row r="1218" spans="1:27" x14ac:dyDescent="0.25">
      <c r="A1218" s="10">
        <v>45677</v>
      </c>
      <c r="B1218" s="11" t="s">
        <v>2900</v>
      </c>
      <c r="C1218" s="11" t="s">
        <v>2901</v>
      </c>
      <c r="D1218" s="11" t="s">
        <v>26</v>
      </c>
      <c r="E1218" s="11" t="s">
        <v>539</v>
      </c>
      <c r="F1218" s="11" t="s">
        <v>26</v>
      </c>
      <c r="G1218" s="11">
        <v>3809</v>
      </c>
      <c r="H1218" s="12" t="s">
        <v>41</v>
      </c>
      <c r="I1218" s="12" t="s">
        <v>55</v>
      </c>
      <c r="J1218" s="12" t="s">
        <v>55</v>
      </c>
      <c r="K1218" s="12" t="s">
        <v>56</v>
      </c>
      <c r="L1218" s="13">
        <v>39.26</v>
      </c>
      <c r="M1218" s="13">
        <v>25</v>
      </c>
      <c r="N1218" s="13">
        <v>1.5704</v>
      </c>
      <c r="O1218" s="13" t="s">
        <v>30</v>
      </c>
      <c r="P1218" s="13">
        <v>24</v>
      </c>
      <c r="Q1218" s="13">
        <v>0</v>
      </c>
      <c r="R1218" s="14">
        <v>600</v>
      </c>
      <c r="S1218" s="15">
        <v>0</v>
      </c>
      <c r="T1218" s="15">
        <v>0</v>
      </c>
      <c r="U1218" s="15">
        <v>600</v>
      </c>
      <c r="V1218" s="15">
        <v>0</v>
      </c>
      <c r="W1218" s="15">
        <v>600</v>
      </c>
      <c r="X1218" s="15">
        <v>0</v>
      </c>
      <c r="Y1218" s="16">
        <v>0</v>
      </c>
      <c r="Z1218" s="67" t="s">
        <v>26</v>
      </c>
      <c r="AA1218" s="12" t="s">
        <v>31</v>
      </c>
    </row>
    <row r="1219" spans="1:27" x14ac:dyDescent="0.25">
      <c r="A1219" s="10">
        <v>45677</v>
      </c>
      <c r="B1219" s="11" t="s">
        <v>355</v>
      </c>
      <c r="C1219" s="11" t="s">
        <v>2902</v>
      </c>
      <c r="D1219" s="11" t="s">
        <v>26</v>
      </c>
      <c r="E1219" s="11" t="s">
        <v>1200</v>
      </c>
      <c r="F1219" s="11" t="s">
        <v>26</v>
      </c>
      <c r="G1219" s="11">
        <v>996</v>
      </c>
      <c r="H1219" s="12" t="s">
        <v>163</v>
      </c>
      <c r="I1219" s="12" t="s">
        <v>27</v>
      </c>
      <c r="J1219" s="12" t="s">
        <v>42</v>
      </c>
      <c r="K1219" s="12" t="s">
        <v>43</v>
      </c>
      <c r="L1219" s="13">
        <v>42.84</v>
      </c>
      <c r="M1219" s="13">
        <v>25</v>
      </c>
      <c r="N1219" s="13">
        <v>1.7136</v>
      </c>
      <c r="O1219" s="13" t="s">
        <v>30</v>
      </c>
      <c r="P1219" s="13">
        <v>56</v>
      </c>
      <c r="Q1219" s="13">
        <v>0</v>
      </c>
      <c r="R1219" s="14">
        <v>1400</v>
      </c>
      <c r="S1219" s="15">
        <v>0</v>
      </c>
      <c r="T1219" s="15">
        <v>0</v>
      </c>
      <c r="U1219" s="15">
        <v>1400</v>
      </c>
      <c r="V1219" s="15">
        <v>0</v>
      </c>
      <c r="W1219" s="15">
        <v>1400</v>
      </c>
      <c r="X1219" s="15">
        <v>0</v>
      </c>
      <c r="Y1219" s="16">
        <v>0</v>
      </c>
      <c r="Z1219" s="67" t="s">
        <v>26</v>
      </c>
      <c r="AA1219" s="12" t="s">
        <v>31</v>
      </c>
    </row>
    <row r="1220" spans="1:27" x14ac:dyDescent="0.25">
      <c r="A1220" s="10">
        <v>45677</v>
      </c>
      <c r="B1220" s="11" t="s">
        <v>463</v>
      </c>
      <c r="C1220" s="11" t="s">
        <v>2903</v>
      </c>
      <c r="D1220" s="11" t="s">
        <v>26</v>
      </c>
      <c r="E1220" s="11" t="s">
        <v>509</v>
      </c>
      <c r="F1220" s="11" t="s">
        <v>26</v>
      </c>
      <c r="G1220" s="11">
        <v>1306</v>
      </c>
      <c r="H1220" s="12" t="s">
        <v>141</v>
      </c>
      <c r="I1220" s="12" t="s">
        <v>37</v>
      </c>
      <c r="J1220" s="12" t="s">
        <v>599</v>
      </c>
      <c r="K1220" s="12" t="s">
        <v>82</v>
      </c>
      <c r="L1220" s="13">
        <v>41.28</v>
      </c>
      <c r="M1220" s="13">
        <v>25</v>
      </c>
      <c r="N1220" s="13">
        <v>1.6512</v>
      </c>
      <c r="O1220" s="13">
        <v>29</v>
      </c>
      <c r="P1220" s="13" t="s">
        <v>30</v>
      </c>
      <c r="Q1220" s="13">
        <v>0</v>
      </c>
      <c r="R1220" s="14">
        <v>1197.1200000000001</v>
      </c>
      <c r="S1220" s="15">
        <v>0</v>
      </c>
      <c r="T1220" s="15">
        <v>0</v>
      </c>
      <c r="U1220" s="15">
        <v>1197.1200000000001</v>
      </c>
      <c r="V1220" s="15">
        <v>0</v>
      </c>
      <c r="W1220" s="15">
        <v>1197.1200000000001</v>
      </c>
      <c r="X1220" s="15">
        <v>0</v>
      </c>
      <c r="Y1220" s="16">
        <v>0</v>
      </c>
      <c r="Z1220" s="67" t="s">
        <v>26</v>
      </c>
      <c r="AA1220" s="12" t="s">
        <v>31</v>
      </c>
    </row>
    <row r="1221" spans="1:27" x14ac:dyDescent="0.25">
      <c r="A1221" s="10">
        <v>45677</v>
      </c>
      <c r="B1221" s="11" t="s">
        <v>2904</v>
      </c>
      <c r="C1221" s="11" t="s">
        <v>2905</v>
      </c>
      <c r="D1221" s="11" t="s">
        <v>26</v>
      </c>
      <c r="E1221" s="11" t="s">
        <v>505</v>
      </c>
      <c r="F1221" s="11" t="s">
        <v>26</v>
      </c>
      <c r="G1221" s="11">
        <v>1253</v>
      </c>
      <c r="H1221" s="12" t="s">
        <v>141</v>
      </c>
      <c r="I1221" s="12" t="s">
        <v>37</v>
      </c>
      <c r="J1221" s="12" t="s">
        <v>599</v>
      </c>
      <c r="K1221" s="12" t="s">
        <v>82</v>
      </c>
      <c r="L1221" s="13">
        <v>39.54</v>
      </c>
      <c r="M1221" s="13">
        <v>25</v>
      </c>
      <c r="N1221" s="13">
        <v>1.5815999999999999</v>
      </c>
      <c r="O1221" s="13">
        <v>29</v>
      </c>
      <c r="P1221" s="13" t="s">
        <v>30</v>
      </c>
      <c r="Q1221" s="13">
        <v>0</v>
      </c>
      <c r="R1221" s="14">
        <v>1146.6600000000001</v>
      </c>
      <c r="S1221" s="15">
        <v>0</v>
      </c>
      <c r="T1221" s="15">
        <v>0</v>
      </c>
      <c r="U1221" s="15">
        <v>1146.6600000000001</v>
      </c>
      <c r="V1221" s="15">
        <v>0</v>
      </c>
      <c r="W1221" s="15">
        <v>1146.6600000000001</v>
      </c>
      <c r="X1221" s="15">
        <v>0</v>
      </c>
      <c r="Y1221" s="16">
        <v>0</v>
      </c>
      <c r="Z1221" s="67" t="s">
        <v>26</v>
      </c>
      <c r="AA1221" s="12" t="s">
        <v>31</v>
      </c>
    </row>
    <row r="1222" spans="1:27" x14ac:dyDescent="0.25">
      <c r="A1222" s="10">
        <v>45677</v>
      </c>
      <c r="B1222" s="11" t="s">
        <v>309</v>
      </c>
      <c r="C1222" s="11" t="s">
        <v>2906</v>
      </c>
      <c r="D1222" s="11" t="s">
        <v>26</v>
      </c>
      <c r="E1222" s="11" t="s">
        <v>506</v>
      </c>
      <c r="F1222" s="11" t="s">
        <v>26</v>
      </c>
      <c r="G1222" s="11">
        <v>1521</v>
      </c>
      <c r="H1222" s="12" t="s">
        <v>45</v>
      </c>
      <c r="I1222" s="12" t="s">
        <v>27</v>
      </c>
      <c r="J1222" s="12" t="s">
        <v>33</v>
      </c>
      <c r="K1222" s="12" t="s">
        <v>34</v>
      </c>
      <c r="L1222" s="13">
        <v>38.299999999999997</v>
      </c>
      <c r="M1222" s="13">
        <v>25</v>
      </c>
      <c r="N1222" s="13">
        <v>1.532</v>
      </c>
      <c r="O1222" s="13" t="s">
        <v>30</v>
      </c>
      <c r="P1222" s="13">
        <v>58</v>
      </c>
      <c r="Q1222" s="13">
        <v>0</v>
      </c>
      <c r="R1222" s="14">
        <v>1450</v>
      </c>
      <c r="S1222" s="15">
        <v>0</v>
      </c>
      <c r="T1222" s="15">
        <v>0</v>
      </c>
      <c r="U1222" s="15">
        <v>1450</v>
      </c>
      <c r="V1222" s="15">
        <v>0</v>
      </c>
      <c r="W1222" s="15">
        <v>1450</v>
      </c>
      <c r="X1222" s="15">
        <v>0</v>
      </c>
      <c r="Y1222" s="16">
        <v>0</v>
      </c>
      <c r="Z1222" s="67" t="s">
        <v>26</v>
      </c>
      <c r="AA1222" s="12" t="s">
        <v>31</v>
      </c>
    </row>
    <row r="1223" spans="1:27" x14ac:dyDescent="0.25">
      <c r="A1223" s="10">
        <v>45677</v>
      </c>
      <c r="B1223" s="11" t="s">
        <v>2907</v>
      </c>
      <c r="C1223" s="11" t="s">
        <v>2908</v>
      </c>
      <c r="D1223" s="11" t="s">
        <v>26</v>
      </c>
      <c r="E1223" s="11" t="s">
        <v>80</v>
      </c>
      <c r="F1223" s="11" t="s">
        <v>26</v>
      </c>
      <c r="G1223" s="11">
        <v>4376</v>
      </c>
      <c r="H1223" s="12" t="s">
        <v>140</v>
      </c>
      <c r="I1223" s="12" t="s">
        <v>27</v>
      </c>
      <c r="J1223" s="12" t="s">
        <v>42</v>
      </c>
      <c r="K1223" s="12" t="s">
        <v>43</v>
      </c>
      <c r="L1223" s="13">
        <v>43.18</v>
      </c>
      <c r="M1223" s="13">
        <v>25</v>
      </c>
      <c r="N1223" s="13">
        <v>1.7272000000000001</v>
      </c>
      <c r="O1223" s="13">
        <v>35</v>
      </c>
      <c r="P1223" s="13"/>
      <c r="Q1223" s="13">
        <v>0</v>
      </c>
      <c r="R1223" s="15">
        <v>1511.3</v>
      </c>
      <c r="S1223" s="15">
        <v>0</v>
      </c>
      <c r="T1223" s="15">
        <v>0</v>
      </c>
      <c r="U1223" s="15">
        <v>1511.3</v>
      </c>
      <c r="V1223" s="15">
        <v>0</v>
      </c>
      <c r="W1223" s="15">
        <v>1511.3</v>
      </c>
      <c r="X1223" s="15">
        <v>0</v>
      </c>
      <c r="Y1223" s="16">
        <v>0</v>
      </c>
      <c r="Z1223" s="67" t="s">
        <v>26</v>
      </c>
      <c r="AA1223" s="12" t="s">
        <v>31</v>
      </c>
    </row>
    <row r="1224" spans="1:27" x14ac:dyDescent="0.25">
      <c r="A1224" s="10">
        <v>45677</v>
      </c>
      <c r="B1224" s="11" t="s">
        <v>2909</v>
      </c>
      <c r="C1224" s="11" t="s">
        <v>2910</v>
      </c>
      <c r="D1224" s="11" t="s">
        <v>26</v>
      </c>
      <c r="E1224" s="11" t="s">
        <v>81</v>
      </c>
      <c r="F1224" s="11" t="s">
        <v>26</v>
      </c>
      <c r="G1224" s="11">
        <v>1202</v>
      </c>
      <c r="H1224" s="12" t="s">
        <v>141</v>
      </c>
      <c r="I1224" s="12" t="s">
        <v>37</v>
      </c>
      <c r="J1224" s="12" t="s">
        <v>599</v>
      </c>
      <c r="K1224" s="12" t="s">
        <v>82</v>
      </c>
      <c r="L1224" s="13">
        <v>39.58</v>
      </c>
      <c r="M1224" s="13">
        <v>25</v>
      </c>
      <c r="N1224" s="13">
        <v>1.5831999999999999</v>
      </c>
      <c r="O1224" s="13">
        <v>29</v>
      </c>
      <c r="P1224" s="13" t="s">
        <v>30</v>
      </c>
      <c r="Q1224" s="13">
        <v>0</v>
      </c>
      <c r="R1224" s="15">
        <v>1147.82</v>
      </c>
      <c r="S1224" s="15">
        <v>0</v>
      </c>
      <c r="T1224" s="15">
        <v>0</v>
      </c>
      <c r="U1224" s="15">
        <v>1147.82</v>
      </c>
      <c r="V1224" s="15">
        <v>0</v>
      </c>
      <c r="W1224" s="15">
        <v>1147.82</v>
      </c>
      <c r="X1224" s="15">
        <v>0</v>
      </c>
      <c r="Y1224" s="16">
        <v>0</v>
      </c>
      <c r="Z1224" s="67" t="s">
        <v>26</v>
      </c>
      <c r="AA1224" s="12" t="s">
        <v>31</v>
      </c>
    </row>
    <row r="1225" spans="1:27" x14ac:dyDescent="0.25">
      <c r="A1225" s="10">
        <v>45677</v>
      </c>
      <c r="B1225" s="11" t="s">
        <v>360</v>
      </c>
      <c r="C1225" s="11" t="s">
        <v>2911</v>
      </c>
      <c r="D1225" s="11" t="s">
        <v>26</v>
      </c>
      <c r="E1225" s="11" t="s">
        <v>97</v>
      </c>
      <c r="F1225" s="11" t="s">
        <v>26</v>
      </c>
      <c r="G1225" s="11">
        <v>5448</v>
      </c>
      <c r="H1225" s="12" t="s">
        <v>4447</v>
      </c>
      <c r="I1225" s="12" t="s">
        <v>27</v>
      </c>
      <c r="J1225" s="12" t="s">
        <v>42</v>
      </c>
      <c r="K1225" s="12" t="s">
        <v>43</v>
      </c>
      <c r="L1225" s="13">
        <v>19.52</v>
      </c>
      <c r="M1225" s="13">
        <v>12</v>
      </c>
      <c r="N1225" s="13">
        <v>1.6266666666666669</v>
      </c>
      <c r="O1225" s="13" t="s">
        <v>30</v>
      </c>
      <c r="P1225" s="13">
        <v>65.599999999999994</v>
      </c>
      <c r="Q1225" s="13">
        <v>0</v>
      </c>
      <c r="R1225" s="15">
        <v>787.19999999999993</v>
      </c>
      <c r="S1225" s="15">
        <v>0</v>
      </c>
      <c r="T1225" s="15">
        <v>0</v>
      </c>
      <c r="U1225" s="15">
        <v>787.19999999999993</v>
      </c>
      <c r="V1225" s="15">
        <v>787.19999999999993</v>
      </c>
      <c r="W1225" s="15">
        <v>0</v>
      </c>
      <c r="X1225" s="15">
        <v>0</v>
      </c>
      <c r="Y1225" s="16">
        <v>0</v>
      </c>
      <c r="Z1225" s="67" t="s">
        <v>26</v>
      </c>
      <c r="AA1225" s="12" t="s">
        <v>31</v>
      </c>
    </row>
    <row r="1226" spans="1:27" x14ac:dyDescent="0.25">
      <c r="A1226" s="10">
        <v>45677</v>
      </c>
      <c r="B1226" s="11" t="s">
        <v>1710</v>
      </c>
      <c r="C1226" s="11" t="s">
        <v>2912</v>
      </c>
      <c r="D1226" s="11" t="s">
        <v>26</v>
      </c>
      <c r="E1226" s="11" t="s">
        <v>59</v>
      </c>
      <c r="F1226" s="11" t="s">
        <v>26</v>
      </c>
      <c r="G1226" s="11">
        <v>112142</v>
      </c>
      <c r="H1226" s="12" t="s">
        <v>4446</v>
      </c>
      <c r="I1226" s="12" t="s">
        <v>27</v>
      </c>
      <c r="J1226" s="12" t="s">
        <v>42</v>
      </c>
      <c r="K1226" s="12" t="s">
        <v>43</v>
      </c>
      <c r="L1226" s="13">
        <v>39.159999999999997</v>
      </c>
      <c r="M1226" s="13">
        <v>25</v>
      </c>
      <c r="N1226" s="13">
        <v>1.5664</v>
      </c>
      <c r="O1226" s="13">
        <v>42</v>
      </c>
      <c r="P1226" s="13" t="s">
        <v>30</v>
      </c>
      <c r="Q1226" s="13">
        <v>0</v>
      </c>
      <c r="R1226" s="15">
        <v>1644.7199999999998</v>
      </c>
      <c r="S1226" s="15">
        <v>0</v>
      </c>
      <c r="T1226" s="15">
        <v>0</v>
      </c>
      <c r="U1226" s="15">
        <v>1644.7199999999998</v>
      </c>
      <c r="V1226" s="15">
        <v>1644.7199999999998</v>
      </c>
      <c r="W1226" s="15">
        <v>0</v>
      </c>
      <c r="X1226" s="15">
        <v>0</v>
      </c>
      <c r="Y1226" s="16">
        <v>0</v>
      </c>
      <c r="Z1226" s="67" t="s">
        <v>26</v>
      </c>
      <c r="AA1226" s="12" t="s">
        <v>31</v>
      </c>
    </row>
    <row r="1227" spans="1:27" x14ac:dyDescent="0.25">
      <c r="A1227" s="10">
        <v>45677</v>
      </c>
      <c r="B1227" s="11" t="s">
        <v>693</v>
      </c>
      <c r="C1227" s="11" t="s">
        <v>2913</v>
      </c>
      <c r="D1227" s="11" t="s">
        <v>26</v>
      </c>
      <c r="E1227" s="11" t="s">
        <v>325</v>
      </c>
      <c r="F1227" s="11" t="s">
        <v>26</v>
      </c>
      <c r="G1227" s="11" t="s">
        <v>35</v>
      </c>
      <c r="H1227" s="12" t="s">
        <v>36</v>
      </c>
      <c r="I1227" s="12" t="s">
        <v>27</v>
      </c>
      <c r="J1227" s="12" t="s">
        <v>42</v>
      </c>
      <c r="K1227" s="12" t="s">
        <v>43</v>
      </c>
      <c r="L1227" s="13">
        <v>6.58</v>
      </c>
      <c r="M1227" s="13">
        <v>4</v>
      </c>
      <c r="N1227" s="13">
        <v>1.645</v>
      </c>
      <c r="O1227" s="13">
        <v>45</v>
      </c>
      <c r="P1227" s="13" t="s">
        <v>30</v>
      </c>
      <c r="Q1227" s="13">
        <v>0</v>
      </c>
      <c r="R1227" s="14">
        <v>296.10000000000002</v>
      </c>
      <c r="S1227" s="15">
        <v>0</v>
      </c>
      <c r="T1227" s="15">
        <v>0</v>
      </c>
      <c r="U1227" s="15">
        <v>296.10000000000002</v>
      </c>
      <c r="V1227" s="15">
        <v>0</v>
      </c>
      <c r="W1227" s="15">
        <v>296.10000000000002</v>
      </c>
      <c r="X1227" s="15">
        <v>0</v>
      </c>
      <c r="Y1227" s="16">
        <v>0</v>
      </c>
      <c r="Z1227" s="67" t="s">
        <v>26</v>
      </c>
      <c r="AA1227" s="12" t="s">
        <v>31</v>
      </c>
    </row>
    <row r="1228" spans="1:27" x14ac:dyDescent="0.25">
      <c r="A1228" s="10">
        <v>45677</v>
      </c>
      <c r="B1228" s="11" t="s">
        <v>324</v>
      </c>
      <c r="C1228" s="11" t="s">
        <v>2914</v>
      </c>
      <c r="D1228" s="11" t="s">
        <v>26</v>
      </c>
      <c r="E1228" s="11" t="s">
        <v>179</v>
      </c>
      <c r="F1228" s="11" t="s">
        <v>26</v>
      </c>
      <c r="G1228" s="11">
        <v>57732</v>
      </c>
      <c r="H1228" s="12" t="s">
        <v>4423</v>
      </c>
      <c r="I1228" s="12" t="s">
        <v>27</v>
      </c>
      <c r="J1228" s="12" t="s">
        <v>33</v>
      </c>
      <c r="K1228" s="12" t="s">
        <v>34</v>
      </c>
      <c r="L1228" s="13">
        <v>37.1</v>
      </c>
      <c r="M1228" s="13">
        <v>25</v>
      </c>
      <c r="N1228" s="13">
        <v>1.484</v>
      </c>
      <c r="O1228" s="13">
        <v>45</v>
      </c>
      <c r="P1228" s="13" t="s">
        <v>30</v>
      </c>
      <c r="Q1228" s="13">
        <v>0</v>
      </c>
      <c r="R1228" s="14">
        <v>1669.5</v>
      </c>
      <c r="S1228" s="15">
        <v>0</v>
      </c>
      <c r="T1228" s="15">
        <v>0</v>
      </c>
      <c r="U1228" s="15">
        <v>1669.5</v>
      </c>
      <c r="V1228" s="15">
        <v>1669.5</v>
      </c>
      <c r="W1228" s="15">
        <v>0</v>
      </c>
      <c r="X1228" s="15">
        <v>0</v>
      </c>
      <c r="Y1228" s="16">
        <v>0</v>
      </c>
      <c r="Z1228" s="67" t="s">
        <v>26</v>
      </c>
      <c r="AA1228" s="12" t="s">
        <v>31</v>
      </c>
    </row>
    <row r="1229" spans="1:27" x14ac:dyDescent="0.25">
      <c r="A1229" s="10">
        <v>45677</v>
      </c>
      <c r="B1229" s="11" t="s">
        <v>289</v>
      </c>
      <c r="C1229" s="11" t="s">
        <v>2915</v>
      </c>
      <c r="D1229" s="11" t="s">
        <v>26</v>
      </c>
      <c r="E1229" s="11" t="s">
        <v>240</v>
      </c>
      <c r="F1229" s="11" t="s">
        <v>26</v>
      </c>
      <c r="G1229" s="11">
        <v>2927</v>
      </c>
      <c r="H1229" s="12" t="s">
        <v>41</v>
      </c>
      <c r="I1229" s="12" t="s">
        <v>55</v>
      </c>
      <c r="J1229" s="12" t="s">
        <v>55</v>
      </c>
      <c r="K1229" s="12" t="s">
        <v>56</v>
      </c>
      <c r="L1229" s="13">
        <v>39.08</v>
      </c>
      <c r="M1229" s="13">
        <v>24</v>
      </c>
      <c r="N1229" s="13">
        <v>1.628333333333333</v>
      </c>
      <c r="O1229" s="13" t="s">
        <v>30</v>
      </c>
      <c r="P1229" s="13">
        <v>24</v>
      </c>
      <c r="Q1229" s="13">
        <v>0</v>
      </c>
      <c r="R1229" s="15">
        <v>576</v>
      </c>
      <c r="S1229" s="15">
        <v>0</v>
      </c>
      <c r="T1229" s="15">
        <v>0</v>
      </c>
      <c r="U1229" s="15">
        <v>576</v>
      </c>
      <c r="V1229" s="15">
        <v>0</v>
      </c>
      <c r="W1229" s="15">
        <v>576</v>
      </c>
      <c r="X1229" s="15">
        <v>0</v>
      </c>
      <c r="Y1229" s="16">
        <v>0</v>
      </c>
      <c r="Z1229" s="67" t="s">
        <v>26</v>
      </c>
      <c r="AA1229" s="12" t="s">
        <v>31</v>
      </c>
    </row>
    <row r="1230" spans="1:27" x14ac:dyDescent="0.25">
      <c r="A1230" s="10">
        <v>45677</v>
      </c>
      <c r="B1230" s="11" t="s">
        <v>2916</v>
      </c>
      <c r="C1230" s="11" t="s">
        <v>2917</v>
      </c>
      <c r="D1230" s="11" t="s">
        <v>26</v>
      </c>
      <c r="E1230" s="11" t="s">
        <v>243</v>
      </c>
      <c r="F1230" s="11" t="s">
        <v>26</v>
      </c>
      <c r="G1230" s="11" t="s">
        <v>35</v>
      </c>
      <c r="H1230" s="12" t="s">
        <v>36</v>
      </c>
      <c r="I1230" s="12" t="s">
        <v>55</v>
      </c>
      <c r="J1230" s="12" t="s">
        <v>55</v>
      </c>
      <c r="K1230" s="12" t="s">
        <v>56</v>
      </c>
      <c r="L1230" s="13">
        <v>9.1199999999999992</v>
      </c>
      <c r="M1230" s="13">
        <v>6</v>
      </c>
      <c r="N1230" s="13">
        <v>1.52</v>
      </c>
      <c r="O1230" s="13">
        <v>20</v>
      </c>
      <c r="P1230" s="13" t="s">
        <v>30</v>
      </c>
      <c r="Q1230" s="13">
        <v>0</v>
      </c>
      <c r="R1230" s="15">
        <v>182.39999999999998</v>
      </c>
      <c r="S1230" s="15">
        <v>0</v>
      </c>
      <c r="T1230" s="15">
        <v>0</v>
      </c>
      <c r="U1230" s="15">
        <v>182.39999999999998</v>
      </c>
      <c r="V1230" s="15">
        <v>0</v>
      </c>
      <c r="W1230" s="15">
        <v>182.39999999999998</v>
      </c>
      <c r="X1230" s="15">
        <v>0</v>
      </c>
      <c r="Y1230" s="16">
        <v>0</v>
      </c>
      <c r="Z1230" s="67" t="s">
        <v>26</v>
      </c>
      <c r="AA1230" s="12" t="s">
        <v>31</v>
      </c>
    </row>
    <row r="1231" spans="1:27" x14ac:dyDescent="0.25">
      <c r="A1231" s="10">
        <v>45677</v>
      </c>
      <c r="B1231" s="11" t="s">
        <v>135</v>
      </c>
      <c r="C1231" s="11" t="s">
        <v>2918</v>
      </c>
      <c r="D1231" s="11" t="s">
        <v>26</v>
      </c>
      <c r="E1231" s="11" t="s">
        <v>570</v>
      </c>
      <c r="F1231" s="11" t="s">
        <v>26</v>
      </c>
      <c r="G1231" s="11">
        <v>10328</v>
      </c>
      <c r="H1231" s="12" t="s">
        <v>140</v>
      </c>
      <c r="I1231" s="12" t="s">
        <v>27</v>
      </c>
      <c r="J1231" s="12" t="s">
        <v>42</v>
      </c>
      <c r="K1231" s="12" t="s">
        <v>43</v>
      </c>
      <c r="L1231" s="13">
        <v>42.56</v>
      </c>
      <c r="M1231" s="13">
        <v>25</v>
      </c>
      <c r="N1231" s="13">
        <v>1.7023999999999999</v>
      </c>
      <c r="O1231" s="13">
        <v>35</v>
      </c>
      <c r="P1231" s="13"/>
      <c r="Q1231" s="13">
        <v>0</v>
      </c>
      <c r="R1231" s="15">
        <v>1489.6000000000001</v>
      </c>
      <c r="S1231" s="15">
        <v>0</v>
      </c>
      <c r="T1231" s="15">
        <v>0</v>
      </c>
      <c r="U1231" s="15">
        <v>1489.6000000000001</v>
      </c>
      <c r="V1231" s="15">
        <v>0</v>
      </c>
      <c r="W1231" s="15">
        <v>1489.6000000000001</v>
      </c>
      <c r="X1231" s="15">
        <v>0</v>
      </c>
      <c r="Y1231" s="16">
        <v>0</v>
      </c>
      <c r="Z1231" s="67" t="s">
        <v>26</v>
      </c>
      <c r="AA1231" s="12" t="s">
        <v>31</v>
      </c>
    </row>
    <row r="1232" spans="1:27" x14ac:dyDescent="0.25">
      <c r="A1232" s="10">
        <v>45677</v>
      </c>
      <c r="B1232" s="11" t="s">
        <v>2919</v>
      </c>
      <c r="C1232" s="11" t="s">
        <v>2920</v>
      </c>
      <c r="D1232" s="11" t="s">
        <v>26</v>
      </c>
      <c r="E1232" s="11" t="s">
        <v>98</v>
      </c>
      <c r="F1232" s="11" t="s">
        <v>26</v>
      </c>
      <c r="G1232" s="11">
        <v>10144</v>
      </c>
      <c r="H1232" s="12" t="s">
        <v>140</v>
      </c>
      <c r="I1232" s="12" t="s">
        <v>27</v>
      </c>
      <c r="J1232" s="12" t="s">
        <v>42</v>
      </c>
      <c r="K1232" s="12" t="s">
        <v>43</v>
      </c>
      <c r="L1232" s="13">
        <v>41.24</v>
      </c>
      <c r="M1232" s="13">
        <v>25</v>
      </c>
      <c r="N1232" s="13">
        <v>1.6496</v>
      </c>
      <c r="O1232" s="13">
        <v>35</v>
      </c>
      <c r="P1232" s="13"/>
      <c r="Q1232" s="13">
        <v>0</v>
      </c>
      <c r="R1232" s="15">
        <v>1443.4</v>
      </c>
      <c r="S1232" s="15">
        <v>0</v>
      </c>
      <c r="T1232" s="15">
        <v>0</v>
      </c>
      <c r="U1232" s="15">
        <v>1443.4</v>
      </c>
      <c r="V1232" s="15">
        <v>0</v>
      </c>
      <c r="W1232" s="15">
        <v>1443.4</v>
      </c>
      <c r="X1232" s="15">
        <v>0</v>
      </c>
      <c r="Y1232" s="16">
        <v>0</v>
      </c>
      <c r="Z1232" s="67" t="s">
        <v>26</v>
      </c>
      <c r="AA1232" s="12" t="s">
        <v>31</v>
      </c>
    </row>
    <row r="1233" spans="1:27" x14ac:dyDescent="0.25">
      <c r="A1233" s="10">
        <v>45677</v>
      </c>
      <c r="B1233" s="11" t="s">
        <v>2921</v>
      </c>
      <c r="C1233" s="11" t="s">
        <v>2922</v>
      </c>
      <c r="D1233" s="11" t="s">
        <v>26</v>
      </c>
      <c r="E1233" s="11" t="s">
        <v>568</v>
      </c>
      <c r="F1233" s="11" t="s">
        <v>26</v>
      </c>
      <c r="G1233" s="11">
        <v>112255</v>
      </c>
      <c r="H1233" s="12" t="s">
        <v>4446</v>
      </c>
      <c r="I1233" s="12" t="s">
        <v>27</v>
      </c>
      <c r="J1233" s="12" t="s">
        <v>33</v>
      </c>
      <c r="K1233" s="12" t="s">
        <v>34</v>
      </c>
      <c r="L1233" s="13">
        <v>36.22</v>
      </c>
      <c r="M1233" s="13">
        <v>25</v>
      </c>
      <c r="N1233" s="13">
        <v>1.4488000000000001</v>
      </c>
      <c r="O1233" s="13">
        <v>44</v>
      </c>
      <c r="P1233" s="13" t="s">
        <v>30</v>
      </c>
      <c r="Q1233" s="13">
        <v>0</v>
      </c>
      <c r="R1233" s="14">
        <v>1593.6799999999998</v>
      </c>
      <c r="S1233" s="15">
        <v>0</v>
      </c>
      <c r="T1233" s="15">
        <v>0</v>
      </c>
      <c r="U1233" s="15">
        <v>1593.6799999999998</v>
      </c>
      <c r="V1233" s="15">
        <v>1593.6799999999998</v>
      </c>
      <c r="W1233" s="15">
        <v>0</v>
      </c>
      <c r="X1233" s="15">
        <v>0</v>
      </c>
      <c r="Y1233" s="16">
        <v>0</v>
      </c>
      <c r="Z1233" s="67" t="s">
        <v>26</v>
      </c>
      <c r="AA1233" s="12" t="s">
        <v>31</v>
      </c>
    </row>
    <row r="1234" spans="1:27" x14ac:dyDescent="0.25">
      <c r="A1234" s="10">
        <v>45677</v>
      </c>
      <c r="B1234" s="11" t="s">
        <v>456</v>
      </c>
      <c r="C1234" s="11" t="s">
        <v>2923</v>
      </c>
      <c r="D1234" s="11" t="s">
        <v>26</v>
      </c>
      <c r="E1234" s="11" t="s">
        <v>1660</v>
      </c>
      <c r="F1234" s="11" t="s">
        <v>26</v>
      </c>
      <c r="G1234" s="11">
        <v>42268</v>
      </c>
      <c r="H1234" s="12" t="s">
        <v>565</v>
      </c>
      <c r="I1234" s="12" t="s">
        <v>55</v>
      </c>
      <c r="J1234" s="12" t="s">
        <v>55</v>
      </c>
      <c r="K1234" s="12" t="s">
        <v>56</v>
      </c>
      <c r="L1234" s="13">
        <v>33.1</v>
      </c>
      <c r="M1234" s="13">
        <v>21</v>
      </c>
      <c r="N1234" s="13">
        <v>1.5761904761904759</v>
      </c>
      <c r="O1234" s="13"/>
      <c r="P1234" s="13">
        <v>24</v>
      </c>
      <c r="Q1234" s="13">
        <v>0</v>
      </c>
      <c r="R1234" s="15">
        <v>504</v>
      </c>
      <c r="S1234" s="15">
        <v>0</v>
      </c>
      <c r="T1234" s="15">
        <v>0</v>
      </c>
      <c r="U1234" s="15">
        <v>504</v>
      </c>
      <c r="V1234" s="15">
        <v>0</v>
      </c>
      <c r="W1234" s="15">
        <v>504</v>
      </c>
      <c r="X1234" s="15">
        <v>0</v>
      </c>
      <c r="Y1234" s="16">
        <v>0</v>
      </c>
      <c r="Z1234" s="67" t="s">
        <v>26</v>
      </c>
      <c r="AA1234" s="12" t="s">
        <v>31</v>
      </c>
    </row>
    <row r="1235" spans="1:27" x14ac:dyDescent="0.25">
      <c r="A1235" s="10">
        <v>45677</v>
      </c>
      <c r="B1235" s="11" t="s">
        <v>2924</v>
      </c>
      <c r="C1235" s="11" t="s">
        <v>2925</v>
      </c>
      <c r="D1235" s="11" t="s">
        <v>26</v>
      </c>
      <c r="E1235" s="11" t="s">
        <v>75</v>
      </c>
      <c r="F1235" s="11" t="s">
        <v>26</v>
      </c>
      <c r="G1235" s="11">
        <v>42024</v>
      </c>
      <c r="H1235" s="12" t="s">
        <v>565</v>
      </c>
      <c r="I1235" s="12" t="s">
        <v>55</v>
      </c>
      <c r="J1235" s="12" t="s">
        <v>55</v>
      </c>
      <c r="K1235" s="12" t="s">
        <v>56</v>
      </c>
      <c r="L1235" s="13">
        <v>39.380000000000003</v>
      </c>
      <c r="M1235" s="13">
        <v>25</v>
      </c>
      <c r="N1235" s="13">
        <v>1.5751999999999999</v>
      </c>
      <c r="O1235" s="13"/>
      <c r="P1235" s="13">
        <v>24</v>
      </c>
      <c r="Q1235" s="13">
        <v>0</v>
      </c>
      <c r="R1235" s="15">
        <v>600</v>
      </c>
      <c r="S1235" s="15">
        <v>0</v>
      </c>
      <c r="T1235" s="15">
        <v>0</v>
      </c>
      <c r="U1235" s="15">
        <v>600</v>
      </c>
      <c r="V1235" s="15">
        <v>0</v>
      </c>
      <c r="W1235" s="15">
        <v>600</v>
      </c>
      <c r="X1235" s="15">
        <v>0</v>
      </c>
      <c r="Y1235" s="16">
        <v>0</v>
      </c>
      <c r="Z1235" s="67" t="s">
        <v>26</v>
      </c>
      <c r="AA1235" s="12" t="s">
        <v>31</v>
      </c>
    </row>
    <row r="1236" spans="1:27" x14ac:dyDescent="0.25">
      <c r="A1236" s="10">
        <v>45677</v>
      </c>
      <c r="B1236" s="11" t="s">
        <v>2926</v>
      </c>
      <c r="C1236" s="11" t="s">
        <v>2927</v>
      </c>
      <c r="D1236" s="11" t="s">
        <v>26</v>
      </c>
      <c r="E1236" s="11" t="s">
        <v>50</v>
      </c>
      <c r="F1236" s="11" t="s">
        <v>26</v>
      </c>
      <c r="G1236" s="11">
        <v>642</v>
      </c>
      <c r="H1236" s="12" t="s">
        <v>163</v>
      </c>
      <c r="I1236" s="12" t="s">
        <v>27</v>
      </c>
      <c r="J1236" s="12" t="s">
        <v>47</v>
      </c>
      <c r="K1236" s="12" t="s">
        <v>48</v>
      </c>
      <c r="L1236" s="13">
        <v>36.880000000000003</v>
      </c>
      <c r="M1236" s="13">
        <v>25</v>
      </c>
      <c r="N1236" s="13">
        <v>1.4752000000000001</v>
      </c>
      <c r="O1236" s="13" t="s">
        <v>30</v>
      </c>
      <c r="P1236" s="13">
        <v>58</v>
      </c>
      <c r="Q1236" s="13">
        <v>0</v>
      </c>
      <c r="R1236" s="15">
        <v>1450</v>
      </c>
      <c r="S1236" s="15">
        <v>0</v>
      </c>
      <c r="T1236" s="15">
        <v>0</v>
      </c>
      <c r="U1236" s="15">
        <v>1450</v>
      </c>
      <c r="V1236" s="15">
        <v>0</v>
      </c>
      <c r="W1236" s="15">
        <v>1450</v>
      </c>
      <c r="X1236" s="15">
        <v>0</v>
      </c>
      <c r="Y1236" s="16">
        <v>0</v>
      </c>
      <c r="Z1236" s="67" t="s">
        <v>26</v>
      </c>
      <c r="AA1236" s="12" t="s">
        <v>31</v>
      </c>
    </row>
    <row r="1237" spans="1:27" x14ac:dyDescent="0.25">
      <c r="A1237" s="10">
        <v>45677</v>
      </c>
      <c r="B1237" s="11" t="s">
        <v>2928</v>
      </c>
      <c r="C1237" s="11" t="s">
        <v>2929</v>
      </c>
      <c r="D1237" s="11" t="s">
        <v>26</v>
      </c>
      <c r="E1237" s="11" t="s">
        <v>230</v>
      </c>
      <c r="F1237" s="11" t="s">
        <v>26</v>
      </c>
      <c r="G1237" s="11">
        <v>23142</v>
      </c>
      <c r="H1237" s="12" t="s">
        <v>565</v>
      </c>
      <c r="I1237" s="12" t="s">
        <v>55</v>
      </c>
      <c r="J1237" s="12" t="s">
        <v>55</v>
      </c>
      <c r="K1237" s="12" t="s">
        <v>56</v>
      </c>
      <c r="L1237" s="13">
        <v>39.86</v>
      </c>
      <c r="M1237" s="13">
        <v>25</v>
      </c>
      <c r="N1237" s="13">
        <v>1.5944</v>
      </c>
      <c r="O1237" s="13"/>
      <c r="P1237" s="13">
        <v>24</v>
      </c>
      <c r="Q1237" s="13">
        <v>0</v>
      </c>
      <c r="R1237" s="14">
        <v>600</v>
      </c>
      <c r="S1237" s="15">
        <v>0</v>
      </c>
      <c r="T1237" s="15">
        <v>0</v>
      </c>
      <c r="U1237" s="15">
        <v>600</v>
      </c>
      <c r="V1237" s="15">
        <v>0</v>
      </c>
      <c r="W1237" s="15">
        <v>600</v>
      </c>
      <c r="X1237" s="15">
        <v>0</v>
      </c>
      <c r="Y1237" s="16">
        <v>0</v>
      </c>
      <c r="Z1237" s="67" t="s">
        <v>26</v>
      </c>
      <c r="AA1237" s="12" t="s">
        <v>31</v>
      </c>
    </row>
    <row r="1238" spans="1:27" x14ac:dyDescent="0.25">
      <c r="A1238" s="10">
        <v>45677</v>
      </c>
      <c r="B1238" s="11" t="s">
        <v>2930</v>
      </c>
      <c r="C1238" s="11" t="s">
        <v>2931</v>
      </c>
      <c r="D1238" s="11" t="s">
        <v>26</v>
      </c>
      <c r="E1238" s="11" t="s">
        <v>1651</v>
      </c>
      <c r="F1238" s="11" t="s">
        <v>26</v>
      </c>
      <c r="G1238" s="11">
        <v>42023</v>
      </c>
      <c r="H1238" s="12" t="s">
        <v>565</v>
      </c>
      <c r="I1238" s="12" t="s">
        <v>27</v>
      </c>
      <c r="J1238" s="12" t="s">
        <v>33</v>
      </c>
      <c r="K1238" s="12" t="s">
        <v>34</v>
      </c>
      <c r="L1238" s="13">
        <v>28.7</v>
      </c>
      <c r="M1238" s="13">
        <v>20</v>
      </c>
      <c r="N1238" s="13">
        <v>1.4350000000000001</v>
      </c>
      <c r="O1238" s="13"/>
      <c r="P1238" s="13">
        <v>60</v>
      </c>
      <c r="Q1238" s="13">
        <v>0</v>
      </c>
      <c r="R1238" s="14">
        <v>1200</v>
      </c>
      <c r="S1238" s="15">
        <v>0</v>
      </c>
      <c r="T1238" s="15">
        <v>0</v>
      </c>
      <c r="U1238" s="15">
        <v>1200</v>
      </c>
      <c r="V1238" s="15">
        <v>0</v>
      </c>
      <c r="W1238" s="15">
        <v>1200</v>
      </c>
      <c r="X1238" s="15">
        <v>0</v>
      </c>
      <c r="Y1238" s="16">
        <v>0</v>
      </c>
      <c r="Z1238" s="67" t="s">
        <v>26</v>
      </c>
      <c r="AA1238" s="12" t="s">
        <v>31</v>
      </c>
    </row>
    <row r="1239" spans="1:27" x14ac:dyDescent="0.25">
      <c r="A1239" s="10">
        <v>45677</v>
      </c>
      <c r="B1239" s="11" t="s">
        <v>116</v>
      </c>
      <c r="C1239" s="11" t="s">
        <v>2932</v>
      </c>
      <c r="D1239" s="11" t="s">
        <v>26</v>
      </c>
      <c r="E1239" s="11" t="s">
        <v>65</v>
      </c>
      <c r="F1239" s="11" t="s">
        <v>26</v>
      </c>
      <c r="G1239" s="11">
        <v>1579</v>
      </c>
      <c r="H1239" s="12" t="s">
        <v>66</v>
      </c>
      <c r="I1239" s="12" t="s">
        <v>37</v>
      </c>
      <c r="J1239" s="12" t="s">
        <v>1909</v>
      </c>
      <c r="K1239" s="12" t="s">
        <v>82</v>
      </c>
      <c r="L1239" s="13">
        <v>40.64</v>
      </c>
      <c r="M1239" s="13">
        <v>25</v>
      </c>
      <c r="N1239" s="13">
        <v>1.6255999999999999</v>
      </c>
      <c r="O1239" s="13" t="s">
        <v>30</v>
      </c>
      <c r="P1239" s="13">
        <v>54</v>
      </c>
      <c r="Q1239" s="13">
        <v>0</v>
      </c>
      <c r="R1239" s="14">
        <v>1350</v>
      </c>
      <c r="S1239" s="15">
        <v>0</v>
      </c>
      <c r="T1239" s="15">
        <v>0</v>
      </c>
      <c r="U1239" s="15">
        <v>1350</v>
      </c>
      <c r="V1239" s="15">
        <v>1350</v>
      </c>
      <c r="W1239" s="15">
        <v>0</v>
      </c>
      <c r="X1239" s="15">
        <v>0</v>
      </c>
      <c r="Y1239" s="16">
        <v>0</v>
      </c>
      <c r="Z1239" s="67" t="s">
        <v>26</v>
      </c>
      <c r="AA1239" s="12" t="s">
        <v>31</v>
      </c>
    </row>
    <row r="1240" spans="1:27" x14ac:dyDescent="0.25">
      <c r="A1240" s="10">
        <v>45677</v>
      </c>
      <c r="B1240" s="11" t="s">
        <v>2933</v>
      </c>
      <c r="C1240" s="11" t="s">
        <v>2934</v>
      </c>
      <c r="D1240" s="11" t="s">
        <v>26</v>
      </c>
      <c r="E1240" s="11" t="s">
        <v>67</v>
      </c>
      <c r="F1240" s="11" t="s">
        <v>26</v>
      </c>
      <c r="G1240" s="11">
        <v>1606</v>
      </c>
      <c r="H1240" s="12" t="s">
        <v>66</v>
      </c>
      <c r="I1240" s="12" t="s">
        <v>37</v>
      </c>
      <c r="J1240" s="12" t="s">
        <v>1909</v>
      </c>
      <c r="K1240" s="12" t="s">
        <v>82</v>
      </c>
      <c r="L1240" s="13">
        <v>40.98</v>
      </c>
      <c r="M1240" s="13">
        <v>25</v>
      </c>
      <c r="N1240" s="13">
        <v>1.6392</v>
      </c>
      <c r="O1240" s="13" t="s">
        <v>30</v>
      </c>
      <c r="P1240" s="13">
        <v>54</v>
      </c>
      <c r="Q1240" s="13">
        <v>0</v>
      </c>
      <c r="R1240" s="14">
        <v>1350</v>
      </c>
      <c r="S1240" s="15">
        <v>0</v>
      </c>
      <c r="T1240" s="15">
        <v>0</v>
      </c>
      <c r="U1240" s="15">
        <v>1350</v>
      </c>
      <c r="V1240" s="15">
        <v>1350</v>
      </c>
      <c r="W1240" s="15">
        <v>0</v>
      </c>
      <c r="X1240" s="15">
        <v>0</v>
      </c>
      <c r="Y1240" s="16">
        <v>0</v>
      </c>
      <c r="Z1240" s="67" t="s">
        <v>26</v>
      </c>
      <c r="AA1240" s="12" t="s">
        <v>31</v>
      </c>
    </row>
    <row r="1241" spans="1:27" x14ac:dyDescent="0.25">
      <c r="A1241" s="10">
        <v>45677</v>
      </c>
      <c r="B1241" s="11" t="s">
        <v>2935</v>
      </c>
      <c r="C1241" s="11" t="s">
        <v>2936</v>
      </c>
      <c r="D1241" s="11" t="s">
        <v>26</v>
      </c>
      <c r="E1241" s="11" t="s">
        <v>60</v>
      </c>
      <c r="F1241" s="11" t="s">
        <v>26</v>
      </c>
      <c r="G1241" s="11" t="s">
        <v>35</v>
      </c>
      <c r="H1241" s="12" t="s">
        <v>36</v>
      </c>
      <c r="I1241" s="12" t="s">
        <v>27</v>
      </c>
      <c r="J1241" s="12" t="s">
        <v>42</v>
      </c>
      <c r="K1241" s="12" t="s">
        <v>43</v>
      </c>
      <c r="L1241" s="13">
        <v>8.86</v>
      </c>
      <c r="M1241" s="13">
        <v>6</v>
      </c>
      <c r="N1241" s="13">
        <v>1.476666666666667</v>
      </c>
      <c r="O1241" s="13">
        <v>45</v>
      </c>
      <c r="P1241" s="13" t="s">
        <v>30</v>
      </c>
      <c r="Q1241" s="13">
        <v>0</v>
      </c>
      <c r="R1241" s="14">
        <v>398.7</v>
      </c>
      <c r="S1241" s="15">
        <v>0</v>
      </c>
      <c r="T1241" s="15">
        <v>0</v>
      </c>
      <c r="U1241" s="15">
        <v>398.7</v>
      </c>
      <c r="V1241" s="15">
        <v>0</v>
      </c>
      <c r="W1241" s="15">
        <v>398.7</v>
      </c>
      <c r="X1241" s="15">
        <v>0</v>
      </c>
      <c r="Y1241" s="16">
        <v>0</v>
      </c>
      <c r="Z1241" s="67" t="s">
        <v>26</v>
      </c>
      <c r="AA1241" s="12" t="s">
        <v>31</v>
      </c>
    </row>
    <row r="1242" spans="1:27" x14ac:dyDescent="0.25">
      <c r="A1242" s="10">
        <v>45677</v>
      </c>
      <c r="B1242" s="11" t="s">
        <v>1976</v>
      </c>
      <c r="C1242" s="11" t="s">
        <v>2937</v>
      </c>
      <c r="D1242" s="11" t="s">
        <v>26</v>
      </c>
      <c r="E1242" s="11" t="s">
        <v>604</v>
      </c>
      <c r="F1242" s="11" t="s">
        <v>26</v>
      </c>
      <c r="G1242" s="11">
        <v>1106</v>
      </c>
      <c r="H1242" s="12" t="s">
        <v>141</v>
      </c>
      <c r="I1242" s="12" t="s">
        <v>27</v>
      </c>
      <c r="J1242" s="12" t="s">
        <v>33</v>
      </c>
      <c r="K1242" s="12" t="s">
        <v>34</v>
      </c>
      <c r="L1242" s="13">
        <v>39.840000000000003</v>
      </c>
      <c r="M1242" s="13">
        <v>27</v>
      </c>
      <c r="N1242" s="13">
        <v>1.475555555555556</v>
      </c>
      <c r="O1242" s="13">
        <v>40</v>
      </c>
      <c r="P1242" s="13" t="s">
        <v>30</v>
      </c>
      <c r="Q1242" s="13">
        <v>0</v>
      </c>
      <c r="R1242" s="15">
        <v>1593.6000000000001</v>
      </c>
      <c r="S1242" s="15">
        <v>0</v>
      </c>
      <c r="T1242" s="15">
        <v>0</v>
      </c>
      <c r="U1242" s="15">
        <v>1593.6000000000001</v>
      </c>
      <c r="V1242" s="15">
        <v>0</v>
      </c>
      <c r="W1242" s="15">
        <v>1593.6000000000001</v>
      </c>
      <c r="X1242" s="15">
        <v>0</v>
      </c>
      <c r="Y1242" s="16">
        <v>0</v>
      </c>
      <c r="Z1242" s="67" t="s">
        <v>26</v>
      </c>
      <c r="AA1242" s="12" t="s">
        <v>31</v>
      </c>
    </row>
    <row r="1243" spans="1:27" x14ac:dyDescent="0.25">
      <c r="A1243" s="10">
        <v>45677</v>
      </c>
      <c r="B1243" s="11" t="s">
        <v>2938</v>
      </c>
      <c r="C1243" s="11" t="s">
        <v>2939</v>
      </c>
      <c r="D1243" s="11" t="s">
        <v>26</v>
      </c>
      <c r="E1243" s="11" t="s">
        <v>87</v>
      </c>
      <c r="F1243" s="11" t="s">
        <v>26</v>
      </c>
      <c r="G1243" s="11">
        <v>32378</v>
      </c>
      <c r="H1243" s="12" t="s">
        <v>4423</v>
      </c>
      <c r="I1243" s="12" t="s">
        <v>27</v>
      </c>
      <c r="J1243" s="12" t="s">
        <v>42</v>
      </c>
      <c r="K1243" s="12" t="s">
        <v>43</v>
      </c>
      <c r="L1243" s="13">
        <v>38.94</v>
      </c>
      <c r="M1243" s="13">
        <v>25</v>
      </c>
      <c r="N1243" s="13">
        <v>1.5576000000000001</v>
      </c>
      <c r="O1243" s="13">
        <v>42</v>
      </c>
      <c r="P1243" s="13" t="s">
        <v>30</v>
      </c>
      <c r="Q1243" s="13">
        <v>0</v>
      </c>
      <c r="R1243" s="15">
        <v>1635.48</v>
      </c>
      <c r="S1243" s="15">
        <v>0</v>
      </c>
      <c r="T1243" s="15">
        <v>0</v>
      </c>
      <c r="U1243" s="15">
        <v>1635.48</v>
      </c>
      <c r="V1243" s="15">
        <v>1635.48</v>
      </c>
      <c r="W1243" s="15">
        <v>0</v>
      </c>
      <c r="X1243" s="15">
        <v>0</v>
      </c>
      <c r="Y1243" s="16">
        <v>0</v>
      </c>
      <c r="Z1243" s="67" t="s">
        <v>26</v>
      </c>
      <c r="AA1243" s="12" t="s">
        <v>31</v>
      </c>
    </row>
    <row r="1244" spans="1:27" x14ac:dyDescent="0.25">
      <c r="A1244" s="10">
        <v>45677</v>
      </c>
      <c r="B1244" s="11" t="s">
        <v>2752</v>
      </c>
      <c r="C1244" s="11" t="s">
        <v>2940</v>
      </c>
      <c r="D1244" s="11" t="s">
        <v>26</v>
      </c>
      <c r="E1244" s="11" t="s">
        <v>89</v>
      </c>
      <c r="F1244" s="11" t="s">
        <v>26</v>
      </c>
      <c r="G1244" s="11">
        <v>59999</v>
      </c>
      <c r="H1244" s="12" t="s">
        <v>4423</v>
      </c>
      <c r="I1244" s="12" t="s">
        <v>27</v>
      </c>
      <c r="J1244" s="12" t="s">
        <v>42</v>
      </c>
      <c r="K1244" s="12" t="s">
        <v>43</v>
      </c>
      <c r="L1244" s="13">
        <v>33.94</v>
      </c>
      <c r="M1244" s="13">
        <v>25</v>
      </c>
      <c r="N1244" s="13">
        <v>1.3575999999999999</v>
      </c>
      <c r="O1244" s="13">
        <v>42</v>
      </c>
      <c r="P1244" s="13" t="s">
        <v>30</v>
      </c>
      <c r="Q1244" s="13">
        <v>0</v>
      </c>
      <c r="R1244" s="15">
        <v>1425.48</v>
      </c>
      <c r="S1244" s="15">
        <v>0</v>
      </c>
      <c r="T1244" s="15">
        <v>0</v>
      </c>
      <c r="U1244" s="15">
        <v>1425.48</v>
      </c>
      <c r="V1244" s="15">
        <v>1425.48</v>
      </c>
      <c r="W1244" s="15">
        <v>0</v>
      </c>
      <c r="X1244" s="15">
        <v>0</v>
      </c>
      <c r="Y1244" s="16">
        <v>0</v>
      </c>
      <c r="Z1244" s="67" t="s">
        <v>26</v>
      </c>
      <c r="AA1244" s="12" t="s">
        <v>31</v>
      </c>
    </row>
    <row r="1245" spans="1:27" x14ac:dyDescent="0.25">
      <c r="A1245" s="10">
        <v>45677</v>
      </c>
      <c r="B1245" s="11" t="s">
        <v>2941</v>
      </c>
      <c r="C1245" s="11" t="s">
        <v>2942</v>
      </c>
      <c r="D1245" s="11" t="s">
        <v>26</v>
      </c>
      <c r="E1245" s="11" t="s">
        <v>40</v>
      </c>
      <c r="F1245" s="11" t="s">
        <v>26</v>
      </c>
      <c r="G1245" s="11">
        <v>3703</v>
      </c>
      <c r="H1245" s="12" t="s">
        <v>41</v>
      </c>
      <c r="I1245" s="12" t="s">
        <v>55</v>
      </c>
      <c r="J1245" s="12" t="s">
        <v>566</v>
      </c>
      <c r="K1245" s="12" t="s">
        <v>550</v>
      </c>
      <c r="L1245" s="13">
        <v>40.119999999999997</v>
      </c>
      <c r="M1245" s="13">
        <v>25</v>
      </c>
      <c r="N1245" s="13">
        <v>1.6048</v>
      </c>
      <c r="O1245" s="13">
        <v>25</v>
      </c>
      <c r="P1245" s="13"/>
      <c r="Q1245" s="13">
        <v>0</v>
      </c>
      <c r="R1245" s="15">
        <v>1002.9999999999999</v>
      </c>
      <c r="S1245" s="15">
        <v>0</v>
      </c>
      <c r="T1245" s="15">
        <v>0</v>
      </c>
      <c r="U1245" s="15">
        <v>1002.9999999999999</v>
      </c>
      <c r="V1245" s="15">
        <v>0</v>
      </c>
      <c r="W1245" s="15">
        <v>1002.9999999999999</v>
      </c>
      <c r="X1245" s="15">
        <v>0</v>
      </c>
      <c r="Y1245" s="16">
        <v>0</v>
      </c>
      <c r="Z1245" s="67" t="s">
        <v>26</v>
      </c>
      <c r="AA1245" s="12" t="s">
        <v>31</v>
      </c>
    </row>
    <row r="1246" spans="1:27" x14ac:dyDescent="0.25">
      <c r="A1246" s="10">
        <v>45677</v>
      </c>
      <c r="B1246" s="11" t="s">
        <v>729</v>
      </c>
      <c r="C1246" s="11" t="s">
        <v>2943</v>
      </c>
      <c r="D1246" s="11" t="s">
        <v>26</v>
      </c>
      <c r="E1246" s="11" t="s">
        <v>435</v>
      </c>
      <c r="F1246" s="11" t="s">
        <v>26</v>
      </c>
      <c r="G1246" s="11">
        <v>3507</v>
      </c>
      <c r="H1246" s="12" t="s">
        <v>41</v>
      </c>
      <c r="I1246" s="12" t="s">
        <v>55</v>
      </c>
      <c r="J1246" s="12" t="s">
        <v>55</v>
      </c>
      <c r="K1246" s="12" t="s">
        <v>56</v>
      </c>
      <c r="L1246" s="13">
        <v>37.86</v>
      </c>
      <c r="M1246" s="13">
        <v>23</v>
      </c>
      <c r="N1246" s="13">
        <v>1.6460869565217391</v>
      </c>
      <c r="O1246" s="13" t="s">
        <v>30</v>
      </c>
      <c r="P1246" s="13">
        <v>24</v>
      </c>
      <c r="Q1246" s="13">
        <v>0</v>
      </c>
      <c r="R1246" s="14">
        <v>552</v>
      </c>
      <c r="S1246" s="15">
        <v>0</v>
      </c>
      <c r="T1246" s="15">
        <v>0</v>
      </c>
      <c r="U1246" s="15">
        <v>552</v>
      </c>
      <c r="V1246" s="15">
        <v>0</v>
      </c>
      <c r="W1246" s="15">
        <v>552</v>
      </c>
      <c r="X1246" s="15">
        <v>0</v>
      </c>
      <c r="Y1246" s="16">
        <v>0</v>
      </c>
      <c r="Z1246" s="67" t="s">
        <v>26</v>
      </c>
      <c r="AA1246" s="12" t="s">
        <v>31</v>
      </c>
    </row>
    <row r="1247" spans="1:27" x14ac:dyDescent="0.25">
      <c r="A1247" s="10">
        <v>45677</v>
      </c>
      <c r="B1247" s="11" t="s">
        <v>2944</v>
      </c>
      <c r="C1247" s="11" t="s">
        <v>2945</v>
      </c>
      <c r="D1247" s="11" t="s">
        <v>26</v>
      </c>
      <c r="E1247" s="11" t="s">
        <v>593</v>
      </c>
      <c r="F1247" s="11" t="s">
        <v>26</v>
      </c>
      <c r="G1247" s="11">
        <v>59495</v>
      </c>
      <c r="H1247" s="12" t="s">
        <v>4423</v>
      </c>
      <c r="I1247" s="12" t="s">
        <v>27</v>
      </c>
      <c r="J1247" s="12" t="s">
        <v>42</v>
      </c>
      <c r="K1247" s="12" t="s">
        <v>43</v>
      </c>
      <c r="L1247" s="13">
        <v>38.200000000000003</v>
      </c>
      <c r="M1247" s="13">
        <v>25</v>
      </c>
      <c r="N1247" s="13">
        <v>1.528</v>
      </c>
      <c r="O1247" s="13">
        <v>42</v>
      </c>
      <c r="P1247" s="13" t="s">
        <v>30</v>
      </c>
      <c r="Q1247" s="13">
        <v>0</v>
      </c>
      <c r="R1247" s="15">
        <v>1604.4</v>
      </c>
      <c r="S1247" s="15">
        <v>0</v>
      </c>
      <c r="T1247" s="15">
        <v>0</v>
      </c>
      <c r="U1247" s="15">
        <v>1604.4</v>
      </c>
      <c r="V1247" s="15">
        <v>1604.4</v>
      </c>
      <c r="W1247" s="15">
        <v>0</v>
      </c>
      <c r="X1247" s="15">
        <v>0</v>
      </c>
      <c r="Y1247" s="16">
        <v>0</v>
      </c>
      <c r="Z1247" s="67" t="s">
        <v>26</v>
      </c>
      <c r="AA1247" s="12" t="s">
        <v>31</v>
      </c>
    </row>
    <row r="1248" spans="1:27" x14ac:dyDescent="0.25">
      <c r="A1248" s="10">
        <v>45677</v>
      </c>
      <c r="B1248" s="11" t="s">
        <v>2946</v>
      </c>
      <c r="C1248" s="11" t="s">
        <v>2947</v>
      </c>
      <c r="D1248" s="11" t="s">
        <v>26</v>
      </c>
      <c r="E1248" s="11" t="s">
        <v>76</v>
      </c>
      <c r="F1248" s="11" t="s">
        <v>26</v>
      </c>
      <c r="G1248" s="11">
        <v>2239</v>
      </c>
      <c r="H1248" s="12" t="s">
        <v>41</v>
      </c>
      <c r="I1248" s="12" t="s">
        <v>55</v>
      </c>
      <c r="J1248" s="12" t="s">
        <v>55</v>
      </c>
      <c r="K1248" s="12" t="s">
        <v>56</v>
      </c>
      <c r="L1248" s="13">
        <v>39.42</v>
      </c>
      <c r="M1248" s="13">
        <v>24</v>
      </c>
      <c r="N1248" s="13">
        <v>1.6425000000000001</v>
      </c>
      <c r="O1248" s="13" t="s">
        <v>30</v>
      </c>
      <c r="P1248" s="13">
        <v>24</v>
      </c>
      <c r="Q1248" s="13">
        <v>0</v>
      </c>
      <c r="R1248" s="15">
        <v>576</v>
      </c>
      <c r="S1248" s="15">
        <v>0</v>
      </c>
      <c r="T1248" s="15">
        <v>0</v>
      </c>
      <c r="U1248" s="15">
        <v>576</v>
      </c>
      <c r="V1248" s="15">
        <v>0</v>
      </c>
      <c r="W1248" s="15">
        <v>576</v>
      </c>
      <c r="X1248" s="15">
        <v>0</v>
      </c>
      <c r="Y1248" s="16">
        <v>0</v>
      </c>
      <c r="Z1248" s="67" t="s">
        <v>26</v>
      </c>
      <c r="AA1248" s="12" t="s">
        <v>31</v>
      </c>
    </row>
    <row r="1249" spans="1:27" x14ac:dyDescent="0.25">
      <c r="A1249" s="10">
        <v>45677</v>
      </c>
      <c r="B1249" s="11" t="s">
        <v>2948</v>
      </c>
      <c r="C1249" s="11" t="s">
        <v>2949</v>
      </c>
      <c r="D1249" s="11" t="s">
        <v>26</v>
      </c>
      <c r="E1249" s="11" t="s">
        <v>81</v>
      </c>
      <c r="F1249" s="11" t="s">
        <v>26</v>
      </c>
      <c r="G1249" s="11">
        <v>1053</v>
      </c>
      <c r="H1249" s="12" t="s">
        <v>141</v>
      </c>
      <c r="I1249" s="12" t="s">
        <v>27</v>
      </c>
      <c r="J1249" s="12" t="s">
        <v>33</v>
      </c>
      <c r="K1249" s="12" t="s">
        <v>34</v>
      </c>
      <c r="L1249" s="13">
        <v>39.68</v>
      </c>
      <c r="M1249" s="13">
        <v>27</v>
      </c>
      <c r="N1249" s="13">
        <v>1.4696296296296301</v>
      </c>
      <c r="O1249" s="13">
        <v>40</v>
      </c>
      <c r="P1249" s="13" t="s">
        <v>30</v>
      </c>
      <c r="Q1249" s="13">
        <v>0</v>
      </c>
      <c r="R1249" s="15">
        <v>1587.2</v>
      </c>
      <c r="S1249" s="15">
        <v>0</v>
      </c>
      <c r="T1249" s="15">
        <v>0</v>
      </c>
      <c r="U1249" s="15">
        <v>1587.2</v>
      </c>
      <c r="V1249" s="15">
        <v>0</v>
      </c>
      <c r="W1249" s="15">
        <v>1587.2</v>
      </c>
      <c r="X1249" s="15">
        <v>0</v>
      </c>
      <c r="Y1249" s="16">
        <v>0</v>
      </c>
      <c r="Z1249" s="67" t="s">
        <v>26</v>
      </c>
      <c r="AA1249" s="12" t="s">
        <v>31</v>
      </c>
    </row>
    <row r="1250" spans="1:27" x14ac:dyDescent="0.25">
      <c r="A1250" s="10">
        <v>45677</v>
      </c>
      <c r="B1250" s="11" t="s">
        <v>2950</v>
      </c>
      <c r="C1250" s="11" t="s">
        <v>2951</v>
      </c>
      <c r="D1250" s="11" t="s">
        <v>26</v>
      </c>
      <c r="E1250" s="11" t="s">
        <v>501</v>
      </c>
      <c r="F1250" s="11" t="s">
        <v>26</v>
      </c>
      <c r="G1250" s="11">
        <v>803</v>
      </c>
      <c r="H1250" s="12" t="s">
        <v>141</v>
      </c>
      <c r="I1250" s="12" t="s">
        <v>27</v>
      </c>
      <c r="J1250" s="12" t="s">
        <v>47</v>
      </c>
      <c r="K1250" s="12" t="s">
        <v>48</v>
      </c>
      <c r="L1250" s="13">
        <v>42.16</v>
      </c>
      <c r="M1250" s="13">
        <v>29</v>
      </c>
      <c r="N1250" s="13">
        <v>1.4537931034482761</v>
      </c>
      <c r="O1250" s="13">
        <v>40</v>
      </c>
      <c r="P1250" s="13" t="s">
        <v>30</v>
      </c>
      <c r="Q1250" s="14">
        <v>0</v>
      </c>
      <c r="R1250" s="15">
        <v>1686.3999999999999</v>
      </c>
      <c r="S1250" s="15">
        <v>0</v>
      </c>
      <c r="T1250" s="15">
        <v>0</v>
      </c>
      <c r="U1250" s="15">
        <v>1686.3999999999999</v>
      </c>
      <c r="V1250" s="15">
        <v>0</v>
      </c>
      <c r="W1250" s="15">
        <v>1686.3999999999999</v>
      </c>
      <c r="X1250" s="15">
        <v>0</v>
      </c>
      <c r="Y1250" s="16">
        <v>0</v>
      </c>
      <c r="Z1250" s="67" t="s">
        <v>26</v>
      </c>
      <c r="AA1250" s="12" t="s">
        <v>31</v>
      </c>
    </row>
    <row r="1251" spans="1:27" x14ac:dyDescent="0.25">
      <c r="A1251" s="10">
        <v>45677</v>
      </c>
      <c r="B1251" s="11" t="s">
        <v>2952</v>
      </c>
      <c r="C1251" s="11" t="s">
        <v>2953</v>
      </c>
      <c r="D1251" s="11" t="s">
        <v>26</v>
      </c>
      <c r="E1251" s="11" t="s">
        <v>658</v>
      </c>
      <c r="F1251" s="11" t="s">
        <v>26</v>
      </c>
      <c r="G1251" s="11">
        <v>858</v>
      </c>
      <c r="H1251" s="12" t="s">
        <v>141</v>
      </c>
      <c r="I1251" s="12" t="s">
        <v>27</v>
      </c>
      <c r="J1251" s="12" t="s">
        <v>33</v>
      </c>
      <c r="K1251" s="12" t="s">
        <v>34</v>
      </c>
      <c r="L1251" s="13">
        <v>38.9</v>
      </c>
      <c r="M1251" s="13">
        <v>25</v>
      </c>
      <c r="N1251" s="13">
        <v>1.556</v>
      </c>
      <c r="O1251" s="13">
        <v>40</v>
      </c>
      <c r="P1251" s="13" t="s">
        <v>30</v>
      </c>
      <c r="Q1251" s="13">
        <v>0</v>
      </c>
      <c r="R1251" s="14">
        <v>1556</v>
      </c>
      <c r="S1251" s="15">
        <v>0</v>
      </c>
      <c r="T1251" s="15">
        <v>0</v>
      </c>
      <c r="U1251" s="15">
        <v>1556</v>
      </c>
      <c r="V1251" s="15">
        <v>0</v>
      </c>
      <c r="W1251" s="15">
        <v>1556</v>
      </c>
      <c r="X1251" s="15">
        <v>0</v>
      </c>
      <c r="Y1251" s="16">
        <v>0</v>
      </c>
      <c r="Z1251" s="67" t="s">
        <v>26</v>
      </c>
      <c r="AA1251" s="12" t="s">
        <v>31</v>
      </c>
    </row>
    <row r="1252" spans="1:27" x14ac:dyDescent="0.25">
      <c r="A1252" s="10">
        <v>45677</v>
      </c>
      <c r="B1252" s="11" t="s">
        <v>340</v>
      </c>
      <c r="C1252" s="11" t="s">
        <v>2954</v>
      </c>
      <c r="D1252" s="11" t="s">
        <v>26</v>
      </c>
      <c r="E1252" s="11" t="s">
        <v>552</v>
      </c>
      <c r="F1252" s="11" t="s">
        <v>26</v>
      </c>
      <c r="G1252" s="11">
        <v>69120</v>
      </c>
      <c r="H1252" s="12" t="s">
        <v>4423</v>
      </c>
      <c r="I1252" s="12" t="s">
        <v>27</v>
      </c>
      <c r="J1252" s="12" t="s">
        <v>42</v>
      </c>
      <c r="K1252" s="12" t="s">
        <v>43</v>
      </c>
      <c r="L1252" s="13">
        <v>38.56</v>
      </c>
      <c r="M1252" s="13">
        <v>25</v>
      </c>
      <c r="N1252" s="13">
        <v>1.5424</v>
      </c>
      <c r="O1252" s="13">
        <v>42</v>
      </c>
      <c r="P1252" s="13" t="s">
        <v>30</v>
      </c>
      <c r="Q1252" s="13">
        <v>0</v>
      </c>
      <c r="R1252" s="15">
        <v>1619.52</v>
      </c>
      <c r="S1252" s="15">
        <v>0</v>
      </c>
      <c r="T1252" s="15">
        <v>0</v>
      </c>
      <c r="U1252" s="15">
        <v>1619.52</v>
      </c>
      <c r="V1252" s="15">
        <v>1619.52</v>
      </c>
      <c r="W1252" s="15">
        <v>0</v>
      </c>
      <c r="X1252" s="15">
        <v>0</v>
      </c>
      <c r="Y1252" s="16">
        <v>0</v>
      </c>
      <c r="Z1252" s="67" t="s">
        <v>26</v>
      </c>
      <c r="AA1252" s="12" t="s">
        <v>31</v>
      </c>
    </row>
    <row r="1253" spans="1:27" x14ac:dyDescent="0.25">
      <c r="A1253" s="10">
        <v>45677</v>
      </c>
      <c r="B1253" s="11" t="s">
        <v>2955</v>
      </c>
      <c r="C1253" s="11" t="s">
        <v>2956</v>
      </c>
      <c r="D1253" s="11" t="s">
        <v>26</v>
      </c>
      <c r="E1253" s="11" t="s">
        <v>1200</v>
      </c>
      <c r="F1253" s="11" t="s">
        <v>26</v>
      </c>
      <c r="G1253" s="11">
        <v>997</v>
      </c>
      <c r="H1253" s="12" t="s">
        <v>163</v>
      </c>
      <c r="I1253" s="12" t="s">
        <v>27</v>
      </c>
      <c r="J1253" s="12" t="s">
        <v>33</v>
      </c>
      <c r="K1253" s="12" t="s">
        <v>34</v>
      </c>
      <c r="L1253" s="13">
        <v>38.54</v>
      </c>
      <c r="M1253" s="13">
        <v>25</v>
      </c>
      <c r="N1253" s="13">
        <v>1.5416000000000001</v>
      </c>
      <c r="O1253" s="13" t="s">
        <v>30</v>
      </c>
      <c r="P1253" s="13">
        <v>58</v>
      </c>
      <c r="Q1253" s="13">
        <v>0</v>
      </c>
      <c r="R1253" s="14">
        <v>1450</v>
      </c>
      <c r="S1253" s="15">
        <v>0</v>
      </c>
      <c r="T1253" s="15">
        <v>0</v>
      </c>
      <c r="U1253" s="15">
        <v>1450</v>
      </c>
      <c r="V1253" s="15">
        <v>0</v>
      </c>
      <c r="W1253" s="15">
        <v>1450</v>
      </c>
      <c r="X1253" s="15">
        <v>0</v>
      </c>
      <c r="Y1253" s="16">
        <v>0</v>
      </c>
      <c r="Z1253" s="67" t="s">
        <v>26</v>
      </c>
      <c r="AA1253" s="12" t="s">
        <v>31</v>
      </c>
    </row>
    <row r="1254" spans="1:27" x14ac:dyDescent="0.25">
      <c r="A1254" s="10">
        <v>45677</v>
      </c>
      <c r="B1254" s="11" t="s">
        <v>2957</v>
      </c>
      <c r="C1254" s="11" t="s">
        <v>2958</v>
      </c>
      <c r="D1254" s="11" t="s">
        <v>26</v>
      </c>
      <c r="E1254" s="11" t="s">
        <v>567</v>
      </c>
      <c r="F1254" s="11" t="s">
        <v>26</v>
      </c>
      <c r="G1254" s="11">
        <v>112260</v>
      </c>
      <c r="H1254" s="12" t="s">
        <v>4446</v>
      </c>
      <c r="I1254" s="12" t="s">
        <v>27</v>
      </c>
      <c r="J1254" s="12" t="s">
        <v>33</v>
      </c>
      <c r="K1254" s="12" t="s">
        <v>34</v>
      </c>
      <c r="L1254" s="13">
        <v>36.58</v>
      </c>
      <c r="M1254" s="13">
        <v>25</v>
      </c>
      <c r="N1254" s="13">
        <v>1.4632000000000001</v>
      </c>
      <c r="O1254" s="13">
        <v>44</v>
      </c>
      <c r="P1254" s="13" t="s">
        <v>30</v>
      </c>
      <c r="Q1254" s="13">
        <v>0</v>
      </c>
      <c r="R1254" s="15">
        <v>1609.52</v>
      </c>
      <c r="S1254" s="15">
        <v>0</v>
      </c>
      <c r="T1254" s="15">
        <v>0</v>
      </c>
      <c r="U1254" s="15">
        <v>1609.52</v>
      </c>
      <c r="V1254" s="15">
        <v>1609.52</v>
      </c>
      <c r="W1254" s="15">
        <v>0</v>
      </c>
      <c r="X1254" s="15">
        <v>0</v>
      </c>
      <c r="Y1254" s="16">
        <v>0</v>
      </c>
      <c r="Z1254" s="67" t="s">
        <v>26</v>
      </c>
      <c r="AA1254" s="12" t="s">
        <v>31</v>
      </c>
    </row>
    <row r="1255" spans="1:27" x14ac:dyDescent="0.25">
      <c r="A1255" s="10">
        <v>45677</v>
      </c>
      <c r="B1255" s="11" t="s">
        <v>473</v>
      </c>
      <c r="C1255" s="11" t="s">
        <v>2959</v>
      </c>
      <c r="D1255" s="11" t="s">
        <v>26</v>
      </c>
      <c r="E1255" s="11" t="s">
        <v>59</v>
      </c>
      <c r="F1255" s="11" t="s">
        <v>26</v>
      </c>
      <c r="G1255" s="11">
        <v>112261</v>
      </c>
      <c r="H1255" s="12" t="s">
        <v>4446</v>
      </c>
      <c r="I1255" s="12" t="s">
        <v>27</v>
      </c>
      <c r="J1255" s="12" t="s">
        <v>47</v>
      </c>
      <c r="K1255" s="12" t="s">
        <v>48</v>
      </c>
      <c r="L1255" s="13">
        <v>34.799999999999997</v>
      </c>
      <c r="M1255" s="13">
        <v>25</v>
      </c>
      <c r="N1255" s="13">
        <v>1.3919999999999999</v>
      </c>
      <c r="O1255" s="13">
        <v>44</v>
      </c>
      <c r="P1255" s="13" t="s">
        <v>30</v>
      </c>
      <c r="Q1255" s="13">
        <v>0</v>
      </c>
      <c r="R1255" s="14">
        <v>1531.1999999999998</v>
      </c>
      <c r="S1255" s="15">
        <v>0</v>
      </c>
      <c r="T1255" s="15">
        <v>0</v>
      </c>
      <c r="U1255" s="15">
        <v>1531.1999999999998</v>
      </c>
      <c r="V1255" s="15">
        <v>1531.1999999999998</v>
      </c>
      <c r="W1255" s="15">
        <v>0</v>
      </c>
      <c r="X1255" s="16">
        <v>0</v>
      </c>
      <c r="Y1255" s="16">
        <v>0</v>
      </c>
      <c r="Z1255" s="67" t="s">
        <v>26</v>
      </c>
      <c r="AA1255" s="12" t="s">
        <v>31</v>
      </c>
    </row>
    <row r="1256" spans="1:27" x14ac:dyDescent="0.25">
      <c r="A1256" s="10">
        <v>45677</v>
      </c>
      <c r="B1256" s="11" t="s">
        <v>2960</v>
      </c>
      <c r="C1256" s="11" t="s">
        <v>2961</v>
      </c>
      <c r="D1256" s="11" t="s">
        <v>26</v>
      </c>
      <c r="E1256" s="11" t="s">
        <v>60</v>
      </c>
      <c r="F1256" s="11" t="s">
        <v>26</v>
      </c>
      <c r="G1256" s="11" t="s">
        <v>35</v>
      </c>
      <c r="H1256" s="12" t="s">
        <v>36</v>
      </c>
      <c r="I1256" s="12" t="s">
        <v>27</v>
      </c>
      <c r="J1256" s="12" t="s">
        <v>33</v>
      </c>
      <c r="K1256" s="12" t="s">
        <v>34</v>
      </c>
      <c r="L1256" s="13">
        <v>8</v>
      </c>
      <c r="M1256" s="13">
        <v>6</v>
      </c>
      <c r="N1256" s="13">
        <v>1.333333333333333</v>
      </c>
      <c r="O1256" s="13">
        <v>50</v>
      </c>
      <c r="P1256" s="13" t="s">
        <v>30</v>
      </c>
      <c r="Q1256" s="13">
        <v>0</v>
      </c>
      <c r="R1256" s="15">
        <v>400</v>
      </c>
      <c r="S1256" s="15">
        <v>0</v>
      </c>
      <c r="T1256" s="15">
        <v>0</v>
      </c>
      <c r="U1256" s="15">
        <v>400</v>
      </c>
      <c r="V1256" s="15">
        <v>0</v>
      </c>
      <c r="W1256" s="15">
        <v>400</v>
      </c>
      <c r="X1256" s="15">
        <v>0</v>
      </c>
      <c r="Y1256" s="16">
        <v>0</v>
      </c>
      <c r="Z1256" s="67" t="s">
        <v>26</v>
      </c>
      <c r="AA1256" s="12" t="s">
        <v>31</v>
      </c>
    </row>
    <row r="1257" spans="1:27" x14ac:dyDescent="0.25">
      <c r="A1257" s="10">
        <v>45678</v>
      </c>
      <c r="B1257" s="11" t="s">
        <v>2962</v>
      </c>
      <c r="C1257" s="11" t="s">
        <v>2963</v>
      </c>
      <c r="D1257" s="11" t="s">
        <v>26</v>
      </c>
      <c r="E1257" s="11" t="s">
        <v>574</v>
      </c>
      <c r="F1257" s="11" t="s">
        <v>26</v>
      </c>
      <c r="G1257" s="11">
        <v>772</v>
      </c>
      <c r="H1257" s="12" t="s">
        <v>141</v>
      </c>
      <c r="I1257" s="12" t="s">
        <v>27</v>
      </c>
      <c r="J1257" s="12" t="s">
        <v>47</v>
      </c>
      <c r="K1257" s="12" t="s">
        <v>48</v>
      </c>
      <c r="L1257" s="13">
        <v>40.840000000000003</v>
      </c>
      <c r="M1257" s="13">
        <v>28</v>
      </c>
      <c r="N1257" s="13">
        <v>1.4585714285714291</v>
      </c>
      <c r="O1257" s="13">
        <v>40</v>
      </c>
      <c r="P1257" s="13" t="s">
        <v>30</v>
      </c>
      <c r="Q1257" s="13">
        <v>0</v>
      </c>
      <c r="R1257" s="15">
        <v>1633.6000000000001</v>
      </c>
      <c r="S1257" s="15">
        <v>0</v>
      </c>
      <c r="T1257" s="15">
        <v>0</v>
      </c>
      <c r="U1257" s="15">
        <v>1633.6000000000001</v>
      </c>
      <c r="V1257" s="15">
        <v>0</v>
      </c>
      <c r="W1257" s="15">
        <v>1633.6000000000001</v>
      </c>
      <c r="X1257" s="15">
        <v>0</v>
      </c>
      <c r="Y1257" s="16">
        <v>0</v>
      </c>
      <c r="Z1257" s="67" t="s">
        <v>26</v>
      </c>
      <c r="AA1257" s="12" t="s">
        <v>31</v>
      </c>
    </row>
    <row r="1258" spans="1:27" x14ac:dyDescent="0.25">
      <c r="A1258" s="10">
        <v>45678</v>
      </c>
      <c r="B1258" s="11" t="s">
        <v>382</v>
      </c>
      <c r="C1258" s="11" t="s">
        <v>2964</v>
      </c>
      <c r="D1258" s="11" t="s">
        <v>26</v>
      </c>
      <c r="E1258" s="11" t="s">
        <v>552</v>
      </c>
      <c r="F1258" s="11" t="s">
        <v>26</v>
      </c>
      <c r="G1258" s="11">
        <v>69121</v>
      </c>
      <c r="H1258" s="12" t="s">
        <v>4423</v>
      </c>
      <c r="I1258" s="12" t="s">
        <v>27</v>
      </c>
      <c r="J1258" s="12" t="s">
        <v>33</v>
      </c>
      <c r="K1258" s="12" t="s">
        <v>34</v>
      </c>
      <c r="L1258" s="13">
        <v>34.28</v>
      </c>
      <c r="M1258" s="13">
        <v>25</v>
      </c>
      <c r="N1258" s="13">
        <v>1.3712</v>
      </c>
      <c r="O1258" s="13">
        <v>45</v>
      </c>
      <c r="P1258" s="13" t="s">
        <v>30</v>
      </c>
      <c r="Q1258" s="13">
        <v>0</v>
      </c>
      <c r="R1258" s="14">
        <v>1542.6000000000001</v>
      </c>
      <c r="S1258" s="15">
        <v>0</v>
      </c>
      <c r="T1258" s="15">
        <v>0</v>
      </c>
      <c r="U1258" s="15">
        <v>1542.6000000000001</v>
      </c>
      <c r="V1258" s="15">
        <v>1542.6000000000001</v>
      </c>
      <c r="W1258" s="15">
        <v>0</v>
      </c>
      <c r="X1258" s="15">
        <v>0</v>
      </c>
      <c r="Y1258" s="16">
        <v>0</v>
      </c>
      <c r="Z1258" s="67" t="s">
        <v>26</v>
      </c>
      <c r="AA1258" s="12" t="s">
        <v>31</v>
      </c>
    </row>
    <row r="1259" spans="1:27" x14ac:dyDescent="0.25">
      <c r="A1259" s="10">
        <v>45678</v>
      </c>
      <c r="B1259" s="11" t="s">
        <v>2965</v>
      </c>
      <c r="C1259" s="11" t="s">
        <v>2966</v>
      </c>
      <c r="D1259" s="11" t="s">
        <v>26</v>
      </c>
      <c r="E1259" s="11" t="s">
        <v>81</v>
      </c>
      <c r="F1259" s="11" t="s">
        <v>26</v>
      </c>
      <c r="G1259" s="11">
        <v>1203</v>
      </c>
      <c r="H1259" s="12" t="s">
        <v>141</v>
      </c>
      <c r="I1259" s="12" t="s">
        <v>27</v>
      </c>
      <c r="J1259" s="12" t="s">
        <v>47</v>
      </c>
      <c r="K1259" s="12" t="s">
        <v>48</v>
      </c>
      <c r="L1259" s="13">
        <v>42.52</v>
      </c>
      <c r="M1259" s="13">
        <v>29</v>
      </c>
      <c r="N1259" s="13">
        <v>1.4662068965517241</v>
      </c>
      <c r="O1259" s="13">
        <v>40</v>
      </c>
      <c r="P1259" s="13" t="s">
        <v>30</v>
      </c>
      <c r="Q1259" s="13">
        <v>0</v>
      </c>
      <c r="R1259" s="14">
        <v>1700.8000000000002</v>
      </c>
      <c r="S1259" s="15">
        <v>0</v>
      </c>
      <c r="T1259" s="15">
        <v>0</v>
      </c>
      <c r="U1259" s="15">
        <v>1700.8000000000002</v>
      </c>
      <c r="V1259" s="15">
        <v>0</v>
      </c>
      <c r="W1259" s="15">
        <v>1700.8000000000002</v>
      </c>
      <c r="X1259" s="16">
        <v>0</v>
      </c>
      <c r="Y1259" s="16">
        <v>0</v>
      </c>
      <c r="Z1259" s="67" t="s">
        <v>26</v>
      </c>
      <c r="AA1259" s="12" t="s">
        <v>31</v>
      </c>
    </row>
    <row r="1260" spans="1:27" x14ac:dyDescent="0.25">
      <c r="A1260" s="10">
        <v>45678</v>
      </c>
      <c r="B1260" s="11" t="s">
        <v>2967</v>
      </c>
      <c r="C1260" s="11" t="s">
        <v>2968</v>
      </c>
      <c r="D1260" s="11" t="s">
        <v>26</v>
      </c>
      <c r="E1260" s="11" t="s">
        <v>501</v>
      </c>
      <c r="F1260" s="11" t="s">
        <v>26</v>
      </c>
      <c r="G1260" s="11">
        <v>804</v>
      </c>
      <c r="H1260" s="12" t="s">
        <v>141</v>
      </c>
      <c r="I1260" s="12" t="s">
        <v>27</v>
      </c>
      <c r="J1260" s="12" t="s">
        <v>33</v>
      </c>
      <c r="K1260" s="12" t="s">
        <v>34</v>
      </c>
      <c r="L1260" s="13">
        <v>42.46</v>
      </c>
      <c r="M1260" s="13">
        <v>29</v>
      </c>
      <c r="N1260" s="13">
        <v>1.4641379310344831</v>
      </c>
      <c r="O1260" s="13">
        <v>40</v>
      </c>
      <c r="P1260" s="13" t="s">
        <v>30</v>
      </c>
      <c r="Q1260" s="13">
        <v>0</v>
      </c>
      <c r="R1260" s="14">
        <v>1698.4</v>
      </c>
      <c r="S1260" s="15">
        <v>0</v>
      </c>
      <c r="T1260" s="15">
        <v>0</v>
      </c>
      <c r="U1260" s="15">
        <v>1698.4</v>
      </c>
      <c r="V1260" s="15">
        <v>0</v>
      </c>
      <c r="W1260" s="15">
        <v>1698.4</v>
      </c>
      <c r="X1260" s="15">
        <v>0</v>
      </c>
      <c r="Y1260" s="16">
        <v>0</v>
      </c>
      <c r="Z1260" s="67" t="s">
        <v>26</v>
      </c>
      <c r="AA1260" s="12" t="s">
        <v>31</v>
      </c>
    </row>
    <row r="1261" spans="1:27" x14ac:dyDescent="0.25">
      <c r="A1261" s="10">
        <v>45678</v>
      </c>
      <c r="B1261" s="11" t="s">
        <v>2969</v>
      </c>
      <c r="C1261" s="11" t="s">
        <v>2970</v>
      </c>
      <c r="D1261" s="11" t="s">
        <v>26</v>
      </c>
      <c r="E1261" s="11" t="s">
        <v>605</v>
      </c>
      <c r="F1261" s="11" t="s">
        <v>26</v>
      </c>
      <c r="G1261" s="11">
        <v>1054</v>
      </c>
      <c r="H1261" s="12" t="s">
        <v>141</v>
      </c>
      <c r="I1261" s="12" t="s">
        <v>27</v>
      </c>
      <c r="J1261" s="12" t="s">
        <v>42</v>
      </c>
      <c r="K1261" s="12" t="s">
        <v>43</v>
      </c>
      <c r="L1261" s="13">
        <v>43.38</v>
      </c>
      <c r="M1261" s="13">
        <v>25</v>
      </c>
      <c r="N1261" s="13">
        <v>1.7352000000000001</v>
      </c>
      <c r="O1261" s="13">
        <v>40</v>
      </c>
      <c r="P1261" s="13" t="s">
        <v>30</v>
      </c>
      <c r="Q1261" s="13">
        <v>0</v>
      </c>
      <c r="R1261" s="14">
        <v>1735.2</v>
      </c>
      <c r="S1261" s="15">
        <v>0</v>
      </c>
      <c r="T1261" s="15">
        <v>0</v>
      </c>
      <c r="U1261" s="15">
        <v>1735.2</v>
      </c>
      <c r="V1261" s="15">
        <v>0</v>
      </c>
      <c r="W1261" s="15">
        <v>1735.2</v>
      </c>
      <c r="X1261" s="15">
        <v>0</v>
      </c>
      <c r="Y1261" s="16">
        <v>0</v>
      </c>
      <c r="Z1261" s="67" t="s">
        <v>26</v>
      </c>
      <c r="AA1261" s="12" t="s">
        <v>31</v>
      </c>
    </row>
    <row r="1262" spans="1:27" x14ac:dyDescent="0.25">
      <c r="A1262" s="10">
        <v>45678</v>
      </c>
      <c r="B1262" s="11" t="s">
        <v>2971</v>
      </c>
      <c r="C1262" s="11" t="s">
        <v>2972</v>
      </c>
      <c r="D1262" s="11" t="s">
        <v>26</v>
      </c>
      <c r="E1262" s="11" t="s">
        <v>322</v>
      </c>
      <c r="F1262" s="11" t="s">
        <v>26</v>
      </c>
      <c r="G1262" s="11">
        <v>112252</v>
      </c>
      <c r="H1262" s="12" t="s">
        <v>4446</v>
      </c>
      <c r="I1262" s="12" t="s">
        <v>27</v>
      </c>
      <c r="J1262" s="12" t="s">
        <v>33</v>
      </c>
      <c r="K1262" s="12" t="s">
        <v>34</v>
      </c>
      <c r="L1262" s="13">
        <v>35.36</v>
      </c>
      <c r="M1262" s="13">
        <v>25</v>
      </c>
      <c r="N1262" s="13">
        <v>1.4144000000000001</v>
      </c>
      <c r="O1262" s="13">
        <v>44</v>
      </c>
      <c r="P1262" s="13" t="s">
        <v>30</v>
      </c>
      <c r="Q1262" s="13">
        <v>0</v>
      </c>
      <c r="R1262" s="14">
        <v>1555.84</v>
      </c>
      <c r="S1262" s="15">
        <v>0</v>
      </c>
      <c r="T1262" s="15">
        <v>0</v>
      </c>
      <c r="U1262" s="15">
        <v>1555.84</v>
      </c>
      <c r="V1262" s="15">
        <v>1555.84</v>
      </c>
      <c r="W1262" s="15">
        <v>0</v>
      </c>
      <c r="X1262" s="15">
        <v>0</v>
      </c>
      <c r="Y1262" s="16">
        <v>0</v>
      </c>
      <c r="Z1262" s="67" t="s">
        <v>26</v>
      </c>
      <c r="AA1262" s="12" t="s">
        <v>31</v>
      </c>
    </row>
    <row r="1263" spans="1:27" x14ac:dyDescent="0.25">
      <c r="A1263" s="10">
        <v>45678</v>
      </c>
      <c r="B1263" s="11" t="s">
        <v>336</v>
      </c>
      <c r="C1263" s="11" t="s">
        <v>2973</v>
      </c>
      <c r="D1263" s="11" t="s">
        <v>26</v>
      </c>
      <c r="E1263" s="11" t="s">
        <v>44</v>
      </c>
      <c r="F1263" s="11" t="s">
        <v>26</v>
      </c>
      <c r="G1263" s="11">
        <v>1569</v>
      </c>
      <c r="H1263" s="12" t="s">
        <v>45</v>
      </c>
      <c r="I1263" s="12" t="s">
        <v>27</v>
      </c>
      <c r="J1263" s="12" t="s">
        <v>42</v>
      </c>
      <c r="K1263" s="12" t="s">
        <v>43</v>
      </c>
      <c r="L1263" s="13">
        <v>42.98</v>
      </c>
      <c r="M1263" s="13">
        <v>25</v>
      </c>
      <c r="N1263" s="13">
        <v>1.7192000000000001</v>
      </c>
      <c r="O1263" s="13" t="s">
        <v>30</v>
      </c>
      <c r="P1263" s="13">
        <v>62</v>
      </c>
      <c r="Q1263" s="13">
        <v>0</v>
      </c>
      <c r="R1263" s="15">
        <v>1550</v>
      </c>
      <c r="S1263" s="15">
        <v>0</v>
      </c>
      <c r="T1263" s="15">
        <v>0</v>
      </c>
      <c r="U1263" s="15">
        <v>1550</v>
      </c>
      <c r="V1263" s="15">
        <v>0</v>
      </c>
      <c r="W1263" s="15">
        <v>1550</v>
      </c>
      <c r="X1263" s="15">
        <v>0</v>
      </c>
      <c r="Y1263" s="16">
        <v>0</v>
      </c>
      <c r="Z1263" s="67" t="s">
        <v>26</v>
      </c>
      <c r="AA1263" s="12" t="s">
        <v>31</v>
      </c>
    </row>
    <row r="1264" spans="1:27" x14ac:dyDescent="0.25">
      <c r="A1264" s="10">
        <v>45678</v>
      </c>
      <c r="B1264" s="11" t="s">
        <v>2974</v>
      </c>
      <c r="C1264" s="11" t="s">
        <v>2975</v>
      </c>
      <c r="D1264" s="11" t="s">
        <v>26</v>
      </c>
      <c r="E1264" s="11" t="s">
        <v>53</v>
      </c>
      <c r="F1264" s="11" t="s">
        <v>26</v>
      </c>
      <c r="G1264" s="11" t="s">
        <v>26</v>
      </c>
      <c r="H1264" s="12" t="s">
        <v>4422</v>
      </c>
      <c r="I1264" s="12" t="s">
        <v>27</v>
      </c>
      <c r="J1264" s="12" t="s">
        <v>33</v>
      </c>
      <c r="K1264" s="12" t="s">
        <v>34</v>
      </c>
      <c r="L1264" s="13">
        <v>43.06</v>
      </c>
      <c r="M1264" s="13">
        <v>30</v>
      </c>
      <c r="N1264" s="13">
        <v>1.4353333333333329</v>
      </c>
      <c r="O1264" s="13">
        <v>85</v>
      </c>
      <c r="P1264" s="13" t="s">
        <v>30</v>
      </c>
      <c r="Q1264" s="13">
        <v>0</v>
      </c>
      <c r="R1264" s="14">
        <v>3660.1000000000004</v>
      </c>
      <c r="S1264" s="15">
        <v>38</v>
      </c>
      <c r="T1264" s="15">
        <v>1636.2800000000002</v>
      </c>
      <c r="U1264" s="15">
        <v>2023.8200000000002</v>
      </c>
      <c r="V1264" s="15">
        <v>2023.8200000000002</v>
      </c>
      <c r="W1264" s="15">
        <v>0</v>
      </c>
      <c r="X1264" s="15">
        <v>1593.22</v>
      </c>
      <c r="Y1264" s="16">
        <v>43.060000000000173</v>
      </c>
      <c r="Z1264" s="67" t="s">
        <v>41</v>
      </c>
      <c r="AA1264" s="12" t="s">
        <v>78</v>
      </c>
    </row>
    <row r="1265" spans="1:27" x14ac:dyDescent="0.25">
      <c r="A1265" s="10">
        <v>45678</v>
      </c>
      <c r="B1265" s="11" t="s">
        <v>2976</v>
      </c>
      <c r="C1265" s="11" t="s">
        <v>2977</v>
      </c>
      <c r="D1265" s="11" t="s">
        <v>26</v>
      </c>
      <c r="E1265" s="11" t="s">
        <v>98</v>
      </c>
      <c r="F1265" s="11" t="s">
        <v>26</v>
      </c>
      <c r="G1265" s="11" t="s">
        <v>26</v>
      </c>
      <c r="H1265" s="12" t="s">
        <v>4422</v>
      </c>
      <c r="I1265" s="12" t="s">
        <v>27</v>
      </c>
      <c r="J1265" s="12" t="s">
        <v>42</v>
      </c>
      <c r="K1265" s="12" t="s">
        <v>43</v>
      </c>
      <c r="L1265" s="13">
        <v>42.88</v>
      </c>
      <c r="M1265" s="13">
        <v>25</v>
      </c>
      <c r="N1265" s="13">
        <v>1.7152000000000001</v>
      </c>
      <c r="O1265" s="13">
        <v>83</v>
      </c>
      <c r="P1265" s="13" t="s">
        <v>30</v>
      </c>
      <c r="Q1265" s="13">
        <v>0</v>
      </c>
      <c r="R1265" s="15">
        <v>3559.0400000000004</v>
      </c>
      <c r="S1265" s="15">
        <v>38</v>
      </c>
      <c r="T1265" s="15">
        <v>1629.44</v>
      </c>
      <c r="U1265" s="15">
        <v>1929.6000000000004</v>
      </c>
      <c r="V1265" s="15">
        <v>1929.6000000000004</v>
      </c>
      <c r="W1265" s="15">
        <v>0</v>
      </c>
      <c r="X1265" s="15">
        <v>1543.68</v>
      </c>
      <c r="Y1265" s="16">
        <v>85.759999999999991</v>
      </c>
      <c r="Z1265" s="67" t="s">
        <v>140</v>
      </c>
      <c r="AA1265" s="12" t="s">
        <v>78</v>
      </c>
    </row>
    <row r="1266" spans="1:27" x14ac:dyDescent="0.25">
      <c r="A1266" s="10">
        <v>45678</v>
      </c>
      <c r="B1266" s="11" t="s">
        <v>2978</v>
      </c>
      <c r="C1266" s="11" t="s">
        <v>2979</v>
      </c>
      <c r="D1266" s="11" t="s">
        <v>26</v>
      </c>
      <c r="E1266" s="11" t="s">
        <v>2109</v>
      </c>
      <c r="F1266" s="11" t="s">
        <v>26</v>
      </c>
      <c r="G1266" s="11" t="s">
        <v>26</v>
      </c>
      <c r="H1266" s="12" t="s">
        <v>4422</v>
      </c>
      <c r="I1266" s="12" t="s">
        <v>27</v>
      </c>
      <c r="J1266" s="12" t="s">
        <v>33</v>
      </c>
      <c r="K1266" s="12" t="s">
        <v>34</v>
      </c>
      <c r="L1266" s="13">
        <v>40.58</v>
      </c>
      <c r="M1266" s="13">
        <v>28</v>
      </c>
      <c r="N1266" s="13">
        <v>1.4492857142857141</v>
      </c>
      <c r="O1266" s="13">
        <v>85</v>
      </c>
      <c r="P1266" s="13" t="s">
        <v>30</v>
      </c>
      <c r="Q1266" s="13">
        <v>0</v>
      </c>
      <c r="R1266" s="15">
        <v>3449.2999999999997</v>
      </c>
      <c r="S1266" s="15">
        <v>38</v>
      </c>
      <c r="T1266" s="15">
        <v>1542.04</v>
      </c>
      <c r="U1266" s="15">
        <v>1907.2599999999998</v>
      </c>
      <c r="V1266" s="15">
        <v>1907.2599999999998</v>
      </c>
      <c r="W1266" s="15">
        <v>0</v>
      </c>
      <c r="X1266" s="15">
        <v>1460.8799999999999</v>
      </c>
      <c r="Y1266" s="16">
        <v>81.160000000000082</v>
      </c>
      <c r="Z1266" s="67" t="s">
        <v>140</v>
      </c>
      <c r="AA1266" s="12" t="s">
        <v>78</v>
      </c>
    </row>
    <row r="1267" spans="1:27" x14ac:dyDescent="0.25">
      <c r="A1267" s="10">
        <v>45678</v>
      </c>
      <c r="B1267" s="11" t="s">
        <v>2980</v>
      </c>
      <c r="C1267" s="11" t="s">
        <v>2981</v>
      </c>
      <c r="D1267" s="11" t="s">
        <v>26</v>
      </c>
      <c r="E1267" s="11" t="s">
        <v>49</v>
      </c>
      <c r="F1267" s="11" t="s">
        <v>26</v>
      </c>
      <c r="G1267" s="11">
        <v>1566</v>
      </c>
      <c r="H1267" s="12" t="s">
        <v>45</v>
      </c>
      <c r="I1267" s="12" t="s">
        <v>27</v>
      </c>
      <c r="J1267" s="12" t="s">
        <v>42</v>
      </c>
      <c r="K1267" s="12" t="s">
        <v>43</v>
      </c>
      <c r="L1267" s="13">
        <v>42.92</v>
      </c>
      <c r="M1267" s="13">
        <v>25</v>
      </c>
      <c r="N1267" s="13">
        <v>1.7168000000000001</v>
      </c>
      <c r="O1267" s="13" t="s">
        <v>30</v>
      </c>
      <c r="P1267" s="13">
        <v>62</v>
      </c>
      <c r="Q1267" s="13">
        <v>0</v>
      </c>
      <c r="R1267" s="15">
        <v>1550</v>
      </c>
      <c r="S1267" s="15">
        <v>0</v>
      </c>
      <c r="T1267" s="15">
        <v>0</v>
      </c>
      <c r="U1267" s="15">
        <v>1550</v>
      </c>
      <c r="V1267" s="15">
        <v>0</v>
      </c>
      <c r="W1267" s="15">
        <v>1550</v>
      </c>
      <c r="X1267" s="15">
        <v>0</v>
      </c>
      <c r="Y1267" s="16">
        <v>0</v>
      </c>
      <c r="Z1267" s="67" t="s">
        <v>26</v>
      </c>
      <c r="AA1267" s="12" t="s">
        <v>31</v>
      </c>
    </row>
    <row r="1268" spans="1:27" x14ac:dyDescent="0.25">
      <c r="A1268" s="10">
        <v>45678</v>
      </c>
      <c r="B1268" s="11" t="s">
        <v>355</v>
      </c>
      <c r="C1268" s="11" t="s">
        <v>2982</v>
      </c>
      <c r="D1268" s="11" t="s">
        <v>26</v>
      </c>
      <c r="E1268" s="11" t="s">
        <v>589</v>
      </c>
      <c r="F1268" s="11" t="s">
        <v>26</v>
      </c>
      <c r="G1268" s="11">
        <v>4588</v>
      </c>
      <c r="H1268" s="12" t="s">
        <v>4423</v>
      </c>
      <c r="I1268" s="12" t="s">
        <v>27</v>
      </c>
      <c r="J1268" s="12" t="s">
        <v>42</v>
      </c>
      <c r="K1268" s="12" t="s">
        <v>43</v>
      </c>
      <c r="L1268" s="13">
        <v>34.92</v>
      </c>
      <c r="M1268" s="13">
        <v>25</v>
      </c>
      <c r="N1268" s="13">
        <v>1.3968</v>
      </c>
      <c r="O1268" s="13">
        <v>42</v>
      </c>
      <c r="P1268" s="13" t="s">
        <v>30</v>
      </c>
      <c r="Q1268" s="13">
        <v>0</v>
      </c>
      <c r="R1268" s="15">
        <v>1466.64</v>
      </c>
      <c r="S1268" s="15">
        <v>0</v>
      </c>
      <c r="T1268" s="15">
        <v>0</v>
      </c>
      <c r="U1268" s="15">
        <v>1466.64</v>
      </c>
      <c r="V1268" s="15">
        <v>1466.64</v>
      </c>
      <c r="W1268" s="15">
        <v>0</v>
      </c>
      <c r="X1268" s="15">
        <v>0</v>
      </c>
      <c r="Y1268" s="16">
        <v>0</v>
      </c>
      <c r="Z1268" s="67" t="s">
        <v>26</v>
      </c>
      <c r="AA1268" s="12" t="s">
        <v>31</v>
      </c>
    </row>
    <row r="1269" spans="1:27" x14ac:dyDescent="0.25">
      <c r="A1269" s="10">
        <v>45678</v>
      </c>
      <c r="B1269" s="11" t="s">
        <v>2983</v>
      </c>
      <c r="C1269" s="11" t="s">
        <v>2984</v>
      </c>
      <c r="D1269" s="11" t="s">
        <v>26</v>
      </c>
      <c r="E1269" s="11" t="s">
        <v>520</v>
      </c>
      <c r="F1269" s="11" t="s">
        <v>26</v>
      </c>
      <c r="G1269" s="11" t="s">
        <v>26</v>
      </c>
      <c r="H1269" s="12" t="s">
        <v>4422</v>
      </c>
      <c r="I1269" s="12" t="s">
        <v>27</v>
      </c>
      <c r="J1269" s="12" t="s">
        <v>42</v>
      </c>
      <c r="K1269" s="12" t="s">
        <v>43</v>
      </c>
      <c r="L1269" s="13">
        <v>44.14</v>
      </c>
      <c r="M1269" s="13">
        <v>25</v>
      </c>
      <c r="N1269" s="13">
        <v>1.7656000000000001</v>
      </c>
      <c r="O1269" s="13">
        <v>83</v>
      </c>
      <c r="P1269" s="13" t="s">
        <v>30</v>
      </c>
      <c r="Q1269" s="13">
        <v>0</v>
      </c>
      <c r="R1269" s="15">
        <v>3663.62</v>
      </c>
      <c r="S1269" s="15">
        <v>38</v>
      </c>
      <c r="T1269" s="15">
        <v>1677.32</v>
      </c>
      <c r="U1269" s="15">
        <v>1986.3</v>
      </c>
      <c r="V1269" s="15">
        <v>1986.3</v>
      </c>
      <c r="W1269" s="15">
        <v>0</v>
      </c>
      <c r="X1269" s="15">
        <v>1589.04</v>
      </c>
      <c r="Y1269" s="16">
        <v>88.279999999999973</v>
      </c>
      <c r="Z1269" s="67" t="s">
        <v>140</v>
      </c>
      <c r="AA1269" s="12" t="s">
        <v>78</v>
      </c>
    </row>
    <row r="1270" spans="1:27" x14ac:dyDescent="0.25">
      <c r="A1270" s="10">
        <v>45678</v>
      </c>
      <c r="B1270" s="11" t="s">
        <v>411</v>
      </c>
      <c r="C1270" s="11" t="s">
        <v>2985</v>
      </c>
      <c r="D1270" s="11" t="s">
        <v>26</v>
      </c>
      <c r="E1270" s="11" t="s">
        <v>63</v>
      </c>
      <c r="F1270" s="11" t="s">
        <v>26</v>
      </c>
      <c r="G1270" s="11" t="s">
        <v>26</v>
      </c>
      <c r="H1270" s="12" t="s">
        <v>4422</v>
      </c>
      <c r="I1270" s="12" t="s">
        <v>27</v>
      </c>
      <c r="J1270" s="12" t="s">
        <v>42</v>
      </c>
      <c r="K1270" s="12" t="s">
        <v>43</v>
      </c>
      <c r="L1270" s="13">
        <v>43.76</v>
      </c>
      <c r="M1270" s="13">
        <v>25</v>
      </c>
      <c r="N1270" s="13">
        <v>1.7504</v>
      </c>
      <c r="O1270" s="13">
        <v>83</v>
      </c>
      <c r="P1270" s="13" t="s">
        <v>30</v>
      </c>
      <c r="Q1270" s="13">
        <v>0</v>
      </c>
      <c r="R1270" s="14">
        <v>3632.08</v>
      </c>
      <c r="S1270" s="15">
        <v>38</v>
      </c>
      <c r="T1270" s="15">
        <v>1662.8799999999999</v>
      </c>
      <c r="U1270" s="15">
        <v>1969.2</v>
      </c>
      <c r="V1270" s="15">
        <v>1969.2</v>
      </c>
      <c r="W1270" s="15">
        <v>0</v>
      </c>
      <c r="X1270" s="15">
        <v>1575.36</v>
      </c>
      <c r="Y1270" s="16">
        <v>87.519999999999982</v>
      </c>
      <c r="Z1270" s="67" t="s">
        <v>140</v>
      </c>
      <c r="AA1270" s="12" t="s">
        <v>78</v>
      </c>
    </row>
    <row r="1271" spans="1:27" x14ac:dyDescent="0.25">
      <c r="A1271" s="10">
        <v>45678</v>
      </c>
      <c r="B1271" s="11" t="s">
        <v>2986</v>
      </c>
      <c r="C1271" s="11" t="s">
        <v>2987</v>
      </c>
      <c r="D1271" s="11" t="s">
        <v>26</v>
      </c>
      <c r="E1271" s="11" t="s">
        <v>67</v>
      </c>
      <c r="F1271" s="11" t="s">
        <v>26</v>
      </c>
      <c r="G1271" s="11">
        <v>1607</v>
      </c>
      <c r="H1271" s="12" t="s">
        <v>66</v>
      </c>
      <c r="I1271" s="12" t="s">
        <v>37</v>
      </c>
      <c r="J1271" s="12" t="s">
        <v>1909</v>
      </c>
      <c r="K1271" s="12" t="s">
        <v>82</v>
      </c>
      <c r="L1271" s="13">
        <v>42.46</v>
      </c>
      <c r="M1271" s="13">
        <v>25</v>
      </c>
      <c r="N1271" s="13">
        <v>1.6983999999999999</v>
      </c>
      <c r="O1271" s="13" t="s">
        <v>30</v>
      </c>
      <c r="P1271" s="13">
        <v>54</v>
      </c>
      <c r="Q1271" s="13">
        <v>0</v>
      </c>
      <c r="R1271" s="14">
        <v>1350</v>
      </c>
      <c r="S1271" s="15">
        <v>0</v>
      </c>
      <c r="T1271" s="15">
        <v>0</v>
      </c>
      <c r="U1271" s="15">
        <v>1350</v>
      </c>
      <c r="V1271" s="15">
        <v>1350</v>
      </c>
      <c r="W1271" s="15">
        <v>0</v>
      </c>
      <c r="X1271" s="15">
        <v>0</v>
      </c>
      <c r="Y1271" s="16">
        <v>0</v>
      </c>
      <c r="Z1271" s="67" t="s">
        <v>26</v>
      </c>
      <c r="AA1271" s="12" t="s">
        <v>31</v>
      </c>
    </row>
    <row r="1272" spans="1:27" x14ac:dyDescent="0.25">
      <c r="A1272" s="10">
        <v>45678</v>
      </c>
      <c r="B1272" s="11" t="s">
        <v>2988</v>
      </c>
      <c r="C1272" s="11" t="s">
        <v>2989</v>
      </c>
      <c r="D1272" s="11" t="s">
        <v>26</v>
      </c>
      <c r="E1272" s="11" t="s">
        <v>65</v>
      </c>
      <c r="F1272" s="11" t="s">
        <v>26</v>
      </c>
      <c r="G1272" s="11">
        <v>1580</v>
      </c>
      <c r="H1272" s="12" t="s">
        <v>66</v>
      </c>
      <c r="I1272" s="12" t="s">
        <v>37</v>
      </c>
      <c r="J1272" s="12" t="s">
        <v>1909</v>
      </c>
      <c r="K1272" s="12" t="s">
        <v>82</v>
      </c>
      <c r="L1272" s="13">
        <v>43.84</v>
      </c>
      <c r="M1272" s="13">
        <v>25</v>
      </c>
      <c r="N1272" s="13">
        <v>1.7536</v>
      </c>
      <c r="O1272" s="13" t="s">
        <v>30</v>
      </c>
      <c r="P1272" s="13">
        <v>54</v>
      </c>
      <c r="Q1272" s="13">
        <v>0</v>
      </c>
      <c r="R1272" s="14">
        <v>1350</v>
      </c>
      <c r="S1272" s="15">
        <v>0</v>
      </c>
      <c r="T1272" s="15">
        <v>0</v>
      </c>
      <c r="U1272" s="15">
        <v>1350</v>
      </c>
      <c r="V1272" s="15">
        <v>1350</v>
      </c>
      <c r="W1272" s="15">
        <v>0</v>
      </c>
      <c r="X1272" s="15">
        <v>0</v>
      </c>
      <c r="Y1272" s="16">
        <v>0</v>
      </c>
      <c r="Z1272" s="67" t="s">
        <v>26</v>
      </c>
      <c r="AA1272" s="12" t="s">
        <v>31</v>
      </c>
    </row>
    <row r="1273" spans="1:27" x14ac:dyDescent="0.25">
      <c r="A1273" s="10">
        <v>45678</v>
      </c>
      <c r="B1273" s="11" t="s">
        <v>130</v>
      </c>
      <c r="C1273" s="11" t="s">
        <v>2990</v>
      </c>
      <c r="D1273" s="11" t="s">
        <v>26</v>
      </c>
      <c r="E1273" s="11" t="s">
        <v>593</v>
      </c>
      <c r="F1273" s="11" t="s">
        <v>26</v>
      </c>
      <c r="G1273" s="11">
        <v>59496</v>
      </c>
      <c r="H1273" s="12" t="s">
        <v>4423</v>
      </c>
      <c r="I1273" s="12" t="s">
        <v>27</v>
      </c>
      <c r="J1273" s="12" t="s">
        <v>42</v>
      </c>
      <c r="K1273" s="12" t="s">
        <v>43</v>
      </c>
      <c r="L1273" s="13">
        <v>37.46</v>
      </c>
      <c r="M1273" s="13">
        <v>25</v>
      </c>
      <c r="N1273" s="13">
        <v>1.4984</v>
      </c>
      <c r="O1273" s="13">
        <v>42</v>
      </c>
      <c r="P1273" s="13" t="s">
        <v>30</v>
      </c>
      <c r="Q1273" s="13">
        <v>0</v>
      </c>
      <c r="R1273" s="14">
        <v>1573.32</v>
      </c>
      <c r="S1273" s="15">
        <v>0</v>
      </c>
      <c r="T1273" s="15">
        <v>0</v>
      </c>
      <c r="U1273" s="15">
        <v>1573.32</v>
      </c>
      <c r="V1273" s="15">
        <v>1573.32</v>
      </c>
      <c r="W1273" s="15">
        <v>0</v>
      </c>
      <c r="X1273" s="15">
        <v>0</v>
      </c>
      <c r="Y1273" s="16">
        <v>0</v>
      </c>
      <c r="Z1273" s="67" t="s">
        <v>26</v>
      </c>
      <c r="AA1273" s="12" t="s">
        <v>31</v>
      </c>
    </row>
    <row r="1274" spans="1:27" x14ac:dyDescent="0.25">
      <c r="A1274" s="10">
        <v>45678</v>
      </c>
      <c r="B1274" s="11" t="s">
        <v>1414</v>
      </c>
      <c r="C1274" s="11" t="s">
        <v>2991</v>
      </c>
      <c r="D1274" s="11" t="s">
        <v>26</v>
      </c>
      <c r="E1274" s="11" t="s">
        <v>75</v>
      </c>
      <c r="F1274" s="11" t="s">
        <v>26</v>
      </c>
      <c r="G1274" s="11">
        <v>42025</v>
      </c>
      <c r="H1274" s="12" t="s">
        <v>565</v>
      </c>
      <c r="I1274" s="12" t="s">
        <v>55</v>
      </c>
      <c r="J1274" s="12" t="s">
        <v>55</v>
      </c>
      <c r="K1274" s="12" t="s">
        <v>56</v>
      </c>
      <c r="L1274" s="13">
        <v>43.8</v>
      </c>
      <c r="M1274" s="13">
        <v>25</v>
      </c>
      <c r="N1274" s="13">
        <v>1.752</v>
      </c>
      <c r="O1274" s="13"/>
      <c r="P1274" s="13">
        <v>24</v>
      </c>
      <c r="Q1274" s="13">
        <v>0</v>
      </c>
      <c r="R1274" s="14">
        <v>600</v>
      </c>
      <c r="S1274" s="15">
        <v>0</v>
      </c>
      <c r="T1274" s="15">
        <v>0</v>
      </c>
      <c r="U1274" s="15">
        <v>600</v>
      </c>
      <c r="V1274" s="15">
        <v>0</v>
      </c>
      <c r="W1274" s="15">
        <v>600</v>
      </c>
      <c r="X1274" s="15">
        <v>0</v>
      </c>
      <c r="Y1274" s="16">
        <v>0</v>
      </c>
      <c r="Z1274" s="67" t="s">
        <v>26</v>
      </c>
      <c r="AA1274" s="12" t="s">
        <v>31</v>
      </c>
    </row>
    <row r="1275" spans="1:27" x14ac:dyDescent="0.25">
      <c r="A1275" s="10">
        <v>45678</v>
      </c>
      <c r="B1275" s="11" t="s">
        <v>2992</v>
      </c>
      <c r="C1275" s="11" t="s">
        <v>2993</v>
      </c>
      <c r="D1275" s="11" t="s">
        <v>26</v>
      </c>
      <c r="E1275" s="11" t="s">
        <v>604</v>
      </c>
      <c r="F1275" s="11" t="s">
        <v>26</v>
      </c>
      <c r="G1275" s="11">
        <v>1107</v>
      </c>
      <c r="H1275" s="12" t="s">
        <v>141</v>
      </c>
      <c r="I1275" s="12" t="s">
        <v>37</v>
      </c>
      <c r="J1275" s="12" t="s">
        <v>599</v>
      </c>
      <c r="K1275" s="12" t="s">
        <v>82</v>
      </c>
      <c r="L1275" s="13">
        <v>39.96</v>
      </c>
      <c r="M1275" s="13">
        <v>25</v>
      </c>
      <c r="N1275" s="13">
        <v>1.5984</v>
      </c>
      <c r="O1275" s="13">
        <v>29</v>
      </c>
      <c r="P1275" s="13" t="s">
        <v>30</v>
      </c>
      <c r="Q1275" s="13">
        <v>0</v>
      </c>
      <c r="R1275" s="14">
        <v>1158.8399999999999</v>
      </c>
      <c r="S1275" s="15">
        <v>0</v>
      </c>
      <c r="T1275" s="15">
        <v>0</v>
      </c>
      <c r="U1275" s="15">
        <v>1158.8399999999999</v>
      </c>
      <c r="V1275" s="15">
        <v>0</v>
      </c>
      <c r="W1275" s="15">
        <v>1158.8399999999999</v>
      </c>
      <c r="X1275" s="15">
        <v>0</v>
      </c>
      <c r="Y1275" s="16">
        <v>0</v>
      </c>
      <c r="Z1275" s="67" t="s">
        <v>26</v>
      </c>
      <c r="AA1275" s="12" t="s">
        <v>31</v>
      </c>
    </row>
    <row r="1276" spans="1:27" x14ac:dyDescent="0.25">
      <c r="A1276" s="10">
        <v>45678</v>
      </c>
      <c r="B1276" s="11" t="s">
        <v>2994</v>
      </c>
      <c r="C1276" s="11" t="s">
        <v>2995</v>
      </c>
      <c r="D1276" s="11" t="s">
        <v>26</v>
      </c>
      <c r="E1276" s="11" t="s">
        <v>246</v>
      </c>
      <c r="F1276" s="11" t="s">
        <v>26</v>
      </c>
      <c r="G1276" s="11" t="s">
        <v>26</v>
      </c>
      <c r="H1276" s="12" t="s">
        <v>146</v>
      </c>
      <c r="I1276" s="12" t="s">
        <v>27</v>
      </c>
      <c r="J1276" s="12" t="s">
        <v>33</v>
      </c>
      <c r="K1276" s="12" t="s">
        <v>34</v>
      </c>
      <c r="L1276" s="13">
        <v>43.8</v>
      </c>
      <c r="M1276" s="13">
        <v>30</v>
      </c>
      <c r="N1276" s="13">
        <v>1.46</v>
      </c>
      <c r="O1276" s="13">
        <v>91</v>
      </c>
      <c r="P1276" s="13" t="s">
        <v>30</v>
      </c>
      <c r="Q1276" s="13">
        <v>0</v>
      </c>
      <c r="R1276" s="15">
        <v>3985.7999999999997</v>
      </c>
      <c r="S1276" s="15">
        <v>40</v>
      </c>
      <c r="T1276" s="15">
        <v>1752</v>
      </c>
      <c r="U1276" s="15">
        <v>2233.7999999999997</v>
      </c>
      <c r="V1276" s="15">
        <v>2233.7999999999997</v>
      </c>
      <c r="W1276" s="15">
        <v>0</v>
      </c>
      <c r="X1276" s="15">
        <v>1620.6</v>
      </c>
      <c r="Y1276" s="16">
        <v>131.40000000000009</v>
      </c>
      <c r="Z1276" s="67" t="s">
        <v>41</v>
      </c>
      <c r="AA1276" s="12" t="s">
        <v>79</v>
      </c>
    </row>
    <row r="1277" spans="1:27" x14ac:dyDescent="0.25">
      <c r="A1277" s="10">
        <v>45678</v>
      </c>
      <c r="B1277" s="11" t="s">
        <v>377</v>
      </c>
      <c r="C1277" s="11" t="s">
        <v>2996</v>
      </c>
      <c r="D1277" s="11" t="s">
        <v>26</v>
      </c>
      <c r="E1277" s="11" t="s">
        <v>50</v>
      </c>
      <c r="F1277" s="11" t="s">
        <v>26</v>
      </c>
      <c r="G1277" s="11">
        <v>643</v>
      </c>
      <c r="H1277" s="12" t="s">
        <v>163</v>
      </c>
      <c r="I1277" s="12" t="s">
        <v>27</v>
      </c>
      <c r="J1277" s="12" t="s">
        <v>42</v>
      </c>
      <c r="K1277" s="12" t="s">
        <v>43</v>
      </c>
      <c r="L1277" s="13">
        <v>41.22</v>
      </c>
      <c r="M1277" s="13">
        <v>25</v>
      </c>
      <c r="N1277" s="13">
        <v>1.6488</v>
      </c>
      <c r="O1277" s="13" t="s">
        <v>30</v>
      </c>
      <c r="P1277" s="13">
        <v>56</v>
      </c>
      <c r="Q1277" s="13">
        <v>0</v>
      </c>
      <c r="R1277" s="14">
        <v>1400</v>
      </c>
      <c r="S1277" s="15">
        <v>0</v>
      </c>
      <c r="T1277" s="15">
        <v>0</v>
      </c>
      <c r="U1277" s="15">
        <v>1400</v>
      </c>
      <c r="V1277" s="15">
        <v>0</v>
      </c>
      <c r="W1277" s="15">
        <v>1400</v>
      </c>
      <c r="X1277" s="15">
        <v>0</v>
      </c>
      <c r="Y1277" s="16">
        <v>0</v>
      </c>
      <c r="Z1277" s="67" t="s">
        <v>26</v>
      </c>
      <c r="AA1277" s="12" t="s">
        <v>31</v>
      </c>
    </row>
    <row r="1278" spans="1:27" x14ac:dyDescent="0.25">
      <c r="A1278" s="10">
        <v>45678</v>
      </c>
      <c r="B1278" s="11" t="s">
        <v>1746</v>
      </c>
      <c r="C1278" s="11" t="s">
        <v>2997</v>
      </c>
      <c r="D1278" s="11" t="s">
        <v>26</v>
      </c>
      <c r="E1278" s="11" t="s">
        <v>546</v>
      </c>
      <c r="F1278" s="11" t="s">
        <v>26</v>
      </c>
      <c r="G1278" s="11" t="s">
        <v>26</v>
      </c>
      <c r="H1278" s="12" t="s">
        <v>4424</v>
      </c>
      <c r="I1278" s="12" t="s">
        <v>754</v>
      </c>
      <c r="J1278" s="12" t="s">
        <v>514</v>
      </c>
      <c r="K1278" s="12" t="s">
        <v>515</v>
      </c>
      <c r="L1278" s="13">
        <v>36.86</v>
      </c>
      <c r="M1278" s="13">
        <v>22</v>
      </c>
      <c r="N1278" s="13">
        <v>1.675454545454546</v>
      </c>
      <c r="O1278" s="13">
        <v>90</v>
      </c>
      <c r="P1278" s="13" t="s">
        <v>30</v>
      </c>
      <c r="Q1278" s="13">
        <v>0</v>
      </c>
      <c r="R1278" s="15">
        <v>3317.4</v>
      </c>
      <c r="S1278" s="15">
        <v>41</v>
      </c>
      <c r="T1278" s="15">
        <v>1511.26</v>
      </c>
      <c r="U1278" s="15">
        <v>1806.14</v>
      </c>
      <c r="V1278" s="15">
        <v>1806.14</v>
      </c>
      <c r="W1278" s="15">
        <v>0</v>
      </c>
      <c r="X1278" s="15">
        <v>1474.4</v>
      </c>
      <c r="Y1278" s="16">
        <v>36.8599999999999</v>
      </c>
      <c r="Z1278" s="67" t="s">
        <v>141</v>
      </c>
      <c r="AA1278" s="12" t="s">
        <v>746</v>
      </c>
    </row>
    <row r="1279" spans="1:27" x14ac:dyDescent="0.25">
      <c r="A1279" s="10">
        <v>45678</v>
      </c>
      <c r="B1279" s="11" t="s">
        <v>2998</v>
      </c>
      <c r="C1279" s="11" t="s">
        <v>2999</v>
      </c>
      <c r="D1279" s="11" t="s">
        <v>26</v>
      </c>
      <c r="E1279" s="11" t="s">
        <v>539</v>
      </c>
      <c r="F1279" s="11" t="s">
        <v>26</v>
      </c>
      <c r="G1279" s="11" t="s">
        <v>26</v>
      </c>
      <c r="H1279" s="12" t="s">
        <v>146</v>
      </c>
      <c r="I1279" s="12" t="s">
        <v>27</v>
      </c>
      <c r="J1279" s="12" t="s">
        <v>33</v>
      </c>
      <c r="K1279" s="12" t="s">
        <v>34</v>
      </c>
      <c r="L1279" s="13">
        <v>41.88</v>
      </c>
      <c r="M1279" s="13">
        <v>29</v>
      </c>
      <c r="N1279" s="13">
        <v>1.4441379310344831</v>
      </c>
      <c r="O1279" s="13">
        <v>91</v>
      </c>
      <c r="P1279" s="13" t="s">
        <v>30</v>
      </c>
      <c r="Q1279" s="13">
        <v>0</v>
      </c>
      <c r="R1279" s="14">
        <v>3811.0800000000004</v>
      </c>
      <c r="S1279" s="15">
        <v>40</v>
      </c>
      <c r="T1279" s="15">
        <v>1675.2</v>
      </c>
      <c r="U1279" s="15">
        <v>2135.88</v>
      </c>
      <c r="V1279" s="15">
        <v>2135.88</v>
      </c>
      <c r="W1279" s="15">
        <v>0</v>
      </c>
      <c r="X1279" s="15">
        <v>1549.5600000000002</v>
      </c>
      <c r="Y1279" s="16">
        <v>125.63999999999987</v>
      </c>
      <c r="Z1279" s="67" t="s">
        <v>41</v>
      </c>
      <c r="AA1279" s="12" t="s">
        <v>79</v>
      </c>
    </row>
    <row r="1280" spans="1:27" x14ac:dyDescent="0.25">
      <c r="A1280" s="10">
        <v>45678</v>
      </c>
      <c r="B1280" s="11" t="s">
        <v>3000</v>
      </c>
      <c r="C1280" s="11" t="s">
        <v>3001</v>
      </c>
      <c r="D1280" s="11" t="s">
        <v>26</v>
      </c>
      <c r="E1280" s="11" t="s">
        <v>57</v>
      </c>
      <c r="F1280" s="11" t="s">
        <v>26</v>
      </c>
      <c r="G1280" s="11" t="s">
        <v>26</v>
      </c>
      <c r="H1280" s="12" t="s">
        <v>4422</v>
      </c>
      <c r="I1280" s="12" t="s">
        <v>27</v>
      </c>
      <c r="J1280" s="12" t="s">
        <v>33</v>
      </c>
      <c r="K1280" s="12" t="s">
        <v>34</v>
      </c>
      <c r="L1280" s="13">
        <v>44.18</v>
      </c>
      <c r="M1280" s="13">
        <v>30</v>
      </c>
      <c r="N1280" s="13">
        <v>1.472666666666667</v>
      </c>
      <c r="O1280" s="13">
        <v>85</v>
      </c>
      <c r="P1280" s="13" t="s">
        <v>30</v>
      </c>
      <c r="Q1280" s="13">
        <v>0</v>
      </c>
      <c r="R1280" s="14">
        <v>3755.3</v>
      </c>
      <c r="S1280" s="15">
        <v>38</v>
      </c>
      <c r="T1280" s="15">
        <v>1678.84</v>
      </c>
      <c r="U1280" s="15">
        <v>2076.46</v>
      </c>
      <c r="V1280" s="15">
        <v>2076.46</v>
      </c>
      <c r="W1280" s="15">
        <v>0</v>
      </c>
      <c r="X1280" s="15">
        <v>1634.66</v>
      </c>
      <c r="Y1280" s="16">
        <v>44.179999999999836</v>
      </c>
      <c r="Z1280" s="67" t="s">
        <v>41</v>
      </c>
      <c r="AA1280" s="12" t="s">
        <v>78</v>
      </c>
    </row>
    <row r="1281" spans="1:27" x14ac:dyDescent="0.25">
      <c r="A1281" s="10">
        <v>45678</v>
      </c>
      <c r="B1281" s="11" t="s">
        <v>3002</v>
      </c>
      <c r="C1281" s="11" t="s">
        <v>3003</v>
      </c>
      <c r="D1281" s="11" t="s">
        <v>26</v>
      </c>
      <c r="E1281" s="11" t="s">
        <v>1200</v>
      </c>
      <c r="F1281" s="11" t="s">
        <v>26</v>
      </c>
      <c r="G1281" s="11">
        <v>998</v>
      </c>
      <c r="H1281" s="12" t="s">
        <v>163</v>
      </c>
      <c r="I1281" s="12" t="s">
        <v>27</v>
      </c>
      <c r="J1281" s="12" t="s">
        <v>33</v>
      </c>
      <c r="K1281" s="12" t="s">
        <v>34</v>
      </c>
      <c r="L1281" s="13">
        <v>38.32</v>
      </c>
      <c r="M1281" s="13">
        <v>25</v>
      </c>
      <c r="N1281" s="13">
        <v>1.5327999999999999</v>
      </c>
      <c r="O1281" s="13" t="s">
        <v>30</v>
      </c>
      <c r="P1281" s="13">
        <v>58</v>
      </c>
      <c r="Q1281" s="13">
        <v>0</v>
      </c>
      <c r="R1281" s="14">
        <v>1450</v>
      </c>
      <c r="S1281" s="15">
        <v>0</v>
      </c>
      <c r="T1281" s="15">
        <v>0</v>
      </c>
      <c r="U1281" s="15">
        <v>1450</v>
      </c>
      <c r="V1281" s="15">
        <v>0</v>
      </c>
      <c r="W1281" s="15">
        <v>1450</v>
      </c>
      <c r="X1281" s="15">
        <v>0</v>
      </c>
      <c r="Y1281" s="16">
        <v>0</v>
      </c>
      <c r="Z1281" s="67" t="s">
        <v>26</v>
      </c>
      <c r="AA1281" s="12" t="s">
        <v>31</v>
      </c>
    </row>
    <row r="1282" spans="1:27" x14ac:dyDescent="0.25">
      <c r="A1282" s="10">
        <v>45678</v>
      </c>
      <c r="B1282" s="11" t="s">
        <v>621</v>
      </c>
      <c r="C1282" s="11" t="s">
        <v>3004</v>
      </c>
      <c r="D1282" s="11" t="s">
        <v>26</v>
      </c>
      <c r="E1282" s="11" t="s">
        <v>53</v>
      </c>
      <c r="F1282" s="11" t="s">
        <v>26</v>
      </c>
      <c r="G1282" s="11">
        <v>3760</v>
      </c>
      <c r="H1282" s="12" t="s">
        <v>41</v>
      </c>
      <c r="I1282" s="12" t="s">
        <v>55</v>
      </c>
      <c r="J1282" s="12" t="s">
        <v>55</v>
      </c>
      <c r="K1282" s="12" t="s">
        <v>56</v>
      </c>
      <c r="L1282" s="13">
        <v>40.96</v>
      </c>
      <c r="M1282" s="13">
        <v>25</v>
      </c>
      <c r="N1282" s="13">
        <v>1.6384000000000001</v>
      </c>
      <c r="O1282" s="13" t="s">
        <v>30</v>
      </c>
      <c r="P1282" s="13">
        <v>24</v>
      </c>
      <c r="Q1282" s="13">
        <v>0</v>
      </c>
      <c r="R1282" s="15">
        <v>600</v>
      </c>
      <c r="S1282" s="15">
        <v>0</v>
      </c>
      <c r="T1282" s="15">
        <v>0</v>
      </c>
      <c r="U1282" s="15">
        <v>600</v>
      </c>
      <c r="V1282" s="15">
        <v>0</v>
      </c>
      <c r="W1282" s="15">
        <v>600</v>
      </c>
      <c r="X1282" s="15">
        <v>0</v>
      </c>
      <c r="Y1282" s="16">
        <v>0</v>
      </c>
      <c r="Z1282" s="67" t="s">
        <v>26</v>
      </c>
      <c r="AA1282" s="12" t="s">
        <v>31</v>
      </c>
    </row>
    <row r="1283" spans="1:27" x14ac:dyDescent="0.25">
      <c r="A1283" s="10">
        <v>45678</v>
      </c>
      <c r="B1283" s="11" t="s">
        <v>3005</v>
      </c>
      <c r="C1283" s="11" t="s">
        <v>3006</v>
      </c>
      <c r="D1283" s="11" t="s">
        <v>26</v>
      </c>
      <c r="E1283" s="11" t="s">
        <v>552</v>
      </c>
      <c r="F1283" s="11" t="s">
        <v>26</v>
      </c>
      <c r="G1283" s="11">
        <v>69122</v>
      </c>
      <c r="H1283" s="12" t="s">
        <v>4423</v>
      </c>
      <c r="I1283" s="12" t="s">
        <v>27</v>
      </c>
      <c r="J1283" s="12" t="s">
        <v>33</v>
      </c>
      <c r="K1283" s="12" t="s">
        <v>34</v>
      </c>
      <c r="L1283" s="13">
        <v>32.68</v>
      </c>
      <c r="M1283" s="13">
        <v>25</v>
      </c>
      <c r="N1283" s="13">
        <v>1.3071999999999999</v>
      </c>
      <c r="O1283" s="13">
        <v>45</v>
      </c>
      <c r="P1283" s="13" t="s">
        <v>30</v>
      </c>
      <c r="Q1283" s="13">
        <v>0</v>
      </c>
      <c r="R1283" s="14">
        <v>1470.6</v>
      </c>
      <c r="S1283" s="15">
        <v>0</v>
      </c>
      <c r="T1283" s="15">
        <v>0</v>
      </c>
      <c r="U1283" s="15">
        <v>1470.6</v>
      </c>
      <c r="V1283" s="15">
        <v>1470.6</v>
      </c>
      <c r="W1283" s="15">
        <v>0</v>
      </c>
      <c r="X1283" s="15">
        <v>0</v>
      </c>
      <c r="Y1283" s="16">
        <v>0</v>
      </c>
      <c r="Z1283" s="67" t="s">
        <v>26</v>
      </c>
      <c r="AA1283" s="12" t="s">
        <v>31</v>
      </c>
    </row>
    <row r="1284" spans="1:27" x14ac:dyDescent="0.25">
      <c r="A1284" s="10">
        <v>45678</v>
      </c>
      <c r="B1284" s="11" t="s">
        <v>3007</v>
      </c>
      <c r="C1284" s="11" t="s">
        <v>3008</v>
      </c>
      <c r="D1284" s="11" t="s">
        <v>26</v>
      </c>
      <c r="E1284" s="11" t="s">
        <v>80</v>
      </c>
      <c r="F1284" s="11" t="s">
        <v>26</v>
      </c>
      <c r="G1284" s="11" t="s">
        <v>26</v>
      </c>
      <c r="H1284" s="12" t="s">
        <v>4422</v>
      </c>
      <c r="I1284" s="12" t="s">
        <v>27</v>
      </c>
      <c r="J1284" s="12" t="s">
        <v>47</v>
      </c>
      <c r="K1284" s="12" t="s">
        <v>48</v>
      </c>
      <c r="L1284" s="13">
        <v>42.92</v>
      </c>
      <c r="M1284" s="13">
        <v>29</v>
      </c>
      <c r="N1284" s="13">
        <v>1.48</v>
      </c>
      <c r="O1284" s="13">
        <v>87</v>
      </c>
      <c r="P1284" s="13" t="s">
        <v>30</v>
      </c>
      <c r="Q1284" s="13">
        <v>0</v>
      </c>
      <c r="R1284" s="15">
        <v>3734.04</v>
      </c>
      <c r="S1284" s="15">
        <v>38</v>
      </c>
      <c r="T1284" s="15">
        <v>1630.96</v>
      </c>
      <c r="U1284" s="15">
        <v>2103.08</v>
      </c>
      <c r="V1284" s="15">
        <v>2103.08</v>
      </c>
      <c r="W1284" s="15">
        <v>0</v>
      </c>
      <c r="X1284" s="15">
        <v>1545.1200000000001</v>
      </c>
      <c r="Y1284" s="16">
        <v>85.839999999999918</v>
      </c>
      <c r="Z1284" s="67" t="s">
        <v>140</v>
      </c>
      <c r="AA1284" s="12" t="s">
        <v>78</v>
      </c>
    </row>
    <row r="1285" spans="1:27" x14ac:dyDescent="0.25">
      <c r="A1285" s="10">
        <v>45678</v>
      </c>
      <c r="B1285" s="11" t="s">
        <v>342</v>
      </c>
      <c r="C1285" s="11" t="s">
        <v>3009</v>
      </c>
      <c r="D1285" s="11" t="s">
        <v>26</v>
      </c>
      <c r="E1285" s="11" t="s">
        <v>63</v>
      </c>
      <c r="F1285" s="11" t="s">
        <v>26</v>
      </c>
      <c r="G1285" s="11">
        <v>10167</v>
      </c>
      <c r="H1285" s="12" t="s">
        <v>140</v>
      </c>
      <c r="I1285" s="12" t="s">
        <v>27</v>
      </c>
      <c r="J1285" s="12" t="s">
        <v>42</v>
      </c>
      <c r="K1285" s="12" t="s">
        <v>43</v>
      </c>
      <c r="L1285" s="13">
        <v>38.92</v>
      </c>
      <c r="M1285" s="13">
        <v>25</v>
      </c>
      <c r="N1285" s="13">
        <v>1.5568</v>
      </c>
      <c r="O1285" s="13">
        <v>35</v>
      </c>
      <c r="P1285" s="13"/>
      <c r="Q1285" s="13">
        <v>0</v>
      </c>
      <c r="R1285" s="14">
        <v>1362.2</v>
      </c>
      <c r="S1285" s="15">
        <v>0</v>
      </c>
      <c r="T1285" s="15">
        <v>0</v>
      </c>
      <c r="U1285" s="15">
        <v>1362.2</v>
      </c>
      <c r="V1285" s="15">
        <v>0</v>
      </c>
      <c r="W1285" s="15">
        <v>1362.2</v>
      </c>
      <c r="X1285" s="16">
        <v>0</v>
      </c>
      <c r="Y1285" s="16">
        <v>0</v>
      </c>
      <c r="Z1285" s="67" t="s">
        <v>26</v>
      </c>
      <c r="AA1285" s="12" t="s">
        <v>31</v>
      </c>
    </row>
    <row r="1286" spans="1:27" x14ac:dyDescent="0.25">
      <c r="A1286" s="10">
        <v>45678</v>
      </c>
      <c r="B1286" s="11" t="s">
        <v>341</v>
      </c>
      <c r="C1286" s="11" t="s">
        <v>3010</v>
      </c>
      <c r="D1286" s="11" t="s">
        <v>26</v>
      </c>
      <c r="E1286" s="11" t="s">
        <v>65</v>
      </c>
      <c r="F1286" s="11" t="s">
        <v>26</v>
      </c>
      <c r="G1286" s="11">
        <v>1581</v>
      </c>
      <c r="H1286" s="12" t="s">
        <v>66</v>
      </c>
      <c r="I1286" s="12" t="s">
        <v>37</v>
      </c>
      <c r="J1286" s="12" t="s">
        <v>1909</v>
      </c>
      <c r="K1286" s="12" t="s">
        <v>82</v>
      </c>
      <c r="L1286" s="13">
        <v>39.56</v>
      </c>
      <c r="M1286" s="13">
        <v>25</v>
      </c>
      <c r="N1286" s="13">
        <v>1.5824</v>
      </c>
      <c r="O1286" s="13" t="s">
        <v>30</v>
      </c>
      <c r="P1286" s="13">
        <v>54</v>
      </c>
      <c r="Q1286" s="13">
        <v>0</v>
      </c>
      <c r="R1286" s="14">
        <v>1350</v>
      </c>
      <c r="S1286" s="15">
        <v>0</v>
      </c>
      <c r="T1286" s="15">
        <v>0</v>
      </c>
      <c r="U1286" s="15">
        <v>1350</v>
      </c>
      <c r="V1286" s="15">
        <v>1350</v>
      </c>
      <c r="W1286" s="15">
        <v>0</v>
      </c>
      <c r="X1286" s="15">
        <v>0</v>
      </c>
      <c r="Y1286" s="16">
        <v>0</v>
      </c>
      <c r="Z1286" s="67" t="s">
        <v>26</v>
      </c>
      <c r="AA1286" s="12" t="s">
        <v>31</v>
      </c>
    </row>
    <row r="1287" spans="1:27" x14ac:dyDescent="0.25">
      <c r="A1287" s="10">
        <v>45678</v>
      </c>
      <c r="B1287" s="11" t="s">
        <v>3011</v>
      </c>
      <c r="C1287" s="11" t="s">
        <v>3012</v>
      </c>
      <c r="D1287" s="11" t="s">
        <v>26</v>
      </c>
      <c r="E1287" s="11" t="s">
        <v>230</v>
      </c>
      <c r="F1287" s="11" t="s">
        <v>26</v>
      </c>
      <c r="G1287" s="11" t="s">
        <v>26</v>
      </c>
      <c r="H1287" s="12" t="s">
        <v>4422</v>
      </c>
      <c r="I1287" s="12" t="s">
        <v>27</v>
      </c>
      <c r="J1287" s="12" t="s">
        <v>47</v>
      </c>
      <c r="K1287" s="12" t="s">
        <v>48</v>
      </c>
      <c r="L1287" s="13">
        <v>43.7</v>
      </c>
      <c r="M1287" s="13">
        <v>30</v>
      </c>
      <c r="N1287" s="13">
        <v>1.456666666666667</v>
      </c>
      <c r="O1287" s="13">
        <v>87</v>
      </c>
      <c r="P1287" s="13" t="s">
        <v>30</v>
      </c>
      <c r="Q1287" s="13">
        <v>0</v>
      </c>
      <c r="R1287" s="14">
        <v>3801.9</v>
      </c>
      <c r="S1287" s="15">
        <v>38</v>
      </c>
      <c r="T1287" s="15">
        <v>1660.6000000000001</v>
      </c>
      <c r="U1287" s="15">
        <v>2141.3000000000002</v>
      </c>
      <c r="V1287" s="15">
        <v>2141.3000000000002</v>
      </c>
      <c r="W1287" s="15">
        <v>0</v>
      </c>
      <c r="X1287" s="15">
        <v>1573.2</v>
      </c>
      <c r="Y1287" s="16">
        <v>87.400000000000091</v>
      </c>
      <c r="Z1287" s="67" t="s">
        <v>565</v>
      </c>
      <c r="AA1287" s="12" t="s">
        <v>78</v>
      </c>
    </row>
    <row r="1288" spans="1:27" x14ac:dyDescent="0.25">
      <c r="A1288" s="10">
        <v>45678</v>
      </c>
      <c r="B1288" s="11" t="s">
        <v>3013</v>
      </c>
      <c r="C1288" s="11" t="s">
        <v>3014</v>
      </c>
      <c r="D1288" s="11" t="s">
        <v>26</v>
      </c>
      <c r="E1288" s="11" t="s">
        <v>67</v>
      </c>
      <c r="F1288" s="11" t="s">
        <v>26</v>
      </c>
      <c r="G1288" s="11">
        <v>1608</v>
      </c>
      <c r="H1288" s="12" t="s">
        <v>66</v>
      </c>
      <c r="I1288" s="12" t="s">
        <v>37</v>
      </c>
      <c r="J1288" s="12" t="s">
        <v>1909</v>
      </c>
      <c r="K1288" s="12" t="s">
        <v>82</v>
      </c>
      <c r="L1288" s="13">
        <v>41.44</v>
      </c>
      <c r="M1288" s="13">
        <v>25</v>
      </c>
      <c r="N1288" s="13">
        <v>1.6576</v>
      </c>
      <c r="O1288" s="13" t="s">
        <v>30</v>
      </c>
      <c r="P1288" s="13">
        <v>54</v>
      </c>
      <c r="Q1288" s="13">
        <v>0</v>
      </c>
      <c r="R1288" s="14">
        <v>1350</v>
      </c>
      <c r="S1288" s="15">
        <v>0</v>
      </c>
      <c r="T1288" s="15">
        <v>0</v>
      </c>
      <c r="U1288" s="15">
        <v>1350</v>
      </c>
      <c r="V1288" s="15">
        <v>1350</v>
      </c>
      <c r="W1288" s="15">
        <v>0</v>
      </c>
      <c r="X1288" s="15">
        <v>0</v>
      </c>
      <c r="Y1288" s="16">
        <v>0</v>
      </c>
      <c r="Z1288" s="67" t="s">
        <v>26</v>
      </c>
      <c r="AA1288" s="12" t="s">
        <v>31</v>
      </c>
    </row>
    <row r="1289" spans="1:27" x14ac:dyDescent="0.25">
      <c r="A1289" s="10">
        <v>45678</v>
      </c>
      <c r="B1289" s="11" t="s">
        <v>288</v>
      </c>
      <c r="C1289" s="11" t="s">
        <v>3015</v>
      </c>
      <c r="D1289" s="11" t="s">
        <v>26</v>
      </c>
      <c r="E1289" s="11" t="s">
        <v>604</v>
      </c>
      <c r="F1289" s="11" t="s">
        <v>26</v>
      </c>
      <c r="G1289" s="11">
        <v>1108</v>
      </c>
      <c r="H1289" s="12" t="s">
        <v>141</v>
      </c>
      <c r="I1289" s="12" t="s">
        <v>27</v>
      </c>
      <c r="J1289" s="12" t="s">
        <v>33</v>
      </c>
      <c r="K1289" s="12" t="s">
        <v>34</v>
      </c>
      <c r="L1289" s="13">
        <v>40.24</v>
      </c>
      <c r="M1289" s="13">
        <v>28</v>
      </c>
      <c r="N1289" s="13">
        <v>1.4371428571428571</v>
      </c>
      <c r="O1289" s="13">
        <v>40</v>
      </c>
      <c r="P1289" s="13" t="s">
        <v>30</v>
      </c>
      <c r="Q1289" s="13">
        <v>0</v>
      </c>
      <c r="R1289" s="15">
        <v>1609.6000000000001</v>
      </c>
      <c r="S1289" s="15">
        <v>0</v>
      </c>
      <c r="T1289" s="15">
        <v>0</v>
      </c>
      <c r="U1289" s="15">
        <v>1609.6000000000001</v>
      </c>
      <c r="V1289" s="15">
        <v>0</v>
      </c>
      <c r="W1289" s="15">
        <v>1609.6000000000001</v>
      </c>
      <c r="X1289" s="15">
        <v>0</v>
      </c>
      <c r="Y1289" s="16">
        <v>0</v>
      </c>
      <c r="Z1289" s="67" t="s">
        <v>26</v>
      </c>
      <c r="AA1289" s="12" t="s">
        <v>31</v>
      </c>
    </row>
    <row r="1290" spans="1:27" x14ac:dyDescent="0.25">
      <c r="A1290" s="10">
        <v>45678</v>
      </c>
      <c r="B1290" s="11" t="s">
        <v>320</v>
      </c>
      <c r="C1290" s="11" t="s">
        <v>3016</v>
      </c>
      <c r="D1290" s="11" t="s">
        <v>26</v>
      </c>
      <c r="E1290" s="11" t="s">
        <v>322</v>
      </c>
      <c r="F1290" s="11" t="s">
        <v>26</v>
      </c>
      <c r="G1290" s="11">
        <v>112268</v>
      </c>
      <c r="H1290" s="12" t="s">
        <v>4446</v>
      </c>
      <c r="I1290" s="12" t="s">
        <v>27</v>
      </c>
      <c r="J1290" s="12" t="s">
        <v>33</v>
      </c>
      <c r="K1290" s="12" t="s">
        <v>34</v>
      </c>
      <c r="L1290" s="13">
        <v>36.619999999999997</v>
      </c>
      <c r="M1290" s="13">
        <v>25</v>
      </c>
      <c r="N1290" s="13">
        <v>1.4648000000000001</v>
      </c>
      <c r="O1290" s="13">
        <v>44</v>
      </c>
      <c r="P1290" s="13" t="s">
        <v>30</v>
      </c>
      <c r="Q1290" s="13">
        <v>0</v>
      </c>
      <c r="R1290" s="15">
        <v>1611.28</v>
      </c>
      <c r="S1290" s="15">
        <v>0</v>
      </c>
      <c r="T1290" s="15">
        <v>0</v>
      </c>
      <c r="U1290" s="15">
        <v>1611.28</v>
      </c>
      <c r="V1290" s="15">
        <v>1611.28</v>
      </c>
      <c r="W1290" s="15">
        <v>0</v>
      </c>
      <c r="X1290" s="15">
        <v>0</v>
      </c>
      <c r="Y1290" s="16">
        <v>0</v>
      </c>
      <c r="Z1290" s="67" t="s">
        <v>26</v>
      </c>
      <c r="AA1290" s="12" t="s">
        <v>31</v>
      </c>
    </row>
    <row r="1291" spans="1:27" x14ac:dyDescent="0.25">
      <c r="A1291" s="10">
        <v>45678</v>
      </c>
      <c r="B1291" s="11" t="s">
        <v>3017</v>
      </c>
      <c r="C1291" s="11" t="s">
        <v>3018</v>
      </c>
      <c r="D1291" s="11" t="s">
        <v>26</v>
      </c>
      <c r="E1291" s="11" t="s">
        <v>75</v>
      </c>
      <c r="F1291" s="11" t="s">
        <v>26</v>
      </c>
      <c r="G1291" s="11">
        <v>42026</v>
      </c>
      <c r="H1291" s="12" t="s">
        <v>565</v>
      </c>
      <c r="I1291" s="12" t="s">
        <v>55</v>
      </c>
      <c r="J1291" s="12" t="s">
        <v>55</v>
      </c>
      <c r="K1291" s="12" t="s">
        <v>56</v>
      </c>
      <c r="L1291" s="13">
        <v>40.200000000000003</v>
      </c>
      <c r="M1291" s="13">
        <v>25</v>
      </c>
      <c r="N1291" s="13">
        <v>1.6080000000000001</v>
      </c>
      <c r="O1291" s="13"/>
      <c r="P1291" s="13">
        <v>24</v>
      </c>
      <c r="Q1291" s="13">
        <v>0</v>
      </c>
      <c r="R1291" s="15">
        <v>600</v>
      </c>
      <c r="S1291" s="15">
        <v>0</v>
      </c>
      <c r="T1291" s="15">
        <v>0</v>
      </c>
      <c r="U1291" s="15">
        <v>600</v>
      </c>
      <c r="V1291" s="15">
        <v>0</v>
      </c>
      <c r="W1291" s="15">
        <v>600</v>
      </c>
      <c r="X1291" s="15">
        <v>0</v>
      </c>
      <c r="Y1291" s="16">
        <v>0</v>
      </c>
      <c r="Z1291" s="67" t="s">
        <v>26</v>
      </c>
      <c r="AA1291" s="12" t="s">
        <v>31</v>
      </c>
    </row>
    <row r="1292" spans="1:27" x14ac:dyDescent="0.25">
      <c r="A1292" s="10">
        <v>45678</v>
      </c>
      <c r="B1292" s="11" t="s">
        <v>3019</v>
      </c>
      <c r="C1292" s="11" t="s">
        <v>3020</v>
      </c>
      <c r="D1292" s="11" t="s">
        <v>26</v>
      </c>
      <c r="E1292" s="11" t="s">
        <v>505</v>
      </c>
      <c r="F1292" s="11" t="s">
        <v>26</v>
      </c>
      <c r="G1292" s="11">
        <v>1254</v>
      </c>
      <c r="H1292" s="12" t="s">
        <v>141</v>
      </c>
      <c r="I1292" s="12" t="s">
        <v>27</v>
      </c>
      <c r="J1292" s="12" t="s">
        <v>33</v>
      </c>
      <c r="K1292" s="12" t="s">
        <v>34</v>
      </c>
      <c r="L1292" s="13">
        <v>34.44</v>
      </c>
      <c r="M1292" s="13">
        <v>25</v>
      </c>
      <c r="N1292" s="13">
        <v>1.3775999999999999</v>
      </c>
      <c r="O1292" s="13">
        <v>40</v>
      </c>
      <c r="P1292" s="13" t="s">
        <v>30</v>
      </c>
      <c r="Q1292" s="13">
        <v>0</v>
      </c>
      <c r="R1292" s="15">
        <v>1377.6</v>
      </c>
      <c r="S1292" s="15">
        <v>0</v>
      </c>
      <c r="T1292" s="15">
        <v>0</v>
      </c>
      <c r="U1292" s="15">
        <v>1377.6</v>
      </c>
      <c r="V1292" s="15">
        <v>0</v>
      </c>
      <c r="W1292" s="15">
        <v>1377.6</v>
      </c>
      <c r="X1292" s="15">
        <v>0</v>
      </c>
      <c r="Y1292" s="16">
        <v>0</v>
      </c>
      <c r="Z1292" s="67" t="s">
        <v>26</v>
      </c>
      <c r="AA1292" s="12" t="s">
        <v>31</v>
      </c>
    </row>
    <row r="1293" spans="1:27" x14ac:dyDescent="0.25">
      <c r="A1293" s="10">
        <v>45678</v>
      </c>
      <c r="B1293" s="11" t="s">
        <v>706</v>
      </c>
      <c r="C1293" s="11" t="s">
        <v>3021</v>
      </c>
      <c r="D1293" s="11" t="s">
        <v>26</v>
      </c>
      <c r="E1293" s="11" t="s">
        <v>572</v>
      </c>
      <c r="F1293" s="11" t="s">
        <v>26</v>
      </c>
      <c r="G1293" s="11">
        <v>112211</v>
      </c>
      <c r="H1293" s="12" t="s">
        <v>4446</v>
      </c>
      <c r="I1293" s="12" t="s">
        <v>27</v>
      </c>
      <c r="J1293" s="12" t="s">
        <v>33</v>
      </c>
      <c r="K1293" s="12" t="s">
        <v>34</v>
      </c>
      <c r="L1293" s="13">
        <v>34.28</v>
      </c>
      <c r="M1293" s="13">
        <v>25</v>
      </c>
      <c r="N1293" s="13">
        <v>1.3712</v>
      </c>
      <c r="O1293" s="13">
        <v>44</v>
      </c>
      <c r="P1293" s="13" t="s">
        <v>30</v>
      </c>
      <c r="Q1293" s="13">
        <v>0</v>
      </c>
      <c r="R1293" s="14">
        <v>1508.3200000000002</v>
      </c>
      <c r="S1293" s="15">
        <v>0</v>
      </c>
      <c r="T1293" s="15">
        <v>0</v>
      </c>
      <c r="U1293" s="15">
        <v>1508.3200000000002</v>
      </c>
      <c r="V1293" s="15">
        <v>1508.3200000000002</v>
      </c>
      <c r="W1293" s="15">
        <v>0</v>
      </c>
      <c r="X1293" s="15">
        <v>0</v>
      </c>
      <c r="Y1293" s="16">
        <v>0</v>
      </c>
      <c r="Z1293" s="67" t="s">
        <v>26</v>
      </c>
      <c r="AA1293" s="12" t="s">
        <v>31</v>
      </c>
    </row>
    <row r="1294" spans="1:27" x14ac:dyDescent="0.25">
      <c r="A1294" s="10">
        <v>45678</v>
      </c>
      <c r="B1294" s="11" t="s">
        <v>731</v>
      </c>
      <c r="C1294" s="11" t="s">
        <v>3022</v>
      </c>
      <c r="D1294" s="11" t="s">
        <v>26</v>
      </c>
      <c r="E1294" s="11" t="s">
        <v>59</v>
      </c>
      <c r="F1294" s="11" t="s">
        <v>26</v>
      </c>
      <c r="G1294" s="11">
        <v>112267</v>
      </c>
      <c r="H1294" s="12" t="s">
        <v>4446</v>
      </c>
      <c r="I1294" s="12" t="s">
        <v>27</v>
      </c>
      <c r="J1294" s="12" t="s">
        <v>42</v>
      </c>
      <c r="K1294" s="12" t="s">
        <v>43</v>
      </c>
      <c r="L1294" s="13">
        <v>39.42</v>
      </c>
      <c r="M1294" s="13">
        <v>25</v>
      </c>
      <c r="N1294" s="13">
        <v>1.5768</v>
      </c>
      <c r="O1294" s="13">
        <v>42</v>
      </c>
      <c r="P1294" s="13" t="s">
        <v>30</v>
      </c>
      <c r="Q1294" s="13">
        <v>0</v>
      </c>
      <c r="R1294" s="14">
        <v>1655.64</v>
      </c>
      <c r="S1294" s="15">
        <v>0</v>
      </c>
      <c r="T1294" s="15">
        <v>0</v>
      </c>
      <c r="U1294" s="15">
        <v>1655.64</v>
      </c>
      <c r="V1294" s="15">
        <v>1655.64</v>
      </c>
      <c r="W1294" s="15">
        <v>0</v>
      </c>
      <c r="X1294" s="15">
        <v>0</v>
      </c>
      <c r="Y1294" s="16">
        <v>0</v>
      </c>
      <c r="Z1294" s="67" t="s">
        <v>26</v>
      </c>
      <c r="AA1294" s="12" t="s">
        <v>31</v>
      </c>
    </row>
    <row r="1295" spans="1:27" x14ac:dyDescent="0.25">
      <c r="A1295" s="10">
        <v>45678</v>
      </c>
      <c r="B1295" s="11" t="s">
        <v>737</v>
      </c>
      <c r="C1295" s="11" t="s">
        <v>3023</v>
      </c>
      <c r="D1295" s="11" t="s">
        <v>26</v>
      </c>
      <c r="E1295" s="11" t="s">
        <v>74</v>
      </c>
      <c r="F1295" s="11" t="s">
        <v>26</v>
      </c>
      <c r="G1295" s="11">
        <v>1315</v>
      </c>
      <c r="H1295" s="12" t="s">
        <v>70</v>
      </c>
      <c r="I1295" s="12" t="s">
        <v>27</v>
      </c>
      <c r="J1295" s="12" t="s">
        <v>33</v>
      </c>
      <c r="K1295" s="12" t="s">
        <v>34</v>
      </c>
      <c r="L1295" s="13">
        <v>38.840000000000003</v>
      </c>
      <c r="M1295" s="13">
        <v>25</v>
      </c>
      <c r="N1295" s="13">
        <v>1.5536000000000001</v>
      </c>
      <c r="O1295" s="13" t="s">
        <v>30</v>
      </c>
      <c r="P1295" s="13">
        <v>60</v>
      </c>
      <c r="Q1295" s="13">
        <v>0</v>
      </c>
      <c r="R1295" s="14">
        <v>1500</v>
      </c>
      <c r="S1295" s="15">
        <v>0</v>
      </c>
      <c r="T1295" s="15">
        <v>0</v>
      </c>
      <c r="U1295" s="15">
        <v>1500</v>
      </c>
      <c r="V1295" s="15">
        <v>0</v>
      </c>
      <c r="W1295" s="15">
        <v>1500</v>
      </c>
      <c r="X1295" s="15">
        <v>0</v>
      </c>
      <c r="Y1295" s="16">
        <v>0</v>
      </c>
      <c r="Z1295" s="67" t="s">
        <v>26</v>
      </c>
      <c r="AA1295" s="12" t="s">
        <v>31</v>
      </c>
    </row>
    <row r="1296" spans="1:27" x14ac:dyDescent="0.25">
      <c r="A1296" s="10">
        <v>45678</v>
      </c>
      <c r="B1296" s="11" t="s">
        <v>3024</v>
      </c>
      <c r="C1296" s="11" t="s">
        <v>3025</v>
      </c>
      <c r="D1296" s="11" t="s">
        <v>26</v>
      </c>
      <c r="E1296" s="11" t="s">
        <v>501</v>
      </c>
      <c r="F1296" s="11" t="s">
        <v>26</v>
      </c>
      <c r="G1296" s="11" t="s">
        <v>26</v>
      </c>
      <c r="H1296" s="12" t="s">
        <v>4424</v>
      </c>
      <c r="I1296" s="12" t="s">
        <v>27</v>
      </c>
      <c r="J1296" s="12" t="s">
        <v>47</v>
      </c>
      <c r="K1296" s="12" t="s">
        <v>48</v>
      </c>
      <c r="L1296" s="13">
        <v>42.72</v>
      </c>
      <c r="M1296" s="13">
        <v>29</v>
      </c>
      <c r="N1296" s="13">
        <v>1.473103448275862</v>
      </c>
      <c r="O1296" s="13">
        <v>90</v>
      </c>
      <c r="P1296" s="13" t="s">
        <v>30</v>
      </c>
      <c r="Q1296" s="13">
        <v>0</v>
      </c>
      <c r="R1296" s="14">
        <v>3844.7999999999997</v>
      </c>
      <c r="S1296" s="15">
        <v>38</v>
      </c>
      <c r="T1296" s="15">
        <v>1623.36</v>
      </c>
      <c r="U1296" s="15">
        <v>2221.4399999999996</v>
      </c>
      <c r="V1296" s="15">
        <v>2221.4399999999996</v>
      </c>
      <c r="W1296" s="15">
        <v>0</v>
      </c>
      <c r="X1296" s="16">
        <v>1580.6399999999999</v>
      </c>
      <c r="Y1296" s="16">
        <v>42.720000000000027</v>
      </c>
      <c r="Z1296" s="67" t="s">
        <v>141</v>
      </c>
      <c r="AA1296" s="12" t="s">
        <v>657</v>
      </c>
    </row>
    <row r="1297" spans="1:27" x14ac:dyDescent="0.25">
      <c r="A1297" s="10">
        <v>45678</v>
      </c>
      <c r="B1297" s="11" t="s">
        <v>3026</v>
      </c>
      <c r="C1297" s="11" t="s">
        <v>3027</v>
      </c>
      <c r="D1297" s="11" t="s">
        <v>26</v>
      </c>
      <c r="E1297" s="11" t="s">
        <v>525</v>
      </c>
      <c r="F1297" s="11" t="s">
        <v>26</v>
      </c>
      <c r="G1297" s="11">
        <v>26325</v>
      </c>
      <c r="H1297" s="12" t="s">
        <v>4448</v>
      </c>
      <c r="I1297" s="12" t="s">
        <v>27</v>
      </c>
      <c r="J1297" s="12" t="s">
        <v>42</v>
      </c>
      <c r="K1297" s="12" t="s">
        <v>43</v>
      </c>
      <c r="L1297" s="13">
        <v>45.3</v>
      </c>
      <c r="M1297" s="13">
        <v>28</v>
      </c>
      <c r="N1297" s="13">
        <v>1.6178571428571431</v>
      </c>
      <c r="O1297" s="13">
        <v>42.5</v>
      </c>
      <c r="P1297" s="13" t="s">
        <v>30</v>
      </c>
      <c r="Q1297" s="13">
        <v>0</v>
      </c>
      <c r="R1297" s="15">
        <v>1925.2499999999998</v>
      </c>
      <c r="S1297" s="15">
        <v>0</v>
      </c>
      <c r="T1297" s="15">
        <v>0</v>
      </c>
      <c r="U1297" s="15">
        <v>1925.2499999999998</v>
      </c>
      <c r="V1297" s="15">
        <v>1443.9374999999998</v>
      </c>
      <c r="W1297" s="15">
        <v>481.3125</v>
      </c>
      <c r="X1297" s="15">
        <v>0</v>
      </c>
      <c r="Y1297" s="16">
        <v>0</v>
      </c>
      <c r="Z1297" s="67" t="s">
        <v>26</v>
      </c>
      <c r="AA1297" s="12" t="s">
        <v>31</v>
      </c>
    </row>
    <row r="1298" spans="1:27" x14ac:dyDescent="0.25">
      <c r="A1298" s="10">
        <v>45678</v>
      </c>
      <c r="B1298" s="11" t="s">
        <v>3028</v>
      </c>
      <c r="C1298" s="11" t="s">
        <v>3029</v>
      </c>
      <c r="D1298" s="11" t="s">
        <v>26</v>
      </c>
      <c r="E1298" s="11" t="s">
        <v>60</v>
      </c>
      <c r="F1298" s="11" t="s">
        <v>26</v>
      </c>
      <c r="G1298" s="11" t="s">
        <v>35</v>
      </c>
      <c r="H1298" s="12" t="s">
        <v>36</v>
      </c>
      <c r="I1298" s="12" t="s">
        <v>27</v>
      </c>
      <c r="J1298" s="12" t="s">
        <v>47</v>
      </c>
      <c r="K1298" s="12" t="s">
        <v>48</v>
      </c>
      <c r="L1298" s="13">
        <v>4.46</v>
      </c>
      <c r="M1298" s="13">
        <v>3</v>
      </c>
      <c r="N1298" s="13">
        <v>1.486666666666667</v>
      </c>
      <c r="O1298" s="13">
        <v>50</v>
      </c>
      <c r="P1298" s="13" t="s">
        <v>30</v>
      </c>
      <c r="Q1298" s="13">
        <v>0</v>
      </c>
      <c r="R1298" s="14">
        <v>223</v>
      </c>
      <c r="S1298" s="15">
        <v>0</v>
      </c>
      <c r="T1298" s="15">
        <v>0</v>
      </c>
      <c r="U1298" s="15">
        <v>223</v>
      </c>
      <c r="V1298" s="15">
        <v>0</v>
      </c>
      <c r="W1298" s="15">
        <v>223</v>
      </c>
      <c r="X1298" s="15">
        <v>0</v>
      </c>
      <c r="Y1298" s="16">
        <v>0</v>
      </c>
      <c r="Z1298" s="67" t="s">
        <v>26</v>
      </c>
      <c r="AA1298" s="12" t="s">
        <v>31</v>
      </c>
    </row>
    <row r="1299" spans="1:27" x14ac:dyDescent="0.25">
      <c r="A1299" s="10">
        <v>45678</v>
      </c>
      <c r="B1299" s="11" t="s">
        <v>3030</v>
      </c>
      <c r="C1299" s="11" t="s">
        <v>3031</v>
      </c>
      <c r="D1299" s="11" t="s">
        <v>26</v>
      </c>
      <c r="E1299" s="11" t="s">
        <v>53</v>
      </c>
      <c r="F1299" s="11" t="s">
        <v>26</v>
      </c>
      <c r="G1299" s="11">
        <v>3762</v>
      </c>
      <c r="H1299" s="12" t="s">
        <v>41</v>
      </c>
      <c r="I1299" s="12" t="s">
        <v>27</v>
      </c>
      <c r="J1299" s="12" t="s">
        <v>42</v>
      </c>
      <c r="K1299" s="12" t="s">
        <v>43</v>
      </c>
      <c r="L1299" s="13">
        <v>42.66</v>
      </c>
      <c r="M1299" s="13">
        <v>25</v>
      </c>
      <c r="N1299" s="13">
        <v>1.7063999999999999</v>
      </c>
      <c r="O1299" s="13" t="s">
        <v>30</v>
      </c>
      <c r="P1299" s="13">
        <v>64</v>
      </c>
      <c r="Q1299" s="13">
        <v>0</v>
      </c>
      <c r="R1299" s="14">
        <v>1600</v>
      </c>
      <c r="S1299" s="15">
        <v>0</v>
      </c>
      <c r="T1299" s="15">
        <v>0</v>
      </c>
      <c r="U1299" s="15">
        <v>1600</v>
      </c>
      <c r="V1299" s="15">
        <v>0</v>
      </c>
      <c r="W1299" s="15">
        <v>1600</v>
      </c>
      <c r="X1299" s="15">
        <v>0</v>
      </c>
      <c r="Y1299" s="16">
        <v>0</v>
      </c>
      <c r="Z1299" s="67" t="s">
        <v>26</v>
      </c>
      <c r="AA1299" s="12" t="s">
        <v>31</v>
      </c>
    </row>
    <row r="1300" spans="1:27" x14ac:dyDescent="0.25">
      <c r="A1300" s="10">
        <v>45678</v>
      </c>
      <c r="B1300" s="11" t="s">
        <v>259</v>
      </c>
      <c r="C1300" s="11" t="s">
        <v>3032</v>
      </c>
      <c r="D1300" s="11" t="s">
        <v>26</v>
      </c>
      <c r="E1300" s="11" t="s">
        <v>567</v>
      </c>
      <c r="F1300" s="11" t="s">
        <v>26</v>
      </c>
      <c r="G1300" s="11">
        <v>112271</v>
      </c>
      <c r="H1300" s="12" t="s">
        <v>4446</v>
      </c>
      <c r="I1300" s="12" t="s">
        <v>27</v>
      </c>
      <c r="J1300" s="12" t="s">
        <v>42</v>
      </c>
      <c r="K1300" s="12" t="s">
        <v>43</v>
      </c>
      <c r="L1300" s="13">
        <v>42.04</v>
      </c>
      <c r="M1300" s="13">
        <v>25</v>
      </c>
      <c r="N1300" s="13">
        <v>1.6816</v>
      </c>
      <c r="O1300" s="13">
        <v>42</v>
      </c>
      <c r="P1300" s="13" t="s">
        <v>30</v>
      </c>
      <c r="Q1300" s="13">
        <v>0</v>
      </c>
      <c r="R1300" s="15">
        <v>1765.68</v>
      </c>
      <c r="S1300" s="15">
        <v>0</v>
      </c>
      <c r="T1300" s="15">
        <v>0</v>
      </c>
      <c r="U1300" s="15">
        <v>1765.68</v>
      </c>
      <c r="V1300" s="15">
        <v>1765.68</v>
      </c>
      <c r="W1300" s="15">
        <v>0</v>
      </c>
      <c r="X1300" s="15">
        <v>0</v>
      </c>
      <c r="Y1300" s="16">
        <v>0</v>
      </c>
      <c r="Z1300" s="67" t="s">
        <v>26</v>
      </c>
      <c r="AA1300" s="12" t="s">
        <v>31</v>
      </c>
    </row>
    <row r="1301" spans="1:27" x14ac:dyDescent="0.25">
      <c r="A1301" s="10">
        <v>45678</v>
      </c>
      <c r="B1301" s="11" t="s">
        <v>3033</v>
      </c>
      <c r="C1301" s="11" t="s">
        <v>3034</v>
      </c>
      <c r="D1301" s="11" t="s">
        <v>26</v>
      </c>
      <c r="E1301" s="11" t="s">
        <v>1200</v>
      </c>
      <c r="F1301" s="11" t="s">
        <v>26</v>
      </c>
      <c r="G1301" s="11">
        <v>999</v>
      </c>
      <c r="H1301" s="12" t="s">
        <v>163</v>
      </c>
      <c r="I1301" s="12" t="s">
        <v>27</v>
      </c>
      <c r="J1301" s="12" t="s">
        <v>42</v>
      </c>
      <c r="K1301" s="12" t="s">
        <v>43</v>
      </c>
      <c r="L1301" s="13">
        <v>42.88</v>
      </c>
      <c r="M1301" s="13">
        <v>25</v>
      </c>
      <c r="N1301" s="13">
        <v>1.7152000000000001</v>
      </c>
      <c r="O1301" s="13" t="s">
        <v>30</v>
      </c>
      <c r="P1301" s="13">
        <v>56</v>
      </c>
      <c r="Q1301" s="13">
        <v>0</v>
      </c>
      <c r="R1301" s="14">
        <v>1400</v>
      </c>
      <c r="S1301" s="15">
        <v>0</v>
      </c>
      <c r="T1301" s="15">
        <v>0</v>
      </c>
      <c r="U1301" s="15">
        <v>1400</v>
      </c>
      <c r="V1301" s="15">
        <v>0</v>
      </c>
      <c r="W1301" s="15">
        <v>1400</v>
      </c>
      <c r="X1301" s="15">
        <v>0</v>
      </c>
      <c r="Y1301" s="16">
        <v>0</v>
      </c>
      <c r="Z1301" s="67" t="s">
        <v>26</v>
      </c>
      <c r="AA1301" s="12" t="s">
        <v>31</v>
      </c>
    </row>
    <row r="1302" spans="1:27" x14ac:dyDescent="0.25">
      <c r="A1302" s="10">
        <v>45678</v>
      </c>
      <c r="B1302" s="11" t="s">
        <v>3035</v>
      </c>
      <c r="C1302" s="11" t="s">
        <v>3036</v>
      </c>
      <c r="D1302" s="11" t="s">
        <v>26</v>
      </c>
      <c r="E1302" s="11" t="s">
        <v>69</v>
      </c>
      <c r="F1302" s="11" t="s">
        <v>26</v>
      </c>
      <c r="G1302" s="11">
        <v>1316</v>
      </c>
      <c r="H1302" s="12" t="s">
        <v>70</v>
      </c>
      <c r="I1302" s="12" t="s">
        <v>27</v>
      </c>
      <c r="J1302" s="12" t="s">
        <v>33</v>
      </c>
      <c r="K1302" s="12" t="s">
        <v>34</v>
      </c>
      <c r="L1302" s="13">
        <v>38.14</v>
      </c>
      <c r="M1302" s="13">
        <v>25</v>
      </c>
      <c r="N1302" s="13">
        <v>1.5256000000000001</v>
      </c>
      <c r="O1302" s="13" t="s">
        <v>30</v>
      </c>
      <c r="P1302" s="13">
        <v>60</v>
      </c>
      <c r="Q1302" s="13">
        <v>0</v>
      </c>
      <c r="R1302" s="14">
        <v>1500</v>
      </c>
      <c r="S1302" s="15">
        <v>0</v>
      </c>
      <c r="T1302" s="15">
        <v>0</v>
      </c>
      <c r="U1302" s="15">
        <v>1500</v>
      </c>
      <c r="V1302" s="15">
        <v>0</v>
      </c>
      <c r="W1302" s="15">
        <v>1500</v>
      </c>
      <c r="X1302" s="15">
        <v>0</v>
      </c>
      <c r="Y1302" s="16">
        <v>0</v>
      </c>
      <c r="Z1302" s="67" t="s">
        <v>26</v>
      </c>
      <c r="AA1302" s="12" t="s">
        <v>31</v>
      </c>
    </row>
    <row r="1303" spans="1:27" x14ac:dyDescent="0.25">
      <c r="A1303" s="10">
        <v>45678</v>
      </c>
      <c r="B1303" s="11" t="s">
        <v>3037</v>
      </c>
      <c r="C1303" s="11" t="s">
        <v>3038</v>
      </c>
      <c r="D1303" s="11" t="s">
        <v>26</v>
      </c>
      <c r="E1303" s="11" t="s">
        <v>230</v>
      </c>
      <c r="F1303" s="11" t="s">
        <v>26</v>
      </c>
      <c r="G1303" s="11" t="s">
        <v>26</v>
      </c>
      <c r="H1303" s="12" t="s">
        <v>4422</v>
      </c>
      <c r="I1303" s="12" t="s">
        <v>27</v>
      </c>
      <c r="J1303" s="12" t="s">
        <v>42</v>
      </c>
      <c r="K1303" s="12" t="s">
        <v>43</v>
      </c>
      <c r="L1303" s="13">
        <v>43.22</v>
      </c>
      <c r="M1303" s="13">
        <v>25</v>
      </c>
      <c r="N1303" s="13">
        <v>1.7287999999999999</v>
      </c>
      <c r="O1303" s="13">
        <v>83</v>
      </c>
      <c r="P1303" s="13" t="s">
        <v>30</v>
      </c>
      <c r="Q1303" s="13">
        <v>0</v>
      </c>
      <c r="R1303" s="15">
        <v>3587.2599999999998</v>
      </c>
      <c r="S1303" s="15">
        <v>38</v>
      </c>
      <c r="T1303" s="15">
        <v>1642.36</v>
      </c>
      <c r="U1303" s="15">
        <v>1944.8999999999999</v>
      </c>
      <c r="V1303" s="15">
        <v>1944.8999999999999</v>
      </c>
      <c r="W1303" s="15">
        <v>0</v>
      </c>
      <c r="X1303" s="15">
        <v>1555.92</v>
      </c>
      <c r="Y1303" s="16">
        <v>86.439999999999827</v>
      </c>
      <c r="Z1303" s="67" t="s">
        <v>565</v>
      </c>
      <c r="AA1303" s="12" t="s">
        <v>78</v>
      </c>
    </row>
    <row r="1304" spans="1:27" x14ac:dyDescent="0.25">
      <c r="A1304" s="10">
        <v>45678</v>
      </c>
      <c r="B1304" s="11" t="s">
        <v>3039</v>
      </c>
      <c r="C1304" s="11" t="s">
        <v>3040</v>
      </c>
      <c r="D1304" s="11" t="s">
        <v>26</v>
      </c>
      <c r="E1304" s="11" t="s">
        <v>68</v>
      </c>
      <c r="F1304" s="11" t="s">
        <v>26</v>
      </c>
      <c r="G1304" s="11">
        <v>1525</v>
      </c>
      <c r="H1304" s="12" t="s">
        <v>45</v>
      </c>
      <c r="I1304" s="12" t="s">
        <v>27</v>
      </c>
      <c r="J1304" s="12" t="s">
        <v>47</v>
      </c>
      <c r="K1304" s="12" t="s">
        <v>48</v>
      </c>
      <c r="L1304" s="13">
        <v>38.82</v>
      </c>
      <c r="M1304" s="13">
        <v>25</v>
      </c>
      <c r="N1304" s="13">
        <v>1.5528</v>
      </c>
      <c r="O1304" s="13" t="s">
        <v>30</v>
      </c>
      <c r="P1304" s="13">
        <v>58</v>
      </c>
      <c r="Q1304" s="13">
        <v>0</v>
      </c>
      <c r="R1304" s="14">
        <v>1450</v>
      </c>
      <c r="S1304" s="15">
        <v>0</v>
      </c>
      <c r="T1304" s="15">
        <v>0</v>
      </c>
      <c r="U1304" s="15">
        <v>1450</v>
      </c>
      <c r="V1304" s="15">
        <v>0</v>
      </c>
      <c r="W1304" s="15">
        <v>1450</v>
      </c>
      <c r="X1304" s="15">
        <v>0</v>
      </c>
      <c r="Y1304" s="16">
        <v>0</v>
      </c>
      <c r="Z1304" s="67" t="s">
        <v>26</v>
      </c>
      <c r="AA1304" s="12" t="s">
        <v>31</v>
      </c>
    </row>
    <row r="1305" spans="1:27" x14ac:dyDescent="0.25">
      <c r="A1305" s="10">
        <v>45678</v>
      </c>
      <c r="B1305" s="11" t="s">
        <v>3041</v>
      </c>
      <c r="C1305" s="11" t="s">
        <v>3042</v>
      </c>
      <c r="D1305" s="11" t="s">
        <v>26</v>
      </c>
      <c r="E1305" s="11" t="s">
        <v>506</v>
      </c>
      <c r="F1305" s="11" t="s">
        <v>26</v>
      </c>
      <c r="G1305" s="11">
        <v>1520</v>
      </c>
      <c r="H1305" s="12" t="s">
        <v>45</v>
      </c>
      <c r="I1305" s="12" t="s">
        <v>27</v>
      </c>
      <c r="J1305" s="12" t="s">
        <v>33</v>
      </c>
      <c r="K1305" s="12" t="s">
        <v>34</v>
      </c>
      <c r="L1305" s="13">
        <v>39</v>
      </c>
      <c r="M1305" s="13">
        <v>25</v>
      </c>
      <c r="N1305" s="13">
        <v>1.56</v>
      </c>
      <c r="O1305" s="13" t="s">
        <v>30</v>
      </c>
      <c r="P1305" s="13">
        <v>58</v>
      </c>
      <c r="Q1305" s="13">
        <v>0</v>
      </c>
      <c r="R1305" s="14">
        <v>1450</v>
      </c>
      <c r="S1305" s="15">
        <v>0</v>
      </c>
      <c r="T1305" s="15">
        <v>0</v>
      </c>
      <c r="U1305" s="15">
        <v>1450</v>
      </c>
      <c r="V1305" s="15">
        <v>0</v>
      </c>
      <c r="W1305" s="15">
        <v>1450</v>
      </c>
      <c r="X1305" s="15">
        <v>0</v>
      </c>
      <c r="Y1305" s="16">
        <v>0</v>
      </c>
      <c r="Z1305" s="67" t="s">
        <v>26</v>
      </c>
      <c r="AA1305" s="12" t="s">
        <v>31</v>
      </c>
    </row>
    <row r="1306" spans="1:27" x14ac:dyDescent="0.25">
      <c r="A1306" s="10">
        <v>45678</v>
      </c>
      <c r="B1306" s="11" t="s">
        <v>708</v>
      </c>
      <c r="C1306" s="11" t="s">
        <v>3043</v>
      </c>
      <c r="D1306" s="11" t="s">
        <v>26</v>
      </c>
      <c r="E1306" s="11" t="s">
        <v>244</v>
      </c>
      <c r="F1306" s="11" t="s">
        <v>26</v>
      </c>
      <c r="G1306" s="11">
        <v>956</v>
      </c>
      <c r="H1306" s="12" t="s">
        <v>141</v>
      </c>
      <c r="I1306" s="12" t="s">
        <v>37</v>
      </c>
      <c r="J1306" s="12" t="s">
        <v>599</v>
      </c>
      <c r="K1306" s="12" t="s">
        <v>82</v>
      </c>
      <c r="L1306" s="13">
        <v>39.24</v>
      </c>
      <c r="M1306" s="13">
        <v>25</v>
      </c>
      <c r="N1306" s="13">
        <v>1.5696000000000001</v>
      </c>
      <c r="O1306" s="13">
        <v>29</v>
      </c>
      <c r="P1306" s="13" t="s">
        <v>30</v>
      </c>
      <c r="Q1306" s="13">
        <v>0</v>
      </c>
      <c r="R1306" s="14">
        <v>1137.96</v>
      </c>
      <c r="S1306" s="15">
        <v>0</v>
      </c>
      <c r="T1306" s="15">
        <v>0</v>
      </c>
      <c r="U1306" s="15">
        <v>1137.96</v>
      </c>
      <c r="V1306" s="15">
        <v>0</v>
      </c>
      <c r="W1306" s="15">
        <v>1137.96</v>
      </c>
      <c r="X1306" s="15">
        <v>0</v>
      </c>
      <c r="Y1306" s="16">
        <v>0</v>
      </c>
      <c r="Z1306" s="67" t="s">
        <v>26</v>
      </c>
      <c r="AA1306" s="12" t="s">
        <v>31</v>
      </c>
    </row>
    <row r="1307" spans="1:27" x14ac:dyDescent="0.25">
      <c r="A1307" s="10">
        <v>45678</v>
      </c>
      <c r="B1307" s="11" t="s">
        <v>3044</v>
      </c>
      <c r="C1307" s="11" t="s">
        <v>3045</v>
      </c>
      <c r="D1307" s="11" t="s">
        <v>26</v>
      </c>
      <c r="E1307" s="11" t="s">
        <v>604</v>
      </c>
      <c r="F1307" s="11" t="s">
        <v>26</v>
      </c>
      <c r="G1307" s="11">
        <v>1109</v>
      </c>
      <c r="H1307" s="12" t="s">
        <v>141</v>
      </c>
      <c r="I1307" s="12" t="s">
        <v>27</v>
      </c>
      <c r="J1307" s="12" t="s">
        <v>33</v>
      </c>
      <c r="K1307" s="12" t="s">
        <v>34</v>
      </c>
      <c r="L1307" s="13">
        <v>39.32</v>
      </c>
      <c r="M1307" s="13">
        <v>27</v>
      </c>
      <c r="N1307" s="13">
        <v>1.456296296296296</v>
      </c>
      <c r="O1307" s="13">
        <v>40</v>
      </c>
      <c r="P1307" s="13" t="s">
        <v>30</v>
      </c>
      <c r="Q1307" s="13">
        <v>0</v>
      </c>
      <c r="R1307" s="14">
        <v>1572.8</v>
      </c>
      <c r="S1307" s="15">
        <v>0</v>
      </c>
      <c r="T1307" s="15">
        <v>0</v>
      </c>
      <c r="U1307" s="15">
        <v>1572.8</v>
      </c>
      <c r="V1307" s="15">
        <v>0</v>
      </c>
      <c r="W1307" s="15">
        <v>1572.8</v>
      </c>
      <c r="X1307" s="15">
        <v>0</v>
      </c>
      <c r="Y1307" s="16">
        <v>0</v>
      </c>
      <c r="Z1307" s="67" t="s">
        <v>26</v>
      </c>
      <c r="AA1307" s="12" t="s">
        <v>31</v>
      </c>
    </row>
    <row r="1308" spans="1:27" x14ac:dyDescent="0.25">
      <c r="A1308" s="10">
        <v>45678</v>
      </c>
      <c r="B1308" s="11" t="s">
        <v>3046</v>
      </c>
      <c r="C1308" s="11" t="s">
        <v>3047</v>
      </c>
      <c r="D1308" s="11" t="s">
        <v>26</v>
      </c>
      <c r="E1308" s="11" t="s">
        <v>65</v>
      </c>
      <c r="F1308" s="11" t="s">
        <v>26</v>
      </c>
      <c r="G1308" s="11">
        <v>1582</v>
      </c>
      <c r="H1308" s="12" t="s">
        <v>66</v>
      </c>
      <c r="I1308" s="12" t="s">
        <v>27</v>
      </c>
      <c r="J1308" s="12" t="s">
        <v>42</v>
      </c>
      <c r="K1308" s="12" t="s">
        <v>43</v>
      </c>
      <c r="L1308" s="13">
        <v>41.78</v>
      </c>
      <c r="M1308" s="13">
        <v>25</v>
      </c>
      <c r="N1308" s="13">
        <v>1.6712</v>
      </c>
      <c r="O1308" s="13" t="s">
        <v>30</v>
      </c>
      <c r="P1308" s="13">
        <v>70</v>
      </c>
      <c r="Q1308" s="13">
        <v>0</v>
      </c>
      <c r="R1308" s="14">
        <v>1750</v>
      </c>
      <c r="S1308" s="15">
        <v>0</v>
      </c>
      <c r="T1308" s="15">
        <v>0</v>
      </c>
      <c r="U1308" s="15">
        <v>1750</v>
      </c>
      <c r="V1308" s="15">
        <v>1750</v>
      </c>
      <c r="W1308" s="15">
        <v>0</v>
      </c>
      <c r="X1308" s="15">
        <v>0</v>
      </c>
      <c r="Y1308" s="16">
        <v>0</v>
      </c>
      <c r="Z1308" s="67" t="s">
        <v>26</v>
      </c>
      <c r="AA1308" s="12" t="s">
        <v>31</v>
      </c>
    </row>
    <row r="1309" spans="1:27" x14ac:dyDescent="0.25">
      <c r="A1309" s="10">
        <v>45678</v>
      </c>
      <c r="B1309" s="11" t="s">
        <v>3048</v>
      </c>
      <c r="C1309" s="11" t="s">
        <v>3049</v>
      </c>
      <c r="D1309" s="11" t="s">
        <v>26</v>
      </c>
      <c r="E1309" s="11" t="s">
        <v>67</v>
      </c>
      <c r="F1309" s="11" t="s">
        <v>26</v>
      </c>
      <c r="G1309" s="11">
        <v>1609</v>
      </c>
      <c r="H1309" s="12" t="s">
        <v>66</v>
      </c>
      <c r="I1309" s="12" t="s">
        <v>37</v>
      </c>
      <c r="J1309" s="12" t="s">
        <v>1909</v>
      </c>
      <c r="K1309" s="12" t="s">
        <v>82</v>
      </c>
      <c r="L1309" s="13">
        <v>41.84</v>
      </c>
      <c r="M1309" s="13">
        <v>25</v>
      </c>
      <c r="N1309" s="13">
        <v>1.6736</v>
      </c>
      <c r="O1309" s="13" t="s">
        <v>30</v>
      </c>
      <c r="P1309" s="13">
        <v>54</v>
      </c>
      <c r="Q1309" s="13">
        <v>0</v>
      </c>
      <c r="R1309" s="15">
        <v>1350</v>
      </c>
      <c r="S1309" s="15">
        <v>0</v>
      </c>
      <c r="T1309" s="15">
        <v>0</v>
      </c>
      <c r="U1309" s="15">
        <v>1350</v>
      </c>
      <c r="V1309" s="15">
        <v>1350</v>
      </c>
      <c r="W1309" s="15">
        <v>0</v>
      </c>
      <c r="X1309" s="15">
        <v>0</v>
      </c>
      <c r="Y1309" s="16">
        <v>0</v>
      </c>
      <c r="Z1309" s="67" t="s">
        <v>26</v>
      </c>
      <c r="AA1309" s="12" t="s">
        <v>31</v>
      </c>
    </row>
    <row r="1310" spans="1:27" x14ac:dyDescent="0.25">
      <c r="A1310" s="10">
        <v>45678</v>
      </c>
      <c r="B1310" s="11" t="s">
        <v>3050</v>
      </c>
      <c r="C1310" s="11" t="s">
        <v>3051</v>
      </c>
      <c r="D1310" s="11" t="s">
        <v>26</v>
      </c>
      <c r="E1310" s="11" t="s">
        <v>246</v>
      </c>
      <c r="F1310" s="11" t="s">
        <v>26</v>
      </c>
      <c r="G1310" s="11">
        <v>2959</v>
      </c>
      <c r="H1310" s="12" t="s">
        <v>41</v>
      </c>
      <c r="I1310" s="12" t="s">
        <v>27</v>
      </c>
      <c r="J1310" s="12" t="s">
        <v>33</v>
      </c>
      <c r="K1310" s="12" t="s">
        <v>34</v>
      </c>
      <c r="L1310" s="13">
        <v>35.22</v>
      </c>
      <c r="M1310" s="13">
        <v>24</v>
      </c>
      <c r="N1310" s="13">
        <v>1.4675</v>
      </c>
      <c r="O1310" s="13" t="s">
        <v>30</v>
      </c>
      <c r="P1310" s="13">
        <v>60</v>
      </c>
      <c r="Q1310" s="13">
        <v>0</v>
      </c>
      <c r="R1310" s="15">
        <v>1440</v>
      </c>
      <c r="S1310" s="15">
        <v>0</v>
      </c>
      <c r="T1310" s="15">
        <v>0</v>
      </c>
      <c r="U1310" s="15">
        <v>1440</v>
      </c>
      <c r="V1310" s="15">
        <v>0</v>
      </c>
      <c r="W1310" s="15">
        <v>1440</v>
      </c>
      <c r="X1310" s="15">
        <v>0</v>
      </c>
      <c r="Y1310" s="16">
        <v>0</v>
      </c>
      <c r="Z1310" s="67" t="s">
        <v>26</v>
      </c>
      <c r="AA1310" s="12" t="s">
        <v>31</v>
      </c>
    </row>
    <row r="1311" spans="1:27" x14ac:dyDescent="0.25">
      <c r="A1311" s="10">
        <v>45678</v>
      </c>
      <c r="B1311" s="11" t="s">
        <v>3052</v>
      </c>
      <c r="C1311" s="11" t="s">
        <v>3053</v>
      </c>
      <c r="D1311" s="11" t="s">
        <v>26</v>
      </c>
      <c r="E1311" s="11" t="s">
        <v>80</v>
      </c>
      <c r="F1311" s="11" t="s">
        <v>26</v>
      </c>
      <c r="G1311" s="11">
        <v>4377</v>
      </c>
      <c r="H1311" s="12" t="s">
        <v>140</v>
      </c>
      <c r="I1311" s="12" t="s">
        <v>27</v>
      </c>
      <c r="J1311" s="12" t="s">
        <v>47</v>
      </c>
      <c r="K1311" s="12" t="s">
        <v>48</v>
      </c>
      <c r="L1311" s="13">
        <v>40.4</v>
      </c>
      <c r="M1311" s="13">
        <v>28</v>
      </c>
      <c r="N1311" s="13">
        <v>1.4428571428571431</v>
      </c>
      <c r="O1311" s="13">
        <v>40</v>
      </c>
      <c r="P1311" s="13"/>
      <c r="Q1311" s="13">
        <v>0</v>
      </c>
      <c r="R1311" s="15">
        <v>1616</v>
      </c>
      <c r="S1311" s="15">
        <v>0</v>
      </c>
      <c r="T1311" s="15">
        <v>0</v>
      </c>
      <c r="U1311" s="15">
        <v>1616</v>
      </c>
      <c r="V1311" s="15">
        <v>0</v>
      </c>
      <c r="W1311" s="15">
        <v>1616</v>
      </c>
      <c r="X1311" s="15">
        <v>0</v>
      </c>
      <c r="Y1311" s="16">
        <v>0</v>
      </c>
      <c r="Z1311" s="67" t="s">
        <v>26</v>
      </c>
      <c r="AA1311" s="12" t="s">
        <v>31</v>
      </c>
    </row>
    <row r="1312" spans="1:27" x14ac:dyDescent="0.25">
      <c r="A1312" s="10">
        <v>45678</v>
      </c>
      <c r="B1312" s="11" t="s">
        <v>133</v>
      </c>
      <c r="C1312" s="11" t="s">
        <v>3054</v>
      </c>
      <c r="D1312" s="11" t="s">
        <v>26</v>
      </c>
      <c r="E1312" s="11" t="s">
        <v>2109</v>
      </c>
      <c r="F1312" s="11" t="s">
        <v>26</v>
      </c>
      <c r="G1312" s="11">
        <v>10605</v>
      </c>
      <c r="H1312" s="12" t="s">
        <v>140</v>
      </c>
      <c r="I1312" s="12" t="s">
        <v>27</v>
      </c>
      <c r="J1312" s="12" t="s">
        <v>42</v>
      </c>
      <c r="K1312" s="12" t="s">
        <v>43</v>
      </c>
      <c r="L1312" s="13">
        <v>43.26</v>
      </c>
      <c r="M1312" s="13">
        <v>25</v>
      </c>
      <c r="N1312" s="13">
        <v>1.7303999999999999</v>
      </c>
      <c r="O1312" s="13">
        <v>35</v>
      </c>
      <c r="P1312" s="13"/>
      <c r="Q1312" s="13">
        <v>0</v>
      </c>
      <c r="R1312" s="14">
        <v>1514.1</v>
      </c>
      <c r="S1312" s="15">
        <v>0</v>
      </c>
      <c r="T1312" s="15">
        <v>0</v>
      </c>
      <c r="U1312" s="15">
        <v>1514.1</v>
      </c>
      <c r="V1312" s="15">
        <v>0</v>
      </c>
      <c r="W1312" s="15">
        <v>1514.1</v>
      </c>
      <c r="X1312" s="15">
        <v>0</v>
      </c>
      <c r="Y1312" s="16">
        <v>0</v>
      </c>
      <c r="Z1312" s="67" t="s">
        <v>26</v>
      </c>
      <c r="AA1312" s="12" t="s">
        <v>31</v>
      </c>
    </row>
    <row r="1313" spans="1:27" x14ac:dyDescent="0.25">
      <c r="A1313" s="10">
        <v>45678</v>
      </c>
      <c r="B1313" s="11" t="s">
        <v>3055</v>
      </c>
      <c r="C1313" s="11" t="s">
        <v>3056</v>
      </c>
      <c r="D1313" s="11" t="s">
        <v>26</v>
      </c>
      <c r="E1313" s="11" t="s">
        <v>74</v>
      </c>
      <c r="F1313" s="11" t="s">
        <v>26</v>
      </c>
      <c r="G1313" s="11">
        <v>1317</v>
      </c>
      <c r="H1313" s="12" t="s">
        <v>70</v>
      </c>
      <c r="I1313" s="12" t="s">
        <v>27</v>
      </c>
      <c r="J1313" s="12" t="s">
        <v>33</v>
      </c>
      <c r="K1313" s="12" t="s">
        <v>34</v>
      </c>
      <c r="L1313" s="13">
        <v>38.659999999999997</v>
      </c>
      <c r="M1313" s="13">
        <v>25</v>
      </c>
      <c r="N1313" s="13">
        <v>1.5464</v>
      </c>
      <c r="O1313" s="13" t="s">
        <v>30</v>
      </c>
      <c r="P1313" s="13">
        <v>60</v>
      </c>
      <c r="Q1313" s="13">
        <v>0</v>
      </c>
      <c r="R1313" s="14">
        <v>1500</v>
      </c>
      <c r="S1313" s="15">
        <v>0</v>
      </c>
      <c r="T1313" s="15">
        <v>0</v>
      </c>
      <c r="U1313" s="15">
        <v>1500</v>
      </c>
      <c r="V1313" s="15">
        <v>0</v>
      </c>
      <c r="W1313" s="15">
        <v>1500</v>
      </c>
      <c r="X1313" s="15">
        <v>0</v>
      </c>
      <c r="Y1313" s="16">
        <v>0</v>
      </c>
      <c r="Z1313" s="67" t="s">
        <v>26</v>
      </c>
      <c r="AA1313" s="12" t="s">
        <v>31</v>
      </c>
    </row>
    <row r="1314" spans="1:27" x14ac:dyDescent="0.25">
      <c r="A1314" s="10">
        <v>45678</v>
      </c>
      <c r="B1314" s="11" t="s">
        <v>403</v>
      </c>
      <c r="C1314" s="11" t="s">
        <v>3057</v>
      </c>
      <c r="D1314" s="11" t="s">
        <v>26</v>
      </c>
      <c r="E1314" s="11" t="s">
        <v>240</v>
      </c>
      <c r="F1314" s="11" t="s">
        <v>26</v>
      </c>
      <c r="G1314" s="11">
        <v>2929</v>
      </c>
      <c r="H1314" s="12" t="s">
        <v>41</v>
      </c>
      <c r="I1314" s="12" t="s">
        <v>55</v>
      </c>
      <c r="J1314" s="12" t="s">
        <v>566</v>
      </c>
      <c r="K1314" s="12" t="s">
        <v>550</v>
      </c>
      <c r="L1314" s="13">
        <v>41.32</v>
      </c>
      <c r="M1314" s="13">
        <v>25</v>
      </c>
      <c r="N1314" s="13">
        <v>1.6528</v>
      </c>
      <c r="O1314" s="13">
        <v>25</v>
      </c>
      <c r="P1314" s="13"/>
      <c r="Q1314" s="13">
        <v>0</v>
      </c>
      <c r="R1314" s="14">
        <v>1033</v>
      </c>
      <c r="S1314" s="15">
        <v>0</v>
      </c>
      <c r="T1314" s="15">
        <v>0</v>
      </c>
      <c r="U1314" s="15">
        <v>1033</v>
      </c>
      <c r="V1314" s="15">
        <v>0</v>
      </c>
      <c r="W1314" s="15">
        <v>1033</v>
      </c>
      <c r="X1314" s="15">
        <v>0</v>
      </c>
      <c r="Y1314" s="16">
        <v>0</v>
      </c>
      <c r="Z1314" s="67" t="s">
        <v>26</v>
      </c>
      <c r="AA1314" s="12" t="s">
        <v>31</v>
      </c>
    </row>
    <row r="1315" spans="1:27" x14ac:dyDescent="0.25">
      <c r="A1315" s="10">
        <v>45678</v>
      </c>
      <c r="B1315" s="11" t="s">
        <v>3058</v>
      </c>
      <c r="C1315" s="11" t="s">
        <v>3059</v>
      </c>
      <c r="D1315" s="11" t="s">
        <v>26</v>
      </c>
      <c r="E1315" s="11" t="s">
        <v>656</v>
      </c>
      <c r="F1315" s="11" t="s">
        <v>26</v>
      </c>
      <c r="G1315" s="11" t="s">
        <v>35</v>
      </c>
      <c r="H1315" s="12" t="s">
        <v>36</v>
      </c>
      <c r="I1315" s="12" t="s">
        <v>27</v>
      </c>
      <c r="J1315" s="12" t="s">
        <v>33</v>
      </c>
      <c r="K1315" s="12" t="s">
        <v>34</v>
      </c>
      <c r="L1315" s="13">
        <v>10.86</v>
      </c>
      <c r="M1315" s="13">
        <v>8</v>
      </c>
      <c r="N1315" s="13">
        <v>1.3574999999999999</v>
      </c>
      <c r="O1315" s="13">
        <v>50</v>
      </c>
      <c r="P1315" s="13" t="s">
        <v>30</v>
      </c>
      <c r="Q1315" s="13">
        <v>0</v>
      </c>
      <c r="R1315" s="15">
        <v>543</v>
      </c>
      <c r="S1315" s="15">
        <v>0</v>
      </c>
      <c r="T1315" s="15">
        <v>0</v>
      </c>
      <c r="U1315" s="15">
        <v>543</v>
      </c>
      <c r="V1315" s="15">
        <v>0</v>
      </c>
      <c r="W1315" s="15">
        <v>543</v>
      </c>
      <c r="X1315" s="15">
        <v>0</v>
      </c>
      <c r="Y1315" s="16">
        <v>0</v>
      </c>
      <c r="Z1315" s="67" t="s">
        <v>26</v>
      </c>
      <c r="AA1315" s="12" t="s">
        <v>31</v>
      </c>
    </row>
    <row r="1316" spans="1:27" x14ac:dyDescent="0.25">
      <c r="A1316" s="10">
        <v>45678</v>
      </c>
      <c r="B1316" s="11" t="s">
        <v>642</v>
      </c>
      <c r="C1316" s="11" t="s">
        <v>3060</v>
      </c>
      <c r="D1316" s="11" t="s">
        <v>26</v>
      </c>
      <c r="E1316" s="11" t="s">
        <v>552</v>
      </c>
      <c r="F1316" s="11" t="s">
        <v>26</v>
      </c>
      <c r="G1316" s="11">
        <v>69123</v>
      </c>
      <c r="H1316" s="12" t="s">
        <v>4423</v>
      </c>
      <c r="I1316" s="12" t="s">
        <v>27</v>
      </c>
      <c r="J1316" s="12" t="s">
        <v>42</v>
      </c>
      <c r="K1316" s="12" t="s">
        <v>43</v>
      </c>
      <c r="L1316" s="13">
        <v>36.5</v>
      </c>
      <c r="M1316" s="13">
        <v>25</v>
      </c>
      <c r="N1316" s="13">
        <v>1.46</v>
      </c>
      <c r="O1316" s="13">
        <v>42</v>
      </c>
      <c r="P1316" s="13" t="s">
        <v>30</v>
      </c>
      <c r="Q1316" s="13">
        <v>0</v>
      </c>
      <c r="R1316" s="14">
        <v>1533</v>
      </c>
      <c r="S1316" s="15">
        <v>0</v>
      </c>
      <c r="T1316" s="15">
        <v>0</v>
      </c>
      <c r="U1316" s="15">
        <v>1533</v>
      </c>
      <c r="V1316" s="15">
        <v>1533</v>
      </c>
      <c r="W1316" s="15">
        <v>0</v>
      </c>
      <c r="X1316" s="15">
        <v>0</v>
      </c>
      <c r="Y1316" s="16">
        <v>0</v>
      </c>
      <c r="Z1316" s="67" t="s">
        <v>26</v>
      </c>
      <c r="AA1316" s="12" t="s">
        <v>31</v>
      </c>
    </row>
    <row r="1317" spans="1:27" x14ac:dyDescent="0.25">
      <c r="A1317" s="10">
        <v>45678</v>
      </c>
      <c r="B1317" s="11" t="s">
        <v>3061</v>
      </c>
      <c r="C1317" s="11" t="s">
        <v>3062</v>
      </c>
      <c r="D1317" s="11" t="s">
        <v>26</v>
      </c>
      <c r="E1317" s="11" t="s">
        <v>440</v>
      </c>
      <c r="F1317" s="11" t="s">
        <v>26</v>
      </c>
      <c r="G1317" s="11" t="s">
        <v>35</v>
      </c>
      <c r="H1317" s="12" t="s">
        <v>36</v>
      </c>
      <c r="I1317" s="12" t="s">
        <v>55</v>
      </c>
      <c r="J1317" s="12" t="s">
        <v>55</v>
      </c>
      <c r="K1317" s="12" t="s">
        <v>56</v>
      </c>
      <c r="L1317" s="13">
        <v>37.32</v>
      </c>
      <c r="M1317" s="13">
        <v>25</v>
      </c>
      <c r="N1317" s="13">
        <v>1.4927999999999999</v>
      </c>
      <c r="O1317" s="13">
        <v>20</v>
      </c>
      <c r="P1317" s="13" t="s">
        <v>30</v>
      </c>
      <c r="Q1317" s="13">
        <v>0</v>
      </c>
      <c r="R1317" s="14">
        <v>746.4</v>
      </c>
      <c r="S1317" s="15">
        <v>0</v>
      </c>
      <c r="T1317" s="15">
        <v>0</v>
      </c>
      <c r="U1317" s="15">
        <v>746.4</v>
      </c>
      <c r="V1317" s="15">
        <v>0</v>
      </c>
      <c r="W1317" s="15">
        <v>746.4</v>
      </c>
      <c r="X1317" s="15">
        <v>0</v>
      </c>
      <c r="Y1317" s="16">
        <v>0</v>
      </c>
      <c r="Z1317" s="67" t="s">
        <v>26</v>
      </c>
      <c r="AA1317" s="12" t="s">
        <v>31</v>
      </c>
    </row>
    <row r="1318" spans="1:27" x14ac:dyDescent="0.25">
      <c r="A1318" s="10">
        <v>45678</v>
      </c>
      <c r="B1318" s="11" t="s">
        <v>3063</v>
      </c>
      <c r="C1318" s="11" t="s">
        <v>3064</v>
      </c>
      <c r="D1318" s="11" t="s">
        <v>26</v>
      </c>
      <c r="E1318" s="11" t="s">
        <v>75</v>
      </c>
      <c r="F1318" s="11" t="s">
        <v>26</v>
      </c>
      <c r="G1318" s="11">
        <v>42027</v>
      </c>
      <c r="H1318" s="12" t="s">
        <v>565</v>
      </c>
      <c r="I1318" s="12" t="s">
        <v>27</v>
      </c>
      <c r="J1318" s="12" t="s">
        <v>33</v>
      </c>
      <c r="K1318" s="12" t="s">
        <v>34</v>
      </c>
      <c r="L1318" s="13">
        <v>43.02</v>
      </c>
      <c r="M1318" s="13">
        <v>29</v>
      </c>
      <c r="N1318" s="13">
        <v>1.4834482758620691</v>
      </c>
      <c r="O1318" s="13"/>
      <c r="P1318" s="13">
        <v>60</v>
      </c>
      <c r="Q1318" s="13">
        <v>0</v>
      </c>
      <c r="R1318" s="15">
        <v>1740</v>
      </c>
      <c r="S1318" s="15">
        <v>0</v>
      </c>
      <c r="T1318" s="15">
        <v>0</v>
      </c>
      <c r="U1318" s="15">
        <v>1740</v>
      </c>
      <c r="V1318" s="15">
        <v>0</v>
      </c>
      <c r="W1318" s="15">
        <v>1740</v>
      </c>
      <c r="X1318" s="15">
        <v>0</v>
      </c>
      <c r="Y1318" s="16">
        <v>0</v>
      </c>
      <c r="Z1318" s="67" t="s">
        <v>26</v>
      </c>
      <c r="AA1318" s="12" t="s">
        <v>31</v>
      </c>
    </row>
    <row r="1319" spans="1:27" x14ac:dyDescent="0.25">
      <c r="A1319" s="10">
        <v>45678</v>
      </c>
      <c r="B1319" s="11" t="s">
        <v>3065</v>
      </c>
      <c r="C1319" s="11" t="s">
        <v>3066</v>
      </c>
      <c r="D1319" s="11" t="s">
        <v>26</v>
      </c>
      <c r="E1319" s="11" t="s">
        <v>50</v>
      </c>
      <c r="F1319" s="11" t="s">
        <v>26</v>
      </c>
      <c r="G1319" s="11">
        <v>644</v>
      </c>
      <c r="H1319" s="12" t="s">
        <v>163</v>
      </c>
      <c r="I1319" s="12" t="s">
        <v>27</v>
      </c>
      <c r="J1319" s="12" t="s">
        <v>47</v>
      </c>
      <c r="K1319" s="12" t="s">
        <v>48</v>
      </c>
      <c r="L1319" s="13">
        <v>38.36</v>
      </c>
      <c r="M1319" s="13">
        <v>25</v>
      </c>
      <c r="N1319" s="13">
        <v>1.5344</v>
      </c>
      <c r="O1319" s="13" t="s">
        <v>30</v>
      </c>
      <c r="P1319" s="13">
        <v>58</v>
      </c>
      <c r="Q1319" s="13">
        <v>0</v>
      </c>
      <c r="R1319" s="15">
        <v>1450</v>
      </c>
      <c r="S1319" s="15">
        <v>0</v>
      </c>
      <c r="T1319" s="15">
        <v>0</v>
      </c>
      <c r="U1319" s="15">
        <v>1450</v>
      </c>
      <c r="V1319" s="15">
        <v>0</v>
      </c>
      <c r="W1319" s="15">
        <v>1450</v>
      </c>
      <c r="X1319" s="15">
        <v>0</v>
      </c>
      <c r="Y1319" s="16">
        <v>0</v>
      </c>
      <c r="Z1319" s="67" t="s">
        <v>26</v>
      </c>
      <c r="AA1319" s="12" t="s">
        <v>31</v>
      </c>
    </row>
    <row r="1320" spans="1:27" x14ac:dyDescent="0.25">
      <c r="A1320" s="10">
        <v>45678</v>
      </c>
      <c r="B1320" s="11" t="s">
        <v>3067</v>
      </c>
      <c r="C1320" s="11" t="s">
        <v>3068</v>
      </c>
      <c r="D1320" s="11" t="s">
        <v>26</v>
      </c>
      <c r="E1320" s="11" t="s">
        <v>230</v>
      </c>
      <c r="F1320" s="11" t="s">
        <v>26</v>
      </c>
      <c r="G1320" s="11">
        <v>23143</v>
      </c>
      <c r="H1320" s="12" t="s">
        <v>565</v>
      </c>
      <c r="I1320" s="12" t="s">
        <v>27</v>
      </c>
      <c r="J1320" s="12" t="s">
        <v>42</v>
      </c>
      <c r="K1320" s="12" t="s">
        <v>43</v>
      </c>
      <c r="L1320" s="13">
        <v>45.22</v>
      </c>
      <c r="M1320" s="13">
        <v>28</v>
      </c>
      <c r="N1320" s="13">
        <v>1.615</v>
      </c>
      <c r="O1320" s="13"/>
      <c r="P1320" s="13">
        <v>64</v>
      </c>
      <c r="Q1320" s="14">
        <v>0</v>
      </c>
      <c r="R1320" s="15">
        <v>1792</v>
      </c>
      <c r="S1320" s="15">
        <v>0</v>
      </c>
      <c r="T1320" s="15">
        <v>0</v>
      </c>
      <c r="U1320" s="15">
        <v>1792</v>
      </c>
      <c r="V1320" s="15">
        <v>0</v>
      </c>
      <c r="W1320" s="15">
        <v>1792</v>
      </c>
      <c r="X1320" s="15">
        <v>0</v>
      </c>
      <c r="Y1320" s="16">
        <v>0</v>
      </c>
      <c r="Z1320" s="67" t="s">
        <v>26</v>
      </c>
      <c r="AA1320" s="12" t="s">
        <v>31</v>
      </c>
    </row>
    <row r="1321" spans="1:27" x14ac:dyDescent="0.25">
      <c r="A1321" s="10">
        <v>45678</v>
      </c>
      <c r="B1321" s="11" t="s">
        <v>3069</v>
      </c>
      <c r="C1321" s="11" t="s">
        <v>3070</v>
      </c>
      <c r="D1321" s="11" t="s">
        <v>26</v>
      </c>
      <c r="E1321" s="11" t="s">
        <v>435</v>
      </c>
      <c r="F1321" s="11" t="s">
        <v>26</v>
      </c>
      <c r="G1321" s="11">
        <v>3509</v>
      </c>
      <c r="H1321" s="12" t="s">
        <v>41</v>
      </c>
      <c r="I1321" s="12" t="s">
        <v>27</v>
      </c>
      <c r="J1321" s="12" t="s">
        <v>33</v>
      </c>
      <c r="K1321" s="12" t="s">
        <v>34</v>
      </c>
      <c r="L1321" s="13">
        <v>36.880000000000003</v>
      </c>
      <c r="M1321" s="13">
        <v>25</v>
      </c>
      <c r="N1321" s="13">
        <v>1.4752000000000001</v>
      </c>
      <c r="O1321" s="13" t="s">
        <v>30</v>
      </c>
      <c r="P1321" s="13">
        <v>60</v>
      </c>
      <c r="Q1321" s="13">
        <v>0</v>
      </c>
      <c r="R1321" s="14">
        <v>1500</v>
      </c>
      <c r="S1321" s="15">
        <v>0</v>
      </c>
      <c r="T1321" s="15">
        <v>0</v>
      </c>
      <c r="U1321" s="15">
        <v>1500</v>
      </c>
      <c r="V1321" s="15">
        <v>0</v>
      </c>
      <c r="W1321" s="15">
        <v>1500</v>
      </c>
      <c r="X1321" s="16">
        <v>0</v>
      </c>
      <c r="Y1321" s="16">
        <v>0</v>
      </c>
      <c r="Z1321" s="67" t="s">
        <v>26</v>
      </c>
      <c r="AA1321" s="12" t="s">
        <v>31</v>
      </c>
    </row>
    <row r="1322" spans="1:27" x14ac:dyDescent="0.25">
      <c r="A1322" s="10">
        <v>45678</v>
      </c>
      <c r="B1322" s="11" t="s">
        <v>3071</v>
      </c>
      <c r="C1322" s="11" t="s">
        <v>3072</v>
      </c>
      <c r="D1322" s="11" t="s">
        <v>26</v>
      </c>
      <c r="E1322" s="11" t="s">
        <v>567</v>
      </c>
      <c r="F1322" s="11" t="s">
        <v>26</v>
      </c>
      <c r="G1322" s="11">
        <v>112276</v>
      </c>
      <c r="H1322" s="12" t="s">
        <v>4446</v>
      </c>
      <c r="I1322" s="12" t="s">
        <v>27</v>
      </c>
      <c r="J1322" s="12" t="s">
        <v>33</v>
      </c>
      <c r="K1322" s="12" t="s">
        <v>34</v>
      </c>
      <c r="L1322" s="13">
        <v>37.24</v>
      </c>
      <c r="M1322" s="13">
        <v>25</v>
      </c>
      <c r="N1322" s="13">
        <v>1.4896</v>
      </c>
      <c r="O1322" s="13">
        <v>44</v>
      </c>
      <c r="P1322" s="13" t="s">
        <v>30</v>
      </c>
      <c r="Q1322" s="13">
        <v>0</v>
      </c>
      <c r="R1322" s="14">
        <v>1638.5600000000002</v>
      </c>
      <c r="S1322" s="15">
        <v>0</v>
      </c>
      <c r="T1322" s="15">
        <v>0</v>
      </c>
      <c r="U1322" s="15">
        <v>1638.5600000000002</v>
      </c>
      <c r="V1322" s="15">
        <v>1638.5600000000002</v>
      </c>
      <c r="W1322" s="15">
        <v>0</v>
      </c>
      <c r="X1322" s="16">
        <v>0</v>
      </c>
      <c r="Y1322" s="16">
        <v>0</v>
      </c>
      <c r="Z1322" s="67" t="s">
        <v>26</v>
      </c>
      <c r="AA1322" s="12" t="s">
        <v>31</v>
      </c>
    </row>
    <row r="1323" spans="1:27" x14ac:dyDescent="0.25">
      <c r="A1323" s="10">
        <v>45678</v>
      </c>
      <c r="B1323" s="11" t="s">
        <v>3073</v>
      </c>
      <c r="C1323" s="11" t="s">
        <v>3074</v>
      </c>
      <c r="D1323" s="11" t="s">
        <v>26</v>
      </c>
      <c r="E1323" s="11" t="s">
        <v>1200</v>
      </c>
      <c r="F1323" s="11" t="s">
        <v>26</v>
      </c>
      <c r="G1323" s="11">
        <v>645</v>
      </c>
      <c r="H1323" s="12" t="s">
        <v>163</v>
      </c>
      <c r="I1323" s="12" t="s">
        <v>27</v>
      </c>
      <c r="J1323" s="12" t="s">
        <v>47</v>
      </c>
      <c r="K1323" s="12" t="s">
        <v>48</v>
      </c>
      <c r="L1323" s="13">
        <v>38.64</v>
      </c>
      <c r="M1323" s="13">
        <v>25</v>
      </c>
      <c r="N1323" s="13">
        <v>1.5456000000000001</v>
      </c>
      <c r="O1323" s="13" t="s">
        <v>30</v>
      </c>
      <c r="P1323" s="13">
        <v>58</v>
      </c>
      <c r="Q1323" s="14">
        <v>0</v>
      </c>
      <c r="R1323" s="15">
        <v>1450</v>
      </c>
      <c r="S1323" s="15">
        <v>0</v>
      </c>
      <c r="T1323" s="15">
        <v>0</v>
      </c>
      <c r="U1323" s="15">
        <v>1450</v>
      </c>
      <c r="V1323" s="15">
        <v>0</v>
      </c>
      <c r="W1323" s="15">
        <v>1450</v>
      </c>
      <c r="X1323" s="15">
        <v>0</v>
      </c>
      <c r="Y1323" s="16">
        <v>0</v>
      </c>
      <c r="Z1323" s="67" t="s">
        <v>26</v>
      </c>
      <c r="AA1323" s="12" t="s">
        <v>31</v>
      </c>
    </row>
    <row r="1324" spans="1:27" x14ac:dyDescent="0.25">
      <c r="A1324" s="10">
        <v>45679</v>
      </c>
      <c r="B1324" s="11" t="s">
        <v>3075</v>
      </c>
      <c r="C1324" s="11" t="s">
        <v>3076</v>
      </c>
      <c r="D1324" s="11" t="s">
        <v>26</v>
      </c>
      <c r="E1324" s="11" t="s">
        <v>552</v>
      </c>
      <c r="F1324" s="11" t="s">
        <v>26</v>
      </c>
      <c r="G1324" s="11">
        <v>69125</v>
      </c>
      <c r="H1324" s="12" t="s">
        <v>4423</v>
      </c>
      <c r="I1324" s="12" t="s">
        <v>27</v>
      </c>
      <c r="J1324" s="12" t="s">
        <v>33</v>
      </c>
      <c r="K1324" s="12" t="s">
        <v>34</v>
      </c>
      <c r="L1324" s="13">
        <v>31.36</v>
      </c>
      <c r="M1324" s="13">
        <v>25</v>
      </c>
      <c r="N1324" s="13">
        <v>1.2544</v>
      </c>
      <c r="O1324" s="13">
        <v>45</v>
      </c>
      <c r="P1324" s="13" t="s">
        <v>30</v>
      </c>
      <c r="Q1324" s="13">
        <v>0</v>
      </c>
      <c r="R1324" s="15">
        <v>1411.2</v>
      </c>
      <c r="S1324" s="15">
        <v>0</v>
      </c>
      <c r="T1324" s="15">
        <v>0</v>
      </c>
      <c r="U1324" s="15">
        <v>1411.2</v>
      </c>
      <c r="V1324" s="15">
        <v>1411.2</v>
      </c>
      <c r="W1324" s="15">
        <v>0</v>
      </c>
      <c r="X1324" s="15">
        <v>0</v>
      </c>
      <c r="Y1324" s="16">
        <v>0</v>
      </c>
      <c r="Z1324" s="67" t="s">
        <v>26</v>
      </c>
      <c r="AA1324" s="12" t="s">
        <v>31</v>
      </c>
    </row>
    <row r="1325" spans="1:27" x14ac:dyDescent="0.25">
      <c r="A1325" s="10">
        <v>45679</v>
      </c>
      <c r="B1325" s="11" t="s">
        <v>437</v>
      </c>
      <c r="C1325" s="11" t="s">
        <v>3077</v>
      </c>
      <c r="D1325" s="11" t="s">
        <v>26</v>
      </c>
      <c r="E1325" s="11" t="s">
        <v>431</v>
      </c>
      <c r="F1325" s="11" t="s">
        <v>26</v>
      </c>
      <c r="G1325" s="11" t="s">
        <v>26</v>
      </c>
      <c r="H1325" s="12" t="s">
        <v>4424</v>
      </c>
      <c r="I1325" s="12" t="s">
        <v>27</v>
      </c>
      <c r="J1325" s="12" t="s">
        <v>47</v>
      </c>
      <c r="K1325" s="12" t="s">
        <v>48</v>
      </c>
      <c r="L1325" s="13">
        <v>41.34</v>
      </c>
      <c r="M1325" s="13">
        <v>28</v>
      </c>
      <c r="N1325" s="13">
        <v>1.4764285714285716</v>
      </c>
      <c r="O1325" s="13">
        <v>90</v>
      </c>
      <c r="P1325" s="13" t="s">
        <v>30</v>
      </c>
      <c r="Q1325" s="13">
        <v>0</v>
      </c>
      <c r="R1325" s="14">
        <v>3720.6000000000004</v>
      </c>
      <c r="S1325" s="15">
        <v>38</v>
      </c>
      <c r="T1325" s="15">
        <v>1570.92</v>
      </c>
      <c r="U1325" s="15">
        <v>2149.6800000000003</v>
      </c>
      <c r="V1325" s="15">
        <v>2149.6800000000003</v>
      </c>
      <c r="W1325" s="15">
        <v>0</v>
      </c>
      <c r="X1325" s="15">
        <v>1529.5800000000002</v>
      </c>
      <c r="Y1325" s="16">
        <v>41.339999999999918</v>
      </c>
      <c r="Z1325" s="67" t="s">
        <v>6328</v>
      </c>
      <c r="AA1325" s="12" t="s">
        <v>657</v>
      </c>
    </row>
    <row r="1326" spans="1:27" x14ac:dyDescent="0.25">
      <c r="A1326" s="10">
        <v>45679</v>
      </c>
      <c r="B1326" s="11" t="s">
        <v>3078</v>
      </c>
      <c r="C1326" s="11" t="s">
        <v>3079</v>
      </c>
      <c r="D1326" s="11" t="s">
        <v>26</v>
      </c>
      <c r="E1326" s="11" t="s">
        <v>50</v>
      </c>
      <c r="F1326" s="11" t="s">
        <v>26</v>
      </c>
      <c r="G1326" s="11">
        <v>646</v>
      </c>
      <c r="H1326" s="12" t="s">
        <v>163</v>
      </c>
      <c r="I1326" s="12" t="s">
        <v>27</v>
      </c>
      <c r="J1326" s="12" t="s">
        <v>33</v>
      </c>
      <c r="K1326" s="12" t="s">
        <v>34</v>
      </c>
      <c r="L1326" s="13">
        <v>37.5</v>
      </c>
      <c r="M1326" s="13">
        <v>25</v>
      </c>
      <c r="N1326" s="13">
        <v>1.5</v>
      </c>
      <c r="O1326" s="13" t="s">
        <v>30</v>
      </c>
      <c r="P1326" s="13">
        <v>58</v>
      </c>
      <c r="Q1326" s="13">
        <v>0</v>
      </c>
      <c r="R1326" s="15">
        <v>1450</v>
      </c>
      <c r="S1326" s="15">
        <v>0</v>
      </c>
      <c r="T1326" s="15">
        <v>0</v>
      </c>
      <c r="U1326" s="15">
        <v>1450</v>
      </c>
      <c r="V1326" s="15">
        <v>0</v>
      </c>
      <c r="W1326" s="15">
        <v>1450</v>
      </c>
      <c r="X1326" s="15">
        <v>0</v>
      </c>
      <c r="Y1326" s="16">
        <v>0</v>
      </c>
      <c r="Z1326" s="67" t="s">
        <v>26</v>
      </c>
      <c r="AA1326" s="12" t="s">
        <v>31</v>
      </c>
    </row>
    <row r="1327" spans="1:27" x14ac:dyDescent="0.25">
      <c r="A1327" s="10">
        <v>45679</v>
      </c>
      <c r="B1327" s="11" t="s">
        <v>229</v>
      </c>
      <c r="C1327" s="11" t="s">
        <v>3080</v>
      </c>
      <c r="D1327" s="11" t="s">
        <v>26</v>
      </c>
      <c r="E1327" s="11" t="s">
        <v>53</v>
      </c>
      <c r="F1327" s="11" t="s">
        <v>26</v>
      </c>
      <c r="G1327" s="11" t="s">
        <v>26</v>
      </c>
      <c r="H1327" s="12" t="s">
        <v>4422</v>
      </c>
      <c r="I1327" s="12" t="s">
        <v>27</v>
      </c>
      <c r="J1327" s="12" t="s">
        <v>33</v>
      </c>
      <c r="K1327" s="12" t="s">
        <v>34</v>
      </c>
      <c r="L1327" s="13">
        <v>44.18</v>
      </c>
      <c r="M1327" s="13">
        <v>30</v>
      </c>
      <c r="N1327" s="13">
        <v>1.4726666666666666</v>
      </c>
      <c r="O1327" s="13">
        <v>85</v>
      </c>
      <c r="P1327" s="13" t="s">
        <v>30</v>
      </c>
      <c r="Q1327" s="13">
        <v>0</v>
      </c>
      <c r="R1327" s="14">
        <v>3755.3</v>
      </c>
      <c r="S1327" s="15">
        <v>38</v>
      </c>
      <c r="T1327" s="15">
        <v>1678.84</v>
      </c>
      <c r="U1327" s="15">
        <v>2076.46</v>
      </c>
      <c r="V1327" s="15">
        <v>2076.46</v>
      </c>
      <c r="W1327" s="15">
        <v>0</v>
      </c>
      <c r="X1327" s="15">
        <v>1634.66</v>
      </c>
      <c r="Y1327" s="16">
        <v>44.179999999999836</v>
      </c>
      <c r="Z1327" s="67" t="s">
        <v>41</v>
      </c>
      <c r="AA1327" s="12" t="s">
        <v>78</v>
      </c>
    </row>
    <row r="1328" spans="1:27" x14ac:dyDescent="0.25">
      <c r="A1328" s="10">
        <v>45679</v>
      </c>
      <c r="B1328" s="11" t="s">
        <v>3081</v>
      </c>
      <c r="C1328" s="11" t="s">
        <v>3082</v>
      </c>
      <c r="D1328" s="11" t="s">
        <v>26</v>
      </c>
      <c r="E1328" s="11" t="s">
        <v>501</v>
      </c>
      <c r="F1328" s="11" t="s">
        <v>26</v>
      </c>
      <c r="G1328" s="11">
        <v>805</v>
      </c>
      <c r="H1328" s="12" t="s">
        <v>141</v>
      </c>
      <c r="I1328" s="12" t="s">
        <v>55</v>
      </c>
      <c r="J1328" s="12" t="s">
        <v>55</v>
      </c>
      <c r="K1328" s="12" t="s">
        <v>56</v>
      </c>
      <c r="L1328" s="13">
        <v>41.32</v>
      </c>
      <c r="M1328" s="13">
        <v>25</v>
      </c>
      <c r="N1328" s="13">
        <v>1.6528</v>
      </c>
      <c r="O1328" s="13">
        <v>15</v>
      </c>
      <c r="P1328" s="13" t="s">
        <v>30</v>
      </c>
      <c r="Q1328" s="13">
        <v>0</v>
      </c>
      <c r="R1328" s="14">
        <v>619.79999999999995</v>
      </c>
      <c r="S1328" s="15">
        <v>0</v>
      </c>
      <c r="T1328" s="15">
        <v>0</v>
      </c>
      <c r="U1328" s="15">
        <v>619.79999999999995</v>
      </c>
      <c r="V1328" s="15">
        <v>0</v>
      </c>
      <c r="W1328" s="15">
        <v>619.79999999999995</v>
      </c>
      <c r="X1328" s="15">
        <v>0</v>
      </c>
      <c r="Y1328" s="16">
        <v>0</v>
      </c>
      <c r="Z1328" s="67" t="s">
        <v>26</v>
      </c>
      <c r="AA1328" s="12" t="s">
        <v>31</v>
      </c>
    </row>
    <row r="1329" spans="1:27" x14ac:dyDescent="0.25">
      <c r="A1329" s="10">
        <v>45679</v>
      </c>
      <c r="B1329" s="11" t="s">
        <v>499</v>
      </c>
      <c r="C1329" s="11" t="s">
        <v>3083</v>
      </c>
      <c r="D1329" s="11" t="s">
        <v>26</v>
      </c>
      <c r="E1329" s="11" t="s">
        <v>1725</v>
      </c>
      <c r="F1329" s="11" t="s">
        <v>26</v>
      </c>
      <c r="G1329" s="11">
        <v>1528</v>
      </c>
      <c r="H1329" s="12" t="s">
        <v>45</v>
      </c>
      <c r="I1329" s="12" t="s">
        <v>27</v>
      </c>
      <c r="J1329" s="12" t="s">
        <v>33</v>
      </c>
      <c r="K1329" s="12" t="s">
        <v>34</v>
      </c>
      <c r="L1329" s="13">
        <v>38.58</v>
      </c>
      <c r="M1329" s="13">
        <v>25</v>
      </c>
      <c r="N1329" s="13">
        <v>1.5431999999999999</v>
      </c>
      <c r="O1329" s="13" t="s">
        <v>30</v>
      </c>
      <c r="P1329" s="13">
        <v>58</v>
      </c>
      <c r="Q1329" s="13">
        <v>0</v>
      </c>
      <c r="R1329" s="15">
        <v>1450</v>
      </c>
      <c r="S1329" s="15">
        <v>0</v>
      </c>
      <c r="T1329" s="15">
        <v>0</v>
      </c>
      <c r="U1329" s="15">
        <v>1450</v>
      </c>
      <c r="V1329" s="15">
        <v>0</v>
      </c>
      <c r="W1329" s="15">
        <v>1450</v>
      </c>
      <c r="X1329" s="15">
        <v>0</v>
      </c>
      <c r="Y1329" s="16">
        <v>0</v>
      </c>
      <c r="Z1329" s="67" t="s">
        <v>26</v>
      </c>
      <c r="AA1329" s="12" t="s">
        <v>31</v>
      </c>
    </row>
    <row r="1330" spans="1:27" x14ac:dyDescent="0.25">
      <c r="A1330" s="10">
        <v>45679</v>
      </c>
      <c r="B1330" s="11" t="s">
        <v>3084</v>
      </c>
      <c r="C1330" s="11" t="s">
        <v>3085</v>
      </c>
      <c r="D1330" s="11" t="s">
        <v>26</v>
      </c>
      <c r="E1330" s="11" t="s">
        <v>57</v>
      </c>
      <c r="F1330" s="11" t="s">
        <v>26</v>
      </c>
      <c r="G1330" s="11" t="s">
        <v>26</v>
      </c>
      <c r="H1330" s="12" t="s">
        <v>4422</v>
      </c>
      <c r="I1330" s="12" t="s">
        <v>27</v>
      </c>
      <c r="J1330" s="12" t="s">
        <v>33</v>
      </c>
      <c r="K1330" s="12" t="s">
        <v>34</v>
      </c>
      <c r="L1330" s="13">
        <v>43.16</v>
      </c>
      <c r="M1330" s="13">
        <v>30</v>
      </c>
      <c r="N1330" s="13">
        <v>1.4386666666666665</v>
      </c>
      <c r="O1330" s="13">
        <v>85</v>
      </c>
      <c r="P1330" s="13" t="s">
        <v>30</v>
      </c>
      <c r="Q1330" s="13">
        <v>0</v>
      </c>
      <c r="R1330" s="14">
        <v>3668.6</v>
      </c>
      <c r="S1330" s="15">
        <v>38</v>
      </c>
      <c r="T1330" s="15">
        <v>1640.08</v>
      </c>
      <c r="U1330" s="15">
        <v>2028.52</v>
      </c>
      <c r="V1330" s="15">
        <v>2028.52</v>
      </c>
      <c r="W1330" s="15">
        <v>0</v>
      </c>
      <c r="X1330" s="15">
        <v>1596.9199999999998</v>
      </c>
      <c r="Y1330" s="16">
        <v>43.160000000000082</v>
      </c>
      <c r="Z1330" s="67" t="s">
        <v>41</v>
      </c>
      <c r="AA1330" s="12" t="s">
        <v>78</v>
      </c>
    </row>
    <row r="1331" spans="1:27" x14ac:dyDescent="0.25">
      <c r="A1331" s="10">
        <v>45679</v>
      </c>
      <c r="B1331" s="11" t="s">
        <v>239</v>
      </c>
      <c r="C1331" s="11" t="s">
        <v>3086</v>
      </c>
      <c r="D1331" s="11" t="s">
        <v>26</v>
      </c>
      <c r="E1331" s="11" t="s">
        <v>246</v>
      </c>
      <c r="F1331" s="11" t="s">
        <v>26</v>
      </c>
      <c r="G1331" s="11" t="s">
        <v>26</v>
      </c>
      <c r="H1331" s="12" t="s">
        <v>4422</v>
      </c>
      <c r="I1331" s="12" t="s">
        <v>27</v>
      </c>
      <c r="J1331" s="12" t="s">
        <v>42</v>
      </c>
      <c r="K1331" s="12" t="s">
        <v>43</v>
      </c>
      <c r="L1331" s="13">
        <v>44.66</v>
      </c>
      <c r="M1331" s="13">
        <v>25</v>
      </c>
      <c r="N1331" s="13">
        <v>1.7863999999999998</v>
      </c>
      <c r="O1331" s="13">
        <v>83</v>
      </c>
      <c r="P1331" s="13" t="s">
        <v>30</v>
      </c>
      <c r="Q1331" s="13">
        <v>0</v>
      </c>
      <c r="R1331" s="14">
        <v>3706.7799999999997</v>
      </c>
      <c r="S1331" s="15">
        <v>38</v>
      </c>
      <c r="T1331" s="15">
        <v>1697.08</v>
      </c>
      <c r="U1331" s="15">
        <v>2009.6999999999998</v>
      </c>
      <c r="V1331" s="15">
        <v>2009.6999999999998</v>
      </c>
      <c r="W1331" s="15"/>
      <c r="X1331" s="15">
        <v>1652.4199999999998</v>
      </c>
      <c r="Y1331" s="16">
        <v>44.660000000000082</v>
      </c>
      <c r="Z1331" s="67" t="s">
        <v>41</v>
      </c>
      <c r="AA1331" s="12" t="s">
        <v>78</v>
      </c>
    </row>
    <row r="1332" spans="1:27" x14ac:dyDescent="0.25">
      <c r="A1332" s="10">
        <v>45679</v>
      </c>
      <c r="B1332" s="11" t="s">
        <v>524</v>
      </c>
      <c r="C1332" s="11" t="s">
        <v>3087</v>
      </c>
      <c r="D1332" s="11" t="s">
        <v>26</v>
      </c>
      <c r="E1332" s="11" t="s">
        <v>49</v>
      </c>
      <c r="F1332" s="11" t="s">
        <v>26</v>
      </c>
      <c r="G1332" s="11">
        <v>1565</v>
      </c>
      <c r="H1332" s="12" t="s">
        <v>45</v>
      </c>
      <c r="I1332" s="12" t="s">
        <v>27</v>
      </c>
      <c r="J1332" s="12" t="s">
        <v>33</v>
      </c>
      <c r="K1332" s="12" t="s">
        <v>34</v>
      </c>
      <c r="L1332" s="13">
        <v>37.380000000000003</v>
      </c>
      <c r="M1332" s="13">
        <v>25</v>
      </c>
      <c r="N1332" s="13">
        <v>1.4952000000000001</v>
      </c>
      <c r="O1332" s="13" t="s">
        <v>30</v>
      </c>
      <c r="P1332" s="13">
        <v>58</v>
      </c>
      <c r="Q1332" s="13">
        <v>0</v>
      </c>
      <c r="R1332" s="14">
        <v>1450</v>
      </c>
      <c r="S1332" s="15">
        <v>0</v>
      </c>
      <c r="T1332" s="15">
        <v>0</v>
      </c>
      <c r="U1332" s="15">
        <v>1450</v>
      </c>
      <c r="V1332" s="15">
        <v>0</v>
      </c>
      <c r="W1332" s="15">
        <v>1450</v>
      </c>
      <c r="X1332" s="15">
        <v>0</v>
      </c>
      <c r="Y1332" s="16">
        <v>0</v>
      </c>
      <c r="Z1332" s="67" t="s">
        <v>26</v>
      </c>
      <c r="AA1332" s="12" t="s">
        <v>31</v>
      </c>
    </row>
    <row r="1333" spans="1:27" x14ac:dyDescent="0.25">
      <c r="A1333" s="10">
        <v>45679</v>
      </c>
      <c r="B1333" s="11" t="s">
        <v>3088</v>
      </c>
      <c r="C1333" s="11" t="s">
        <v>3089</v>
      </c>
      <c r="D1333" s="11" t="s">
        <v>26</v>
      </c>
      <c r="E1333" s="11" t="s">
        <v>539</v>
      </c>
      <c r="F1333" s="11" t="s">
        <v>26</v>
      </c>
      <c r="G1333" s="11" t="s">
        <v>26</v>
      </c>
      <c r="H1333" s="12" t="s">
        <v>4422</v>
      </c>
      <c r="I1333" s="12" t="s">
        <v>27</v>
      </c>
      <c r="J1333" s="12" t="s">
        <v>42</v>
      </c>
      <c r="K1333" s="12" t="s">
        <v>43</v>
      </c>
      <c r="L1333" s="13">
        <v>44.5</v>
      </c>
      <c r="M1333" s="13">
        <v>25</v>
      </c>
      <c r="N1333" s="13">
        <v>1.78</v>
      </c>
      <c r="O1333" s="13">
        <v>83</v>
      </c>
      <c r="P1333" s="13" t="s">
        <v>30</v>
      </c>
      <c r="Q1333" s="13">
        <v>0</v>
      </c>
      <c r="R1333" s="15">
        <v>3693.5</v>
      </c>
      <c r="S1333" s="15">
        <v>38</v>
      </c>
      <c r="T1333" s="15">
        <v>1691</v>
      </c>
      <c r="U1333" s="15">
        <v>2002.5</v>
      </c>
      <c r="V1333" s="15">
        <v>2002.5</v>
      </c>
      <c r="W1333" s="15"/>
      <c r="X1333" s="15">
        <v>1646.5</v>
      </c>
      <c r="Y1333" s="16">
        <v>44.5</v>
      </c>
      <c r="Z1333" s="67" t="s">
        <v>41</v>
      </c>
      <c r="AA1333" s="12" t="s">
        <v>78</v>
      </c>
    </row>
    <row r="1334" spans="1:27" x14ac:dyDescent="0.25">
      <c r="A1334" s="10">
        <v>45679</v>
      </c>
      <c r="B1334" s="11" t="s">
        <v>3090</v>
      </c>
      <c r="C1334" s="11" t="s">
        <v>3091</v>
      </c>
      <c r="D1334" s="11" t="s">
        <v>26</v>
      </c>
      <c r="E1334" s="11" t="s">
        <v>44</v>
      </c>
      <c r="F1334" s="11" t="s">
        <v>26</v>
      </c>
      <c r="G1334" s="11">
        <v>1570</v>
      </c>
      <c r="H1334" s="12" t="s">
        <v>45</v>
      </c>
      <c r="I1334" s="12" t="s">
        <v>27</v>
      </c>
      <c r="J1334" s="12" t="s">
        <v>33</v>
      </c>
      <c r="K1334" s="12" t="s">
        <v>34</v>
      </c>
      <c r="L1334" s="13">
        <v>38.979999999999997</v>
      </c>
      <c r="M1334" s="13">
        <v>25</v>
      </c>
      <c r="N1334" s="13">
        <v>1.5591999999999999</v>
      </c>
      <c r="O1334" s="13" t="s">
        <v>30</v>
      </c>
      <c r="P1334" s="13">
        <v>58</v>
      </c>
      <c r="Q1334" s="13">
        <v>0</v>
      </c>
      <c r="R1334" s="14">
        <v>1450</v>
      </c>
      <c r="S1334" s="15">
        <v>0</v>
      </c>
      <c r="T1334" s="15">
        <v>0</v>
      </c>
      <c r="U1334" s="15">
        <v>1450</v>
      </c>
      <c r="V1334" s="15">
        <v>0</v>
      </c>
      <c r="W1334" s="15">
        <v>1450</v>
      </c>
      <c r="X1334" s="15">
        <v>0</v>
      </c>
      <c r="Y1334" s="16">
        <v>0</v>
      </c>
      <c r="Z1334" s="67" t="s">
        <v>26</v>
      </c>
      <c r="AA1334" s="12" t="s">
        <v>31</v>
      </c>
    </row>
    <row r="1335" spans="1:27" x14ac:dyDescent="0.25">
      <c r="A1335" s="10">
        <v>45679</v>
      </c>
      <c r="B1335" s="11" t="s">
        <v>181</v>
      </c>
      <c r="C1335" s="11" t="s">
        <v>3092</v>
      </c>
      <c r="D1335" s="11" t="s">
        <v>26</v>
      </c>
      <c r="E1335" s="11" t="s">
        <v>98</v>
      </c>
      <c r="F1335" s="11" t="s">
        <v>26</v>
      </c>
      <c r="G1335" s="11" t="s">
        <v>26</v>
      </c>
      <c r="H1335" s="12" t="s">
        <v>4422</v>
      </c>
      <c r="I1335" s="12" t="s">
        <v>27</v>
      </c>
      <c r="J1335" s="12" t="s">
        <v>42</v>
      </c>
      <c r="K1335" s="12" t="s">
        <v>43</v>
      </c>
      <c r="L1335" s="13">
        <v>44.42</v>
      </c>
      <c r="M1335" s="13">
        <v>25</v>
      </c>
      <c r="N1335" s="13">
        <v>1.7768000000000002</v>
      </c>
      <c r="O1335" s="13">
        <v>83</v>
      </c>
      <c r="P1335" s="13" t="s">
        <v>30</v>
      </c>
      <c r="Q1335" s="13">
        <v>0</v>
      </c>
      <c r="R1335" s="14">
        <v>3686.86</v>
      </c>
      <c r="S1335" s="15">
        <v>38</v>
      </c>
      <c r="T1335" s="15">
        <v>1687.96</v>
      </c>
      <c r="U1335" s="15">
        <v>1998.9</v>
      </c>
      <c r="V1335" s="15">
        <v>1998.9</v>
      </c>
      <c r="W1335" s="15"/>
      <c r="X1335" s="15">
        <v>1599.1200000000001</v>
      </c>
      <c r="Y1335" s="16">
        <v>88.839999999999918</v>
      </c>
      <c r="Z1335" s="67" t="s">
        <v>140</v>
      </c>
      <c r="AA1335" s="12" t="s">
        <v>78</v>
      </c>
    </row>
    <row r="1336" spans="1:27" x14ac:dyDescent="0.25">
      <c r="A1336" s="10">
        <v>45679</v>
      </c>
      <c r="B1336" s="11" t="s">
        <v>594</v>
      </c>
      <c r="C1336" s="11" t="s">
        <v>3093</v>
      </c>
      <c r="D1336" s="11" t="s">
        <v>26</v>
      </c>
      <c r="E1336" s="11" t="s">
        <v>67</v>
      </c>
      <c r="F1336" s="11" t="s">
        <v>26</v>
      </c>
      <c r="G1336" s="11">
        <v>1610</v>
      </c>
      <c r="H1336" s="12" t="s">
        <v>66</v>
      </c>
      <c r="I1336" s="12" t="s">
        <v>37</v>
      </c>
      <c r="J1336" s="12" t="s">
        <v>1909</v>
      </c>
      <c r="K1336" s="12" t="s">
        <v>82</v>
      </c>
      <c r="L1336" s="13">
        <v>39.96</v>
      </c>
      <c r="M1336" s="13">
        <v>25</v>
      </c>
      <c r="N1336" s="13">
        <v>1.5984</v>
      </c>
      <c r="O1336" s="13" t="s">
        <v>30</v>
      </c>
      <c r="P1336" s="13">
        <v>54</v>
      </c>
      <c r="Q1336" s="13">
        <v>0</v>
      </c>
      <c r="R1336" s="14">
        <v>1350</v>
      </c>
      <c r="S1336" s="15">
        <v>0</v>
      </c>
      <c r="T1336" s="15">
        <v>0</v>
      </c>
      <c r="U1336" s="15">
        <v>1350</v>
      </c>
      <c r="V1336" s="15">
        <v>1350</v>
      </c>
      <c r="W1336" s="15">
        <v>0</v>
      </c>
      <c r="X1336" s="15">
        <v>0</v>
      </c>
      <c r="Y1336" s="16">
        <v>0</v>
      </c>
      <c r="Z1336" s="67" t="s">
        <v>26</v>
      </c>
      <c r="AA1336" s="12" t="s">
        <v>31</v>
      </c>
    </row>
    <row r="1337" spans="1:27" x14ac:dyDescent="0.25">
      <c r="A1337" s="10">
        <v>45679</v>
      </c>
      <c r="B1337" s="11" t="s">
        <v>3094</v>
      </c>
      <c r="C1337" s="11" t="s">
        <v>3095</v>
      </c>
      <c r="D1337" s="11" t="s">
        <v>26</v>
      </c>
      <c r="E1337" s="11" t="s">
        <v>520</v>
      </c>
      <c r="F1337" s="11" t="s">
        <v>26</v>
      </c>
      <c r="G1337" s="11" t="s">
        <v>26</v>
      </c>
      <c r="H1337" s="12" t="s">
        <v>4422</v>
      </c>
      <c r="I1337" s="12" t="s">
        <v>27</v>
      </c>
      <c r="J1337" s="12" t="s">
        <v>42</v>
      </c>
      <c r="K1337" s="12" t="s">
        <v>43</v>
      </c>
      <c r="L1337" s="13">
        <v>43.9</v>
      </c>
      <c r="M1337" s="13">
        <v>25</v>
      </c>
      <c r="N1337" s="13">
        <v>1.756</v>
      </c>
      <c r="O1337" s="13">
        <v>83</v>
      </c>
      <c r="P1337" s="13" t="s">
        <v>30</v>
      </c>
      <c r="Q1337" s="13">
        <v>0</v>
      </c>
      <c r="R1337" s="14">
        <v>3643.7</v>
      </c>
      <c r="S1337" s="15">
        <v>38</v>
      </c>
      <c r="T1337" s="15">
        <v>1668.2</v>
      </c>
      <c r="U1337" s="15">
        <v>1975.4999999999998</v>
      </c>
      <c r="V1337" s="15">
        <v>1975.4999999999998</v>
      </c>
      <c r="W1337" s="15"/>
      <c r="X1337" s="15">
        <v>1580.3999999999999</v>
      </c>
      <c r="Y1337" s="16">
        <v>87.800000000000182</v>
      </c>
      <c r="Z1337" s="67" t="s">
        <v>140</v>
      </c>
      <c r="AA1337" s="12" t="s">
        <v>78</v>
      </c>
    </row>
    <row r="1338" spans="1:27" x14ac:dyDescent="0.25">
      <c r="A1338" s="10">
        <v>45679</v>
      </c>
      <c r="B1338" s="11" t="s">
        <v>3096</v>
      </c>
      <c r="C1338" s="11" t="s">
        <v>3097</v>
      </c>
      <c r="D1338" s="11" t="s">
        <v>26</v>
      </c>
      <c r="E1338" s="11" t="s">
        <v>65</v>
      </c>
      <c r="F1338" s="11" t="s">
        <v>26</v>
      </c>
      <c r="G1338" s="11">
        <v>1583</v>
      </c>
      <c r="H1338" s="12" t="s">
        <v>66</v>
      </c>
      <c r="I1338" s="12" t="s">
        <v>37</v>
      </c>
      <c r="J1338" s="12" t="s">
        <v>1909</v>
      </c>
      <c r="K1338" s="12" t="s">
        <v>82</v>
      </c>
      <c r="L1338" s="13">
        <v>39.840000000000003</v>
      </c>
      <c r="M1338" s="13">
        <v>25</v>
      </c>
      <c r="N1338" s="13">
        <v>1.5936000000000001</v>
      </c>
      <c r="O1338" s="13" t="s">
        <v>30</v>
      </c>
      <c r="P1338" s="13">
        <v>54</v>
      </c>
      <c r="Q1338" s="13">
        <v>0</v>
      </c>
      <c r="R1338" s="14">
        <v>1350</v>
      </c>
      <c r="S1338" s="15">
        <v>0</v>
      </c>
      <c r="T1338" s="15">
        <v>0</v>
      </c>
      <c r="U1338" s="15">
        <v>1350</v>
      </c>
      <c r="V1338" s="15">
        <v>1350</v>
      </c>
      <c r="W1338" s="15">
        <v>0</v>
      </c>
      <c r="X1338" s="15">
        <v>0</v>
      </c>
      <c r="Y1338" s="16">
        <v>0</v>
      </c>
      <c r="Z1338" s="67" t="s">
        <v>26</v>
      </c>
      <c r="AA1338" s="12" t="s">
        <v>31</v>
      </c>
    </row>
    <row r="1339" spans="1:27" x14ac:dyDescent="0.25">
      <c r="A1339" s="10">
        <v>45679</v>
      </c>
      <c r="B1339" s="11" t="s">
        <v>588</v>
      </c>
      <c r="C1339" s="11" t="s">
        <v>3098</v>
      </c>
      <c r="D1339" s="11" t="s">
        <v>26</v>
      </c>
      <c r="E1339" s="11" t="s">
        <v>604</v>
      </c>
      <c r="F1339" s="11" t="s">
        <v>26</v>
      </c>
      <c r="G1339" s="11">
        <v>1110</v>
      </c>
      <c r="H1339" s="12" t="s">
        <v>141</v>
      </c>
      <c r="I1339" s="12" t="s">
        <v>55</v>
      </c>
      <c r="J1339" s="12" t="s">
        <v>55</v>
      </c>
      <c r="K1339" s="12" t="s">
        <v>56</v>
      </c>
      <c r="L1339" s="13">
        <v>38.9</v>
      </c>
      <c r="M1339" s="13">
        <v>25</v>
      </c>
      <c r="N1339" s="13">
        <v>1.556</v>
      </c>
      <c r="O1339" s="13">
        <v>15</v>
      </c>
      <c r="P1339" s="13" t="s">
        <v>30</v>
      </c>
      <c r="Q1339" s="13">
        <v>0</v>
      </c>
      <c r="R1339" s="14">
        <v>583.5</v>
      </c>
      <c r="S1339" s="15">
        <v>0</v>
      </c>
      <c r="T1339" s="15">
        <v>0</v>
      </c>
      <c r="U1339" s="15">
        <v>583.5</v>
      </c>
      <c r="V1339" s="15">
        <v>0</v>
      </c>
      <c r="W1339" s="15">
        <v>583.5</v>
      </c>
      <c r="X1339" s="15">
        <v>0</v>
      </c>
      <c r="Y1339" s="16">
        <v>0</v>
      </c>
      <c r="Z1339" s="67" t="s">
        <v>26</v>
      </c>
      <c r="AA1339" s="12" t="s">
        <v>31</v>
      </c>
    </row>
    <row r="1340" spans="1:27" x14ac:dyDescent="0.25">
      <c r="A1340" s="10">
        <v>45679</v>
      </c>
      <c r="B1340" s="11" t="s">
        <v>226</v>
      </c>
      <c r="C1340" s="11" t="s">
        <v>3099</v>
      </c>
      <c r="D1340" s="11" t="s">
        <v>26</v>
      </c>
      <c r="E1340" s="11" t="s">
        <v>589</v>
      </c>
      <c r="F1340" s="11" t="s">
        <v>26</v>
      </c>
      <c r="G1340" s="11">
        <v>4591</v>
      </c>
      <c r="H1340" s="12" t="s">
        <v>4423</v>
      </c>
      <c r="I1340" s="12" t="s">
        <v>27</v>
      </c>
      <c r="J1340" s="12" t="s">
        <v>33</v>
      </c>
      <c r="K1340" s="12" t="s">
        <v>34</v>
      </c>
      <c r="L1340" s="13">
        <v>37.880000000000003</v>
      </c>
      <c r="M1340" s="13">
        <v>25</v>
      </c>
      <c r="N1340" s="13">
        <v>1.5152000000000001</v>
      </c>
      <c r="O1340" s="13">
        <v>45</v>
      </c>
      <c r="P1340" s="13" t="s">
        <v>30</v>
      </c>
      <c r="Q1340" s="13">
        <v>0</v>
      </c>
      <c r="R1340" s="14">
        <v>1704.6000000000001</v>
      </c>
      <c r="S1340" s="15">
        <v>0</v>
      </c>
      <c r="T1340" s="15">
        <v>0</v>
      </c>
      <c r="U1340" s="15">
        <v>1704.6000000000001</v>
      </c>
      <c r="V1340" s="15">
        <v>1704.6000000000001</v>
      </c>
      <c r="W1340" s="15">
        <v>0</v>
      </c>
      <c r="X1340" s="15">
        <v>0</v>
      </c>
      <c r="Y1340" s="16">
        <v>0</v>
      </c>
      <c r="Z1340" s="67" t="s">
        <v>26</v>
      </c>
      <c r="AA1340" s="12" t="s">
        <v>31</v>
      </c>
    </row>
    <row r="1341" spans="1:27" x14ac:dyDescent="0.25">
      <c r="A1341" s="10">
        <v>45679</v>
      </c>
      <c r="B1341" s="11" t="s">
        <v>3100</v>
      </c>
      <c r="C1341" s="11" t="s">
        <v>3101</v>
      </c>
      <c r="D1341" s="11" t="s">
        <v>26</v>
      </c>
      <c r="E1341" s="11" t="s">
        <v>509</v>
      </c>
      <c r="F1341" s="11" t="s">
        <v>26</v>
      </c>
      <c r="G1341" s="11">
        <v>1307</v>
      </c>
      <c r="H1341" s="12" t="s">
        <v>141</v>
      </c>
      <c r="I1341" s="12" t="s">
        <v>55</v>
      </c>
      <c r="J1341" s="12" t="s">
        <v>55</v>
      </c>
      <c r="K1341" s="12" t="s">
        <v>56</v>
      </c>
      <c r="L1341" s="13">
        <v>39.82</v>
      </c>
      <c r="M1341" s="13">
        <v>25</v>
      </c>
      <c r="N1341" s="13">
        <v>1.5928</v>
      </c>
      <c r="O1341" s="13">
        <v>15</v>
      </c>
      <c r="P1341" s="13" t="s">
        <v>30</v>
      </c>
      <c r="Q1341" s="13">
        <v>0</v>
      </c>
      <c r="R1341" s="14">
        <v>597.29999999999995</v>
      </c>
      <c r="S1341" s="15">
        <v>0</v>
      </c>
      <c r="T1341" s="15">
        <v>0</v>
      </c>
      <c r="U1341" s="15">
        <v>597.29999999999995</v>
      </c>
      <c r="V1341" s="15">
        <v>0</v>
      </c>
      <c r="W1341" s="15">
        <v>597.29999999999995</v>
      </c>
      <c r="X1341" s="15">
        <v>0</v>
      </c>
      <c r="Y1341" s="16">
        <v>0</v>
      </c>
      <c r="Z1341" s="67" t="s">
        <v>26</v>
      </c>
      <c r="AA1341" s="12" t="s">
        <v>31</v>
      </c>
    </row>
    <row r="1342" spans="1:27" x14ac:dyDescent="0.25">
      <c r="A1342" s="10">
        <v>45679</v>
      </c>
      <c r="B1342" s="11" t="s">
        <v>3102</v>
      </c>
      <c r="C1342" s="11" t="s">
        <v>3103</v>
      </c>
      <c r="D1342" s="11" t="s">
        <v>26</v>
      </c>
      <c r="E1342" s="11" t="s">
        <v>561</v>
      </c>
      <c r="F1342" s="11" t="s">
        <v>26</v>
      </c>
      <c r="G1342" s="11">
        <v>112278</v>
      </c>
      <c r="H1342" s="12" t="s">
        <v>4446</v>
      </c>
      <c r="I1342" s="12" t="s">
        <v>27</v>
      </c>
      <c r="J1342" s="12" t="s">
        <v>42</v>
      </c>
      <c r="K1342" s="12" t="s">
        <v>43</v>
      </c>
      <c r="L1342" s="13">
        <v>39.92</v>
      </c>
      <c r="M1342" s="13">
        <v>25</v>
      </c>
      <c r="N1342" s="13">
        <v>1.5968</v>
      </c>
      <c r="O1342" s="13">
        <v>42</v>
      </c>
      <c r="P1342" s="13" t="s">
        <v>30</v>
      </c>
      <c r="Q1342" s="13">
        <v>0</v>
      </c>
      <c r="R1342" s="14">
        <v>1676.64</v>
      </c>
      <c r="S1342" s="15">
        <v>0</v>
      </c>
      <c r="T1342" s="15">
        <v>0</v>
      </c>
      <c r="U1342" s="15">
        <v>1676.64</v>
      </c>
      <c r="V1342" s="15">
        <v>1676.64</v>
      </c>
      <c r="W1342" s="15">
        <v>0</v>
      </c>
      <c r="X1342" s="15">
        <v>0</v>
      </c>
      <c r="Y1342" s="16">
        <v>0</v>
      </c>
      <c r="Z1342" s="67" t="s">
        <v>26</v>
      </c>
      <c r="AA1342" s="12" t="s">
        <v>31</v>
      </c>
    </row>
    <row r="1343" spans="1:27" x14ac:dyDescent="0.25">
      <c r="A1343" s="10">
        <v>45679</v>
      </c>
      <c r="B1343" s="11" t="s">
        <v>3104</v>
      </c>
      <c r="C1343" s="11" t="s">
        <v>3105</v>
      </c>
      <c r="D1343" s="11" t="s">
        <v>26</v>
      </c>
      <c r="E1343" s="11" t="s">
        <v>87</v>
      </c>
      <c r="F1343" s="11" t="s">
        <v>26</v>
      </c>
      <c r="G1343" s="11">
        <v>32382</v>
      </c>
      <c r="H1343" s="12" t="s">
        <v>4423</v>
      </c>
      <c r="I1343" s="12" t="s">
        <v>27</v>
      </c>
      <c r="J1343" s="12" t="s">
        <v>42</v>
      </c>
      <c r="K1343" s="12" t="s">
        <v>43</v>
      </c>
      <c r="L1343" s="13">
        <v>38.46</v>
      </c>
      <c r="M1343" s="13">
        <v>25</v>
      </c>
      <c r="N1343" s="13">
        <v>1.5384</v>
      </c>
      <c r="O1343" s="13">
        <v>42</v>
      </c>
      <c r="P1343" s="13" t="s">
        <v>30</v>
      </c>
      <c r="Q1343" s="13">
        <v>0</v>
      </c>
      <c r="R1343" s="14">
        <v>1615.32</v>
      </c>
      <c r="S1343" s="15">
        <v>0</v>
      </c>
      <c r="T1343" s="15">
        <v>0</v>
      </c>
      <c r="U1343" s="15">
        <v>1615.32</v>
      </c>
      <c r="V1343" s="15">
        <v>1615.32</v>
      </c>
      <c r="W1343" s="15">
        <v>0</v>
      </c>
      <c r="X1343" s="15">
        <v>0</v>
      </c>
      <c r="Y1343" s="16">
        <v>0</v>
      </c>
      <c r="Z1343" s="67" t="s">
        <v>26</v>
      </c>
      <c r="AA1343" s="12" t="s">
        <v>31</v>
      </c>
    </row>
    <row r="1344" spans="1:27" x14ac:dyDescent="0.25">
      <c r="A1344" s="10">
        <v>45679</v>
      </c>
      <c r="B1344" s="11" t="s">
        <v>513</v>
      </c>
      <c r="C1344" s="11" t="s">
        <v>3106</v>
      </c>
      <c r="D1344" s="11" t="s">
        <v>26</v>
      </c>
      <c r="E1344" s="11" t="s">
        <v>240</v>
      </c>
      <c r="F1344" s="11" t="s">
        <v>26</v>
      </c>
      <c r="G1344" s="11" t="s">
        <v>26</v>
      </c>
      <c r="H1344" s="12" t="s">
        <v>146</v>
      </c>
      <c r="I1344" s="12" t="s">
        <v>27</v>
      </c>
      <c r="J1344" s="12" t="s">
        <v>33</v>
      </c>
      <c r="K1344" s="12" t="s">
        <v>34</v>
      </c>
      <c r="L1344" s="13">
        <v>41.88</v>
      </c>
      <c r="M1344" s="13">
        <v>28</v>
      </c>
      <c r="N1344" s="13">
        <v>1.4957142857142858</v>
      </c>
      <c r="O1344" s="13">
        <v>91</v>
      </c>
      <c r="P1344" s="13" t="s">
        <v>30</v>
      </c>
      <c r="Q1344" s="13">
        <v>0</v>
      </c>
      <c r="R1344" s="15">
        <v>3811.0800000000004</v>
      </c>
      <c r="S1344" s="15">
        <v>40</v>
      </c>
      <c r="T1344" s="15">
        <v>1675.2</v>
      </c>
      <c r="U1344" s="15">
        <v>2135.88</v>
      </c>
      <c r="V1344" s="15">
        <v>2135.88</v>
      </c>
      <c r="W1344" s="15">
        <v>0</v>
      </c>
      <c r="X1344" s="15">
        <v>1549.5600000000002</v>
      </c>
      <c r="Y1344" s="16">
        <v>125.63999999999987</v>
      </c>
      <c r="Z1344" s="67" t="s">
        <v>41</v>
      </c>
      <c r="AA1344" s="12" t="s">
        <v>79</v>
      </c>
    </row>
    <row r="1345" spans="1:27" x14ac:dyDescent="0.25">
      <c r="A1345" s="10">
        <v>45679</v>
      </c>
      <c r="B1345" s="11" t="s">
        <v>3107</v>
      </c>
      <c r="C1345" s="11" t="s">
        <v>3108</v>
      </c>
      <c r="D1345" s="11" t="s">
        <v>26</v>
      </c>
      <c r="E1345" s="11" t="s">
        <v>77</v>
      </c>
      <c r="F1345" s="11" t="s">
        <v>26</v>
      </c>
      <c r="G1345" s="11">
        <v>48</v>
      </c>
      <c r="H1345" s="12" t="s">
        <v>4449</v>
      </c>
      <c r="I1345" s="12" t="s">
        <v>55</v>
      </c>
      <c r="J1345" s="12" t="s">
        <v>55</v>
      </c>
      <c r="K1345" s="12" t="s">
        <v>56</v>
      </c>
      <c r="L1345" s="13">
        <v>39.9</v>
      </c>
      <c r="M1345" s="13">
        <v>25</v>
      </c>
      <c r="N1345" s="13">
        <v>1.5959999999999999</v>
      </c>
      <c r="O1345" s="13">
        <v>15</v>
      </c>
      <c r="P1345" s="13" t="s">
        <v>30</v>
      </c>
      <c r="Q1345" s="13">
        <v>0</v>
      </c>
      <c r="R1345" s="14">
        <v>598.5</v>
      </c>
      <c r="S1345" s="15">
        <v>0</v>
      </c>
      <c r="T1345" s="15">
        <v>0</v>
      </c>
      <c r="U1345" s="15">
        <v>598.5</v>
      </c>
      <c r="V1345" s="15">
        <v>598.5</v>
      </c>
      <c r="W1345" s="15">
        <v>0</v>
      </c>
      <c r="X1345" s="15">
        <v>0</v>
      </c>
      <c r="Y1345" s="16">
        <v>0</v>
      </c>
      <c r="Z1345" s="67" t="s">
        <v>26</v>
      </c>
      <c r="AA1345" s="12" t="s">
        <v>31</v>
      </c>
    </row>
    <row r="1346" spans="1:27" x14ac:dyDescent="0.25">
      <c r="A1346" s="10">
        <v>45679</v>
      </c>
      <c r="B1346" s="11" t="s">
        <v>533</v>
      </c>
      <c r="C1346" s="11" t="s">
        <v>3109</v>
      </c>
      <c r="D1346" s="11" t="s">
        <v>26</v>
      </c>
      <c r="E1346" s="11" t="s">
        <v>1725</v>
      </c>
      <c r="F1346" s="11" t="s">
        <v>26</v>
      </c>
      <c r="G1346" s="11">
        <v>1529</v>
      </c>
      <c r="H1346" s="12" t="s">
        <v>45</v>
      </c>
      <c r="I1346" s="12" t="s">
        <v>27</v>
      </c>
      <c r="J1346" s="12" t="s">
        <v>42</v>
      </c>
      <c r="K1346" s="12" t="s">
        <v>43</v>
      </c>
      <c r="L1346" s="13">
        <v>43.86</v>
      </c>
      <c r="M1346" s="13">
        <v>25</v>
      </c>
      <c r="N1346" s="13">
        <v>1.7544</v>
      </c>
      <c r="O1346" s="13" t="s">
        <v>30</v>
      </c>
      <c r="P1346" s="13">
        <v>62</v>
      </c>
      <c r="Q1346" s="13">
        <v>0</v>
      </c>
      <c r="R1346" s="15">
        <v>1550</v>
      </c>
      <c r="S1346" s="15">
        <v>0</v>
      </c>
      <c r="T1346" s="15">
        <v>0</v>
      </c>
      <c r="U1346" s="15">
        <v>1550</v>
      </c>
      <c r="V1346" s="15">
        <v>0</v>
      </c>
      <c r="W1346" s="15">
        <v>1550</v>
      </c>
      <c r="X1346" s="15">
        <v>0</v>
      </c>
      <c r="Y1346" s="16">
        <v>0</v>
      </c>
      <c r="Z1346" s="67" t="s">
        <v>26</v>
      </c>
      <c r="AA1346" s="12" t="s">
        <v>31</v>
      </c>
    </row>
    <row r="1347" spans="1:27" x14ac:dyDescent="0.25">
      <c r="A1347" s="10">
        <v>45679</v>
      </c>
      <c r="B1347" s="11" t="s">
        <v>3110</v>
      </c>
      <c r="C1347" s="11" t="s">
        <v>3111</v>
      </c>
      <c r="D1347" s="11" t="s">
        <v>26</v>
      </c>
      <c r="E1347" s="11" t="s">
        <v>75</v>
      </c>
      <c r="F1347" s="11" t="s">
        <v>26</v>
      </c>
      <c r="G1347" s="11">
        <v>42028</v>
      </c>
      <c r="H1347" s="12" t="s">
        <v>565</v>
      </c>
      <c r="I1347" s="12" t="s">
        <v>27</v>
      </c>
      <c r="J1347" s="12" t="s">
        <v>42</v>
      </c>
      <c r="K1347" s="12" t="s">
        <v>43</v>
      </c>
      <c r="L1347" s="13">
        <v>41.62</v>
      </c>
      <c r="M1347" s="13">
        <v>25</v>
      </c>
      <c r="N1347" s="13">
        <v>1.6647999999999998</v>
      </c>
      <c r="O1347" s="13"/>
      <c r="P1347" s="13">
        <v>64</v>
      </c>
      <c r="Q1347" s="13">
        <v>0</v>
      </c>
      <c r="R1347" s="14">
        <v>1600</v>
      </c>
      <c r="S1347" s="15">
        <v>0</v>
      </c>
      <c r="T1347" s="15">
        <v>0</v>
      </c>
      <c r="U1347" s="15">
        <v>1600</v>
      </c>
      <c r="V1347" s="15">
        <v>0</v>
      </c>
      <c r="W1347" s="15">
        <v>1600</v>
      </c>
      <c r="X1347" s="15">
        <v>0</v>
      </c>
      <c r="Y1347" s="16">
        <v>0</v>
      </c>
      <c r="Z1347" s="67" t="s">
        <v>26</v>
      </c>
      <c r="AA1347" s="12" t="s">
        <v>31</v>
      </c>
    </row>
    <row r="1348" spans="1:27" x14ac:dyDescent="0.25">
      <c r="A1348" s="10">
        <v>45679</v>
      </c>
      <c r="B1348" s="11" t="s">
        <v>3112</v>
      </c>
      <c r="C1348" s="11" t="s">
        <v>3113</v>
      </c>
      <c r="D1348" s="11" t="s">
        <v>26</v>
      </c>
      <c r="E1348" s="11" t="s">
        <v>570</v>
      </c>
      <c r="F1348" s="11" t="s">
        <v>26</v>
      </c>
      <c r="G1348" s="11">
        <v>10331</v>
      </c>
      <c r="H1348" s="12" t="s">
        <v>140</v>
      </c>
      <c r="I1348" s="12" t="s">
        <v>27</v>
      </c>
      <c r="J1348" s="12" t="s">
        <v>47</v>
      </c>
      <c r="K1348" s="12" t="s">
        <v>48</v>
      </c>
      <c r="L1348" s="13">
        <v>42.78</v>
      </c>
      <c r="M1348" s="13">
        <v>29</v>
      </c>
      <c r="N1348" s="13">
        <v>1.4751724137931035</v>
      </c>
      <c r="O1348" s="13">
        <v>40</v>
      </c>
      <c r="P1348" s="13"/>
      <c r="Q1348" s="13">
        <v>0</v>
      </c>
      <c r="R1348" s="14">
        <v>1711.2</v>
      </c>
      <c r="S1348" s="15">
        <v>0</v>
      </c>
      <c r="T1348" s="15">
        <v>0</v>
      </c>
      <c r="U1348" s="15">
        <v>1711.2</v>
      </c>
      <c r="V1348" s="15">
        <v>0</v>
      </c>
      <c r="W1348" s="15">
        <v>1711.2</v>
      </c>
      <c r="X1348" s="15">
        <v>0</v>
      </c>
      <c r="Y1348" s="16">
        <v>0</v>
      </c>
      <c r="Z1348" s="67" t="s">
        <v>26</v>
      </c>
      <c r="AA1348" s="12" t="s">
        <v>31</v>
      </c>
    </row>
    <row r="1349" spans="1:27" x14ac:dyDescent="0.25">
      <c r="A1349" s="10">
        <v>45679</v>
      </c>
      <c r="B1349" s="11" t="s">
        <v>3114</v>
      </c>
      <c r="C1349" s="11" t="s">
        <v>3115</v>
      </c>
      <c r="D1349" s="11" t="s">
        <v>26</v>
      </c>
      <c r="E1349" s="11" t="s">
        <v>230</v>
      </c>
      <c r="F1349" s="11" t="s">
        <v>26</v>
      </c>
      <c r="G1349" s="11">
        <v>23144</v>
      </c>
      <c r="H1349" s="12" t="s">
        <v>565</v>
      </c>
      <c r="I1349" s="12" t="s">
        <v>27</v>
      </c>
      <c r="J1349" s="12" t="s">
        <v>33</v>
      </c>
      <c r="K1349" s="12" t="s">
        <v>34</v>
      </c>
      <c r="L1349" s="13">
        <v>41.72</v>
      </c>
      <c r="M1349" s="13">
        <v>28</v>
      </c>
      <c r="N1349" s="13">
        <v>1.49</v>
      </c>
      <c r="O1349" s="13"/>
      <c r="P1349" s="13">
        <v>60</v>
      </c>
      <c r="Q1349" s="13">
        <v>0</v>
      </c>
      <c r="R1349" s="15">
        <v>1680</v>
      </c>
      <c r="S1349" s="15">
        <v>0</v>
      </c>
      <c r="T1349" s="15">
        <v>0</v>
      </c>
      <c r="U1349" s="15">
        <v>1680</v>
      </c>
      <c r="V1349" s="15">
        <v>0</v>
      </c>
      <c r="W1349" s="15">
        <v>1680</v>
      </c>
      <c r="X1349" s="15">
        <v>0</v>
      </c>
      <c r="Y1349" s="16">
        <v>0</v>
      </c>
      <c r="Z1349" s="67" t="s">
        <v>26</v>
      </c>
      <c r="AA1349" s="12" t="s">
        <v>31</v>
      </c>
    </row>
    <row r="1350" spans="1:27" x14ac:dyDescent="0.25">
      <c r="A1350" s="10">
        <v>45679</v>
      </c>
      <c r="B1350" s="11" t="s">
        <v>3116</v>
      </c>
      <c r="C1350" s="11" t="s">
        <v>3117</v>
      </c>
      <c r="D1350" s="11" t="s">
        <v>26</v>
      </c>
      <c r="E1350" s="11" t="s">
        <v>444</v>
      </c>
      <c r="F1350" s="11" t="s">
        <v>26</v>
      </c>
      <c r="G1350" s="11">
        <v>50</v>
      </c>
      <c r="H1350" s="12" t="s">
        <v>4449</v>
      </c>
      <c r="I1350" s="12" t="s">
        <v>55</v>
      </c>
      <c r="J1350" s="12" t="s">
        <v>55</v>
      </c>
      <c r="K1350" s="12" t="s">
        <v>56</v>
      </c>
      <c r="L1350" s="13">
        <v>34.200000000000003</v>
      </c>
      <c r="M1350" s="13">
        <v>22</v>
      </c>
      <c r="N1350" s="13">
        <v>1.5545454545454547</v>
      </c>
      <c r="O1350" s="13">
        <v>15</v>
      </c>
      <c r="P1350" s="13" t="s">
        <v>30</v>
      </c>
      <c r="Q1350" s="13">
        <v>0</v>
      </c>
      <c r="R1350" s="14">
        <v>513</v>
      </c>
      <c r="S1350" s="15">
        <v>0</v>
      </c>
      <c r="T1350" s="15">
        <v>0</v>
      </c>
      <c r="U1350" s="15">
        <v>513</v>
      </c>
      <c r="V1350" s="15">
        <v>513</v>
      </c>
      <c r="W1350" s="15">
        <v>0</v>
      </c>
      <c r="X1350" s="15">
        <v>0</v>
      </c>
      <c r="Y1350" s="16">
        <v>0</v>
      </c>
      <c r="Z1350" s="67" t="s">
        <v>26</v>
      </c>
      <c r="AA1350" s="12" t="s">
        <v>31</v>
      </c>
    </row>
    <row r="1351" spans="1:27" x14ac:dyDescent="0.25">
      <c r="A1351" s="10">
        <v>45679</v>
      </c>
      <c r="B1351" s="11" t="s">
        <v>3118</v>
      </c>
      <c r="C1351" s="11" t="s">
        <v>3119</v>
      </c>
      <c r="D1351" s="11" t="s">
        <v>26</v>
      </c>
      <c r="E1351" s="11" t="s">
        <v>201</v>
      </c>
      <c r="F1351" s="11" t="s">
        <v>26</v>
      </c>
      <c r="G1351" s="11">
        <v>1530</v>
      </c>
      <c r="H1351" s="12" t="s">
        <v>45</v>
      </c>
      <c r="I1351" s="12" t="s">
        <v>27</v>
      </c>
      <c r="J1351" s="12" t="s">
        <v>47</v>
      </c>
      <c r="K1351" s="12" t="s">
        <v>48</v>
      </c>
      <c r="L1351" s="13">
        <v>38.92</v>
      </c>
      <c r="M1351" s="13">
        <v>25</v>
      </c>
      <c r="N1351" s="13">
        <v>1.5568</v>
      </c>
      <c r="O1351" s="13" t="s">
        <v>30</v>
      </c>
      <c r="P1351" s="13">
        <v>58</v>
      </c>
      <c r="Q1351" s="13">
        <v>0</v>
      </c>
      <c r="R1351" s="14">
        <v>1450</v>
      </c>
      <c r="S1351" s="15">
        <v>0</v>
      </c>
      <c r="T1351" s="15">
        <v>0</v>
      </c>
      <c r="U1351" s="15">
        <v>1450</v>
      </c>
      <c r="V1351" s="15">
        <v>0</v>
      </c>
      <c r="W1351" s="15">
        <v>1450</v>
      </c>
      <c r="X1351" s="15">
        <v>0</v>
      </c>
      <c r="Y1351" s="16">
        <v>0</v>
      </c>
      <c r="Z1351" s="67" t="s">
        <v>26</v>
      </c>
      <c r="AA1351" s="12" t="s">
        <v>31</v>
      </c>
    </row>
    <row r="1352" spans="1:27" x14ac:dyDescent="0.25">
      <c r="A1352" s="10">
        <v>45679</v>
      </c>
      <c r="B1352" s="11" t="s">
        <v>540</v>
      </c>
      <c r="C1352" s="11" t="s">
        <v>3120</v>
      </c>
      <c r="D1352" s="11" t="s">
        <v>26</v>
      </c>
      <c r="E1352" s="11" t="s">
        <v>1200</v>
      </c>
      <c r="F1352" s="11" t="s">
        <v>26</v>
      </c>
      <c r="G1352" s="11">
        <v>2551</v>
      </c>
      <c r="H1352" s="12" t="s">
        <v>163</v>
      </c>
      <c r="I1352" s="12" t="s">
        <v>27</v>
      </c>
      <c r="J1352" s="12" t="s">
        <v>33</v>
      </c>
      <c r="K1352" s="12" t="s">
        <v>34</v>
      </c>
      <c r="L1352" s="13">
        <v>38.96</v>
      </c>
      <c r="M1352" s="13">
        <v>25</v>
      </c>
      <c r="N1352" s="13">
        <v>1.5584</v>
      </c>
      <c r="O1352" s="13" t="s">
        <v>30</v>
      </c>
      <c r="P1352" s="13">
        <v>58</v>
      </c>
      <c r="Q1352" s="13">
        <v>0</v>
      </c>
      <c r="R1352" s="14">
        <v>1450</v>
      </c>
      <c r="S1352" s="15">
        <v>0</v>
      </c>
      <c r="T1352" s="15">
        <v>0</v>
      </c>
      <c r="U1352" s="15">
        <v>1450</v>
      </c>
      <c r="V1352" s="15">
        <v>0</v>
      </c>
      <c r="W1352" s="15">
        <v>1450</v>
      </c>
      <c r="X1352" s="15">
        <v>0</v>
      </c>
      <c r="Y1352" s="16">
        <v>0</v>
      </c>
      <c r="Z1352" s="67" t="s">
        <v>26</v>
      </c>
      <c r="AA1352" s="12" t="s">
        <v>31</v>
      </c>
    </row>
    <row r="1353" spans="1:27" x14ac:dyDescent="0.25">
      <c r="A1353" s="10">
        <v>45679</v>
      </c>
      <c r="B1353" s="11" t="s">
        <v>3121</v>
      </c>
      <c r="C1353" s="11" t="s">
        <v>3122</v>
      </c>
      <c r="D1353" s="11" t="s">
        <v>26</v>
      </c>
      <c r="E1353" s="11" t="s">
        <v>431</v>
      </c>
      <c r="F1353" s="11" t="s">
        <v>26</v>
      </c>
      <c r="G1353" s="11">
        <v>143</v>
      </c>
      <c r="H1353" s="12" t="s">
        <v>6328</v>
      </c>
      <c r="I1353" s="12" t="s">
        <v>27</v>
      </c>
      <c r="J1353" s="12" t="s">
        <v>42</v>
      </c>
      <c r="K1353" s="12" t="s">
        <v>43</v>
      </c>
      <c r="L1353" s="13">
        <v>40.92</v>
      </c>
      <c r="M1353" s="13">
        <v>25</v>
      </c>
      <c r="N1353" s="13">
        <v>1.6368</v>
      </c>
      <c r="O1353" s="13">
        <v>42.5</v>
      </c>
      <c r="P1353" s="13"/>
      <c r="Q1353" s="13">
        <v>0</v>
      </c>
      <c r="R1353" s="15">
        <v>1739.1000000000001</v>
      </c>
      <c r="S1353" s="15">
        <v>0</v>
      </c>
      <c r="T1353" s="15">
        <v>0</v>
      </c>
      <c r="U1353" s="15">
        <v>1739.1000000000001</v>
      </c>
      <c r="V1353" s="15">
        <v>0</v>
      </c>
      <c r="W1353" s="15">
        <v>1739.1000000000001</v>
      </c>
      <c r="X1353" s="15">
        <v>0</v>
      </c>
      <c r="Y1353" s="16">
        <v>0</v>
      </c>
      <c r="Z1353" s="67" t="s">
        <v>26</v>
      </c>
      <c r="AA1353" s="12" t="s">
        <v>31</v>
      </c>
    </row>
    <row r="1354" spans="1:27" x14ac:dyDescent="0.25">
      <c r="A1354" s="10">
        <v>45679</v>
      </c>
      <c r="B1354" s="11" t="s">
        <v>3123</v>
      </c>
      <c r="C1354" s="11" t="s">
        <v>3124</v>
      </c>
      <c r="D1354" s="11" t="s">
        <v>26</v>
      </c>
      <c r="E1354" s="11" t="s">
        <v>46</v>
      </c>
      <c r="F1354" s="11" t="s">
        <v>26</v>
      </c>
      <c r="G1354" s="11">
        <v>112145</v>
      </c>
      <c r="H1354" s="12" t="s">
        <v>4446</v>
      </c>
      <c r="I1354" s="12" t="s">
        <v>27</v>
      </c>
      <c r="J1354" s="12" t="s">
        <v>33</v>
      </c>
      <c r="K1354" s="12" t="s">
        <v>34</v>
      </c>
      <c r="L1354" s="13">
        <v>36.06</v>
      </c>
      <c r="M1354" s="13">
        <v>25</v>
      </c>
      <c r="N1354" s="13">
        <v>1.4424000000000001</v>
      </c>
      <c r="O1354" s="13">
        <v>44</v>
      </c>
      <c r="P1354" s="13" t="s">
        <v>30</v>
      </c>
      <c r="Q1354" s="13">
        <v>0</v>
      </c>
      <c r="R1354" s="15">
        <v>1586.64</v>
      </c>
      <c r="S1354" s="15">
        <v>0</v>
      </c>
      <c r="T1354" s="15">
        <v>0</v>
      </c>
      <c r="U1354" s="15">
        <v>1586.64</v>
      </c>
      <c r="V1354" s="15">
        <v>1586.64</v>
      </c>
      <c r="W1354" s="15">
        <v>0</v>
      </c>
      <c r="X1354" s="15">
        <v>0</v>
      </c>
      <c r="Y1354" s="16">
        <v>0</v>
      </c>
      <c r="Z1354" s="67" t="s">
        <v>26</v>
      </c>
      <c r="AA1354" s="12" t="s">
        <v>31</v>
      </c>
    </row>
    <row r="1355" spans="1:27" x14ac:dyDescent="0.25">
      <c r="A1355" s="10">
        <v>45679</v>
      </c>
      <c r="B1355" s="11" t="s">
        <v>3125</v>
      </c>
      <c r="C1355" s="11" t="s">
        <v>3126</v>
      </c>
      <c r="D1355" s="11" t="s">
        <v>26</v>
      </c>
      <c r="E1355" s="11" t="s">
        <v>552</v>
      </c>
      <c r="F1355" s="11" t="s">
        <v>26</v>
      </c>
      <c r="G1355" s="11">
        <v>69126</v>
      </c>
      <c r="H1355" s="12" t="s">
        <v>4423</v>
      </c>
      <c r="I1355" s="12" t="s">
        <v>27</v>
      </c>
      <c r="J1355" s="12" t="s">
        <v>42</v>
      </c>
      <c r="K1355" s="12" t="s">
        <v>43</v>
      </c>
      <c r="L1355" s="13">
        <v>39.9</v>
      </c>
      <c r="M1355" s="13">
        <v>25</v>
      </c>
      <c r="N1355" s="13">
        <v>1.5959999999999999</v>
      </c>
      <c r="O1355" s="13">
        <v>42</v>
      </c>
      <c r="P1355" s="13" t="s">
        <v>30</v>
      </c>
      <c r="Q1355" s="13">
        <v>0</v>
      </c>
      <c r="R1355" s="14">
        <v>1675.8</v>
      </c>
      <c r="S1355" s="15">
        <v>0</v>
      </c>
      <c r="T1355" s="15">
        <v>0</v>
      </c>
      <c r="U1355" s="15">
        <v>1675.8</v>
      </c>
      <c r="V1355" s="15">
        <v>1675.8</v>
      </c>
      <c r="W1355" s="15">
        <v>0</v>
      </c>
      <c r="X1355" s="15">
        <v>0</v>
      </c>
      <c r="Y1355" s="16">
        <v>0</v>
      </c>
      <c r="Z1355" s="67" t="s">
        <v>26</v>
      </c>
      <c r="AA1355" s="12" t="s">
        <v>31</v>
      </c>
    </row>
    <row r="1356" spans="1:27" x14ac:dyDescent="0.25">
      <c r="A1356" s="10">
        <v>45679</v>
      </c>
      <c r="B1356" s="11" t="s">
        <v>3127</v>
      </c>
      <c r="C1356" s="11" t="s">
        <v>3128</v>
      </c>
      <c r="D1356" s="11" t="s">
        <v>26</v>
      </c>
      <c r="E1356" s="11" t="s">
        <v>593</v>
      </c>
      <c r="F1356" s="11" t="s">
        <v>26</v>
      </c>
      <c r="G1356" s="11">
        <v>59498</v>
      </c>
      <c r="H1356" s="12" t="s">
        <v>4423</v>
      </c>
      <c r="I1356" s="12" t="s">
        <v>27</v>
      </c>
      <c r="J1356" s="12" t="s">
        <v>42</v>
      </c>
      <c r="K1356" s="12" t="s">
        <v>43</v>
      </c>
      <c r="L1356" s="13">
        <v>35.26</v>
      </c>
      <c r="M1356" s="13">
        <v>25</v>
      </c>
      <c r="N1356" s="13">
        <v>1.4103999999999999</v>
      </c>
      <c r="O1356" s="13">
        <v>42</v>
      </c>
      <c r="P1356" s="13" t="s">
        <v>30</v>
      </c>
      <c r="Q1356" s="13">
        <v>0</v>
      </c>
      <c r="R1356" s="14">
        <v>1480.9199999999998</v>
      </c>
      <c r="S1356" s="15">
        <v>0</v>
      </c>
      <c r="T1356" s="15">
        <v>0</v>
      </c>
      <c r="U1356" s="15">
        <v>1480.9199999999998</v>
      </c>
      <c r="V1356" s="15">
        <v>1480.9199999999998</v>
      </c>
      <c r="W1356" s="15">
        <v>0</v>
      </c>
      <c r="X1356" s="16">
        <v>0</v>
      </c>
      <c r="Y1356" s="16">
        <v>0</v>
      </c>
      <c r="Z1356" s="67" t="s">
        <v>26</v>
      </c>
      <c r="AA1356" s="12" t="s">
        <v>31</v>
      </c>
    </row>
    <row r="1357" spans="1:27" x14ac:dyDescent="0.25">
      <c r="A1357" s="10">
        <v>45679</v>
      </c>
      <c r="B1357" s="11" t="s">
        <v>3129</v>
      </c>
      <c r="C1357" s="11" t="s">
        <v>3130</v>
      </c>
      <c r="D1357" s="11" t="s">
        <v>26</v>
      </c>
      <c r="E1357" s="11" t="s">
        <v>77</v>
      </c>
      <c r="F1357" s="11" t="s">
        <v>26</v>
      </c>
      <c r="G1357" s="11">
        <v>49</v>
      </c>
      <c r="H1357" s="12" t="s">
        <v>4449</v>
      </c>
      <c r="I1357" s="12" t="s">
        <v>55</v>
      </c>
      <c r="J1357" s="12" t="s">
        <v>55</v>
      </c>
      <c r="K1357" s="12" t="s">
        <v>56</v>
      </c>
      <c r="L1357" s="13">
        <v>39.36</v>
      </c>
      <c r="M1357" s="13">
        <v>25</v>
      </c>
      <c r="N1357" s="13">
        <v>1.5744</v>
      </c>
      <c r="O1357" s="13">
        <v>15</v>
      </c>
      <c r="P1357" s="13" t="s">
        <v>30</v>
      </c>
      <c r="Q1357" s="13">
        <v>0</v>
      </c>
      <c r="R1357" s="14">
        <v>590.4</v>
      </c>
      <c r="S1357" s="15">
        <v>0</v>
      </c>
      <c r="T1357" s="15">
        <v>0</v>
      </c>
      <c r="U1357" s="15">
        <v>590.4</v>
      </c>
      <c r="V1357" s="15">
        <v>590.4</v>
      </c>
      <c r="W1357" s="15">
        <v>0</v>
      </c>
      <c r="X1357" s="15">
        <v>0</v>
      </c>
      <c r="Y1357" s="16">
        <v>0</v>
      </c>
      <c r="Z1357" s="67" t="s">
        <v>26</v>
      </c>
      <c r="AA1357" s="12" t="s">
        <v>31</v>
      </c>
    </row>
    <row r="1358" spans="1:27" x14ac:dyDescent="0.25">
      <c r="A1358" s="10">
        <v>45679</v>
      </c>
      <c r="B1358" s="11" t="s">
        <v>3131</v>
      </c>
      <c r="C1358" s="11" t="s">
        <v>3132</v>
      </c>
      <c r="D1358" s="11" t="s">
        <v>26</v>
      </c>
      <c r="E1358" s="11" t="s">
        <v>98</v>
      </c>
      <c r="F1358" s="11" t="s">
        <v>26</v>
      </c>
      <c r="G1358" s="11" t="s">
        <v>26</v>
      </c>
      <c r="H1358" s="12" t="s">
        <v>4422</v>
      </c>
      <c r="I1358" s="12" t="s">
        <v>27</v>
      </c>
      <c r="J1358" s="12" t="s">
        <v>33</v>
      </c>
      <c r="K1358" s="12" t="s">
        <v>34</v>
      </c>
      <c r="L1358" s="13">
        <v>42.3</v>
      </c>
      <c r="M1358" s="13">
        <v>29</v>
      </c>
      <c r="N1358" s="13">
        <v>1.4586206896551723</v>
      </c>
      <c r="O1358" s="13">
        <v>85</v>
      </c>
      <c r="P1358" s="13" t="s">
        <v>30</v>
      </c>
      <c r="Q1358" s="13">
        <v>0</v>
      </c>
      <c r="R1358" s="14">
        <v>3595.4999999999995</v>
      </c>
      <c r="S1358" s="15">
        <v>38</v>
      </c>
      <c r="T1358" s="15">
        <v>1607.3999999999999</v>
      </c>
      <c r="U1358" s="15">
        <v>1988.0999999999997</v>
      </c>
      <c r="V1358" s="15">
        <v>1988.0999999999997</v>
      </c>
      <c r="W1358" s="15">
        <v>0</v>
      </c>
      <c r="X1358" s="15">
        <v>1522.8</v>
      </c>
      <c r="Y1358" s="16">
        <v>84.599999999999909</v>
      </c>
      <c r="Z1358" s="67" t="s">
        <v>140</v>
      </c>
      <c r="AA1358" s="12" t="s">
        <v>78</v>
      </c>
    </row>
    <row r="1359" spans="1:27" x14ac:dyDescent="0.25">
      <c r="A1359" s="10">
        <v>45679</v>
      </c>
      <c r="B1359" s="11" t="s">
        <v>595</v>
      </c>
      <c r="C1359" s="11" t="s">
        <v>3133</v>
      </c>
      <c r="D1359" s="11" t="s">
        <v>26</v>
      </c>
      <c r="E1359" s="11" t="s">
        <v>50</v>
      </c>
      <c r="F1359" s="11" t="s">
        <v>26</v>
      </c>
      <c r="G1359" s="11">
        <v>647</v>
      </c>
      <c r="H1359" s="12" t="s">
        <v>163</v>
      </c>
      <c r="I1359" s="12" t="s">
        <v>27</v>
      </c>
      <c r="J1359" s="12" t="s">
        <v>42</v>
      </c>
      <c r="K1359" s="12" t="s">
        <v>43</v>
      </c>
      <c r="L1359" s="13">
        <v>43.42</v>
      </c>
      <c r="M1359" s="13">
        <v>25</v>
      </c>
      <c r="N1359" s="13">
        <v>1.7368000000000001</v>
      </c>
      <c r="O1359" s="13" t="s">
        <v>30</v>
      </c>
      <c r="P1359" s="13">
        <v>56</v>
      </c>
      <c r="Q1359" s="13">
        <v>0</v>
      </c>
      <c r="R1359" s="14">
        <v>1400</v>
      </c>
      <c r="S1359" s="15">
        <v>0</v>
      </c>
      <c r="T1359" s="15">
        <v>0</v>
      </c>
      <c r="U1359" s="15">
        <v>1400</v>
      </c>
      <c r="V1359" s="15">
        <v>0</v>
      </c>
      <c r="W1359" s="15">
        <v>1400</v>
      </c>
      <c r="X1359" s="15">
        <v>0</v>
      </c>
      <c r="Y1359" s="16">
        <v>0</v>
      </c>
      <c r="Z1359" s="67" t="s">
        <v>26</v>
      </c>
      <c r="AA1359" s="12" t="s">
        <v>31</v>
      </c>
    </row>
    <row r="1360" spans="1:27" x14ac:dyDescent="0.25">
      <c r="A1360" s="10">
        <v>45679</v>
      </c>
      <c r="B1360" s="11" t="s">
        <v>606</v>
      </c>
      <c r="C1360" s="11" t="s">
        <v>3134</v>
      </c>
      <c r="D1360" s="11" t="s">
        <v>26</v>
      </c>
      <c r="E1360" s="11" t="s">
        <v>69</v>
      </c>
      <c r="F1360" s="11" t="s">
        <v>26</v>
      </c>
      <c r="G1360" s="11">
        <v>4696</v>
      </c>
      <c r="H1360" s="12" t="s">
        <v>70</v>
      </c>
      <c r="I1360" s="12" t="s">
        <v>27</v>
      </c>
      <c r="J1360" s="12" t="s">
        <v>42</v>
      </c>
      <c r="K1360" s="12" t="s">
        <v>43</v>
      </c>
      <c r="L1360" s="13">
        <v>44.72</v>
      </c>
      <c r="M1360" s="13">
        <v>25</v>
      </c>
      <c r="N1360" s="13">
        <v>1.7887999999999999</v>
      </c>
      <c r="O1360" s="13" t="s">
        <v>30</v>
      </c>
      <c r="P1360" s="13">
        <v>64</v>
      </c>
      <c r="Q1360" s="13">
        <v>0</v>
      </c>
      <c r="R1360" s="14">
        <v>1600</v>
      </c>
      <c r="S1360" s="15">
        <v>0</v>
      </c>
      <c r="T1360" s="15">
        <v>0</v>
      </c>
      <c r="U1360" s="15">
        <v>1600</v>
      </c>
      <c r="V1360" s="15">
        <v>0</v>
      </c>
      <c r="W1360" s="15">
        <v>1600</v>
      </c>
      <c r="X1360" s="16">
        <v>0</v>
      </c>
      <c r="Y1360" s="16">
        <v>0</v>
      </c>
      <c r="Z1360" s="67" t="s">
        <v>26</v>
      </c>
      <c r="AA1360" s="12" t="s">
        <v>31</v>
      </c>
    </row>
    <row r="1361" spans="1:27" x14ac:dyDescent="0.25">
      <c r="A1361" s="10">
        <v>45679</v>
      </c>
      <c r="B1361" s="11" t="s">
        <v>3135</v>
      </c>
      <c r="C1361" s="11" t="s">
        <v>3136</v>
      </c>
      <c r="D1361" s="11" t="s">
        <v>26</v>
      </c>
      <c r="E1361" s="11" t="s">
        <v>179</v>
      </c>
      <c r="F1361" s="11" t="s">
        <v>26</v>
      </c>
      <c r="G1361" s="11">
        <v>57737</v>
      </c>
      <c r="H1361" s="12" t="s">
        <v>4423</v>
      </c>
      <c r="I1361" s="12" t="s">
        <v>27</v>
      </c>
      <c r="J1361" s="12" t="s">
        <v>42</v>
      </c>
      <c r="K1361" s="12" t="s">
        <v>43</v>
      </c>
      <c r="L1361" s="13">
        <v>38.700000000000003</v>
      </c>
      <c r="M1361" s="13">
        <v>25</v>
      </c>
      <c r="N1361" s="13">
        <v>1.548</v>
      </c>
      <c r="O1361" s="13">
        <v>42</v>
      </c>
      <c r="P1361" s="13" t="s">
        <v>30</v>
      </c>
      <c r="Q1361" s="13">
        <v>0</v>
      </c>
      <c r="R1361" s="14">
        <v>1625.4</v>
      </c>
      <c r="S1361" s="15">
        <v>0</v>
      </c>
      <c r="T1361" s="15">
        <v>0</v>
      </c>
      <c r="U1361" s="15">
        <v>1625.4</v>
      </c>
      <c r="V1361" s="15">
        <v>1625.4</v>
      </c>
      <c r="W1361" s="15">
        <v>0</v>
      </c>
      <c r="X1361" s="15">
        <v>0</v>
      </c>
      <c r="Y1361" s="16">
        <v>0</v>
      </c>
      <c r="Z1361" s="67" t="s">
        <v>26</v>
      </c>
      <c r="AA1361" s="12" t="s">
        <v>31</v>
      </c>
    </row>
    <row r="1362" spans="1:27" x14ac:dyDescent="0.25">
      <c r="A1362" s="10">
        <v>45679</v>
      </c>
      <c r="B1362" s="11" t="s">
        <v>3137</v>
      </c>
      <c r="C1362" s="11" t="s">
        <v>3138</v>
      </c>
      <c r="D1362" s="11" t="s">
        <v>26</v>
      </c>
      <c r="E1362" s="11" t="s">
        <v>80</v>
      </c>
      <c r="F1362" s="11" t="s">
        <v>26</v>
      </c>
      <c r="G1362" s="11" t="s">
        <v>26</v>
      </c>
      <c r="H1362" s="12" t="s">
        <v>4422</v>
      </c>
      <c r="I1362" s="12" t="s">
        <v>27</v>
      </c>
      <c r="J1362" s="12" t="s">
        <v>47</v>
      </c>
      <c r="K1362" s="12" t="s">
        <v>48</v>
      </c>
      <c r="L1362" s="13">
        <v>43.1</v>
      </c>
      <c r="M1362" s="13">
        <v>29</v>
      </c>
      <c r="N1362" s="13">
        <v>1.4862068965517241</v>
      </c>
      <c r="O1362" s="13">
        <v>87</v>
      </c>
      <c r="P1362" s="13" t="s">
        <v>30</v>
      </c>
      <c r="Q1362" s="13">
        <v>0</v>
      </c>
      <c r="R1362" s="14">
        <v>3749.7000000000003</v>
      </c>
      <c r="S1362" s="15">
        <v>38</v>
      </c>
      <c r="T1362" s="15">
        <v>1637.8</v>
      </c>
      <c r="U1362" s="15">
        <v>2111.9000000000005</v>
      </c>
      <c r="V1362" s="15">
        <v>2111.9000000000005</v>
      </c>
      <c r="W1362" s="15"/>
      <c r="X1362" s="15">
        <v>1551.6000000000001</v>
      </c>
      <c r="Y1362" s="16">
        <v>86.199999999999818</v>
      </c>
      <c r="Z1362" s="67" t="s">
        <v>140</v>
      </c>
      <c r="AA1362" s="12" t="s">
        <v>78</v>
      </c>
    </row>
    <row r="1363" spans="1:27" x14ac:dyDescent="0.25">
      <c r="A1363" s="10">
        <v>45679</v>
      </c>
      <c r="B1363" s="11" t="s">
        <v>3139</v>
      </c>
      <c r="C1363" s="11" t="s">
        <v>3140</v>
      </c>
      <c r="D1363" s="11" t="s">
        <v>26</v>
      </c>
      <c r="E1363" s="11" t="s">
        <v>444</v>
      </c>
      <c r="F1363" s="11" t="s">
        <v>26</v>
      </c>
      <c r="G1363" s="11" t="s">
        <v>185</v>
      </c>
      <c r="H1363" s="12" t="s">
        <v>4449</v>
      </c>
      <c r="I1363" s="12" t="s">
        <v>55</v>
      </c>
      <c r="J1363" s="12" t="s">
        <v>55</v>
      </c>
      <c r="K1363" s="12" t="s">
        <v>56</v>
      </c>
      <c r="L1363" s="13">
        <v>34.659999999999997</v>
      </c>
      <c r="M1363" s="13">
        <v>22</v>
      </c>
      <c r="N1363" s="13">
        <v>1.5754545454545452</v>
      </c>
      <c r="O1363" s="13">
        <v>15</v>
      </c>
      <c r="P1363" s="13" t="s">
        <v>30</v>
      </c>
      <c r="Q1363" s="13">
        <v>0</v>
      </c>
      <c r="R1363" s="14">
        <v>519.9</v>
      </c>
      <c r="S1363" s="15">
        <v>0</v>
      </c>
      <c r="T1363" s="15">
        <v>0</v>
      </c>
      <c r="U1363" s="15">
        <v>519.9</v>
      </c>
      <c r="V1363" s="15">
        <v>519.9</v>
      </c>
      <c r="W1363" s="15">
        <v>0</v>
      </c>
      <c r="X1363" s="15">
        <v>0</v>
      </c>
      <c r="Y1363" s="16">
        <v>0</v>
      </c>
      <c r="Z1363" s="67" t="s">
        <v>26</v>
      </c>
      <c r="AA1363" s="12" t="s">
        <v>31</v>
      </c>
    </row>
    <row r="1364" spans="1:27" x14ac:dyDescent="0.25">
      <c r="A1364" s="10">
        <v>45679</v>
      </c>
      <c r="B1364" s="11" t="s">
        <v>3141</v>
      </c>
      <c r="C1364" s="11" t="s">
        <v>3142</v>
      </c>
      <c r="D1364" s="11" t="s">
        <v>26</v>
      </c>
      <c r="E1364" s="11" t="s">
        <v>520</v>
      </c>
      <c r="F1364" s="11" t="s">
        <v>26</v>
      </c>
      <c r="G1364" s="11" t="s">
        <v>26</v>
      </c>
      <c r="H1364" s="12" t="s">
        <v>4422</v>
      </c>
      <c r="I1364" s="12" t="s">
        <v>27</v>
      </c>
      <c r="J1364" s="12" t="s">
        <v>33</v>
      </c>
      <c r="K1364" s="12" t="s">
        <v>34</v>
      </c>
      <c r="L1364" s="13">
        <v>40.96</v>
      </c>
      <c r="M1364" s="13">
        <v>28</v>
      </c>
      <c r="N1364" s="13">
        <v>1.4628571428571429</v>
      </c>
      <c r="O1364" s="13">
        <v>85</v>
      </c>
      <c r="P1364" s="13" t="s">
        <v>30</v>
      </c>
      <c r="Q1364" s="13">
        <v>0</v>
      </c>
      <c r="R1364" s="14">
        <v>3481.6</v>
      </c>
      <c r="S1364" s="15">
        <v>38</v>
      </c>
      <c r="T1364" s="15">
        <v>1556.48</v>
      </c>
      <c r="U1364" s="15">
        <v>1925.12</v>
      </c>
      <c r="V1364" s="15">
        <v>1925.12</v>
      </c>
      <c r="W1364" s="15">
        <v>0</v>
      </c>
      <c r="X1364" s="15">
        <v>1474.56</v>
      </c>
      <c r="Y1364" s="16">
        <v>81.920000000000073</v>
      </c>
      <c r="Z1364" s="67" t="s">
        <v>140</v>
      </c>
      <c r="AA1364" s="12" t="s">
        <v>78</v>
      </c>
    </row>
    <row r="1365" spans="1:27" x14ac:dyDescent="0.25">
      <c r="A1365" s="10">
        <v>45679</v>
      </c>
      <c r="B1365" s="11" t="s">
        <v>508</v>
      </c>
      <c r="C1365" s="11" t="s">
        <v>3143</v>
      </c>
      <c r="D1365" s="11" t="s">
        <v>26</v>
      </c>
      <c r="E1365" s="11" t="s">
        <v>65</v>
      </c>
      <c r="F1365" s="11" t="s">
        <v>26</v>
      </c>
      <c r="G1365" s="11">
        <v>1584</v>
      </c>
      <c r="H1365" s="12" t="s">
        <v>66</v>
      </c>
      <c r="I1365" s="12" t="s">
        <v>37</v>
      </c>
      <c r="J1365" s="12" t="s">
        <v>1909</v>
      </c>
      <c r="K1365" s="12" t="s">
        <v>82</v>
      </c>
      <c r="L1365" s="13">
        <v>39.78</v>
      </c>
      <c r="M1365" s="13">
        <v>25</v>
      </c>
      <c r="N1365" s="13">
        <v>1.5911999999999999</v>
      </c>
      <c r="O1365" s="13" t="s">
        <v>30</v>
      </c>
      <c r="P1365" s="13">
        <v>54</v>
      </c>
      <c r="Q1365" s="13">
        <v>0</v>
      </c>
      <c r="R1365" s="14">
        <v>1350</v>
      </c>
      <c r="S1365" s="15">
        <v>0</v>
      </c>
      <c r="T1365" s="15">
        <v>0</v>
      </c>
      <c r="U1365" s="15">
        <v>1350</v>
      </c>
      <c r="V1365" s="15">
        <v>1350</v>
      </c>
      <c r="W1365" s="15">
        <v>0</v>
      </c>
      <c r="X1365" s="15">
        <v>0</v>
      </c>
      <c r="Y1365" s="16">
        <v>0</v>
      </c>
      <c r="Z1365" s="67" t="s">
        <v>26</v>
      </c>
      <c r="AA1365" s="12" t="s">
        <v>31</v>
      </c>
    </row>
    <row r="1366" spans="1:27" x14ac:dyDescent="0.25">
      <c r="A1366" s="10">
        <v>45679</v>
      </c>
      <c r="B1366" s="11" t="s">
        <v>3144</v>
      </c>
      <c r="C1366" s="11" t="s">
        <v>3145</v>
      </c>
      <c r="D1366" s="11" t="s">
        <v>26</v>
      </c>
      <c r="E1366" s="11" t="s">
        <v>67</v>
      </c>
      <c r="F1366" s="11" t="s">
        <v>26</v>
      </c>
      <c r="G1366" s="11">
        <v>1611</v>
      </c>
      <c r="H1366" s="12" t="s">
        <v>66</v>
      </c>
      <c r="I1366" s="12" t="s">
        <v>37</v>
      </c>
      <c r="J1366" s="12" t="s">
        <v>1909</v>
      </c>
      <c r="K1366" s="12" t="s">
        <v>82</v>
      </c>
      <c r="L1366" s="13">
        <v>40.880000000000003</v>
      </c>
      <c r="M1366" s="13">
        <v>25</v>
      </c>
      <c r="N1366" s="13">
        <v>1.6352000000000002</v>
      </c>
      <c r="O1366" s="13" t="s">
        <v>30</v>
      </c>
      <c r="P1366" s="13">
        <v>54</v>
      </c>
      <c r="Q1366" s="13">
        <v>0</v>
      </c>
      <c r="R1366" s="14">
        <v>1350</v>
      </c>
      <c r="S1366" s="15">
        <v>0</v>
      </c>
      <c r="T1366" s="15">
        <v>0</v>
      </c>
      <c r="U1366" s="15">
        <v>1350</v>
      </c>
      <c r="V1366" s="15">
        <v>1350</v>
      </c>
      <c r="W1366" s="15">
        <v>0</v>
      </c>
      <c r="X1366" s="15">
        <v>0</v>
      </c>
      <c r="Y1366" s="16">
        <v>0</v>
      </c>
      <c r="Z1366" s="67" t="s">
        <v>26</v>
      </c>
      <c r="AA1366" s="12" t="s">
        <v>31</v>
      </c>
    </row>
    <row r="1367" spans="1:27" x14ac:dyDescent="0.25">
      <c r="A1367" s="10">
        <v>45679</v>
      </c>
      <c r="B1367" s="11" t="s">
        <v>94</v>
      </c>
      <c r="C1367" s="11" t="s">
        <v>3146</v>
      </c>
      <c r="D1367" s="11" t="s">
        <v>26</v>
      </c>
      <c r="E1367" s="11" t="s">
        <v>53</v>
      </c>
      <c r="F1367" s="11" t="s">
        <v>26</v>
      </c>
      <c r="G1367" s="11" t="s">
        <v>26</v>
      </c>
      <c r="H1367" s="12" t="s">
        <v>146</v>
      </c>
      <c r="I1367" s="12" t="s">
        <v>27</v>
      </c>
      <c r="J1367" s="12" t="s">
        <v>47</v>
      </c>
      <c r="K1367" s="12" t="s">
        <v>48</v>
      </c>
      <c r="L1367" s="13">
        <v>43.38</v>
      </c>
      <c r="M1367" s="13">
        <v>29</v>
      </c>
      <c r="N1367" s="13">
        <v>1.4958620689655173</v>
      </c>
      <c r="O1367" s="13">
        <v>91</v>
      </c>
      <c r="P1367" s="13" t="s">
        <v>30</v>
      </c>
      <c r="Q1367" s="13">
        <v>0</v>
      </c>
      <c r="R1367" s="15">
        <v>3947.5800000000004</v>
      </c>
      <c r="S1367" s="15">
        <v>40</v>
      </c>
      <c r="T1367" s="15">
        <v>1735.2</v>
      </c>
      <c r="U1367" s="15">
        <v>2212.38</v>
      </c>
      <c r="V1367" s="15">
        <v>2212.38</v>
      </c>
      <c r="W1367" s="15">
        <v>0</v>
      </c>
      <c r="X1367" s="15">
        <v>1605.0600000000002</v>
      </c>
      <c r="Y1367" s="16">
        <v>130.13999999999987</v>
      </c>
      <c r="Z1367" s="67" t="s">
        <v>41</v>
      </c>
      <c r="AA1367" s="12" t="s">
        <v>79</v>
      </c>
    </row>
    <row r="1368" spans="1:27" x14ac:dyDescent="0.25">
      <c r="A1368" s="10">
        <v>45679</v>
      </c>
      <c r="B1368" s="11" t="s">
        <v>510</v>
      </c>
      <c r="C1368" s="11" t="s">
        <v>3147</v>
      </c>
      <c r="D1368" s="11" t="s">
        <v>26</v>
      </c>
      <c r="E1368" s="11" t="s">
        <v>604</v>
      </c>
      <c r="F1368" s="11" t="s">
        <v>26</v>
      </c>
      <c r="G1368" s="11">
        <v>1111</v>
      </c>
      <c r="H1368" s="12" t="s">
        <v>141</v>
      </c>
      <c r="I1368" s="12" t="s">
        <v>27</v>
      </c>
      <c r="J1368" s="12" t="s">
        <v>33</v>
      </c>
      <c r="K1368" s="12" t="s">
        <v>34</v>
      </c>
      <c r="L1368" s="13">
        <v>38.76</v>
      </c>
      <c r="M1368" s="13">
        <v>25</v>
      </c>
      <c r="N1368" s="13">
        <v>1.5504</v>
      </c>
      <c r="O1368" s="13">
        <v>40</v>
      </c>
      <c r="P1368" s="13" t="s">
        <v>30</v>
      </c>
      <c r="Q1368" s="13">
        <v>0</v>
      </c>
      <c r="R1368" s="14">
        <v>1550.3999999999999</v>
      </c>
      <c r="S1368" s="15">
        <v>0</v>
      </c>
      <c r="T1368" s="15">
        <v>0</v>
      </c>
      <c r="U1368" s="15">
        <v>1550.3999999999999</v>
      </c>
      <c r="V1368" s="15">
        <v>0</v>
      </c>
      <c r="W1368" s="15">
        <v>1550.3999999999999</v>
      </c>
      <c r="X1368" s="15">
        <v>0</v>
      </c>
      <c r="Y1368" s="16">
        <v>0</v>
      </c>
      <c r="Z1368" s="67" t="s">
        <v>26</v>
      </c>
      <c r="AA1368" s="12" t="s">
        <v>31</v>
      </c>
    </row>
    <row r="1369" spans="1:27" x14ac:dyDescent="0.25">
      <c r="A1369" s="10">
        <v>45679</v>
      </c>
      <c r="B1369" s="11" t="s">
        <v>3148</v>
      </c>
      <c r="C1369" s="11" t="s">
        <v>3149</v>
      </c>
      <c r="D1369" s="11" t="s">
        <v>26</v>
      </c>
      <c r="E1369" s="11" t="s">
        <v>442</v>
      </c>
      <c r="F1369" s="11" t="s">
        <v>26</v>
      </c>
      <c r="G1369" s="11" t="s">
        <v>26</v>
      </c>
      <c r="H1369" s="12" t="s">
        <v>4424</v>
      </c>
      <c r="I1369" s="12" t="s">
        <v>27</v>
      </c>
      <c r="J1369" s="12" t="s">
        <v>47</v>
      </c>
      <c r="K1369" s="12" t="s">
        <v>48</v>
      </c>
      <c r="L1369" s="13">
        <v>32.72</v>
      </c>
      <c r="M1369" s="13">
        <v>22</v>
      </c>
      <c r="N1369" s="13">
        <v>1.4872727272727273</v>
      </c>
      <c r="O1369" s="13">
        <v>90</v>
      </c>
      <c r="P1369" s="13" t="s">
        <v>30</v>
      </c>
      <c r="Q1369" s="13">
        <v>0</v>
      </c>
      <c r="R1369" s="15">
        <v>2944.7999999999997</v>
      </c>
      <c r="S1369" s="15">
        <v>40</v>
      </c>
      <c r="T1369" s="15">
        <v>1308.8</v>
      </c>
      <c r="U1369" s="15">
        <v>1635.9999999999998</v>
      </c>
      <c r="V1369" s="15">
        <v>1635.9999999999998</v>
      </c>
      <c r="W1369" s="15">
        <v>0</v>
      </c>
      <c r="X1369" s="15">
        <v>1308.8</v>
      </c>
      <c r="Y1369" s="16">
        <v>0</v>
      </c>
      <c r="Z1369" s="67" t="s">
        <v>41</v>
      </c>
      <c r="AA1369" s="12" t="s">
        <v>746</v>
      </c>
    </row>
    <row r="1370" spans="1:27" x14ac:dyDescent="0.25">
      <c r="A1370" s="10">
        <v>45679</v>
      </c>
      <c r="B1370" s="11" t="s">
        <v>3150</v>
      </c>
      <c r="C1370" s="11" t="s">
        <v>3151</v>
      </c>
      <c r="D1370" s="11" t="s">
        <v>26</v>
      </c>
      <c r="E1370" s="11" t="s">
        <v>501</v>
      </c>
      <c r="F1370" s="11" t="s">
        <v>26</v>
      </c>
      <c r="G1370" s="11">
        <v>806</v>
      </c>
      <c r="H1370" s="12" t="s">
        <v>141</v>
      </c>
      <c r="I1370" s="12" t="s">
        <v>37</v>
      </c>
      <c r="J1370" s="12" t="s">
        <v>599</v>
      </c>
      <c r="K1370" s="12" t="s">
        <v>82</v>
      </c>
      <c r="L1370" s="13">
        <v>43.16</v>
      </c>
      <c r="M1370" s="13">
        <v>25</v>
      </c>
      <c r="N1370" s="13">
        <v>1.7263999999999999</v>
      </c>
      <c r="O1370" s="13">
        <v>29</v>
      </c>
      <c r="P1370" s="13" t="s">
        <v>30</v>
      </c>
      <c r="Q1370" s="13">
        <v>0</v>
      </c>
      <c r="R1370" s="15">
        <v>1251.6399999999999</v>
      </c>
      <c r="S1370" s="15">
        <v>0</v>
      </c>
      <c r="T1370" s="15">
        <v>0</v>
      </c>
      <c r="U1370" s="15">
        <v>1251.6399999999999</v>
      </c>
      <c r="V1370" s="15">
        <v>0</v>
      </c>
      <c r="W1370" s="15">
        <v>1251.6399999999999</v>
      </c>
      <c r="X1370" s="15">
        <v>0</v>
      </c>
      <c r="Y1370" s="16">
        <v>0</v>
      </c>
      <c r="Z1370" s="67" t="s">
        <v>26</v>
      </c>
      <c r="AA1370" s="12" t="s">
        <v>31</v>
      </c>
    </row>
    <row r="1371" spans="1:27" x14ac:dyDescent="0.25">
      <c r="A1371" s="10">
        <v>45679</v>
      </c>
      <c r="B1371" s="11" t="s">
        <v>3152</v>
      </c>
      <c r="C1371" s="11" t="s">
        <v>3153</v>
      </c>
      <c r="D1371" s="11" t="s">
        <v>26</v>
      </c>
      <c r="E1371" s="11" t="s">
        <v>77</v>
      </c>
      <c r="F1371" s="11" t="s">
        <v>26</v>
      </c>
      <c r="G1371" s="11" t="s">
        <v>185</v>
      </c>
      <c r="H1371" s="12" t="s">
        <v>4449</v>
      </c>
      <c r="I1371" s="12" t="s">
        <v>55</v>
      </c>
      <c r="J1371" s="12" t="s">
        <v>55</v>
      </c>
      <c r="K1371" s="12" t="s">
        <v>56</v>
      </c>
      <c r="L1371" s="13">
        <v>38.700000000000003</v>
      </c>
      <c r="M1371" s="13">
        <v>25</v>
      </c>
      <c r="N1371" s="13">
        <v>1.548</v>
      </c>
      <c r="O1371" s="13">
        <v>15</v>
      </c>
      <c r="P1371" s="13" t="s">
        <v>30</v>
      </c>
      <c r="Q1371" s="13">
        <v>0</v>
      </c>
      <c r="R1371" s="14">
        <v>580.5</v>
      </c>
      <c r="S1371" s="15">
        <v>0</v>
      </c>
      <c r="T1371" s="15">
        <v>0</v>
      </c>
      <c r="U1371" s="15">
        <v>580.5</v>
      </c>
      <c r="V1371" s="15">
        <v>580.5</v>
      </c>
      <c r="W1371" s="15">
        <v>0</v>
      </c>
      <c r="X1371" s="15">
        <v>0</v>
      </c>
      <c r="Y1371" s="16">
        <v>0</v>
      </c>
      <c r="Z1371" s="67" t="s">
        <v>26</v>
      </c>
      <c r="AA1371" s="12" t="s">
        <v>31</v>
      </c>
    </row>
    <row r="1372" spans="1:27" x14ac:dyDescent="0.25">
      <c r="A1372" s="10">
        <v>45679</v>
      </c>
      <c r="B1372" s="11" t="s">
        <v>560</v>
      </c>
      <c r="C1372" s="11" t="s">
        <v>3154</v>
      </c>
      <c r="D1372" s="11" t="s">
        <v>26</v>
      </c>
      <c r="E1372" s="11" t="s">
        <v>69</v>
      </c>
      <c r="F1372" s="11" t="s">
        <v>26</v>
      </c>
      <c r="G1372" s="11">
        <v>4697</v>
      </c>
      <c r="H1372" s="12" t="s">
        <v>70</v>
      </c>
      <c r="I1372" s="12" t="s">
        <v>27</v>
      </c>
      <c r="J1372" s="12" t="s">
        <v>42</v>
      </c>
      <c r="K1372" s="12" t="s">
        <v>43</v>
      </c>
      <c r="L1372" s="13">
        <v>40.64</v>
      </c>
      <c r="M1372" s="13">
        <v>25</v>
      </c>
      <c r="N1372" s="13">
        <v>1.6255999999999999</v>
      </c>
      <c r="O1372" s="13" t="s">
        <v>30</v>
      </c>
      <c r="P1372" s="13">
        <v>64</v>
      </c>
      <c r="Q1372" s="13">
        <v>0</v>
      </c>
      <c r="R1372" s="14">
        <v>1600</v>
      </c>
      <c r="S1372" s="15">
        <v>0</v>
      </c>
      <c r="T1372" s="15">
        <v>0</v>
      </c>
      <c r="U1372" s="15">
        <v>1600</v>
      </c>
      <c r="V1372" s="15">
        <v>0</v>
      </c>
      <c r="W1372" s="15">
        <v>1600</v>
      </c>
      <c r="X1372" s="15">
        <v>0</v>
      </c>
      <c r="Y1372" s="16">
        <v>0</v>
      </c>
      <c r="Z1372" s="67" t="s">
        <v>26</v>
      </c>
      <c r="AA1372" s="12" t="s">
        <v>31</v>
      </c>
    </row>
    <row r="1373" spans="1:27" x14ac:dyDescent="0.25">
      <c r="A1373" s="10">
        <v>45679</v>
      </c>
      <c r="B1373" s="11" t="s">
        <v>3155</v>
      </c>
      <c r="C1373" s="11" t="s">
        <v>3156</v>
      </c>
      <c r="D1373" s="11" t="s">
        <v>26</v>
      </c>
      <c r="E1373" s="11" t="s">
        <v>506</v>
      </c>
      <c r="F1373" s="11" t="s">
        <v>26</v>
      </c>
      <c r="G1373" s="11">
        <v>1527</v>
      </c>
      <c r="H1373" s="12" t="s">
        <v>45</v>
      </c>
      <c r="I1373" s="12" t="s">
        <v>27</v>
      </c>
      <c r="J1373" s="12" t="s">
        <v>33</v>
      </c>
      <c r="K1373" s="12" t="s">
        <v>34</v>
      </c>
      <c r="L1373" s="13">
        <v>37.14</v>
      </c>
      <c r="M1373" s="13">
        <v>25</v>
      </c>
      <c r="N1373" s="13">
        <v>1.4856</v>
      </c>
      <c r="O1373" s="13" t="s">
        <v>30</v>
      </c>
      <c r="P1373" s="13">
        <v>58</v>
      </c>
      <c r="Q1373" s="13">
        <v>0</v>
      </c>
      <c r="R1373" s="14">
        <v>1450</v>
      </c>
      <c r="S1373" s="15">
        <v>0</v>
      </c>
      <c r="T1373" s="15">
        <v>0</v>
      </c>
      <c r="U1373" s="15">
        <v>1450</v>
      </c>
      <c r="V1373" s="15">
        <v>0</v>
      </c>
      <c r="W1373" s="15">
        <v>1450</v>
      </c>
      <c r="X1373" s="15">
        <v>0</v>
      </c>
      <c r="Y1373" s="16">
        <v>0</v>
      </c>
      <c r="Z1373" s="67" t="s">
        <v>26</v>
      </c>
      <c r="AA1373" s="12" t="s">
        <v>31</v>
      </c>
    </row>
    <row r="1374" spans="1:27" x14ac:dyDescent="0.25">
      <c r="A1374" s="10">
        <v>45679</v>
      </c>
      <c r="B1374" s="11" t="s">
        <v>757</v>
      </c>
      <c r="C1374" s="11" t="s">
        <v>3157</v>
      </c>
      <c r="D1374" s="11" t="s">
        <v>26</v>
      </c>
      <c r="E1374" s="11" t="s">
        <v>444</v>
      </c>
      <c r="F1374" s="11" t="s">
        <v>26</v>
      </c>
      <c r="G1374" s="11" t="s">
        <v>185</v>
      </c>
      <c r="H1374" s="12" t="s">
        <v>4449</v>
      </c>
      <c r="I1374" s="12" t="s">
        <v>55</v>
      </c>
      <c r="J1374" s="12" t="s">
        <v>55</v>
      </c>
      <c r="K1374" s="12" t="s">
        <v>56</v>
      </c>
      <c r="L1374" s="13">
        <v>33.659999999999997</v>
      </c>
      <c r="M1374" s="13">
        <v>22</v>
      </c>
      <c r="N1374" s="13">
        <v>1.5299999999999998</v>
      </c>
      <c r="O1374" s="13">
        <v>15</v>
      </c>
      <c r="P1374" s="13" t="s">
        <v>30</v>
      </c>
      <c r="Q1374" s="13">
        <v>0</v>
      </c>
      <c r="R1374" s="14">
        <v>504.9</v>
      </c>
      <c r="S1374" s="15">
        <v>0</v>
      </c>
      <c r="T1374" s="15">
        <v>0</v>
      </c>
      <c r="U1374" s="15">
        <v>504.9</v>
      </c>
      <c r="V1374" s="15">
        <v>504.9</v>
      </c>
      <c r="W1374" s="15">
        <v>0</v>
      </c>
      <c r="X1374" s="15">
        <v>0</v>
      </c>
      <c r="Y1374" s="16">
        <v>0</v>
      </c>
      <c r="Z1374" s="67" t="s">
        <v>26</v>
      </c>
      <c r="AA1374" s="12" t="s">
        <v>31</v>
      </c>
    </row>
    <row r="1375" spans="1:27" x14ac:dyDescent="0.25">
      <c r="A1375" s="10">
        <v>45679</v>
      </c>
      <c r="B1375" s="11" t="s">
        <v>578</v>
      </c>
      <c r="C1375" s="11" t="s">
        <v>3158</v>
      </c>
      <c r="D1375" s="11" t="s">
        <v>26</v>
      </c>
      <c r="E1375" s="11" t="s">
        <v>571</v>
      </c>
      <c r="F1375" s="11" t="s">
        <v>26</v>
      </c>
      <c r="G1375" s="11">
        <v>111929</v>
      </c>
      <c r="H1375" s="12" t="s">
        <v>4446</v>
      </c>
      <c r="I1375" s="12" t="s">
        <v>27</v>
      </c>
      <c r="J1375" s="12" t="s">
        <v>33</v>
      </c>
      <c r="K1375" s="12" t="s">
        <v>34</v>
      </c>
      <c r="L1375" s="13">
        <v>33.78</v>
      </c>
      <c r="M1375" s="13">
        <v>25</v>
      </c>
      <c r="N1375" s="13">
        <v>1.3512</v>
      </c>
      <c r="O1375" s="13">
        <v>44</v>
      </c>
      <c r="P1375" s="13" t="s">
        <v>30</v>
      </c>
      <c r="Q1375" s="13">
        <v>0</v>
      </c>
      <c r="R1375" s="14">
        <v>1486.3200000000002</v>
      </c>
      <c r="S1375" s="15">
        <v>0</v>
      </c>
      <c r="T1375" s="15">
        <v>0</v>
      </c>
      <c r="U1375" s="15">
        <v>1486.3200000000002</v>
      </c>
      <c r="V1375" s="15">
        <v>1486.3200000000002</v>
      </c>
      <c r="W1375" s="15">
        <v>0</v>
      </c>
      <c r="X1375" s="15">
        <v>0</v>
      </c>
      <c r="Y1375" s="16">
        <v>0</v>
      </c>
      <c r="Z1375" s="67" t="s">
        <v>26</v>
      </c>
      <c r="AA1375" s="12" t="s">
        <v>31</v>
      </c>
    </row>
    <row r="1376" spans="1:27" x14ac:dyDescent="0.25">
      <c r="A1376" s="10">
        <v>45679</v>
      </c>
      <c r="B1376" s="11" t="s">
        <v>3159</v>
      </c>
      <c r="C1376" s="11" t="s">
        <v>3160</v>
      </c>
      <c r="D1376" s="11" t="s">
        <v>26</v>
      </c>
      <c r="E1376" s="11" t="s">
        <v>509</v>
      </c>
      <c r="F1376" s="11" t="s">
        <v>26</v>
      </c>
      <c r="G1376" s="11">
        <v>1308</v>
      </c>
      <c r="H1376" s="12" t="s">
        <v>141</v>
      </c>
      <c r="I1376" s="12" t="s">
        <v>37</v>
      </c>
      <c r="J1376" s="12" t="s">
        <v>599</v>
      </c>
      <c r="K1376" s="12" t="s">
        <v>82</v>
      </c>
      <c r="L1376" s="13">
        <v>40.659999999999997</v>
      </c>
      <c r="M1376" s="13">
        <v>25</v>
      </c>
      <c r="N1376" s="13">
        <v>1.6263999999999998</v>
      </c>
      <c r="O1376" s="13">
        <v>29</v>
      </c>
      <c r="P1376" s="13" t="s">
        <v>30</v>
      </c>
      <c r="Q1376" s="13">
        <v>0</v>
      </c>
      <c r="R1376" s="14">
        <v>1179.1399999999999</v>
      </c>
      <c r="S1376" s="15">
        <v>0</v>
      </c>
      <c r="T1376" s="15">
        <v>0</v>
      </c>
      <c r="U1376" s="15">
        <v>1179.1399999999999</v>
      </c>
      <c r="V1376" s="15">
        <v>0</v>
      </c>
      <c r="W1376" s="15">
        <v>1179.1399999999999</v>
      </c>
      <c r="X1376" s="15">
        <v>0</v>
      </c>
      <c r="Y1376" s="16">
        <v>0</v>
      </c>
      <c r="Z1376" s="67" t="s">
        <v>26</v>
      </c>
      <c r="AA1376" s="12" t="s">
        <v>31</v>
      </c>
    </row>
    <row r="1377" spans="1:27" x14ac:dyDescent="0.25">
      <c r="A1377" s="10">
        <v>45679</v>
      </c>
      <c r="B1377" s="11" t="s">
        <v>3161</v>
      </c>
      <c r="C1377" s="11" t="s">
        <v>3162</v>
      </c>
      <c r="D1377" s="11" t="s">
        <v>26</v>
      </c>
      <c r="E1377" s="11" t="s">
        <v>237</v>
      </c>
      <c r="F1377" s="11" t="s">
        <v>26</v>
      </c>
      <c r="G1377" s="11">
        <v>61857</v>
      </c>
      <c r="H1377" s="12" t="s">
        <v>4423</v>
      </c>
      <c r="I1377" s="12" t="s">
        <v>27</v>
      </c>
      <c r="J1377" s="12" t="s">
        <v>42</v>
      </c>
      <c r="K1377" s="12" t="s">
        <v>43</v>
      </c>
      <c r="L1377" s="13">
        <v>37.56</v>
      </c>
      <c r="M1377" s="13">
        <v>25</v>
      </c>
      <c r="N1377" s="13">
        <v>1.5024000000000002</v>
      </c>
      <c r="O1377" s="13">
        <v>42</v>
      </c>
      <c r="P1377" s="13" t="s">
        <v>30</v>
      </c>
      <c r="Q1377" s="13">
        <v>0</v>
      </c>
      <c r="R1377" s="14">
        <v>1577.52</v>
      </c>
      <c r="S1377" s="15">
        <v>0</v>
      </c>
      <c r="T1377" s="15">
        <v>0</v>
      </c>
      <c r="U1377" s="15">
        <v>1577.52</v>
      </c>
      <c r="V1377" s="15">
        <v>1577.52</v>
      </c>
      <c r="W1377" s="15">
        <v>0</v>
      </c>
      <c r="X1377" s="15">
        <v>0</v>
      </c>
      <c r="Y1377" s="16">
        <v>0</v>
      </c>
      <c r="Z1377" s="67" t="s">
        <v>26</v>
      </c>
      <c r="AA1377" s="12" t="s">
        <v>31</v>
      </c>
    </row>
    <row r="1378" spans="1:27" x14ac:dyDescent="0.25">
      <c r="A1378" s="10">
        <v>45679</v>
      </c>
      <c r="B1378" s="11" t="s">
        <v>3163</v>
      </c>
      <c r="C1378" s="11" t="s">
        <v>3164</v>
      </c>
      <c r="D1378" s="11" t="s">
        <v>26</v>
      </c>
      <c r="E1378" s="11" t="s">
        <v>1200</v>
      </c>
      <c r="F1378" s="11" t="s">
        <v>26</v>
      </c>
      <c r="G1378" s="11">
        <v>2552</v>
      </c>
      <c r="H1378" s="12" t="s">
        <v>163</v>
      </c>
      <c r="I1378" s="12" t="s">
        <v>27</v>
      </c>
      <c r="J1378" s="12" t="s">
        <v>42</v>
      </c>
      <c r="K1378" s="12" t="s">
        <v>43</v>
      </c>
      <c r="L1378" s="13">
        <v>41.8</v>
      </c>
      <c r="M1378" s="13">
        <v>25</v>
      </c>
      <c r="N1378" s="13">
        <v>1.6719999999999999</v>
      </c>
      <c r="O1378" s="13" t="s">
        <v>30</v>
      </c>
      <c r="P1378" s="13">
        <v>56</v>
      </c>
      <c r="Q1378" s="13">
        <v>0</v>
      </c>
      <c r="R1378" s="14">
        <v>1400</v>
      </c>
      <c r="S1378" s="15">
        <v>0</v>
      </c>
      <c r="T1378" s="15">
        <v>0</v>
      </c>
      <c r="U1378" s="15">
        <v>1400</v>
      </c>
      <c r="V1378" s="15">
        <v>0</v>
      </c>
      <c r="W1378" s="15">
        <v>1400</v>
      </c>
      <c r="X1378" s="15">
        <v>0</v>
      </c>
      <c r="Y1378" s="16">
        <v>0</v>
      </c>
      <c r="Z1378" s="67" t="s">
        <v>26</v>
      </c>
      <c r="AA1378" s="12" t="s">
        <v>31</v>
      </c>
    </row>
    <row r="1379" spans="1:27" x14ac:dyDescent="0.25">
      <c r="A1379" s="10">
        <v>45679</v>
      </c>
      <c r="B1379" s="11" t="s">
        <v>3165</v>
      </c>
      <c r="C1379" s="11" t="s">
        <v>3166</v>
      </c>
      <c r="D1379" s="11" t="s">
        <v>26</v>
      </c>
      <c r="E1379" s="11" t="s">
        <v>75</v>
      </c>
      <c r="F1379" s="11" t="s">
        <v>26</v>
      </c>
      <c r="G1379" s="11">
        <v>42029</v>
      </c>
      <c r="H1379" s="12" t="s">
        <v>565</v>
      </c>
      <c r="I1379" s="12" t="s">
        <v>55</v>
      </c>
      <c r="J1379" s="12" t="s">
        <v>55</v>
      </c>
      <c r="K1379" s="12" t="s">
        <v>56</v>
      </c>
      <c r="L1379" s="13">
        <v>41.42</v>
      </c>
      <c r="M1379" s="13">
        <v>25</v>
      </c>
      <c r="N1379" s="13">
        <v>1.6568000000000001</v>
      </c>
      <c r="O1379" s="13"/>
      <c r="P1379" s="13">
        <v>24</v>
      </c>
      <c r="Q1379" s="13">
        <v>0</v>
      </c>
      <c r="R1379" s="14">
        <v>600</v>
      </c>
      <c r="S1379" s="15">
        <v>0</v>
      </c>
      <c r="T1379" s="15">
        <v>0</v>
      </c>
      <c r="U1379" s="15">
        <v>600</v>
      </c>
      <c r="V1379" s="15">
        <v>0</v>
      </c>
      <c r="W1379" s="15">
        <v>600</v>
      </c>
      <c r="X1379" s="15">
        <v>0</v>
      </c>
      <c r="Y1379" s="16">
        <v>0</v>
      </c>
      <c r="Z1379" s="67" t="s">
        <v>26</v>
      </c>
      <c r="AA1379" s="12" t="s">
        <v>31</v>
      </c>
    </row>
    <row r="1380" spans="1:27" x14ac:dyDescent="0.25">
      <c r="A1380" s="10">
        <v>45679</v>
      </c>
      <c r="B1380" s="11" t="s">
        <v>3167</v>
      </c>
      <c r="C1380" s="11" t="s">
        <v>3168</v>
      </c>
      <c r="D1380" s="11" t="s">
        <v>26</v>
      </c>
      <c r="E1380" s="11" t="s">
        <v>230</v>
      </c>
      <c r="F1380" s="11" t="s">
        <v>26</v>
      </c>
      <c r="G1380" s="11">
        <v>23145</v>
      </c>
      <c r="H1380" s="12" t="s">
        <v>565</v>
      </c>
      <c r="I1380" s="12" t="s">
        <v>27</v>
      </c>
      <c r="J1380" s="12" t="s">
        <v>33</v>
      </c>
      <c r="K1380" s="12" t="s">
        <v>34</v>
      </c>
      <c r="L1380" s="13">
        <v>42.58</v>
      </c>
      <c r="M1380" s="13">
        <v>28</v>
      </c>
      <c r="N1380" s="13">
        <v>1.5207142857142857</v>
      </c>
      <c r="O1380" s="13"/>
      <c r="P1380" s="13">
        <v>60</v>
      </c>
      <c r="Q1380" s="13">
        <v>0</v>
      </c>
      <c r="R1380" s="14">
        <v>1680</v>
      </c>
      <c r="S1380" s="15">
        <v>0</v>
      </c>
      <c r="T1380" s="15">
        <v>0</v>
      </c>
      <c r="U1380" s="15">
        <v>1680</v>
      </c>
      <c r="V1380" s="15">
        <v>0</v>
      </c>
      <c r="W1380" s="15">
        <v>1680</v>
      </c>
      <c r="X1380" s="15">
        <v>0</v>
      </c>
      <c r="Y1380" s="16">
        <v>0</v>
      </c>
      <c r="Z1380" s="67" t="s">
        <v>26</v>
      </c>
      <c r="AA1380" s="12" t="s">
        <v>31</v>
      </c>
    </row>
    <row r="1381" spans="1:27" x14ac:dyDescent="0.25">
      <c r="A1381" s="10">
        <v>45679</v>
      </c>
      <c r="B1381" s="11" t="s">
        <v>3169</v>
      </c>
      <c r="C1381" s="11" t="s">
        <v>3170</v>
      </c>
      <c r="D1381" s="11" t="s">
        <v>26</v>
      </c>
      <c r="E1381" s="11" t="s">
        <v>658</v>
      </c>
      <c r="F1381" s="11" t="s">
        <v>26</v>
      </c>
      <c r="G1381" s="11">
        <v>859</v>
      </c>
      <c r="H1381" s="12" t="s">
        <v>141</v>
      </c>
      <c r="I1381" s="12" t="s">
        <v>27</v>
      </c>
      <c r="J1381" s="12" t="s">
        <v>47</v>
      </c>
      <c r="K1381" s="12" t="s">
        <v>48</v>
      </c>
      <c r="L1381" s="13">
        <v>39.32</v>
      </c>
      <c r="M1381" s="13">
        <v>27</v>
      </c>
      <c r="N1381" s="13">
        <v>1.4562962962962962</v>
      </c>
      <c r="O1381" s="13">
        <v>40</v>
      </c>
      <c r="P1381" s="13" t="s">
        <v>30</v>
      </c>
      <c r="Q1381" s="13">
        <v>0</v>
      </c>
      <c r="R1381" s="15">
        <v>1572.8</v>
      </c>
      <c r="S1381" s="15">
        <v>0</v>
      </c>
      <c r="T1381" s="15">
        <v>0</v>
      </c>
      <c r="U1381" s="15">
        <v>1572.8</v>
      </c>
      <c r="V1381" s="15">
        <v>0</v>
      </c>
      <c r="W1381" s="15">
        <v>1572.8</v>
      </c>
      <c r="X1381" s="15">
        <v>0</v>
      </c>
      <c r="Y1381" s="16">
        <v>0</v>
      </c>
      <c r="Z1381" s="67" t="s">
        <v>26</v>
      </c>
      <c r="AA1381" s="12" t="s">
        <v>31</v>
      </c>
    </row>
    <row r="1382" spans="1:27" x14ac:dyDescent="0.25">
      <c r="A1382" s="10">
        <v>45679</v>
      </c>
      <c r="B1382" s="11" t="s">
        <v>655</v>
      </c>
      <c r="C1382" s="11" t="s">
        <v>3171</v>
      </c>
      <c r="D1382" s="11" t="s">
        <v>26</v>
      </c>
      <c r="E1382" s="11" t="s">
        <v>77</v>
      </c>
      <c r="F1382" s="11" t="s">
        <v>26</v>
      </c>
      <c r="G1382" s="11" t="s">
        <v>185</v>
      </c>
      <c r="H1382" s="12" t="s">
        <v>4449</v>
      </c>
      <c r="I1382" s="12" t="s">
        <v>55</v>
      </c>
      <c r="J1382" s="12" t="s">
        <v>55</v>
      </c>
      <c r="K1382" s="12" t="s">
        <v>56</v>
      </c>
      <c r="L1382" s="13">
        <v>38.880000000000003</v>
      </c>
      <c r="M1382" s="13">
        <v>25</v>
      </c>
      <c r="N1382" s="13">
        <v>1.5552000000000001</v>
      </c>
      <c r="O1382" s="13">
        <v>15</v>
      </c>
      <c r="P1382" s="13" t="s">
        <v>30</v>
      </c>
      <c r="Q1382" s="13">
        <v>0</v>
      </c>
      <c r="R1382" s="15">
        <v>583.20000000000005</v>
      </c>
      <c r="S1382" s="15">
        <v>0</v>
      </c>
      <c r="T1382" s="15">
        <v>0</v>
      </c>
      <c r="U1382" s="15">
        <v>583.20000000000005</v>
      </c>
      <c r="V1382" s="15">
        <v>583.20000000000005</v>
      </c>
      <c r="W1382" s="15">
        <v>0</v>
      </c>
      <c r="X1382" s="15">
        <v>0</v>
      </c>
      <c r="Y1382" s="16">
        <v>0</v>
      </c>
      <c r="Z1382" s="67" t="s">
        <v>26</v>
      </c>
      <c r="AA1382" s="12" t="s">
        <v>31</v>
      </c>
    </row>
    <row r="1383" spans="1:27" x14ac:dyDescent="0.25">
      <c r="A1383" s="10">
        <v>45679</v>
      </c>
      <c r="B1383" s="11" t="s">
        <v>3172</v>
      </c>
      <c r="C1383" s="11" t="s">
        <v>3173</v>
      </c>
      <c r="D1383" s="11" t="s">
        <v>26</v>
      </c>
      <c r="E1383" s="11" t="s">
        <v>69</v>
      </c>
      <c r="F1383" s="11" t="s">
        <v>26</v>
      </c>
      <c r="G1383" s="11">
        <v>4698</v>
      </c>
      <c r="H1383" s="12" t="s">
        <v>70</v>
      </c>
      <c r="I1383" s="12" t="s">
        <v>27</v>
      </c>
      <c r="J1383" s="12" t="s">
        <v>42</v>
      </c>
      <c r="K1383" s="12" t="s">
        <v>43</v>
      </c>
      <c r="L1383" s="13">
        <v>43.46</v>
      </c>
      <c r="M1383" s="13">
        <v>25</v>
      </c>
      <c r="N1383" s="13">
        <v>1.7383999999999999</v>
      </c>
      <c r="O1383" s="13" t="s">
        <v>30</v>
      </c>
      <c r="P1383" s="13">
        <v>64</v>
      </c>
      <c r="Q1383" s="13">
        <v>0</v>
      </c>
      <c r="R1383" s="14">
        <v>1600</v>
      </c>
      <c r="S1383" s="15">
        <v>0</v>
      </c>
      <c r="T1383" s="15">
        <v>0</v>
      </c>
      <c r="U1383" s="15">
        <v>1600</v>
      </c>
      <c r="V1383" s="15">
        <v>0</v>
      </c>
      <c r="W1383" s="15">
        <v>1600</v>
      </c>
      <c r="X1383" s="15">
        <v>0</v>
      </c>
      <c r="Y1383" s="16">
        <v>0</v>
      </c>
      <c r="Z1383" s="67" t="s">
        <v>26</v>
      </c>
      <c r="AA1383" s="12" t="s">
        <v>31</v>
      </c>
    </row>
    <row r="1384" spans="1:27" x14ac:dyDescent="0.25">
      <c r="A1384" s="10">
        <v>45679</v>
      </c>
      <c r="B1384" s="11" t="s">
        <v>3174</v>
      </c>
      <c r="C1384" s="11" t="s">
        <v>3175</v>
      </c>
      <c r="D1384" s="11" t="s">
        <v>26</v>
      </c>
      <c r="E1384" s="11" t="s">
        <v>74</v>
      </c>
      <c r="F1384" s="11" t="s">
        <v>26</v>
      </c>
      <c r="G1384" s="11">
        <v>1318</v>
      </c>
      <c r="H1384" s="12" t="s">
        <v>70</v>
      </c>
      <c r="I1384" s="12" t="s">
        <v>27</v>
      </c>
      <c r="J1384" s="12" t="s">
        <v>33</v>
      </c>
      <c r="K1384" s="12" t="s">
        <v>34</v>
      </c>
      <c r="L1384" s="13">
        <v>37.659999999999997</v>
      </c>
      <c r="M1384" s="13">
        <v>25</v>
      </c>
      <c r="N1384" s="13">
        <v>1.5064</v>
      </c>
      <c r="O1384" s="13" t="s">
        <v>30</v>
      </c>
      <c r="P1384" s="13">
        <v>60</v>
      </c>
      <c r="Q1384" s="13">
        <v>0</v>
      </c>
      <c r="R1384" s="14">
        <v>1500</v>
      </c>
      <c r="S1384" s="15">
        <v>0</v>
      </c>
      <c r="T1384" s="15">
        <v>0</v>
      </c>
      <c r="U1384" s="15">
        <v>1500</v>
      </c>
      <c r="V1384" s="15">
        <v>0</v>
      </c>
      <c r="W1384" s="15">
        <v>1500</v>
      </c>
      <c r="X1384" s="15">
        <v>0</v>
      </c>
      <c r="Y1384" s="16">
        <v>0</v>
      </c>
      <c r="Z1384" s="67" t="s">
        <v>26</v>
      </c>
      <c r="AA1384" s="12" t="s">
        <v>31</v>
      </c>
    </row>
    <row r="1385" spans="1:27" x14ac:dyDescent="0.25">
      <c r="A1385" s="10">
        <v>45679</v>
      </c>
      <c r="B1385" s="11" t="s">
        <v>3176</v>
      </c>
      <c r="C1385" s="11" t="s">
        <v>3177</v>
      </c>
      <c r="D1385" s="11" t="s">
        <v>26</v>
      </c>
      <c r="E1385" s="11" t="s">
        <v>505</v>
      </c>
      <c r="F1385" s="11" t="s">
        <v>26</v>
      </c>
      <c r="G1385" s="11">
        <v>1255</v>
      </c>
      <c r="H1385" s="12" t="s">
        <v>141</v>
      </c>
      <c r="I1385" s="12" t="s">
        <v>37</v>
      </c>
      <c r="J1385" s="12" t="s">
        <v>599</v>
      </c>
      <c r="K1385" s="12" t="s">
        <v>82</v>
      </c>
      <c r="L1385" s="13">
        <v>40.42</v>
      </c>
      <c r="M1385" s="13">
        <v>25</v>
      </c>
      <c r="N1385" s="13">
        <v>1.6168</v>
      </c>
      <c r="O1385" s="13">
        <v>29</v>
      </c>
      <c r="P1385" s="13" t="s">
        <v>30</v>
      </c>
      <c r="Q1385" s="13">
        <v>0</v>
      </c>
      <c r="R1385" s="15">
        <v>1172.18</v>
      </c>
      <c r="S1385" s="15">
        <v>0</v>
      </c>
      <c r="T1385" s="15">
        <v>0</v>
      </c>
      <c r="U1385" s="15">
        <v>1172.18</v>
      </c>
      <c r="V1385" s="15">
        <v>0</v>
      </c>
      <c r="W1385" s="15">
        <v>1172.18</v>
      </c>
      <c r="X1385" s="15">
        <v>0</v>
      </c>
      <c r="Y1385" s="16">
        <v>0</v>
      </c>
      <c r="Z1385" s="67" t="s">
        <v>26</v>
      </c>
      <c r="AA1385" s="12" t="s">
        <v>31</v>
      </c>
    </row>
    <row r="1386" spans="1:27" x14ac:dyDescent="0.25">
      <c r="A1386" s="10">
        <v>45679</v>
      </c>
      <c r="B1386" s="11" t="s">
        <v>3178</v>
      </c>
      <c r="C1386" s="11" t="s">
        <v>3179</v>
      </c>
      <c r="D1386" s="11" t="s">
        <v>26</v>
      </c>
      <c r="E1386" s="11" t="s">
        <v>224</v>
      </c>
      <c r="F1386" s="11" t="s">
        <v>26</v>
      </c>
      <c r="G1386" s="11">
        <v>55329</v>
      </c>
      <c r="H1386" s="12" t="s">
        <v>4423</v>
      </c>
      <c r="I1386" s="12" t="s">
        <v>27</v>
      </c>
      <c r="J1386" s="12" t="s">
        <v>33</v>
      </c>
      <c r="K1386" s="12" t="s">
        <v>34</v>
      </c>
      <c r="L1386" s="13">
        <v>34.68</v>
      </c>
      <c r="M1386" s="13">
        <v>25</v>
      </c>
      <c r="N1386" s="13">
        <v>1.3872</v>
      </c>
      <c r="O1386" s="13">
        <v>45</v>
      </c>
      <c r="P1386" s="13" t="s">
        <v>30</v>
      </c>
      <c r="Q1386" s="13">
        <v>0</v>
      </c>
      <c r="R1386" s="14">
        <v>1560.6</v>
      </c>
      <c r="S1386" s="15">
        <v>0</v>
      </c>
      <c r="T1386" s="15">
        <v>0</v>
      </c>
      <c r="U1386" s="15">
        <v>1560.6</v>
      </c>
      <c r="V1386" s="15">
        <v>1560.6</v>
      </c>
      <c r="W1386" s="15">
        <v>0</v>
      </c>
      <c r="X1386" s="15">
        <v>0</v>
      </c>
      <c r="Y1386" s="16">
        <v>0</v>
      </c>
      <c r="Z1386" s="67" t="s">
        <v>26</v>
      </c>
      <c r="AA1386" s="12" t="s">
        <v>31</v>
      </c>
    </row>
    <row r="1387" spans="1:27" x14ac:dyDescent="0.25">
      <c r="A1387" s="10">
        <v>45679</v>
      </c>
      <c r="B1387" s="11" t="s">
        <v>3180</v>
      </c>
      <c r="C1387" s="11" t="s">
        <v>3181</v>
      </c>
      <c r="D1387" s="11" t="s">
        <v>26</v>
      </c>
      <c r="E1387" s="11" t="s">
        <v>80</v>
      </c>
      <c r="F1387" s="11" t="s">
        <v>26</v>
      </c>
      <c r="G1387" s="11">
        <v>10651</v>
      </c>
      <c r="H1387" s="12" t="s">
        <v>140</v>
      </c>
      <c r="I1387" s="12" t="s">
        <v>27</v>
      </c>
      <c r="J1387" s="12" t="s">
        <v>42</v>
      </c>
      <c r="K1387" s="12" t="s">
        <v>43</v>
      </c>
      <c r="L1387" s="13">
        <v>43.36</v>
      </c>
      <c r="M1387" s="13">
        <v>25</v>
      </c>
      <c r="N1387" s="13">
        <v>1.7343999999999999</v>
      </c>
      <c r="O1387" s="13">
        <v>35</v>
      </c>
      <c r="P1387" s="13"/>
      <c r="Q1387" s="13">
        <v>0</v>
      </c>
      <c r="R1387" s="15">
        <v>1517.6</v>
      </c>
      <c r="S1387" s="15">
        <v>0</v>
      </c>
      <c r="T1387" s="15">
        <v>0</v>
      </c>
      <c r="U1387" s="15">
        <v>1517.6</v>
      </c>
      <c r="V1387" s="15">
        <v>0</v>
      </c>
      <c r="W1387" s="15">
        <v>1517.6</v>
      </c>
      <c r="X1387" s="15">
        <v>0</v>
      </c>
      <c r="Y1387" s="16">
        <v>0</v>
      </c>
      <c r="Z1387" s="67" t="s">
        <v>26</v>
      </c>
      <c r="AA1387" s="12" t="s">
        <v>31</v>
      </c>
    </row>
    <row r="1388" spans="1:27" x14ac:dyDescent="0.25">
      <c r="A1388" s="10">
        <v>45679</v>
      </c>
      <c r="B1388" s="11" t="s">
        <v>3182</v>
      </c>
      <c r="C1388" s="11" t="s">
        <v>3183</v>
      </c>
      <c r="D1388" s="11" t="s">
        <v>26</v>
      </c>
      <c r="E1388" s="11" t="s">
        <v>442</v>
      </c>
      <c r="F1388" s="11" t="s">
        <v>26</v>
      </c>
      <c r="G1388" s="11" t="s">
        <v>26</v>
      </c>
      <c r="H1388" s="12" t="s">
        <v>4424</v>
      </c>
      <c r="I1388" s="12" t="s">
        <v>27</v>
      </c>
      <c r="J1388" s="12" t="s">
        <v>47</v>
      </c>
      <c r="K1388" s="12" t="s">
        <v>48</v>
      </c>
      <c r="L1388" s="13">
        <v>35.700000000000003</v>
      </c>
      <c r="M1388" s="13">
        <v>24</v>
      </c>
      <c r="N1388" s="13">
        <v>1.4875</v>
      </c>
      <c r="O1388" s="13">
        <v>90</v>
      </c>
      <c r="P1388" s="13" t="s">
        <v>30</v>
      </c>
      <c r="Q1388" s="13">
        <v>0</v>
      </c>
      <c r="R1388" s="14">
        <v>3213.0000000000005</v>
      </c>
      <c r="S1388" s="15">
        <v>40</v>
      </c>
      <c r="T1388" s="15">
        <v>1428</v>
      </c>
      <c r="U1388" s="15">
        <v>1785.0000000000005</v>
      </c>
      <c r="V1388" s="15">
        <v>1785.0000000000005</v>
      </c>
      <c r="W1388" s="15">
        <v>0</v>
      </c>
      <c r="X1388" s="15">
        <v>1428</v>
      </c>
      <c r="Y1388" s="16">
        <v>0</v>
      </c>
      <c r="Z1388" s="67" t="s">
        <v>41</v>
      </c>
      <c r="AA1388" s="12" t="s">
        <v>746</v>
      </c>
    </row>
    <row r="1389" spans="1:27" x14ac:dyDescent="0.25">
      <c r="A1389" s="10">
        <v>45679</v>
      </c>
      <c r="B1389" s="11" t="s">
        <v>521</v>
      </c>
      <c r="C1389" s="11" t="s">
        <v>3184</v>
      </c>
      <c r="D1389" s="11" t="s">
        <v>26</v>
      </c>
      <c r="E1389" s="11" t="s">
        <v>67</v>
      </c>
      <c r="F1389" s="11" t="s">
        <v>26</v>
      </c>
      <c r="G1389" s="11">
        <v>1612</v>
      </c>
      <c r="H1389" s="12" t="s">
        <v>66</v>
      </c>
      <c r="I1389" s="12" t="s">
        <v>37</v>
      </c>
      <c r="J1389" s="12" t="s">
        <v>1909</v>
      </c>
      <c r="K1389" s="12" t="s">
        <v>82</v>
      </c>
      <c r="L1389" s="13">
        <v>40.72</v>
      </c>
      <c r="M1389" s="13">
        <v>25</v>
      </c>
      <c r="N1389" s="13">
        <v>1.6288</v>
      </c>
      <c r="O1389" s="13" t="s">
        <v>30</v>
      </c>
      <c r="P1389" s="13">
        <v>54</v>
      </c>
      <c r="Q1389" s="13">
        <v>0</v>
      </c>
      <c r="R1389" s="14">
        <v>1350</v>
      </c>
      <c r="S1389" s="15">
        <v>0</v>
      </c>
      <c r="T1389" s="15">
        <v>0</v>
      </c>
      <c r="U1389" s="15">
        <v>1350</v>
      </c>
      <c r="V1389" s="15">
        <v>1350</v>
      </c>
      <c r="W1389" s="15">
        <v>0</v>
      </c>
      <c r="X1389" s="15">
        <v>0</v>
      </c>
      <c r="Y1389" s="16">
        <v>0</v>
      </c>
      <c r="Z1389" s="67" t="s">
        <v>26</v>
      </c>
      <c r="AA1389" s="12" t="s">
        <v>31</v>
      </c>
    </row>
    <row r="1390" spans="1:27" x14ac:dyDescent="0.25">
      <c r="A1390" s="10">
        <v>45679</v>
      </c>
      <c r="B1390" s="11" t="s">
        <v>3185</v>
      </c>
      <c r="C1390" s="11" t="s">
        <v>3186</v>
      </c>
      <c r="D1390" s="11" t="s">
        <v>26</v>
      </c>
      <c r="E1390" s="11" t="s">
        <v>201</v>
      </c>
      <c r="F1390" s="11" t="s">
        <v>26</v>
      </c>
      <c r="G1390" s="11">
        <v>1507</v>
      </c>
      <c r="H1390" s="12" t="s">
        <v>45</v>
      </c>
      <c r="I1390" s="12" t="s">
        <v>27</v>
      </c>
      <c r="J1390" s="12" t="s">
        <v>47</v>
      </c>
      <c r="K1390" s="12" t="s">
        <v>48</v>
      </c>
      <c r="L1390" s="13">
        <v>38.64</v>
      </c>
      <c r="M1390" s="13">
        <v>25</v>
      </c>
      <c r="N1390" s="13">
        <v>1.5456000000000001</v>
      </c>
      <c r="O1390" s="13" t="s">
        <v>30</v>
      </c>
      <c r="P1390" s="13">
        <v>58</v>
      </c>
      <c r="Q1390" s="13">
        <v>0</v>
      </c>
      <c r="R1390" s="14">
        <v>1450</v>
      </c>
      <c r="S1390" s="15">
        <v>0</v>
      </c>
      <c r="T1390" s="15">
        <v>0</v>
      </c>
      <c r="U1390" s="15">
        <v>1450</v>
      </c>
      <c r="V1390" s="15">
        <v>0</v>
      </c>
      <c r="W1390" s="15">
        <v>1450</v>
      </c>
      <c r="X1390" s="15">
        <v>0</v>
      </c>
      <c r="Y1390" s="16">
        <v>0</v>
      </c>
      <c r="Z1390" s="67" t="s">
        <v>26</v>
      </c>
      <c r="AA1390" s="12" t="s">
        <v>31</v>
      </c>
    </row>
    <row r="1391" spans="1:27" x14ac:dyDescent="0.25">
      <c r="A1391" s="10">
        <v>45679</v>
      </c>
      <c r="B1391" s="11" t="s">
        <v>245</v>
      </c>
      <c r="C1391" s="11" t="s">
        <v>3187</v>
      </c>
      <c r="D1391" s="11" t="s">
        <v>26</v>
      </c>
      <c r="E1391" s="11" t="s">
        <v>65</v>
      </c>
      <c r="F1391" s="11" t="s">
        <v>26</v>
      </c>
      <c r="G1391" s="11">
        <v>1585</v>
      </c>
      <c r="H1391" s="12" t="s">
        <v>66</v>
      </c>
      <c r="I1391" s="12" t="s">
        <v>27</v>
      </c>
      <c r="J1391" s="12" t="s">
        <v>557</v>
      </c>
      <c r="K1391" s="12" t="s">
        <v>558</v>
      </c>
      <c r="L1391" s="13">
        <v>41.78</v>
      </c>
      <c r="M1391" s="13">
        <v>25</v>
      </c>
      <c r="N1391" s="13">
        <v>1.6712</v>
      </c>
      <c r="O1391" s="13">
        <v>45</v>
      </c>
      <c r="P1391" s="13"/>
      <c r="Q1391" s="13">
        <v>0</v>
      </c>
      <c r="R1391" s="15">
        <v>1880.1000000000001</v>
      </c>
      <c r="S1391" s="15">
        <v>0</v>
      </c>
      <c r="T1391" s="15">
        <v>0</v>
      </c>
      <c r="U1391" s="15">
        <v>1880.1000000000001</v>
      </c>
      <c r="V1391" s="15">
        <v>1880.1000000000001</v>
      </c>
      <c r="W1391" s="15">
        <v>0</v>
      </c>
      <c r="X1391" s="15">
        <v>0</v>
      </c>
      <c r="Y1391" s="16">
        <v>0</v>
      </c>
      <c r="Z1391" s="67" t="s">
        <v>26</v>
      </c>
      <c r="AA1391" s="12" t="s">
        <v>31</v>
      </c>
    </row>
    <row r="1392" spans="1:27" x14ac:dyDescent="0.25">
      <c r="A1392" s="10">
        <v>45679</v>
      </c>
      <c r="B1392" s="11" t="s">
        <v>3188</v>
      </c>
      <c r="C1392" s="11" t="s">
        <v>3189</v>
      </c>
      <c r="D1392" s="11" t="s">
        <v>26</v>
      </c>
      <c r="E1392" s="11" t="s">
        <v>431</v>
      </c>
      <c r="F1392" s="11" t="s">
        <v>26</v>
      </c>
      <c r="G1392" s="11">
        <v>144</v>
      </c>
      <c r="H1392" s="12" t="s">
        <v>6328</v>
      </c>
      <c r="I1392" s="12" t="s">
        <v>27</v>
      </c>
      <c r="J1392" s="12" t="s">
        <v>42</v>
      </c>
      <c r="K1392" s="12" t="s">
        <v>43</v>
      </c>
      <c r="L1392" s="13">
        <v>40.32</v>
      </c>
      <c r="M1392" s="13">
        <v>25</v>
      </c>
      <c r="N1392" s="13">
        <v>1.6128</v>
      </c>
      <c r="O1392" s="13">
        <v>42.5</v>
      </c>
      <c r="P1392" s="13"/>
      <c r="Q1392" s="13">
        <v>0</v>
      </c>
      <c r="R1392" s="15">
        <v>1713.6</v>
      </c>
      <c r="S1392" s="15">
        <v>0</v>
      </c>
      <c r="T1392" s="15">
        <v>0</v>
      </c>
      <c r="U1392" s="15">
        <v>1713.6</v>
      </c>
      <c r="V1392" s="15">
        <v>0</v>
      </c>
      <c r="W1392" s="15">
        <v>1713.6</v>
      </c>
      <c r="X1392" s="15">
        <v>0</v>
      </c>
      <c r="Y1392" s="16">
        <v>0</v>
      </c>
      <c r="Z1392" s="67" t="s">
        <v>26</v>
      </c>
      <c r="AA1392" s="12" t="s">
        <v>31</v>
      </c>
    </row>
    <row r="1393" spans="1:27" x14ac:dyDescent="0.25">
      <c r="A1393" s="10">
        <v>45679</v>
      </c>
      <c r="B1393" s="11" t="s">
        <v>3190</v>
      </c>
      <c r="C1393" s="11" t="s">
        <v>3191</v>
      </c>
      <c r="D1393" s="11" t="s">
        <v>26</v>
      </c>
      <c r="E1393" s="11" t="s">
        <v>444</v>
      </c>
      <c r="F1393" s="11" t="s">
        <v>26</v>
      </c>
      <c r="G1393" s="11" t="s">
        <v>185</v>
      </c>
      <c r="H1393" s="12" t="s">
        <v>4449</v>
      </c>
      <c r="I1393" s="12" t="s">
        <v>55</v>
      </c>
      <c r="J1393" s="12" t="s">
        <v>55</v>
      </c>
      <c r="K1393" s="12" t="s">
        <v>56</v>
      </c>
      <c r="L1393" s="13">
        <v>34.840000000000003</v>
      </c>
      <c r="M1393" s="13">
        <v>21</v>
      </c>
      <c r="N1393" s="13">
        <v>1.6590476190476191</v>
      </c>
      <c r="O1393" s="13">
        <v>15</v>
      </c>
      <c r="P1393" s="13" t="s">
        <v>30</v>
      </c>
      <c r="Q1393" s="13">
        <v>0</v>
      </c>
      <c r="R1393" s="14">
        <v>522.6</v>
      </c>
      <c r="S1393" s="15">
        <v>0</v>
      </c>
      <c r="T1393" s="15">
        <v>0</v>
      </c>
      <c r="U1393" s="15">
        <v>522.6</v>
      </c>
      <c r="V1393" s="15">
        <v>522.6</v>
      </c>
      <c r="W1393" s="15">
        <v>0</v>
      </c>
      <c r="X1393" s="15">
        <v>0</v>
      </c>
      <c r="Y1393" s="16">
        <v>0</v>
      </c>
      <c r="Z1393" s="67" t="s">
        <v>26</v>
      </c>
      <c r="AA1393" s="12" t="s">
        <v>31</v>
      </c>
    </row>
    <row r="1394" spans="1:27" x14ac:dyDescent="0.25">
      <c r="A1394" s="10">
        <v>45679</v>
      </c>
      <c r="B1394" s="11" t="s">
        <v>3192</v>
      </c>
      <c r="C1394" s="11" t="s">
        <v>3193</v>
      </c>
      <c r="D1394" s="11" t="s">
        <v>26</v>
      </c>
      <c r="E1394" s="11" t="s">
        <v>40</v>
      </c>
      <c r="F1394" s="11" t="s">
        <v>26</v>
      </c>
      <c r="G1394" s="11">
        <v>3708</v>
      </c>
      <c r="H1394" s="12" t="s">
        <v>41</v>
      </c>
      <c r="I1394" s="12" t="s">
        <v>55</v>
      </c>
      <c r="J1394" s="12" t="s">
        <v>566</v>
      </c>
      <c r="K1394" s="12" t="s">
        <v>550</v>
      </c>
      <c r="L1394" s="13">
        <v>39.04</v>
      </c>
      <c r="M1394" s="13">
        <v>24</v>
      </c>
      <c r="N1394" s="13">
        <v>1.6266666666666667</v>
      </c>
      <c r="O1394" s="13">
        <v>25</v>
      </c>
      <c r="P1394" s="13"/>
      <c r="Q1394" s="13">
        <v>0</v>
      </c>
      <c r="R1394" s="14">
        <v>976</v>
      </c>
      <c r="S1394" s="15">
        <v>0</v>
      </c>
      <c r="T1394" s="15">
        <v>0</v>
      </c>
      <c r="U1394" s="15">
        <v>976</v>
      </c>
      <c r="V1394" s="15">
        <v>0</v>
      </c>
      <c r="W1394" s="15">
        <v>976</v>
      </c>
      <c r="X1394" s="15">
        <v>0</v>
      </c>
      <c r="Y1394" s="16">
        <v>0</v>
      </c>
      <c r="Z1394" s="67" t="s">
        <v>26</v>
      </c>
      <c r="AA1394" s="12" t="s">
        <v>31</v>
      </c>
    </row>
    <row r="1395" spans="1:27" x14ac:dyDescent="0.25">
      <c r="A1395" s="10">
        <v>45679</v>
      </c>
      <c r="B1395" s="11" t="s">
        <v>3194</v>
      </c>
      <c r="C1395" s="11" t="s">
        <v>3195</v>
      </c>
      <c r="D1395" s="11" t="s">
        <v>26</v>
      </c>
      <c r="E1395" s="11" t="s">
        <v>246</v>
      </c>
      <c r="F1395" s="11" t="s">
        <v>26</v>
      </c>
      <c r="G1395" s="11">
        <v>2960</v>
      </c>
      <c r="H1395" s="12" t="s">
        <v>41</v>
      </c>
      <c r="I1395" s="12" t="s">
        <v>55</v>
      </c>
      <c r="J1395" s="12" t="s">
        <v>566</v>
      </c>
      <c r="K1395" s="12" t="s">
        <v>550</v>
      </c>
      <c r="L1395" s="13">
        <v>39.04</v>
      </c>
      <c r="M1395" s="13">
        <v>24</v>
      </c>
      <c r="N1395" s="13">
        <v>1.6266666666666667</v>
      </c>
      <c r="O1395" s="13">
        <v>25</v>
      </c>
      <c r="P1395" s="13"/>
      <c r="Q1395" s="13">
        <v>0</v>
      </c>
      <c r="R1395" s="14">
        <v>976</v>
      </c>
      <c r="S1395" s="15">
        <v>0</v>
      </c>
      <c r="T1395" s="15">
        <v>0</v>
      </c>
      <c r="U1395" s="15">
        <v>976</v>
      </c>
      <c r="V1395" s="15">
        <v>0</v>
      </c>
      <c r="W1395" s="15">
        <v>976</v>
      </c>
      <c r="X1395" s="15">
        <v>0</v>
      </c>
      <c r="Y1395" s="16">
        <v>0</v>
      </c>
      <c r="Z1395" s="67" t="s">
        <v>26</v>
      </c>
      <c r="AA1395" s="12" t="s">
        <v>31</v>
      </c>
    </row>
    <row r="1396" spans="1:27" x14ac:dyDescent="0.25">
      <c r="A1396" s="10">
        <v>45679</v>
      </c>
      <c r="B1396" s="11" t="s">
        <v>3196</v>
      </c>
      <c r="C1396" s="11" t="s">
        <v>3197</v>
      </c>
      <c r="D1396" s="11" t="s">
        <v>26</v>
      </c>
      <c r="E1396" s="11" t="s">
        <v>570</v>
      </c>
      <c r="F1396" s="11" t="s">
        <v>26</v>
      </c>
      <c r="G1396" s="11">
        <v>10332</v>
      </c>
      <c r="H1396" s="12" t="s">
        <v>140</v>
      </c>
      <c r="I1396" s="12" t="s">
        <v>27</v>
      </c>
      <c r="J1396" s="12" t="s">
        <v>33</v>
      </c>
      <c r="K1396" s="12" t="s">
        <v>34</v>
      </c>
      <c r="L1396" s="13">
        <v>42.66</v>
      </c>
      <c r="M1396" s="13">
        <v>29</v>
      </c>
      <c r="N1396" s="13">
        <v>1.4710344827586206</v>
      </c>
      <c r="O1396" s="13">
        <v>40</v>
      </c>
      <c r="P1396" s="13"/>
      <c r="Q1396" s="13">
        <v>0</v>
      </c>
      <c r="R1396" s="14">
        <v>1706.3999999999999</v>
      </c>
      <c r="S1396" s="15">
        <v>0</v>
      </c>
      <c r="T1396" s="15">
        <v>0</v>
      </c>
      <c r="U1396" s="15">
        <v>1706.3999999999999</v>
      </c>
      <c r="V1396" s="15">
        <v>0</v>
      </c>
      <c r="W1396" s="15">
        <v>1706.3999999999999</v>
      </c>
      <c r="X1396" s="16">
        <v>0</v>
      </c>
      <c r="Y1396" s="16">
        <v>0</v>
      </c>
      <c r="Z1396" s="67" t="s">
        <v>26</v>
      </c>
      <c r="AA1396" s="12" t="s">
        <v>31</v>
      </c>
    </row>
    <row r="1397" spans="1:27" x14ac:dyDescent="0.25">
      <c r="A1397" s="10">
        <v>45679</v>
      </c>
      <c r="B1397" s="11" t="s">
        <v>586</v>
      </c>
      <c r="C1397" s="11" t="s">
        <v>3198</v>
      </c>
      <c r="D1397" s="11" t="s">
        <v>26</v>
      </c>
      <c r="E1397" s="11" t="s">
        <v>63</v>
      </c>
      <c r="F1397" s="11" t="s">
        <v>26</v>
      </c>
      <c r="G1397" s="11">
        <v>10168</v>
      </c>
      <c r="H1397" s="12" t="s">
        <v>140</v>
      </c>
      <c r="I1397" s="12" t="s">
        <v>27</v>
      </c>
      <c r="J1397" s="12" t="s">
        <v>42</v>
      </c>
      <c r="K1397" s="12" t="s">
        <v>43</v>
      </c>
      <c r="L1397" s="13">
        <v>37.6</v>
      </c>
      <c r="M1397" s="13">
        <v>25</v>
      </c>
      <c r="N1397" s="13">
        <v>1.504</v>
      </c>
      <c r="O1397" s="13">
        <v>35</v>
      </c>
      <c r="P1397" s="13"/>
      <c r="Q1397" s="13">
        <v>0</v>
      </c>
      <c r="R1397" s="14">
        <v>1316</v>
      </c>
      <c r="S1397" s="15">
        <v>0</v>
      </c>
      <c r="T1397" s="15">
        <v>0</v>
      </c>
      <c r="U1397" s="15">
        <v>1316</v>
      </c>
      <c r="V1397" s="15">
        <v>0</v>
      </c>
      <c r="W1397" s="15">
        <v>1316</v>
      </c>
      <c r="X1397" s="15">
        <v>0</v>
      </c>
      <c r="Y1397" s="16">
        <v>0</v>
      </c>
      <c r="Z1397" s="67" t="s">
        <v>26</v>
      </c>
      <c r="AA1397" s="12" t="s">
        <v>31</v>
      </c>
    </row>
    <row r="1398" spans="1:27" x14ac:dyDescent="0.25">
      <c r="A1398" s="10">
        <v>45679</v>
      </c>
      <c r="B1398" s="11" t="s">
        <v>3199</v>
      </c>
      <c r="C1398" s="11" t="s">
        <v>3200</v>
      </c>
      <c r="D1398" s="11" t="s">
        <v>26</v>
      </c>
      <c r="E1398" s="11" t="s">
        <v>604</v>
      </c>
      <c r="F1398" s="11" t="s">
        <v>26</v>
      </c>
      <c r="G1398" s="11">
        <v>1112</v>
      </c>
      <c r="H1398" s="12" t="s">
        <v>141</v>
      </c>
      <c r="I1398" s="12" t="s">
        <v>27</v>
      </c>
      <c r="J1398" s="12" t="s">
        <v>33</v>
      </c>
      <c r="K1398" s="12" t="s">
        <v>34</v>
      </c>
      <c r="L1398" s="13">
        <v>40.56</v>
      </c>
      <c r="M1398" s="13">
        <v>28</v>
      </c>
      <c r="N1398" s="13">
        <v>1.4485714285714286</v>
      </c>
      <c r="O1398" s="13">
        <v>40</v>
      </c>
      <c r="P1398" s="13" t="s">
        <v>30</v>
      </c>
      <c r="Q1398" s="13">
        <v>0</v>
      </c>
      <c r="R1398" s="14">
        <v>1622.4</v>
      </c>
      <c r="S1398" s="15">
        <v>0</v>
      </c>
      <c r="T1398" s="15">
        <v>0</v>
      </c>
      <c r="U1398" s="15">
        <v>1622.4</v>
      </c>
      <c r="V1398" s="15">
        <v>0</v>
      </c>
      <c r="W1398" s="15">
        <v>1622.4</v>
      </c>
      <c r="X1398" s="15">
        <v>0</v>
      </c>
      <c r="Y1398" s="16">
        <v>0</v>
      </c>
      <c r="Z1398" s="67" t="s">
        <v>26</v>
      </c>
      <c r="AA1398" s="12" t="s">
        <v>31</v>
      </c>
    </row>
    <row r="1399" spans="1:27" x14ac:dyDescent="0.25">
      <c r="A1399" s="10">
        <v>45679</v>
      </c>
      <c r="B1399" s="11" t="s">
        <v>3201</v>
      </c>
      <c r="C1399" s="11" t="s">
        <v>3202</v>
      </c>
      <c r="D1399" s="11" t="s">
        <v>26</v>
      </c>
      <c r="E1399" s="11" t="s">
        <v>2109</v>
      </c>
      <c r="F1399" s="11" t="s">
        <v>26</v>
      </c>
      <c r="G1399" s="11">
        <v>10606</v>
      </c>
      <c r="H1399" s="12" t="s">
        <v>140</v>
      </c>
      <c r="I1399" s="12" t="s">
        <v>27</v>
      </c>
      <c r="J1399" s="12" t="s">
        <v>42</v>
      </c>
      <c r="K1399" s="12" t="s">
        <v>43</v>
      </c>
      <c r="L1399" s="13">
        <v>42.12</v>
      </c>
      <c r="M1399" s="13">
        <v>25</v>
      </c>
      <c r="N1399" s="13">
        <v>1.6847999999999999</v>
      </c>
      <c r="O1399" s="13">
        <v>35</v>
      </c>
      <c r="P1399" s="13"/>
      <c r="Q1399" s="13">
        <v>0</v>
      </c>
      <c r="R1399" s="14">
        <v>1474.1999999999998</v>
      </c>
      <c r="S1399" s="15">
        <v>0</v>
      </c>
      <c r="T1399" s="15">
        <v>0</v>
      </c>
      <c r="U1399" s="15">
        <v>1474.1999999999998</v>
      </c>
      <c r="V1399" s="15">
        <v>0</v>
      </c>
      <c r="W1399" s="15">
        <v>1474.1999999999998</v>
      </c>
      <c r="X1399" s="15">
        <v>0</v>
      </c>
      <c r="Y1399" s="16">
        <v>0</v>
      </c>
      <c r="Z1399" s="67" t="s">
        <v>26</v>
      </c>
      <c r="AA1399" s="12" t="s">
        <v>31</v>
      </c>
    </row>
    <row r="1400" spans="1:27" x14ac:dyDescent="0.25">
      <c r="A1400" s="10">
        <v>45679</v>
      </c>
      <c r="B1400" s="11" t="s">
        <v>3203</v>
      </c>
      <c r="C1400" s="11" t="s">
        <v>3204</v>
      </c>
      <c r="D1400" s="11" t="s">
        <v>26</v>
      </c>
      <c r="E1400" s="11" t="s">
        <v>496</v>
      </c>
      <c r="F1400" s="11" t="s">
        <v>26</v>
      </c>
      <c r="G1400" s="11">
        <v>22908</v>
      </c>
      <c r="H1400" s="12" t="s">
        <v>4448</v>
      </c>
      <c r="I1400" s="12" t="s">
        <v>27</v>
      </c>
      <c r="J1400" s="12" t="s">
        <v>33</v>
      </c>
      <c r="K1400" s="12" t="s">
        <v>34</v>
      </c>
      <c r="L1400" s="13">
        <v>40.880000000000003</v>
      </c>
      <c r="M1400" s="13">
        <v>28</v>
      </c>
      <c r="N1400" s="13">
        <v>1.4600000000000002</v>
      </c>
      <c r="O1400" s="13">
        <v>45.33</v>
      </c>
      <c r="P1400" s="13" t="s">
        <v>30</v>
      </c>
      <c r="Q1400" s="13">
        <v>0</v>
      </c>
      <c r="R1400" s="14">
        <v>1853.0904</v>
      </c>
      <c r="S1400" s="15">
        <v>0</v>
      </c>
      <c r="T1400" s="15">
        <v>0</v>
      </c>
      <c r="U1400" s="15">
        <v>1853.0904</v>
      </c>
      <c r="V1400" s="15">
        <v>1389.8178</v>
      </c>
      <c r="W1400" s="15">
        <v>463.27260000000001</v>
      </c>
      <c r="X1400" s="15">
        <v>0</v>
      </c>
      <c r="Y1400" s="16">
        <v>0</v>
      </c>
      <c r="Z1400" s="67" t="s">
        <v>26</v>
      </c>
      <c r="AA1400" s="12" t="s">
        <v>31</v>
      </c>
    </row>
    <row r="1401" spans="1:27" x14ac:dyDescent="0.25">
      <c r="A1401" s="10">
        <v>45679</v>
      </c>
      <c r="B1401" s="11" t="s">
        <v>3205</v>
      </c>
      <c r="C1401" s="11" t="s">
        <v>3206</v>
      </c>
      <c r="D1401" s="11" t="s">
        <v>26</v>
      </c>
      <c r="E1401" s="11" t="s">
        <v>435</v>
      </c>
      <c r="F1401" s="11" t="s">
        <v>26</v>
      </c>
      <c r="G1401" s="11">
        <v>3512</v>
      </c>
      <c r="H1401" s="12" t="s">
        <v>41</v>
      </c>
      <c r="I1401" s="12" t="s">
        <v>55</v>
      </c>
      <c r="J1401" s="12" t="s">
        <v>566</v>
      </c>
      <c r="K1401" s="12" t="s">
        <v>550</v>
      </c>
      <c r="L1401" s="13">
        <v>39.64</v>
      </c>
      <c r="M1401" s="13">
        <v>24</v>
      </c>
      <c r="N1401" s="13">
        <v>1.6516666666666666</v>
      </c>
      <c r="O1401" s="13">
        <v>25</v>
      </c>
      <c r="P1401" s="13"/>
      <c r="Q1401" s="13">
        <v>0</v>
      </c>
      <c r="R1401" s="14">
        <v>991</v>
      </c>
      <c r="S1401" s="15">
        <v>0</v>
      </c>
      <c r="T1401" s="15">
        <v>0</v>
      </c>
      <c r="U1401" s="15">
        <v>991</v>
      </c>
      <c r="V1401" s="15">
        <v>0</v>
      </c>
      <c r="W1401" s="15">
        <v>991</v>
      </c>
      <c r="X1401" s="15">
        <v>0</v>
      </c>
      <c r="Y1401" s="16">
        <v>0</v>
      </c>
      <c r="Z1401" s="67" t="s">
        <v>26</v>
      </c>
      <c r="AA1401" s="12" t="s">
        <v>31</v>
      </c>
    </row>
    <row r="1402" spans="1:27" x14ac:dyDescent="0.25">
      <c r="A1402" s="10">
        <v>45679</v>
      </c>
      <c r="B1402" s="11" t="s">
        <v>3207</v>
      </c>
      <c r="C1402" s="11" t="s">
        <v>3208</v>
      </c>
      <c r="D1402" s="11" t="s">
        <v>26</v>
      </c>
      <c r="E1402" s="11" t="s">
        <v>434</v>
      </c>
      <c r="F1402" s="11" t="s">
        <v>26</v>
      </c>
      <c r="G1402" s="11" t="s">
        <v>35</v>
      </c>
      <c r="H1402" s="12" t="s">
        <v>36</v>
      </c>
      <c r="I1402" s="12" t="s">
        <v>27</v>
      </c>
      <c r="J1402" s="12" t="s">
        <v>42</v>
      </c>
      <c r="K1402" s="12" t="s">
        <v>43</v>
      </c>
      <c r="L1402" s="13">
        <v>9.36</v>
      </c>
      <c r="M1402" s="13">
        <v>6</v>
      </c>
      <c r="N1402" s="13">
        <v>1.5599999999999998</v>
      </c>
      <c r="O1402" s="13">
        <v>45</v>
      </c>
      <c r="P1402" s="13" t="s">
        <v>30</v>
      </c>
      <c r="Q1402" s="13">
        <v>0</v>
      </c>
      <c r="R1402" s="14">
        <v>421.2</v>
      </c>
      <c r="S1402" s="15">
        <v>0</v>
      </c>
      <c r="T1402" s="15">
        <v>0</v>
      </c>
      <c r="U1402" s="15">
        <v>421.2</v>
      </c>
      <c r="V1402" s="15">
        <v>0</v>
      </c>
      <c r="W1402" s="15">
        <v>421.2</v>
      </c>
      <c r="X1402" s="15">
        <v>0</v>
      </c>
      <c r="Y1402" s="16">
        <v>0</v>
      </c>
      <c r="Z1402" s="67" t="s">
        <v>26</v>
      </c>
      <c r="AA1402" s="12" t="s">
        <v>31</v>
      </c>
    </row>
    <row r="1403" spans="1:27" x14ac:dyDescent="0.25">
      <c r="A1403" s="10">
        <v>45679</v>
      </c>
      <c r="B1403" s="11" t="s">
        <v>584</v>
      </c>
      <c r="C1403" s="11" t="s">
        <v>3209</v>
      </c>
      <c r="D1403" s="11" t="s">
        <v>26</v>
      </c>
      <c r="E1403" s="11" t="s">
        <v>50</v>
      </c>
      <c r="F1403" s="11" t="s">
        <v>26</v>
      </c>
      <c r="G1403" s="11">
        <v>648</v>
      </c>
      <c r="H1403" s="12" t="s">
        <v>163</v>
      </c>
      <c r="I1403" s="12" t="s">
        <v>27</v>
      </c>
      <c r="J1403" s="12" t="s">
        <v>47</v>
      </c>
      <c r="K1403" s="12" t="s">
        <v>48</v>
      </c>
      <c r="L1403" s="13">
        <v>38.32</v>
      </c>
      <c r="M1403" s="13">
        <v>25</v>
      </c>
      <c r="N1403" s="13">
        <v>1.5327999999999999</v>
      </c>
      <c r="O1403" s="13" t="s">
        <v>30</v>
      </c>
      <c r="P1403" s="13">
        <v>58</v>
      </c>
      <c r="Q1403" s="13">
        <v>0</v>
      </c>
      <c r="R1403" s="14">
        <v>1450</v>
      </c>
      <c r="S1403" s="15">
        <v>0</v>
      </c>
      <c r="T1403" s="15">
        <v>0</v>
      </c>
      <c r="U1403" s="15">
        <v>1450</v>
      </c>
      <c r="V1403" s="15">
        <v>0</v>
      </c>
      <c r="W1403" s="15">
        <v>1450</v>
      </c>
      <c r="X1403" s="15">
        <v>0</v>
      </c>
      <c r="Y1403" s="16">
        <v>0</v>
      </c>
      <c r="Z1403" s="67" t="s">
        <v>26</v>
      </c>
      <c r="AA1403" s="12" t="s">
        <v>31</v>
      </c>
    </row>
    <row r="1404" spans="1:27" x14ac:dyDescent="0.25">
      <c r="A1404" s="10">
        <v>45679</v>
      </c>
      <c r="B1404" s="11" t="s">
        <v>498</v>
      </c>
      <c r="C1404" s="11" t="s">
        <v>3210</v>
      </c>
      <c r="D1404" s="11" t="s">
        <v>26</v>
      </c>
      <c r="E1404" s="11" t="s">
        <v>60</v>
      </c>
      <c r="F1404" s="11" t="s">
        <v>26</v>
      </c>
      <c r="G1404" s="11" t="s">
        <v>35</v>
      </c>
      <c r="H1404" s="12" t="s">
        <v>36</v>
      </c>
      <c r="I1404" s="12" t="s">
        <v>27</v>
      </c>
      <c r="J1404" s="12" t="s">
        <v>47</v>
      </c>
      <c r="K1404" s="12" t="s">
        <v>48</v>
      </c>
      <c r="L1404" s="13">
        <v>4.04</v>
      </c>
      <c r="M1404" s="13">
        <v>2</v>
      </c>
      <c r="N1404" s="13">
        <v>2.02</v>
      </c>
      <c r="O1404" s="13">
        <v>50</v>
      </c>
      <c r="P1404" s="13" t="s">
        <v>30</v>
      </c>
      <c r="Q1404" s="13">
        <v>0</v>
      </c>
      <c r="R1404" s="14">
        <v>202</v>
      </c>
      <c r="S1404" s="15">
        <v>0</v>
      </c>
      <c r="T1404" s="15">
        <v>0</v>
      </c>
      <c r="U1404" s="15">
        <v>202</v>
      </c>
      <c r="V1404" s="15">
        <v>0</v>
      </c>
      <c r="W1404" s="15">
        <v>202</v>
      </c>
      <c r="X1404" s="15">
        <v>0</v>
      </c>
      <c r="Y1404" s="16">
        <v>0</v>
      </c>
      <c r="Z1404" s="67" t="s">
        <v>26</v>
      </c>
      <c r="AA1404" s="12" t="s">
        <v>31</v>
      </c>
    </row>
    <row r="1405" spans="1:27" x14ac:dyDescent="0.25">
      <c r="A1405" s="10">
        <v>45679</v>
      </c>
      <c r="B1405" s="11" t="s">
        <v>532</v>
      </c>
      <c r="C1405" s="11" t="s">
        <v>3211</v>
      </c>
      <c r="D1405" s="11" t="s">
        <v>26</v>
      </c>
      <c r="E1405" s="11" t="s">
        <v>74</v>
      </c>
      <c r="F1405" s="11" t="s">
        <v>26</v>
      </c>
      <c r="G1405" s="11">
        <v>1319</v>
      </c>
      <c r="H1405" s="12" t="s">
        <v>70</v>
      </c>
      <c r="I1405" s="12" t="s">
        <v>27</v>
      </c>
      <c r="J1405" s="12" t="s">
        <v>33</v>
      </c>
      <c r="K1405" s="12" t="s">
        <v>34</v>
      </c>
      <c r="L1405" s="13">
        <v>38.619999999999997</v>
      </c>
      <c r="M1405" s="13">
        <v>25</v>
      </c>
      <c r="N1405" s="13">
        <v>1.5448</v>
      </c>
      <c r="O1405" s="13" t="s">
        <v>30</v>
      </c>
      <c r="P1405" s="13">
        <v>60</v>
      </c>
      <c r="Q1405" s="13">
        <v>0</v>
      </c>
      <c r="R1405" s="14">
        <v>1500</v>
      </c>
      <c r="S1405" s="15">
        <v>0</v>
      </c>
      <c r="T1405" s="15">
        <v>0</v>
      </c>
      <c r="U1405" s="15">
        <v>1500</v>
      </c>
      <c r="V1405" s="15">
        <v>0</v>
      </c>
      <c r="W1405" s="15">
        <v>1500</v>
      </c>
      <c r="X1405" s="15">
        <v>0</v>
      </c>
      <c r="Y1405" s="16">
        <v>0</v>
      </c>
      <c r="Z1405" s="67" t="s">
        <v>26</v>
      </c>
      <c r="AA1405" s="12" t="s">
        <v>31</v>
      </c>
    </row>
    <row r="1406" spans="1:27" x14ac:dyDescent="0.25">
      <c r="A1406" s="10">
        <v>45679</v>
      </c>
      <c r="B1406" s="11" t="s">
        <v>3212</v>
      </c>
      <c r="C1406" s="11" t="s">
        <v>3213</v>
      </c>
      <c r="D1406" s="11" t="s">
        <v>26</v>
      </c>
      <c r="E1406" s="11" t="s">
        <v>237</v>
      </c>
      <c r="F1406" s="11" t="s">
        <v>26</v>
      </c>
      <c r="G1406" s="11">
        <v>61858</v>
      </c>
      <c r="H1406" s="12" t="s">
        <v>4423</v>
      </c>
      <c r="I1406" s="12" t="s">
        <v>27</v>
      </c>
      <c r="J1406" s="12" t="s">
        <v>42</v>
      </c>
      <c r="K1406" s="12" t="s">
        <v>43</v>
      </c>
      <c r="L1406" s="13">
        <v>38.6</v>
      </c>
      <c r="M1406" s="13">
        <v>25</v>
      </c>
      <c r="N1406" s="13">
        <v>1.544</v>
      </c>
      <c r="O1406" s="13">
        <v>42</v>
      </c>
      <c r="P1406" s="13" t="s">
        <v>30</v>
      </c>
      <c r="Q1406" s="13">
        <v>0</v>
      </c>
      <c r="R1406" s="14">
        <v>1621.2</v>
      </c>
      <c r="S1406" s="15">
        <v>0</v>
      </c>
      <c r="T1406" s="15">
        <v>0</v>
      </c>
      <c r="U1406" s="15">
        <v>1621.2</v>
      </c>
      <c r="V1406" s="15">
        <v>1621.2</v>
      </c>
      <c r="W1406" s="15">
        <v>0</v>
      </c>
      <c r="X1406" s="15">
        <v>0</v>
      </c>
      <c r="Y1406" s="16">
        <v>0</v>
      </c>
      <c r="Z1406" s="67" t="s">
        <v>26</v>
      </c>
      <c r="AA1406" s="12" t="s">
        <v>31</v>
      </c>
    </row>
    <row r="1407" spans="1:27" x14ac:dyDescent="0.25">
      <c r="A1407" s="10">
        <v>45679</v>
      </c>
      <c r="B1407" s="11" t="s">
        <v>3214</v>
      </c>
      <c r="C1407" s="11" t="s">
        <v>3215</v>
      </c>
      <c r="D1407" s="11" t="s">
        <v>26</v>
      </c>
      <c r="E1407" s="11" t="s">
        <v>57</v>
      </c>
      <c r="F1407" s="11" t="s">
        <v>26</v>
      </c>
      <c r="G1407" s="11" t="s">
        <v>26</v>
      </c>
      <c r="H1407" s="12" t="s">
        <v>4422</v>
      </c>
      <c r="I1407" s="12" t="s">
        <v>27</v>
      </c>
      <c r="J1407" s="12" t="s">
        <v>47</v>
      </c>
      <c r="K1407" s="12" t="s">
        <v>48</v>
      </c>
      <c r="L1407" s="13">
        <v>43.18</v>
      </c>
      <c r="M1407" s="13">
        <v>29</v>
      </c>
      <c r="N1407" s="13">
        <v>1.4889655172413794</v>
      </c>
      <c r="O1407" s="13">
        <v>87</v>
      </c>
      <c r="P1407" s="13" t="s">
        <v>30</v>
      </c>
      <c r="Q1407" s="13">
        <v>0</v>
      </c>
      <c r="R1407" s="14">
        <v>3756.66</v>
      </c>
      <c r="S1407" s="15">
        <v>38</v>
      </c>
      <c r="T1407" s="15">
        <v>1640.84</v>
      </c>
      <c r="U1407" s="15">
        <v>2115.8199999999997</v>
      </c>
      <c r="V1407" s="15">
        <v>2115.8199999999997</v>
      </c>
      <c r="W1407" s="15"/>
      <c r="X1407" s="15">
        <v>1597.66</v>
      </c>
      <c r="Y1407" s="16">
        <v>43.179999999999836</v>
      </c>
      <c r="Z1407" s="67" t="s">
        <v>41</v>
      </c>
      <c r="AA1407" s="12" t="s">
        <v>78</v>
      </c>
    </row>
    <row r="1408" spans="1:27" x14ac:dyDescent="0.25">
      <c r="A1408" s="10">
        <v>45679</v>
      </c>
      <c r="B1408" s="11" t="s">
        <v>659</v>
      </c>
      <c r="C1408" s="11" t="s">
        <v>3216</v>
      </c>
      <c r="D1408" s="11" t="s">
        <v>26</v>
      </c>
      <c r="E1408" s="11" t="s">
        <v>230</v>
      </c>
      <c r="F1408" s="11" t="s">
        <v>26</v>
      </c>
      <c r="G1408" s="11">
        <v>23146</v>
      </c>
      <c r="H1408" s="12" t="s">
        <v>565</v>
      </c>
      <c r="I1408" s="12" t="s">
        <v>55</v>
      </c>
      <c r="J1408" s="12" t="s">
        <v>55</v>
      </c>
      <c r="K1408" s="12" t="s">
        <v>56</v>
      </c>
      <c r="L1408" s="13">
        <v>40.5</v>
      </c>
      <c r="M1408" s="13">
        <v>25</v>
      </c>
      <c r="N1408" s="13">
        <v>1.62</v>
      </c>
      <c r="O1408" s="13"/>
      <c r="P1408" s="13">
        <v>24</v>
      </c>
      <c r="Q1408" s="13">
        <v>0</v>
      </c>
      <c r="R1408" s="14">
        <v>600</v>
      </c>
      <c r="S1408" s="15">
        <v>0</v>
      </c>
      <c r="T1408" s="15">
        <v>0</v>
      </c>
      <c r="U1408" s="15">
        <v>600</v>
      </c>
      <c r="V1408" s="15">
        <v>0</v>
      </c>
      <c r="W1408" s="15">
        <v>600</v>
      </c>
      <c r="X1408" s="15">
        <v>0</v>
      </c>
      <c r="Y1408" s="16">
        <v>0</v>
      </c>
      <c r="Z1408" s="67" t="s">
        <v>26</v>
      </c>
      <c r="AA1408" s="12" t="s">
        <v>31</v>
      </c>
    </row>
    <row r="1409" spans="1:27" x14ac:dyDescent="0.25">
      <c r="A1409" s="10">
        <v>45679</v>
      </c>
      <c r="B1409" s="11" t="s">
        <v>756</v>
      </c>
      <c r="C1409" s="11" t="s">
        <v>3217</v>
      </c>
      <c r="D1409" s="11" t="s">
        <v>26</v>
      </c>
      <c r="E1409" s="11" t="s">
        <v>100</v>
      </c>
      <c r="F1409" s="11" t="s">
        <v>26</v>
      </c>
      <c r="G1409" s="11">
        <v>21727</v>
      </c>
      <c r="H1409" s="12" t="s">
        <v>4448</v>
      </c>
      <c r="I1409" s="12" t="s">
        <v>27</v>
      </c>
      <c r="J1409" s="12" t="s">
        <v>42</v>
      </c>
      <c r="K1409" s="12" t="s">
        <v>43</v>
      </c>
      <c r="L1409" s="13">
        <v>40.74</v>
      </c>
      <c r="M1409" s="13">
        <v>25</v>
      </c>
      <c r="N1409" s="13">
        <v>1.6296000000000002</v>
      </c>
      <c r="O1409" s="13">
        <v>42.5</v>
      </c>
      <c r="P1409" s="13" t="s">
        <v>30</v>
      </c>
      <c r="Q1409" s="13">
        <v>0</v>
      </c>
      <c r="R1409" s="14">
        <v>1731.45</v>
      </c>
      <c r="S1409" s="15">
        <v>0</v>
      </c>
      <c r="T1409" s="15">
        <v>0</v>
      </c>
      <c r="U1409" s="15">
        <v>1731.45</v>
      </c>
      <c r="V1409" s="15">
        <v>1298.5875000000001</v>
      </c>
      <c r="W1409" s="15">
        <v>432.86249999999995</v>
      </c>
      <c r="X1409" s="15">
        <v>0</v>
      </c>
      <c r="Y1409" s="16">
        <v>0</v>
      </c>
      <c r="Z1409" s="67" t="s">
        <v>26</v>
      </c>
      <c r="AA1409" s="12" t="s">
        <v>31</v>
      </c>
    </row>
    <row r="1410" spans="1:27" x14ac:dyDescent="0.25">
      <c r="A1410" s="10">
        <v>45679</v>
      </c>
      <c r="B1410" s="11" t="s">
        <v>242</v>
      </c>
      <c r="C1410" s="11" t="s">
        <v>3218</v>
      </c>
      <c r="D1410" s="11" t="s">
        <v>26</v>
      </c>
      <c r="E1410" s="11" t="s">
        <v>444</v>
      </c>
      <c r="F1410" s="11" t="s">
        <v>26</v>
      </c>
      <c r="G1410" s="11" t="s">
        <v>185</v>
      </c>
      <c r="H1410" s="12" t="s">
        <v>4449</v>
      </c>
      <c r="I1410" s="12" t="s">
        <v>55</v>
      </c>
      <c r="J1410" s="12" t="s">
        <v>55</v>
      </c>
      <c r="K1410" s="12" t="s">
        <v>56</v>
      </c>
      <c r="L1410" s="13">
        <v>34.68</v>
      </c>
      <c r="M1410" s="13">
        <v>21</v>
      </c>
      <c r="N1410" s="13">
        <v>1.6514285714285715</v>
      </c>
      <c r="O1410" s="13">
        <v>15</v>
      </c>
      <c r="P1410" s="13" t="s">
        <v>30</v>
      </c>
      <c r="Q1410" s="13">
        <v>0</v>
      </c>
      <c r="R1410" s="14">
        <v>520.20000000000005</v>
      </c>
      <c r="S1410" s="15">
        <v>0</v>
      </c>
      <c r="T1410" s="15">
        <v>0</v>
      </c>
      <c r="U1410" s="15">
        <v>520.20000000000005</v>
      </c>
      <c r="V1410" s="15">
        <v>520.20000000000005</v>
      </c>
      <c r="W1410" s="15">
        <v>0</v>
      </c>
      <c r="X1410" s="15">
        <v>0</v>
      </c>
      <c r="Y1410" s="16">
        <v>0</v>
      </c>
      <c r="Z1410" s="67" t="s">
        <v>26</v>
      </c>
      <c r="AA1410" s="12" t="s">
        <v>31</v>
      </c>
    </row>
    <row r="1411" spans="1:27" x14ac:dyDescent="0.25">
      <c r="A1411" s="10">
        <v>45679</v>
      </c>
      <c r="B1411" s="11" t="s">
        <v>548</v>
      </c>
      <c r="C1411" s="11" t="s">
        <v>3219</v>
      </c>
      <c r="D1411" s="11" t="s">
        <v>26</v>
      </c>
      <c r="E1411" s="11" t="s">
        <v>69</v>
      </c>
      <c r="F1411" s="11" t="s">
        <v>26</v>
      </c>
      <c r="G1411" s="11">
        <v>1320</v>
      </c>
      <c r="H1411" s="12" t="s">
        <v>70</v>
      </c>
      <c r="I1411" s="12" t="s">
        <v>27</v>
      </c>
      <c r="J1411" s="12" t="s">
        <v>33</v>
      </c>
      <c r="K1411" s="12" t="s">
        <v>34</v>
      </c>
      <c r="L1411" s="13">
        <v>38.380000000000003</v>
      </c>
      <c r="M1411" s="13">
        <v>25</v>
      </c>
      <c r="N1411" s="13">
        <v>1.5352000000000001</v>
      </c>
      <c r="O1411" s="13" t="s">
        <v>30</v>
      </c>
      <c r="P1411" s="13">
        <v>60</v>
      </c>
      <c r="Q1411" s="13">
        <v>0</v>
      </c>
      <c r="R1411" s="14">
        <v>1500</v>
      </c>
      <c r="S1411" s="15">
        <v>0</v>
      </c>
      <c r="T1411" s="15">
        <v>0</v>
      </c>
      <c r="U1411" s="15">
        <v>1500</v>
      </c>
      <c r="V1411" s="15">
        <v>0</v>
      </c>
      <c r="W1411" s="15">
        <v>1500</v>
      </c>
      <c r="X1411" s="15">
        <v>0</v>
      </c>
      <c r="Y1411" s="16">
        <v>0</v>
      </c>
      <c r="Z1411" s="67" t="s">
        <v>26</v>
      </c>
      <c r="AA1411" s="12" t="s">
        <v>31</v>
      </c>
    </row>
    <row r="1412" spans="1:27" x14ac:dyDescent="0.25">
      <c r="A1412" s="10">
        <v>45679</v>
      </c>
      <c r="B1412" s="11" t="s">
        <v>3220</v>
      </c>
      <c r="C1412" s="11" t="s">
        <v>3221</v>
      </c>
      <c r="D1412" s="11" t="s">
        <v>26</v>
      </c>
      <c r="E1412" s="11" t="s">
        <v>539</v>
      </c>
      <c r="F1412" s="11" t="s">
        <v>26</v>
      </c>
      <c r="G1412" s="11">
        <v>3815</v>
      </c>
      <c r="H1412" s="12" t="s">
        <v>41</v>
      </c>
      <c r="I1412" s="12" t="s">
        <v>27</v>
      </c>
      <c r="J1412" s="12" t="s">
        <v>42</v>
      </c>
      <c r="K1412" s="12" t="s">
        <v>43</v>
      </c>
      <c r="L1412" s="13">
        <v>40.119999999999997</v>
      </c>
      <c r="M1412" s="13">
        <v>25</v>
      </c>
      <c r="N1412" s="13">
        <v>1.6048</v>
      </c>
      <c r="O1412" s="13" t="s">
        <v>30</v>
      </c>
      <c r="P1412" s="13">
        <v>64</v>
      </c>
      <c r="Q1412" s="13">
        <v>0</v>
      </c>
      <c r="R1412" s="14">
        <v>1600</v>
      </c>
      <c r="S1412" s="15">
        <v>0</v>
      </c>
      <c r="T1412" s="15">
        <v>0</v>
      </c>
      <c r="U1412" s="15">
        <v>1600</v>
      </c>
      <c r="V1412" s="15">
        <v>0</v>
      </c>
      <c r="W1412" s="15">
        <v>1600</v>
      </c>
      <c r="X1412" s="15">
        <v>0</v>
      </c>
      <c r="Y1412" s="16">
        <v>0</v>
      </c>
      <c r="Z1412" s="67" t="s">
        <v>26</v>
      </c>
      <c r="AA1412" s="12" t="s">
        <v>31</v>
      </c>
    </row>
    <row r="1413" spans="1:27" x14ac:dyDescent="0.25">
      <c r="A1413" s="10">
        <v>45679</v>
      </c>
      <c r="B1413" s="11" t="s">
        <v>3222</v>
      </c>
      <c r="C1413" s="11" t="s">
        <v>3223</v>
      </c>
      <c r="D1413" s="11" t="s">
        <v>26</v>
      </c>
      <c r="E1413" s="11" t="s">
        <v>1200</v>
      </c>
      <c r="F1413" s="11" t="s">
        <v>26</v>
      </c>
      <c r="G1413" s="11">
        <v>2553</v>
      </c>
      <c r="H1413" s="12" t="s">
        <v>163</v>
      </c>
      <c r="I1413" s="12" t="s">
        <v>27</v>
      </c>
      <c r="J1413" s="12" t="s">
        <v>33</v>
      </c>
      <c r="K1413" s="12" t="s">
        <v>34</v>
      </c>
      <c r="L1413" s="13">
        <v>37.619999999999997</v>
      </c>
      <c r="M1413" s="13">
        <v>25</v>
      </c>
      <c r="N1413" s="13">
        <v>1.5047999999999999</v>
      </c>
      <c r="O1413" s="13" t="s">
        <v>30</v>
      </c>
      <c r="P1413" s="13">
        <v>58</v>
      </c>
      <c r="Q1413" s="13">
        <v>0</v>
      </c>
      <c r="R1413" s="14">
        <v>1450</v>
      </c>
      <c r="S1413" s="15">
        <v>0</v>
      </c>
      <c r="T1413" s="15">
        <v>0</v>
      </c>
      <c r="U1413" s="15">
        <v>1450</v>
      </c>
      <c r="V1413" s="15">
        <v>0</v>
      </c>
      <c r="W1413" s="15">
        <v>1450</v>
      </c>
      <c r="X1413" s="15">
        <v>0</v>
      </c>
      <c r="Y1413" s="16">
        <v>0</v>
      </c>
      <c r="Z1413" s="67" t="s">
        <v>26</v>
      </c>
      <c r="AA1413" s="12" t="s">
        <v>31</v>
      </c>
    </row>
    <row r="1414" spans="1:27" x14ac:dyDescent="0.25">
      <c r="A1414" s="10">
        <v>45679</v>
      </c>
      <c r="B1414" s="11" t="s">
        <v>3224</v>
      </c>
      <c r="C1414" s="11" t="s">
        <v>3225</v>
      </c>
      <c r="D1414" s="11" t="s">
        <v>26</v>
      </c>
      <c r="E1414" s="11" t="s">
        <v>60</v>
      </c>
      <c r="F1414" s="11" t="s">
        <v>26</v>
      </c>
      <c r="G1414" s="11" t="s">
        <v>35</v>
      </c>
      <c r="H1414" s="12" t="s">
        <v>36</v>
      </c>
      <c r="I1414" s="12" t="s">
        <v>27</v>
      </c>
      <c r="J1414" s="12" t="s">
        <v>33</v>
      </c>
      <c r="K1414" s="12" t="s">
        <v>34</v>
      </c>
      <c r="L1414" s="13">
        <v>9.24</v>
      </c>
      <c r="M1414" s="13">
        <v>6</v>
      </c>
      <c r="N1414" s="13">
        <v>1.54</v>
      </c>
      <c r="O1414" s="13">
        <v>50</v>
      </c>
      <c r="P1414" s="13" t="s">
        <v>30</v>
      </c>
      <c r="Q1414" s="13">
        <v>0</v>
      </c>
      <c r="R1414" s="15">
        <v>462</v>
      </c>
      <c r="S1414" s="15">
        <v>0</v>
      </c>
      <c r="T1414" s="15">
        <v>0</v>
      </c>
      <c r="U1414" s="15">
        <v>462</v>
      </c>
      <c r="V1414" s="15">
        <v>0</v>
      </c>
      <c r="W1414" s="15">
        <v>462</v>
      </c>
      <c r="X1414" s="15">
        <v>0</v>
      </c>
      <c r="Y1414" s="16">
        <v>0</v>
      </c>
      <c r="Z1414" s="67" t="s">
        <v>26</v>
      </c>
      <c r="AA1414" s="12" t="s">
        <v>31</v>
      </c>
    </row>
    <row r="1415" spans="1:27" x14ac:dyDescent="0.25">
      <c r="A1415" s="10">
        <v>45679</v>
      </c>
      <c r="B1415" s="11" t="s">
        <v>3226</v>
      </c>
      <c r="C1415" s="11" t="s">
        <v>3227</v>
      </c>
      <c r="D1415" s="11" t="s">
        <v>26</v>
      </c>
      <c r="E1415" s="11" t="s">
        <v>68</v>
      </c>
      <c r="F1415" s="11" t="s">
        <v>26</v>
      </c>
      <c r="G1415" s="11">
        <v>1506</v>
      </c>
      <c r="H1415" s="12" t="s">
        <v>45</v>
      </c>
      <c r="I1415" s="12" t="s">
        <v>27</v>
      </c>
      <c r="J1415" s="12" t="s">
        <v>33</v>
      </c>
      <c r="K1415" s="12" t="s">
        <v>34</v>
      </c>
      <c r="L1415" s="13">
        <v>37.22</v>
      </c>
      <c r="M1415" s="13">
        <v>25</v>
      </c>
      <c r="N1415" s="13">
        <v>1.4887999999999999</v>
      </c>
      <c r="O1415" s="13" t="s">
        <v>30</v>
      </c>
      <c r="P1415" s="13">
        <v>58</v>
      </c>
      <c r="Q1415" s="13">
        <v>0</v>
      </c>
      <c r="R1415" s="15">
        <v>1450</v>
      </c>
      <c r="S1415" s="15">
        <v>0</v>
      </c>
      <c r="T1415" s="15">
        <v>0</v>
      </c>
      <c r="U1415" s="15">
        <v>1450</v>
      </c>
      <c r="V1415" s="15">
        <v>0</v>
      </c>
      <c r="W1415" s="15">
        <v>1450</v>
      </c>
      <c r="X1415" s="15">
        <v>0</v>
      </c>
      <c r="Y1415" s="16">
        <v>0</v>
      </c>
      <c r="Z1415" s="67" t="s">
        <v>26</v>
      </c>
      <c r="AA1415" s="12" t="s">
        <v>31</v>
      </c>
    </row>
    <row r="1416" spans="1:27" x14ac:dyDescent="0.25">
      <c r="A1416" s="10">
        <v>45679</v>
      </c>
      <c r="B1416" s="11" t="s">
        <v>3228</v>
      </c>
      <c r="C1416" s="11" t="s">
        <v>3229</v>
      </c>
      <c r="D1416" s="11" t="s">
        <v>26</v>
      </c>
      <c r="E1416" s="11" t="s">
        <v>1725</v>
      </c>
      <c r="F1416" s="11" t="s">
        <v>26</v>
      </c>
      <c r="G1416" s="11">
        <v>3294</v>
      </c>
      <c r="H1416" s="12" t="s">
        <v>4448</v>
      </c>
      <c r="I1416" s="12" t="s">
        <v>27</v>
      </c>
      <c r="J1416" s="12" t="s">
        <v>47</v>
      </c>
      <c r="K1416" s="12" t="s">
        <v>48</v>
      </c>
      <c r="L1416" s="13">
        <v>39.979999999999997</v>
      </c>
      <c r="M1416" s="13">
        <v>28</v>
      </c>
      <c r="N1416" s="13">
        <v>1.4278571428571427</v>
      </c>
      <c r="O1416" s="13">
        <v>46.66</v>
      </c>
      <c r="P1416" s="13" t="s">
        <v>30</v>
      </c>
      <c r="Q1416" s="13">
        <v>0</v>
      </c>
      <c r="R1416" s="14">
        <v>1865.4667999999997</v>
      </c>
      <c r="S1416" s="15">
        <v>0</v>
      </c>
      <c r="T1416" s="15">
        <v>0</v>
      </c>
      <c r="U1416" s="15">
        <v>1865.4667999999997</v>
      </c>
      <c r="V1416" s="15">
        <v>1399.1000999999997</v>
      </c>
      <c r="W1416" s="15">
        <v>466.36670000000004</v>
      </c>
      <c r="X1416" s="15">
        <v>0</v>
      </c>
      <c r="Y1416" s="16">
        <v>0</v>
      </c>
      <c r="Z1416" s="67" t="s">
        <v>26</v>
      </c>
      <c r="AA1416" s="12" t="s">
        <v>31</v>
      </c>
    </row>
    <row r="1417" spans="1:27" x14ac:dyDescent="0.25">
      <c r="A1417" s="10">
        <v>45680</v>
      </c>
      <c r="B1417" s="11" t="s">
        <v>1853</v>
      </c>
      <c r="C1417" s="11" t="s">
        <v>3230</v>
      </c>
      <c r="D1417" s="11" t="s">
        <v>26</v>
      </c>
      <c r="E1417" s="11" t="s">
        <v>65</v>
      </c>
      <c r="F1417" s="11" t="s">
        <v>26</v>
      </c>
      <c r="G1417" s="11">
        <v>1586</v>
      </c>
      <c r="H1417" s="12" t="s">
        <v>66</v>
      </c>
      <c r="I1417" s="12" t="s">
        <v>27</v>
      </c>
      <c r="J1417" s="12" t="s">
        <v>47</v>
      </c>
      <c r="K1417" s="12" t="s">
        <v>48</v>
      </c>
      <c r="L1417" s="13">
        <v>41.08</v>
      </c>
      <c r="M1417" s="13">
        <v>28</v>
      </c>
      <c r="N1417" s="13">
        <v>1.4671428571428571</v>
      </c>
      <c r="O1417" s="13" t="s">
        <v>30</v>
      </c>
      <c r="P1417" s="13">
        <v>74</v>
      </c>
      <c r="Q1417" s="13">
        <v>0</v>
      </c>
      <c r="R1417" s="15">
        <v>2072</v>
      </c>
      <c r="S1417" s="15">
        <v>0</v>
      </c>
      <c r="T1417" s="15">
        <v>0</v>
      </c>
      <c r="U1417" s="15">
        <v>2072</v>
      </c>
      <c r="V1417" s="15">
        <v>2072</v>
      </c>
      <c r="W1417" s="15">
        <v>0</v>
      </c>
      <c r="X1417" s="15">
        <v>0</v>
      </c>
      <c r="Y1417" s="16">
        <v>0</v>
      </c>
      <c r="Z1417" s="67" t="s">
        <v>26</v>
      </c>
      <c r="AA1417" s="12" t="s">
        <v>31</v>
      </c>
    </row>
    <row r="1418" spans="1:27" x14ac:dyDescent="0.25">
      <c r="A1418" s="10">
        <v>45680</v>
      </c>
      <c r="B1418" s="11" t="s">
        <v>367</v>
      </c>
      <c r="C1418" s="11" t="s">
        <v>3231</v>
      </c>
      <c r="D1418" s="11" t="s">
        <v>26</v>
      </c>
      <c r="E1418" s="11" t="s">
        <v>496</v>
      </c>
      <c r="F1418" s="11" t="s">
        <v>26</v>
      </c>
      <c r="G1418" s="11">
        <v>22909</v>
      </c>
      <c r="H1418" s="12" t="s">
        <v>4448</v>
      </c>
      <c r="I1418" s="12" t="s">
        <v>27</v>
      </c>
      <c r="J1418" s="12" t="s">
        <v>33</v>
      </c>
      <c r="K1418" s="12" t="s">
        <v>34</v>
      </c>
      <c r="L1418" s="13">
        <v>36.56</v>
      </c>
      <c r="M1418" s="13">
        <v>25</v>
      </c>
      <c r="N1418" s="13">
        <v>1.4623999999999999</v>
      </c>
      <c r="O1418" s="13">
        <v>45.33</v>
      </c>
      <c r="P1418" s="13" t="s">
        <v>30</v>
      </c>
      <c r="Q1418" s="13">
        <v>0</v>
      </c>
      <c r="R1418" s="14">
        <v>1657.2648000000002</v>
      </c>
      <c r="S1418" s="15">
        <v>0</v>
      </c>
      <c r="T1418" s="15">
        <v>0</v>
      </c>
      <c r="U1418" s="15">
        <v>1657.2648000000002</v>
      </c>
      <c r="V1418" s="15">
        <v>1242.9486000000002</v>
      </c>
      <c r="W1418" s="15">
        <v>414.31619999999998</v>
      </c>
      <c r="X1418" s="16">
        <v>0</v>
      </c>
      <c r="Y1418" s="16">
        <v>0</v>
      </c>
      <c r="Z1418" s="67" t="s">
        <v>26</v>
      </c>
      <c r="AA1418" s="12" t="s">
        <v>31</v>
      </c>
    </row>
    <row r="1419" spans="1:27" x14ac:dyDescent="0.25">
      <c r="A1419" s="10">
        <v>45680</v>
      </c>
      <c r="B1419" s="11" t="s">
        <v>308</v>
      </c>
      <c r="C1419" s="11" t="s">
        <v>3232</v>
      </c>
      <c r="D1419" s="11" t="s">
        <v>26</v>
      </c>
      <c r="E1419" s="11" t="s">
        <v>57</v>
      </c>
      <c r="F1419" s="11" t="s">
        <v>26</v>
      </c>
      <c r="G1419" s="11" t="s">
        <v>26</v>
      </c>
      <c r="H1419" s="12" t="s">
        <v>4422</v>
      </c>
      <c r="I1419" s="12" t="s">
        <v>27</v>
      </c>
      <c r="J1419" s="12" t="s">
        <v>33</v>
      </c>
      <c r="K1419" s="12" t="s">
        <v>34</v>
      </c>
      <c r="L1419" s="13">
        <v>43.28</v>
      </c>
      <c r="M1419" s="13">
        <v>30</v>
      </c>
      <c r="N1419" s="13">
        <v>1.442666666666667</v>
      </c>
      <c r="O1419" s="13">
        <v>85</v>
      </c>
      <c r="P1419" s="13" t="s">
        <v>30</v>
      </c>
      <c r="Q1419" s="13">
        <v>0</v>
      </c>
      <c r="R1419" s="14">
        <v>3678.8</v>
      </c>
      <c r="S1419" s="15">
        <v>38</v>
      </c>
      <c r="T1419" s="15">
        <v>1644.64</v>
      </c>
      <c r="U1419" s="15">
        <v>2034.16</v>
      </c>
      <c r="V1419" s="15">
        <v>2034.16</v>
      </c>
      <c r="W1419" s="15">
        <v>0</v>
      </c>
      <c r="X1419" s="15">
        <v>1601.3600000000001</v>
      </c>
      <c r="Y1419" s="16">
        <v>43.279999999999973</v>
      </c>
      <c r="Z1419" s="67" t="s">
        <v>41</v>
      </c>
      <c r="AA1419" s="12" t="s">
        <v>78</v>
      </c>
    </row>
    <row r="1420" spans="1:27" x14ac:dyDescent="0.25">
      <c r="A1420" s="10">
        <v>45680</v>
      </c>
      <c r="B1420" s="11" t="s">
        <v>393</v>
      </c>
      <c r="C1420" s="11" t="s">
        <v>3233</v>
      </c>
      <c r="D1420" s="11" t="s">
        <v>26</v>
      </c>
      <c r="E1420" s="11" t="s">
        <v>570</v>
      </c>
      <c r="F1420" s="11" t="s">
        <v>26</v>
      </c>
      <c r="G1420" s="11">
        <v>10333</v>
      </c>
      <c r="H1420" s="12" t="s">
        <v>140</v>
      </c>
      <c r="I1420" s="12" t="s">
        <v>27</v>
      </c>
      <c r="J1420" s="12" t="s">
        <v>42</v>
      </c>
      <c r="K1420" s="12" t="s">
        <v>43</v>
      </c>
      <c r="L1420" s="13">
        <v>42.38</v>
      </c>
      <c r="M1420" s="13">
        <v>25</v>
      </c>
      <c r="N1420" s="13">
        <v>1.6952</v>
      </c>
      <c r="O1420" s="13">
        <v>35</v>
      </c>
      <c r="P1420" s="13"/>
      <c r="Q1420" s="13">
        <v>0</v>
      </c>
      <c r="R1420" s="14">
        <v>1483.3000000000002</v>
      </c>
      <c r="S1420" s="15">
        <v>0</v>
      </c>
      <c r="T1420" s="15">
        <v>0</v>
      </c>
      <c r="U1420" s="15">
        <v>1483.3000000000002</v>
      </c>
      <c r="V1420" s="15">
        <v>0</v>
      </c>
      <c r="W1420" s="15">
        <v>1483.3000000000002</v>
      </c>
      <c r="X1420" s="16">
        <v>0</v>
      </c>
      <c r="Y1420" s="16">
        <v>0</v>
      </c>
      <c r="Z1420" s="67" t="s">
        <v>26</v>
      </c>
      <c r="AA1420" s="12" t="s">
        <v>31</v>
      </c>
    </row>
    <row r="1421" spans="1:27" x14ac:dyDescent="0.25">
      <c r="A1421" s="10">
        <v>45680</v>
      </c>
      <c r="B1421" s="11" t="s">
        <v>3234</v>
      </c>
      <c r="C1421" s="11" t="s">
        <v>3235</v>
      </c>
      <c r="D1421" s="11" t="s">
        <v>26</v>
      </c>
      <c r="E1421" s="11" t="s">
        <v>552</v>
      </c>
      <c r="F1421" s="11" t="s">
        <v>26</v>
      </c>
      <c r="G1421" s="11">
        <v>69124</v>
      </c>
      <c r="H1421" s="12" t="s">
        <v>4423</v>
      </c>
      <c r="I1421" s="12" t="s">
        <v>27</v>
      </c>
      <c r="J1421" s="12" t="s">
        <v>33</v>
      </c>
      <c r="K1421" s="12" t="s">
        <v>34</v>
      </c>
      <c r="L1421" s="13">
        <v>34.840000000000003</v>
      </c>
      <c r="M1421" s="13">
        <v>25</v>
      </c>
      <c r="N1421" s="13">
        <v>1.3935999999999999</v>
      </c>
      <c r="O1421" s="13">
        <v>45</v>
      </c>
      <c r="P1421" s="13" t="s">
        <v>30</v>
      </c>
      <c r="Q1421" s="13">
        <v>0</v>
      </c>
      <c r="R1421" s="14">
        <v>1567.8000000000002</v>
      </c>
      <c r="S1421" s="15">
        <v>0</v>
      </c>
      <c r="T1421" s="15">
        <v>0</v>
      </c>
      <c r="U1421" s="15">
        <v>1567.8000000000002</v>
      </c>
      <c r="V1421" s="15">
        <v>1567.8000000000002</v>
      </c>
      <c r="W1421" s="15">
        <v>0</v>
      </c>
      <c r="X1421" s="15">
        <v>0</v>
      </c>
      <c r="Y1421" s="16">
        <v>0</v>
      </c>
      <c r="Z1421" s="67" t="s">
        <v>26</v>
      </c>
      <c r="AA1421" s="12" t="s">
        <v>31</v>
      </c>
    </row>
    <row r="1422" spans="1:27" x14ac:dyDescent="0.25">
      <c r="A1422" s="10">
        <v>45680</v>
      </c>
      <c r="B1422" s="11" t="s">
        <v>1710</v>
      </c>
      <c r="C1422" s="11" t="s">
        <v>3236</v>
      </c>
      <c r="D1422" s="11" t="s">
        <v>26</v>
      </c>
      <c r="E1422" s="11" t="s">
        <v>501</v>
      </c>
      <c r="F1422" s="11" t="s">
        <v>26</v>
      </c>
      <c r="G1422" s="11">
        <v>807</v>
      </c>
      <c r="H1422" s="12" t="s">
        <v>141</v>
      </c>
      <c r="I1422" s="12" t="s">
        <v>27</v>
      </c>
      <c r="J1422" s="12" t="s">
        <v>33</v>
      </c>
      <c r="K1422" s="12" t="s">
        <v>34</v>
      </c>
      <c r="L1422" s="13">
        <v>43.24</v>
      </c>
      <c r="M1422" s="13">
        <v>30</v>
      </c>
      <c r="N1422" s="13">
        <v>1.4413333333333329</v>
      </c>
      <c r="O1422" s="13">
        <v>40</v>
      </c>
      <c r="P1422" s="13" t="s">
        <v>30</v>
      </c>
      <c r="Q1422" s="13">
        <v>0</v>
      </c>
      <c r="R1422" s="14">
        <v>1729.6000000000001</v>
      </c>
      <c r="S1422" s="15">
        <v>0</v>
      </c>
      <c r="T1422" s="15">
        <v>0</v>
      </c>
      <c r="U1422" s="15">
        <v>1729.6000000000001</v>
      </c>
      <c r="V1422" s="15">
        <v>0</v>
      </c>
      <c r="W1422" s="15">
        <v>1729.6000000000001</v>
      </c>
      <c r="X1422" s="15">
        <v>0</v>
      </c>
      <c r="Y1422" s="16">
        <v>0</v>
      </c>
      <c r="Z1422" s="67" t="s">
        <v>26</v>
      </c>
      <c r="AA1422" s="12" t="s">
        <v>31</v>
      </c>
    </row>
    <row r="1423" spans="1:27" x14ac:dyDescent="0.25">
      <c r="A1423" s="10">
        <v>45680</v>
      </c>
      <c r="B1423" s="11" t="s">
        <v>3237</v>
      </c>
      <c r="C1423" s="11" t="s">
        <v>3238</v>
      </c>
      <c r="D1423" s="11" t="s">
        <v>26</v>
      </c>
      <c r="E1423" s="11" t="s">
        <v>53</v>
      </c>
      <c r="F1423" s="11" t="s">
        <v>26</v>
      </c>
      <c r="G1423" s="11" t="s">
        <v>26</v>
      </c>
      <c r="H1423" s="12" t="s">
        <v>4422</v>
      </c>
      <c r="I1423" s="12" t="s">
        <v>27</v>
      </c>
      <c r="J1423" s="12" t="s">
        <v>42</v>
      </c>
      <c r="K1423" s="12" t="s">
        <v>43</v>
      </c>
      <c r="L1423" s="13">
        <v>44.14</v>
      </c>
      <c r="M1423" s="13">
        <v>25</v>
      </c>
      <c r="N1423" s="13">
        <v>1.7656000000000001</v>
      </c>
      <c r="O1423" s="13">
        <v>83</v>
      </c>
      <c r="P1423" s="13" t="s">
        <v>30</v>
      </c>
      <c r="Q1423" s="13">
        <v>0</v>
      </c>
      <c r="R1423" s="14">
        <v>3663.62</v>
      </c>
      <c r="S1423" s="15">
        <v>38</v>
      </c>
      <c r="T1423" s="15">
        <v>1677.32</v>
      </c>
      <c r="U1423" s="15">
        <v>1986.3</v>
      </c>
      <c r="V1423" s="15">
        <v>1986.3</v>
      </c>
      <c r="W1423" s="15"/>
      <c r="X1423" s="15">
        <v>1633.18</v>
      </c>
      <c r="Y1423" s="16">
        <v>44.139999999999873</v>
      </c>
      <c r="Z1423" s="67" t="s">
        <v>41</v>
      </c>
      <c r="AA1423" s="12" t="s">
        <v>78</v>
      </c>
    </row>
    <row r="1424" spans="1:27" x14ac:dyDescent="0.25">
      <c r="A1424" s="10">
        <v>45680</v>
      </c>
      <c r="B1424" s="11" t="s">
        <v>297</v>
      </c>
      <c r="C1424" s="11" t="s">
        <v>3239</v>
      </c>
      <c r="D1424" s="11" t="s">
        <v>26</v>
      </c>
      <c r="E1424" s="11" t="s">
        <v>322</v>
      </c>
      <c r="F1424" s="11" t="s">
        <v>26</v>
      </c>
      <c r="G1424" s="11">
        <v>112272</v>
      </c>
      <c r="H1424" s="12" t="s">
        <v>4446</v>
      </c>
      <c r="I1424" s="12" t="s">
        <v>27</v>
      </c>
      <c r="J1424" s="12" t="s">
        <v>33</v>
      </c>
      <c r="K1424" s="12" t="s">
        <v>34</v>
      </c>
      <c r="L1424" s="13">
        <v>37.200000000000003</v>
      </c>
      <c r="M1424" s="13">
        <v>25</v>
      </c>
      <c r="N1424" s="13">
        <v>1.488</v>
      </c>
      <c r="O1424" s="13">
        <v>44</v>
      </c>
      <c r="P1424" s="13" t="s">
        <v>30</v>
      </c>
      <c r="Q1424" s="13">
        <v>0</v>
      </c>
      <c r="R1424" s="14">
        <v>1636.8000000000002</v>
      </c>
      <c r="S1424" s="15">
        <v>0</v>
      </c>
      <c r="T1424" s="15">
        <v>0</v>
      </c>
      <c r="U1424" s="15">
        <v>1636.8000000000002</v>
      </c>
      <c r="V1424" s="15">
        <v>1636.8000000000002</v>
      </c>
      <c r="W1424" s="15">
        <v>0</v>
      </c>
      <c r="X1424" s="15">
        <v>0</v>
      </c>
      <c r="Y1424" s="16">
        <v>0</v>
      </c>
      <c r="Z1424" s="67" t="s">
        <v>26</v>
      </c>
      <c r="AA1424" s="12" t="s">
        <v>31</v>
      </c>
    </row>
    <row r="1425" spans="1:27" x14ac:dyDescent="0.25">
      <c r="A1425" s="10">
        <v>45680</v>
      </c>
      <c r="B1425" s="11" t="s">
        <v>3240</v>
      </c>
      <c r="C1425" s="11" t="s">
        <v>3241</v>
      </c>
      <c r="D1425" s="11" t="s">
        <v>26</v>
      </c>
      <c r="E1425" s="11" t="s">
        <v>49</v>
      </c>
      <c r="F1425" s="11" t="s">
        <v>26</v>
      </c>
      <c r="G1425" s="11">
        <v>1564</v>
      </c>
      <c r="H1425" s="12" t="s">
        <v>45</v>
      </c>
      <c r="I1425" s="12" t="s">
        <v>27</v>
      </c>
      <c r="J1425" s="12" t="s">
        <v>42</v>
      </c>
      <c r="K1425" s="12" t="s">
        <v>43</v>
      </c>
      <c r="L1425" s="13">
        <v>42.88</v>
      </c>
      <c r="M1425" s="13">
        <v>25</v>
      </c>
      <c r="N1425" s="13">
        <v>1.7152000000000001</v>
      </c>
      <c r="O1425" s="13" t="s">
        <v>30</v>
      </c>
      <c r="P1425" s="13">
        <v>62</v>
      </c>
      <c r="Q1425" s="13">
        <v>0</v>
      </c>
      <c r="R1425" s="14">
        <v>1550</v>
      </c>
      <c r="S1425" s="15">
        <v>0</v>
      </c>
      <c r="T1425" s="15">
        <v>0</v>
      </c>
      <c r="U1425" s="15">
        <v>1550</v>
      </c>
      <c r="V1425" s="15">
        <v>0</v>
      </c>
      <c r="W1425" s="15">
        <v>1550</v>
      </c>
      <c r="X1425" s="15">
        <v>0</v>
      </c>
      <c r="Y1425" s="16">
        <v>0</v>
      </c>
      <c r="Z1425" s="67" t="s">
        <v>26</v>
      </c>
      <c r="AA1425" s="12" t="s">
        <v>31</v>
      </c>
    </row>
    <row r="1426" spans="1:27" x14ac:dyDescent="0.25">
      <c r="A1426" s="10">
        <v>45680</v>
      </c>
      <c r="B1426" s="11" t="s">
        <v>261</v>
      </c>
      <c r="C1426" s="11" t="s">
        <v>3242</v>
      </c>
      <c r="D1426" s="11" t="s">
        <v>26</v>
      </c>
      <c r="E1426" s="11" t="s">
        <v>50</v>
      </c>
      <c r="F1426" s="11" t="s">
        <v>26</v>
      </c>
      <c r="G1426" s="11">
        <v>649</v>
      </c>
      <c r="H1426" s="12" t="s">
        <v>163</v>
      </c>
      <c r="I1426" s="12" t="s">
        <v>27</v>
      </c>
      <c r="J1426" s="12" t="s">
        <v>33</v>
      </c>
      <c r="K1426" s="12" t="s">
        <v>34</v>
      </c>
      <c r="L1426" s="13">
        <v>36.86</v>
      </c>
      <c r="M1426" s="13">
        <v>25</v>
      </c>
      <c r="N1426" s="13">
        <v>1.4743999999999999</v>
      </c>
      <c r="O1426" s="13" t="s">
        <v>30</v>
      </c>
      <c r="P1426" s="13">
        <v>58</v>
      </c>
      <c r="Q1426" s="13">
        <v>0</v>
      </c>
      <c r="R1426" s="14">
        <v>1450</v>
      </c>
      <c r="S1426" s="15">
        <v>0</v>
      </c>
      <c r="T1426" s="15">
        <v>0</v>
      </c>
      <c r="U1426" s="15">
        <v>1450</v>
      </c>
      <c r="V1426" s="15">
        <v>0</v>
      </c>
      <c r="W1426" s="15">
        <v>1450</v>
      </c>
      <c r="X1426" s="15">
        <v>0</v>
      </c>
      <c r="Y1426" s="16">
        <v>0</v>
      </c>
      <c r="Z1426" s="67" t="s">
        <v>26</v>
      </c>
      <c r="AA1426" s="12" t="s">
        <v>31</v>
      </c>
    </row>
    <row r="1427" spans="1:27" x14ac:dyDescent="0.25">
      <c r="A1427" s="10">
        <v>45680</v>
      </c>
      <c r="B1427" s="11" t="s">
        <v>3243</v>
      </c>
      <c r="C1427" s="11" t="s">
        <v>3244</v>
      </c>
      <c r="D1427" s="11" t="s">
        <v>26</v>
      </c>
      <c r="E1427" s="11" t="s">
        <v>2109</v>
      </c>
      <c r="F1427" s="11" t="s">
        <v>26</v>
      </c>
      <c r="G1427" s="11" t="s">
        <v>26</v>
      </c>
      <c r="H1427" s="12" t="s">
        <v>4422</v>
      </c>
      <c r="I1427" s="12" t="s">
        <v>27</v>
      </c>
      <c r="J1427" s="12" t="s">
        <v>33</v>
      </c>
      <c r="K1427" s="12" t="s">
        <v>34</v>
      </c>
      <c r="L1427" s="13">
        <v>42.84</v>
      </c>
      <c r="M1427" s="13">
        <v>29</v>
      </c>
      <c r="N1427" s="13">
        <v>1.4772413793103449</v>
      </c>
      <c r="O1427" s="13">
        <v>85</v>
      </c>
      <c r="P1427" s="13" t="s">
        <v>30</v>
      </c>
      <c r="Q1427" s="13">
        <v>0</v>
      </c>
      <c r="R1427" s="14">
        <v>3641.4</v>
      </c>
      <c r="S1427" s="15">
        <v>38</v>
      </c>
      <c r="T1427" s="15">
        <v>1627.92</v>
      </c>
      <c r="U1427" s="15">
        <v>2013.48</v>
      </c>
      <c r="V1427" s="15">
        <v>2013.48</v>
      </c>
      <c r="W1427" s="15">
        <v>0</v>
      </c>
      <c r="X1427" s="15">
        <v>1542.2400000000002</v>
      </c>
      <c r="Y1427" s="16">
        <v>85.679999999999836</v>
      </c>
      <c r="Z1427" s="67" t="s">
        <v>140</v>
      </c>
      <c r="AA1427" s="12" t="s">
        <v>78</v>
      </c>
    </row>
    <row r="1428" spans="1:27" x14ac:dyDescent="0.25">
      <c r="A1428" s="10">
        <v>45680</v>
      </c>
      <c r="B1428" s="11" t="s">
        <v>3245</v>
      </c>
      <c r="C1428" s="11" t="s">
        <v>3246</v>
      </c>
      <c r="D1428" s="11" t="s">
        <v>26</v>
      </c>
      <c r="E1428" s="11" t="s">
        <v>605</v>
      </c>
      <c r="F1428" s="11" t="s">
        <v>26</v>
      </c>
      <c r="G1428" s="11">
        <v>1055</v>
      </c>
      <c r="H1428" s="12" t="s">
        <v>141</v>
      </c>
      <c r="I1428" s="12" t="s">
        <v>55</v>
      </c>
      <c r="J1428" s="12" t="s">
        <v>55</v>
      </c>
      <c r="K1428" s="12" t="s">
        <v>56</v>
      </c>
      <c r="L1428" s="13">
        <v>39.74</v>
      </c>
      <c r="M1428" s="13">
        <v>25</v>
      </c>
      <c r="N1428" s="13">
        <v>1.5895999999999999</v>
      </c>
      <c r="O1428" s="13">
        <v>15</v>
      </c>
      <c r="P1428" s="13" t="s">
        <v>30</v>
      </c>
      <c r="Q1428" s="13">
        <v>0</v>
      </c>
      <c r="R1428" s="14">
        <v>596.1</v>
      </c>
      <c r="S1428" s="15">
        <v>0</v>
      </c>
      <c r="T1428" s="15">
        <v>0</v>
      </c>
      <c r="U1428" s="15">
        <v>596.1</v>
      </c>
      <c r="V1428" s="15">
        <v>0</v>
      </c>
      <c r="W1428" s="15">
        <v>596.1</v>
      </c>
      <c r="X1428" s="15">
        <v>0</v>
      </c>
      <c r="Y1428" s="16">
        <v>0</v>
      </c>
      <c r="Z1428" s="67" t="s">
        <v>26</v>
      </c>
      <c r="AA1428" s="12" t="s">
        <v>31</v>
      </c>
    </row>
    <row r="1429" spans="1:27" x14ac:dyDescent="0.25">
      <c r="A1429" s="10">
        <v>45680</v>
      </c>
      <c r="B1429" s="11" t="s">
        <v>3247</v>
      </c>
      <c r="C1429" s="11" t="s">
        <v>3248</v>
      </c>
      <c r="D1429" s="11" t="s">
        <v>26</v>
      </c>
      <c r="E1429" s="11" t="s">
        <v>44</v>
      </c>
      <c r="F1429" s="11" t="s">
        <v>26</v>
      </c>
      <c r="G1429" s="11">
        <v>1571</v>
      </c>
      <c r="H1429" s="12" t="s">
        <v>45</v>
      </c>
      <c r="I1429" s="12" t="s">
        <v>27</v>
      </c>
      <c r="J1429" s="12" t="s">
        <v>28</v>
      </c>
      <c r="K1429" s="12" t="s">
        <v>29</v>
      </c>
      <c r="L1429" s="13">
        <v>38.24</v>
      </c>
      <c r="M1429" s="13">
        <v>25</v>
      </c>
      <c r="N1429" s="13">
        <v>1.5296000000000001</v>
      </c>
      <c r="O1429" s="13" t="s">
        <v>30</v>
      </c>
      <c r="P1429" s="13">
        <v>40</v>
      </c>
      <c r="Q1429" s="13">
        <v>0</v>
      </c>
      <c r="R1429" s="15">
        <v>1000</v>
      </c>
      <c r="S1429" s="15">
        <v>0</v>
      </c>
      <c r="T1429" s="15">
        <v>0</v>
      </c>
      <c r="U1429" s="15">
        <v>1000</v>
      </c>
      <c r="V1429" s="15">
        <v>0</v>
      </c>
      <c r="W1429" s="15">
        <v>1000</v>
      </c>
      <c r="X1429" s="15">
        <v>0</v>
      </c>
      <c r="Y1429" s="16">
        <v>0</v>
      </c>
      <c r="Z1429" s="67" t="s">
        <v>26</v>
      </c>
      <c r="AA1429" s="12" t="s">
        <v>31</v>
      </c>
    </row>
    <row r="1430" spans="1:27" x14ac:dyDescent="0.25">
      <c r="A1430" s="10">
        <v>45680</v>
      </c>
      <c r="B1430" s="11" t="s">
        <v>3249</v>
      </c>
      <c r="C1430" s="11" t="s">
        <v>3250</v>
      </c>
      <c r="D1430" s="11" t="s">
        <v>26</v>
      </c>
      <c r="E1430" s="11" t="s">
        <v>658</v>
      </c>
      <c r="F1430" s="11" t="s">
        <v>26</v>
      </c>
      <c r="G1430" s="11">
        <v>860</v>
      </c>
      <c r="H1430" s="12" t="s">
        <v>141</v>
      </c>
      <c r="I1430" s="12" t="s">
        <v>55</v>
      </c>
      <c r="J1430" s="12" t="s">
        <v>55</v>
      </c>
      <c r="K1430" s="12" t="s">
        <v>56</v>
      </c>
      <c r="L1430" s="13">
        <v>39.72</v>
      </c>
      <c r="M1430" s="13">
        <v>25</v>
      </c>
      <c r="N1430" s="13">
        <v>1.5888</v>
      </c>
      <c r="O1430" s="13">
        <v>15</v>
      </c>
      <c r="P1430" s="13" t="s">
        <v>30</v>
      </c>
      <c r="Q1430" s="13">
        <v>0</v>
      </c>
      <c r="R1430" s="15">
        <v>595.79999999999995</v>
      </c>
      <c r="S1430" s="15">
        <v>0</v>
      </c>
      <c r="T1430" s="15">
        <v>0</v>
      </c>
      <c r="U1430" s="15">
        <v>595.79999999999995</v>
      </c>
      <c r="V1430" s="15">
        <v>0</v>
      </c>
      <c r="W1430" s="15">
        <v>595.79999999999995</v>
      </c>
      <c r="X1430" s="15">
        <v>0</v>
      </c>
      <c r="Y1430" s="16">
        <v>0</v>
      </c>
      <c r="Z1430" s="67" t="s">
        <v>26</v>
      </c>
      <c r="AA1430" s="12" t="s">
        <v>31</v>
      </c>
    </row>
    <row r="1431" spans="1:27" x14ac:dyDescent="0.25">
      <c r="A1431" s="10">
        <v>45680</v>
      </c>
      <c r="B1431" s="11" t="s">
        <v>3251</v>
      </c>
      <c r="C1431" s="11" t="s">
        <v>3252</v>
      </c>
      <c r="D1431" s="11" t="s">
        <v>26</v>
      </c>
      <c r="E1431" s="11" t="s">
        <v>509</v>
      </c>
      <c r="F1431" s="11" t="s">
        <v>26</v>
      </c>
      <c r="G1431" s="11">
        <v>1309</v>
      </c>
      <c r="H1431" s="12" t="s">
        <v>141</v>
      </c>
      <c r="I1431" s="12" t="s">
        <v>55</v>
      </c>
      <c r="J1431" s="12" t="s">
        <v>55</v>
      </c>
      <c r="K1431" s="12" t="s">
        <v>56</v>
      </c>
      <c r="L1431" s="13">
        <v>40.54</v>
      </c>
      <c r="M1431" s="13">
        <v>25</v>
      </c>
      <c r="N1431" s="13">
        <v>1.6215999999999999</v>
      </c>
      <c r="O1431" s="13">
        <v>15</v>
      </c>
      <c r="P1431" s="13" t="s">
        <v>30</v>
      </c>
      <c r="Q1431" s="13">
        <v>0</v>
      </c>
      <c r="R1431" s="14">
        <v>608.1</v>
      </c>
      <c r="S1431" s="15">
        <v>0</v>
      </c>
      <c r="T1431" s="15">
        <v>0</v>
      </c>
      <c r="U1431" s="15">
        <v>608.1</v>
      </c>
      <c r="V1431" s="15">
        <v>0</v>
      </c>
      <c r="W1431" s="15">
        <v>608.1</v>
      </c>
      <c r="X1431" s="15">
        <v>0</v>
      </c>
      <c r="Y1431" s="16">
        <v>0</v>
      </c>
      <c r="Z1431" s="67" t="s">
        <v>26</v>
      </c>
      <c r="AA1431" s="12" t="s">
        <v>31</v>
      </c>
    </row>
    <row r="1432" spans="1:27" x14ac:dyDescent="0.25">
      <c r="A1432" s="10">
        <v>45680</v>
      </c>
      <c r="B1432" s="11" t="s">
        <v>192</v>
      </c>
      <c r="C1432" s="11" t="s">
        <v>3253</v>
      </c>
      <c r="D1432" s="11" t="s">
        <v>26</v>
      </c>
      <c r="E1432" s="11" t="s">
        <v>1200</v>
      </c>
      <c r="F1432" s="11" t="s">
        <v>26</v>
      </c>
      <c r="G1432" s="11">
        <v>554</v>
      </c>
      <c r="H1432" s="12" t="s">
        <v>163</v>
      </c>
      <c r="I1432" s="12" t="s">
        <v>27</v>
      </c>
      <c r="J1432" s="12" t="s">
        <v>42</v>
      </c>
      <c r="K1432" s="12" t="s">
        <v>43</v>
      </c>
      <c r="L1432" s="13">
        <v>42.38</v>
      </c>
      <c r="M1432" s="13">
        <v>25</v>
      </c>
      <c r="N1432" s="13">
        <v>1.6952</v>
      </c>
      <c r="O1432" s="13" t="s">
        <v>30</v>
      </c>
      <c r="P1432" s="13">
        <v>56</v>
      </c>
      <c r="Q1432" s="13">
        <v>0</v>
      </c>
      <c r="R1432" s="15">
        <v>1400</v>
      </c>
      <c r="S1432" s="15">
        <v>0</v>
      </c>
      <c r="T1432" s="15">
        <v>0</v>
      </c>
      <c r="U1432" s="15">
        <v>1400</v>
      </c>
      <c r="V1432" s="15">
        <v>0</v>
      </c>
      <c r="W1432" s="15">
        <v>1400</v>
      </c>
      <c r="X1432" s="15">
        <v>0</v>
      </c>
      <c r="Y1432" s="16">
        <v>0</v>
      </c>
      <c r="Z1432" s="67" t="s">
        <v>26</v>
      </c>
      <c r="AA1432" s="12" t="s">
        <v>31</v>
      </c>
    </row>
    <row r="1433" spans="1:27" x14ac:dyDescent="0.25">
      <c r="A1433" s="10">
        <v>45680</v>
      </c>
      <c r="B1433" s="11" t="s">
        <v>3254</v>
      </c>
      <c r="C1433" s="11" t="s">
        <v>3255</v>
      </c>
      <c r="D1433" s="11" t="s">
        <v>26</v>
      </c>
      <c r="E1433" s="11" t="s">
        <v>246</v>
      </c>
      <c r="F1433" s="11" t="s">
        <v>26</v>
      </c>
      <c r="G1433" s="11">
        <v>2962</v>
      </c>
      <c r="H1433" s="12" t="s">
        <v>41</v>
      </c>
      <c r="I1433" s="12" t="s">
        <v>55</v>
      </c>
      <c r="J1433" s="12" t="s">
        <v>566</v>
      </c>
      <c r="K1433" s="12" t="s">
        <v>550</v>
      </c>
      <c r="L1433" s="13">
        <v>40.18</v>
      </c>
      <c r="M1433" s="13">
        <v>25</v>
      </c>
      <c r="N1433" s="13">
        <v>1.6072</v>
      </c>
      <c r="O1433" s="13">
        <v>25</v>
      </c>
      <c r="P1433" s="13"/>
      <c r="Q1433" s="13">
        <v>0</v>
      </c>
      <c r="R1433" s="14">
        <v>1004.5</v>
      </c>
      <c r="S1433" s="15">
        <v>0</v>
      </c>
      <c r="T1433" s="15">
        <v>0</v>
      </c>
      <c r="U1433" s="15">
        <v>1004.5</v>
      </c>
      <c r="V1433" s="15">
        <v>0</v>
      </c>
      <c r="W1433" s="15">
        <v>1004.5</v>
      </c>
      <c r="X1433" s="15">
        <v>0</v>
      </c>
      <c r="Y1433" s="16">
        <v>0</v>
      </c>
      <c r="Z1433" s="67" t="s">
        <v>26</v>
      </c>
      <c r="AA1433" s="12" t="s">
        <v>31</v>
      </c>
    </row>
    <row r="1434" spans="1:27" x14ac:dyDescent="0.25">
      <c r="A1434" s="10">
        <v>45680</v>
      </c>
      <c r="B1434" s="11" t="s">
        <v>3256</v>
      </c>
      <c r="C1434" s="11" t="s">
        <v>3257</v>
      </c>
      <c r="D1434" s="11" t="s">
        <v>26</v>
      </c>
      <c r="E1434" s="11" t="s">
        <v>224</v>
      </c>
      <c r="F1434" s="11" t="s">
        <v>26</v>
      </c>
      <c r="G1434" s="11">
        <v>55330</v>
      </c>
      <c r="H1434" s="12" t="s">
        <v>4423</v>
      </c>
      <c r="I1434" s="12" t="s">
        <v>27</v>
      </c>
      <c r="J1434" s="12" t="s">
        <v>42</v>
      </c>
      <c r="K1434" s="12" t="s">
        <v>43</v>
      </c>
      <c r="L1434" s="13">
        <v>35.58</v>
      </c>
      <c r="M1434" s="13">
        <v>25</v>
      </c>
      <c r="N1434" s="13">
        <v>1.4232</v>
      </c>
      <c r="O1434" s="13">
        <v>42</v>
      </c>
      <c r="P1434" s="13" t="s">
        <v>30</v>
      </c>
      <c r="Q1434" s="13">
        <v>0</v>
      </c>
      <c r="R1434" s="14">
        <v>1494.36</v>
      </c>
      <c r="S1434" s="15">
        <v>0</v>
      </c>
      <c r="T1434" s="15">
        <v>0</v>
      </c>
      <c r="U1434" s="15">
        <v>1494.36</v>
      </c>
      <c r="V1434" s="15">
        <v>1494.36</v>
      </c>
      <c r="W1434" s="15">
        <v>0</v>
      </c>
      <c r="X1434" s="15">
        <v>0</v>
      </c>
      <c r="Y1434" s="16">
        <v>0</v>
      </c>
      <c r="Z1434" s="67" t="s">
        <v>26</v>
      </c>
      <c r="AA1434" s="12" t="s">
        <v>31</v>
      </c>
    </row>
    <row r="1435" spans="1:27" x14ac:dyDescent="0.25">
      <c r="A1435" s="10">
        <v>45680</v>
      </c>
      <c r="B1435" s="11" t="s">
        <v>3258</v>
      </c>
      <c r="C1435" s="11" t="s">
        <v>3259</v>
      </c>
      <c r="D1435" s="11" t="s">
        <v>26</v>
      </c>
      <c r="E1435" s="11" t="s">
        <v>63</v>
      </c>
      <c r="F1435" s="11" t="s">
        <v>26</v>
      </c>
      <c r="G1435" s="11">
        <v>10169</v>
      </c>
      <c r="H1435" s="12" t="s">
        <v>140</v>
      </c>
      <c r="I1435" s="12" t="s">
        <v>27</v>
      </c>
      <c r="J1435" s="12" t="s">
        <v>42</v>
      </c>
      <c r="K1435" s="12" t="s">
        <v>43</v>
      </c>
      <c r="L1435" s="13">
        <v>43.6</v>
      </c>
      <c r="M1435" s="13">
        <v>25</v>
      </c>
      <c r="N1435" s="13">
        <v>1.744</v>
      </c>
      <c r="O1435" s="13">
        <v>35</v>
      </c>
      <c r="P1435" s="13"/>
      <c r="Q1435" s="13">
        <v>0</v>
      </c>
      <c r="R1435" s="14">
        <v>1526</v>
      </c>
      <c r="S1435" s="15">
        <v>0</v>
      </c>
      <c r="T1435" s="15">
        <v>0</v>
      </c>
      <c r="U1435" s="15">
        <v>1526</v>
      </c>
      <c r="V1435" s="15">
        <v>0</v>
      </c>
      <c r="W1435" s="15">
        <v>1526</v>
      </c>
      <c r="X1435" s="15">
        <v>0</v>
      </c>
      <c r="Y1435" s="16">
        <v>0</v>
      </c>
      <c r="Z1435" s="67" t="s">
        <v>26</v>
      </c>
      <c r="AA1435" s="12" t="s">
        <v>31</v>
      </c>
    </row>
    <row r="1436" spans="1:27" x14ac:dyDescent="0.25">
      <c r="A1436" s="10">
        <v>45680</v>
      </c>
      <c r="B1436" s="11" t="s">
        <v>1225</v>
      </c>
      <c r="C1436" s="11" t="s">
        <v>3260</v>
      </c>
      <c r="D1436" s="11" t="s">
        <v>26</v>
      </c>
      <c r="E1436" s="11" t="s">
        <v>539</v>
      </c>
      <c r="F1436" s="11" t="s">
        <v>26</v>
      </c>
      <c r="G1436" s="11">
        <v>3816</v>
      </c>
      <c r="H1436" s="12" t="s">
        <v>41</v>
      </c>
      <c r="I1436" s="12" t="s">
        <v>55</v>
      </c>
      <c r="J1436" s="12" t="s">
        <v>566</v>
      </c>
      <c r="K1436" s="12" t="s">
        <v>550</v>
      </c>
      <c r="L1436" s="13">
        <v>39.72</v>
      </c>
      <c r="M1436" s="13">
        <v>25</v>
      </c>
      <c r="N1436" s="13">
        <v>1.5888</v>
      </c>
      <c r="O1436" s="13">
        <v>25</v>
      </c>
      <c r="P1436" s="13"/>
      <c r="Q1436" s="13">
        <v>0</v>
      </c>
      <c r="R1436" s="14">
        <v>993</v>
      </c>
      <c r="S1436" s="15">
        <v>0</v>
      </c>
      <c r="T1436" s="15">
        <v>0</v>
      </c>
      <c r="U1436" s="15">
        <v>993</v>
      </c>
      <c r="V1436" s="15">
        <v>0</v>
      </c>
      <c r="W1436" s="15">
        <v>993</v>
      </c>
      <c r="X1436" s="15">
        <v>0</v>
      </c>
      <c r="Y1436" s="16">
        <v>0</v>
      </c>
      <c r="Z1436" s="67" t="s">
        <v>26</v>
      </c>
      <c r="AA1436" s="12" t="s">
        <v>31</v>
      </c>
    </row>
    <row r="1437" spans="1:27" x14ac:dyDescent="0.25">
      <c r="A1437" s="10">
        <v>45680</v>
      </c>
      <c r="B1437" s="11" t="s">
        <v>741</v>
      </c>
      <c r="C1437" s="11" t="s">
        <v>3261</v>
      </c>
      <c r="D1437" s="11" t="s">
        <v>26</v>
      </c>
      <c r="E1437" s="11" t="s">
        <v>237</v>
      </c>
      <c r="F1437" s="11" t="s">
        <v>26</v>
      </c>
      <c r="G1437" s="11">
        <v>61859</v>
      </c>
      <c r="H1437" s="12" t="s">
        <v>4423</v>
      </c>
      <c r="I1437" s="12" t="s">
        <v>27</v>
      </c>
      <c r="J1437" s="12" t="s">
        <v>42</v>
      </c>
      <c r="K1437" s="12" t="s">
        <v>43</v>
      </c>
      <c r="L1437" s="13">
        <v>38.42</v>
      </c>
      <c r="M1437" s="13">
        <v>25</v>
      </c>
      <c r="N1437" s="13">
        <v>1.5367999999999999</v>
      </c>
      <c r="O1437" s="13">
        <v>42</v>
      </c>
      <c r="P1437" s="13" t="s">
        <v>30</v>
      </c>
      <c r="Q1437" s="13">
        <v>0</v>
      </c>
      <c r="R1437" s="14">
        <v>1613.64</v>
      </c>
      <c r="S1437" s="15">
        <v>0</v>
      </c>
      <c r="T1437" s="15">
        <v>0</v>
      </c>
      <c r="U1437" s="15">
        <v>1613.64</v>
      </c>
      <c r="V1437" s="15">
        <v>1613.64</v>
      </c>
      <c r="W1437" s="15">
        <v>0</v>
      </c>
      <c r="X1437" s="15">
        <v>0</v>
      </c>
      <c r="Y1437" s="16">
        <v>0</v>
      </c>
      <c r="Z1437" s="67" t="s">
        <v>26</v>
      </c>
      <c r="AA1437" s="12" t="s">
        <v>31</v>
      </c>
    </row>
    <row r="1438" spans="1:27" x14ac:dyDescent="0.25">
      <c r="A1438" s="10">
        <v>45680</v>
      </c>
      <c r="B1438" s="11" t="s">
        <v>3262</v>
      </c>
      <c r="C1438" s="11" t="s">
        <v>3263</v>
      </c>
      <c r="D1438" s="11" t="s">
        <v>26</v>
      </c>
      <c r="E1438" s="11" t="s">
        <v>559</v>
      </c>
      <c r="F1438" s="11" t="s">
        <v>26</v>
      </c>
      <c r="G1438" s="11" t="s">
        <v>26</v>
      </c>
      <c r="H1438" s="12" t="s">
        <v>4424</v>
      </c>
      <c r="I1438" s="12" t="s">
        <v>27</v>
      </c>
      <c r="J1438" s="12" t="s">
        <v>47</v>
      </c>
      <c r="K1438" s="12" t="s">
        <v>48</v>
      </c>
      <c r="L1438" s="13">
        <v>35.1</v>
      </c>
      <c r="M1438" s="13">
        <v>24</v>
      </c>
      <c r="N1438" s="13">
        <v>1.4624999999999999</v>
      </c>
      <c r="O1438" s="13">
        <v>90</v>
      </c>
      <c r="P1438" s="13" t="s">
        <v>30</v>
      </c>
      <c r="Q1438" s="13">
        <v>0</v>
      </c>
      <c r="R1438" s="15">
        <v>3159</v>
      </c>
      <c r="S1438" s="15">
        <v>40</v>
      </c>
      <c r="T1438" s="15">
        <v>1404</v>
      </c>
      <c r="U1438" s="15">
        <v>1755</v>
      </c>
      <c r="V1438" s="15">
        <v>1755</v>
      </c>
      <c r="W1438" s="15">
        <v>0</v>
      </c>
      <c r="X1438" s="15">
        <v>1404</v>
      </c>
      <c r="Y1438" s="16">
        <v>0</v>
      </c>
      <c r="Z1438" s="67" t="s">
        <v>41</v>
      </c>
      <c r="AA1438" s="12" t="s">
        <v>746</v>
      </c>
    </row>
    <row r="1439" spans="1:27" x14ac:dyDescent="0.25">
      <c r="A1439" s="10">
        <v>45680</v>
      </c>
      <c r="B1439" s="11" t="s">
        <v>3264</v>
      </c>
      <c r="C1439" s="11" t="s">
        <v>3265</v>
      </c>
      <c r="D1439" s="11" t="s">
        <v>26</v>
      </c>
      <c r="E1439" s="11" t="s">
        <v>593</v>
      </c>
      <c r="F1439" s="11" t="s">
        <v>26</v>
      </c>
      <c r="G1439" s="11">
        <v>59499</v>
      </c>
      <c r="H1439" s="12" t="s">
        <v>4423</v>
      </c>
      <c r="I1439" s="12" t="s">
        <v>27</v>
      </c>
      <c r="J1439" s="12" t="s">
        <v>42</v>
      </c>
      <c r="K1439" s="12" t="s">
        <v>43</v>
      </c>
      <c r="L1439" s="13">
        <v>37.04</v>
      </c>
      <c r="M1439" s="13">
        <v>25</v>
      </c>
      <c r="N1439" s="13">
        <v>1.4816</v>
      </c>
      <c r="O1439" s="13">
        <v>42</v>
      </c>
      <c r="P1439" s="13" t="s">
        <v>30</v>
      </c>
      <c r="Q1439" s="13">
        <v>0</v>
      </c>
      <c r="R1439" s="14">
        <v>1555.68</v>
      </c>
      <c r="S1439" s="15">
        <v>0</v>
      </c>
      <c r="T1439" s="15">
        <v>0</v>
      </c>
      <c r="U1439" s="15">
        <v>1555.68</v>
      </c>
      <c r="V1439" s="15">
        <v>1555.68</v>
      </c>
      <c r="W1439" s="15">
        <v>0</v>
      </c>
      <c r="X1439" s="15">
        <v>0</v>
      </c>
      <c r="Y1439" s="16">
        <v>0</v>
      </c>
      <c r="Z1439" s="67" t="s">
        <v>26</v>
      </c>
      <c r="AA1439" s="12" t="s">
        <v>31</v>
      </c>
    </row>
    <row r="1440" spans="1:27" x14ac:dyDescent="0.25">
      <c r="A1440" s="10">
        <v>45680</v>
      </c>
      <c r="B1440" s="11" t="s">
        <v>3266</v>
      </c>
      <c r="C1440" s="11" t="s">
        <v>3267</v>
      </c>
      <c r="D1440" s="11" t="s">
        <v>26</v>
      </c>
      <c r="E1440" s="11" t="s">
        <v>77</v>
      </c>
      <c r="F1440" s="11" t="s">
        <v>26</v>
      </c>
      <c r="G1440" s="11" t="s">
        <v>185</v>
      </c>
      <c r="H1440" s="12" t="s">
        <v>4449</v>
      </c>
      <c r="I1440" s="12" t="s">
        <v>55</v>
      </c>
      <c r="J1440" s="12" t="s">
        <v>55</v>
      </c>
      <c r="K1440" s="12" t="s">
        <v>56</v>
      </c>
      <c r="L1440" s="13">
        <v>40.619999999999997</v>
      </c>
      <c r="M1440" s="13">
        <v>25</v>
      </c>
      <c r="N1440" s="13">
        <v>1.6248</v>
      </c>
      <c r="O1440" s="13">
        <v>15</v>
      </c>
      <c r="P1440" s="13" t="s">
        <v>30</v>
      </c>
      <c r="Q1440" s="13">
        <v>0</v>
      </c>
      <c r="R1440" s="14">
        <v>609.29999999999995</v>
      </c>
      <c r="S1440" s="15">
        <v>0</v>
      </c>
      <c r="T1440" s="15">
        <v>0</v>
      </c>
      <c r="U1440" s="15">
        <v>609.29999999999995</v>
      </c>
      <c r="V1440" s="15">
        <v>609.29999999999995</v>
      </c>
      <c r="W1440" s="15">
        <v>0</v>
      </c>
      <c r="X1440" s="15">
        <v>0</v>
      </c>
      <c r="Y1440" s="16">
        <v>0</v>
      </c>
      <c r="Z1440" s="67" t="s">
        <v>26</v>
      </c>
      <c r="AA1440" s="12" t="s">
        <v>31</v>
      </c>
    </row>
    <row r="1441" spans="1:27" x14ac:dyDescent="0.25">
      <c r="A1441" s="10">
        <v>45680</v>
      </c>
      <c r="B1441" s="11" t="s">
        <v>3268</v>
      </c>
      <c r="C1441" s="11" t="s">
        <v>3269</v>
      </c>
      <c r="D1441" s="11" t="s">
        <v>26</v>
      </c>
      <c r="E1441" s="11" t="s">
        <v>240</v>
      </c>
      <c r="F1441" s="11" t="s">
        <v>26</v>
      </c>
      <c r="G1441" s="11">
        <v>2930</v>
      </c>
      <c r="H1441" s="12" t="s">
        <v>41</v>
      </c>
      <c r="I1441" s="12" t="s">
        <v>27</v>
      </c>
      <c r="J1441" s="12" t="s">
        <v>42</v>
      </c>
      <c r="K1441" s="12" t="s">
        <v>43</v>
      </c>
      <c r="L1441" s="13">
        <v>42.12</v>
      </c>
      <c r="M1441" s="13">
        <v>25</v>
      </c>
      <c r="N1441" s="13">
        <v>1.6848000000000001</v>
      </c>
      <c r="O1441" s="13" t="s">
        <v>30</v>
      </c>
      <c r="P1441" s="13">
        <v>64</v>
      </c>
      <c r="Q1441" s="13">
        <v>0</v>
      </c>
      <c r="R1441" s="14">
        <v>1600</v>
      </c>
      <c r="S1441" s="15">
        <v>0</v>
      </c>
      <c r="T1441" s="15">
        <v>0</v>
      </c>
      <c r="U1441" s="15">
        <v>1600</v>
      </c>
      <c r="V1441" s="15">
        <v>0</v>
      </c>
      <c r="W1441" s="15">
        <v>1600</v>
      </c>
      <c r="X1441" s="15">
        <v>0</v>
      </c>
      <c r="Y1441" s="16">
        <v>0</v>
      </c>
      <c r="Z1441" s="67" t="s">
        <v>26</v>
      </c>
      <c r="AA1441" s="12" t="s">
        <v>31</v>
      </c>
    </row>
    <row r="1442" spans="1:27" x14ac:dyDescent="0.25">
      <c r="A1442" s="10">
        <v>45680</v>
      </c>
      <c r="B1442" s="11" t="s">
        <v>3270</v>
      </c>
      <c r="C1442" s="11" t="s">
        <v>3271</v>
      </c>
      <c r="D1442" s="11" t="s">
        <v>26</v>
      </c>
      <c r="E1442" s="11" t="s">
        <v>589</v>
      </c>
      <c r="F1442" s="11" t="s">
        <v>26</v>
      </c>
      <c r="G1442" s="11">
        <v>4593</v>
      </c>
      <c r="H1442" s="12" t="s">
        <v>4423</v>
      </c>
      <c r="I1442" s="12" t="s">
        <v>27</v>
      </c>
      <c r="J1442" s="12" t="s">
        <v>33</v>
      </c>
      <c r="K1442" s="12" t="s">
        <v>34</v>
      </c>
      <c r="L1442" s="13">
        <v>35.479999999999997</v>
      </c>
      <c r="M1442" s="13">
        <v>25</v>
      </c>
      <c r="N1442" s="13">
        <v>1.4192</v>
      </c>
      <c r="O1442" s="13">
        <v>45</v>
      </c>
      <c r="P1442" s="13" t="s">
        <v>30</v>
      </c>
      <c r="Q1442" s="13">
        <v>0</v>
      </c>
      <c r="R1442" s="14">
        <v>1596.6</v>
      </c>
      <c r="S1442" s="15">
        <v>0</v>
      </c>
      <c r="T1442" s="15">
        <v>0</v>
      </c>
      <c r="U1442" s="15">
        <v>1596.6</v>
      </c>
      <c r="V1442" s="15">
        <v>1596.6</v>
      </c>
      <c r="W1442" s="15">
        <v>0</v>
      </c>
      <c r="X1442" s="15">
        <v>0</v>
      </c>
      <c r="Y1442" s="16">
        <v>0</v>
      </c>
      <c r="Z1442" s="67" t="s">
        <v>26</v>
      </c>
      <c r="AA1442" s="12" t="s">
        <v>31</v>
      </c>
    </row>
    <row r="1443" spans="1:27" x14ac:dyDescent="0.25">
      <c r="A1443" s="10">
        <v>45680</v>
      </c>
      <c r="B1443" s="11" t="s">
        <v>427</v>
      </c>
      <c r="C1443" s="11" t="s">
        <v>3272</v>
      </c>
      <c r="D1443" s="11" t="s">
        <v>26</v>
      </c>
      <c r="E1443" s="11" t="s">
        <v>604</v>
      </c>
      <c r="F1443" s="11" t="s">
        <v>26</v>
      </c>
      <c r="G1443" s="11">
        <v>1113</v>
      </c>
      <c r="H1443" s="12" t="s">
        <v>141</v>
      </c>
      <c r="I1443" s="12" t="s">
        <v>55</v>
      </c>
      <c r="J1443" s="12" t="s">
        <v>55</v>
      </c>
      <c r="K1443" s="12" t="s">
        <v>56</v>
      </c>
      <c r="L1443" s="13">
        <v>39.76</v>
      </c>
      <c r="M1443" s="13">
        <v>25</v>
      </c>
      <c r="N1443" s="13">
        <v>1.5904</v>
      </c>
      <c r="O1443" s="13">
        <v>15</v>
      </c>
      <c r="P1443" s="13" t="s">
        <v>30</v>
      </c>
      <c r="Q1443" s="13">
        <v>0</v>
      </c>
      <c r="R1443" s="15">
        <v>596.4</v>
      </c>
      <c r="S1443" s="15">
        <v>0</v>
      </c>
      <c r="T1443" s="15">
        <v>0</v>
      </c>
      <c r="U1443" s="15">
        <v>596.4</v>
      </c>
      <c r="V1443" s="15">
        <v>0</v>
      </c>
      <c r="W1443" s="15">
        <v>596.4</v>
      </c>
      <c r="X1443" s="15">
        <v>0</v>
      </c>
      <c r="Y1443" s="16">
        <v>0</v>
      </c>
      <c r="Z1443" s="67" t="s">
        <v>26</v>
      </c>
      <c r="AA1443" s="12" t="s">
        <v>31</v>
      </c>
    </row>
    <row r="1444" spans="1:27" x14ac:dyDescent="0.25">
      <c r="A1444" s="10">
        <v>45680</v>
      </c>
      <c r="B1444" s="11" t="s">
        <v>720</v>
      </c>
      <c r="C1444" s="11" t="s">
        <v>3273</v>
      </c>
      <c r="D1444" s="11" t="s">
        <v>26</v>
      </c>
      <c r="E1444" s="11" t="s">
        <v>506</v>
      </c>
      <c r="F1444" s="11" t="s">
        <v>26</v>
      </c>
      <c r="G1444" s="11">
        <v>1526</v>
      </c>
      <c r="H1444" s="12" t="s">
        <v>45</v>
      </c>
      <c r="I1444" s="12" t="s">
        <v>27</v>
      </c>
      <c r="J1444" s="12" t="s">
        <v>42</v>
      </c>
      <c r="K1444" s="12" t="s">
        <v>43</v>
      </c>
      <c r="L1444" s="13">
        <v>41.9</v>
      </c>
      <c r="M1444" s="13">
        <v>25</v>
      </c>
      <c r="N1444" s="13">
        <v>1.6759999999999999</v>
      </c>
      <c r="O1444" s="13" t="s">
        <v>30</v>
      </c>
      <c r="P1444" s="13">
        <v>62</v>
      </c>
      <c r="Q1444" s="13">
        <v>0</v>
      </c>
      <c r="R1444" s="14">
        <v>1550</v>
      </c>
      <c r="S1444" s="15">
        <v>0</v>
      </c>
      <c r="T1444" s="15">
        <v>0</v>
      </c>
      <c r="U1444" s="15">
        <v>1550</v>
      </c>
      <c r="V1444" s="15">
        <v>0</v>
      </c>
      <c r="W1444" s="15">
        <v>1550</v>
      </c>
      <c r="X1444" s="15">
        <v>0</v>
      </c>
      <c r="Y1444" s="16">
        <v>0</v>
      </c>
      <c r="Z1444" s="67" t="s">
        <v>26</v>
      </c>
      <c r="AA1444" s="12" t="s">
        <v>31</v>
      </c>
    </row>
    <row r="1445" spans="1:27" x14ac:dyDescent="0.25">
      <c r="A1445" s="10">
        <v>45680</v>
      </c>
      <c r="B1445" s="11" t="s">
        <v>3274</v>
      </c>
      <c r="C1445" s="11" t="s">
        <v>3275</v>
      </c>
      <c r="D1445" s="11" t="s">
        <v>26</v>
      </c>
      <c r="E1445" s="11" t="s">
        <v>100</v>
      </c>
      <c r="F1445" s="11" t="s">
        <v>26</v>
      </c>
      <c r="G1445" s="11">
        <v>21728</v>
      </c>
      <c r="H1445" s="12" t="s">
        <v>4448</v>
      </c>
      <c r="I1445" s="12" t="s">
        <v>27</v>
      </c>
      <c r="J1445" s="12" t="s">
        <v>47</v>
      </c>
      <c r="K1445" s="12" t="s">
        <v>48</v>
      </c>
      <c r="L1445" s="13">
        <v>38.04</v>
      </c>
      <c r="M1445" s="13">
        <v>25</v>
      </c>
      <c r="N1445" s="13">
        <v>1.5216000000000001</v>
      </c>
      <c r="O1445" s="13">
        <v>46.66</v>
      </c>
      <c r="P1445" s="13" t="s">
        <v>30</v>
      </c>
      <c r="Q1445" s="13">
        <v>0</v>
      </c>
      <c r="R1445" s="14">
        <v>1774.9463999999998</v>
      </c>
      <c r="S1445" s="15">
        <v>0</v>
      </c>
      <c r="T1445" s="15">
        <v>0</v>
      </c>
      <c r="U1445" s="15">
        <v>1774.9463999999998</v>
      </c>
      <c r="V1445" s="15">
        <v>1331.2097999999999</v>
      </c>
      <c r="W1445" s="15">
        <v>443.73659999999995</v>
      </c>
      <c r="X1445" s="15">
        <v>0</v>
      </c>
      <c r="Y1445" s="16">
        <v>0</v>
      </c>
      <c r="Z1445" s="67" t="s">
        <v>26</v>
      </c>
      <c r="AA1445" s="12" t="s">
        <v>31</v>
      </c>
    </row>
    <row r="1446" spans="1:27" x14ac:dyDescent="0.25">
      <c r="A1446" s="10">
        <v>45680</v>
      </c>
      <c r="B1446" s="11" t="s">
        <v>3276</v>
      </c>
      <c r="C1446" s="11" t="s">
        <v>3277</v>
      </c>
      <c r="D1446" s="11" t="s">
        <v>26</v>
      </c>
      <c r="E1446" s="11" t="s">
        <v>230</v>
      </c>
      <c r="F1446" s="11" t="s">
        <v>26</v>
      </c>
      <c r="G1446" s="11" t="s">
        <v>26</v>
      </c>
      <c r="H1446" s="12" t="s">
        <v>4422</v>
      </c>
      <c r="I1446" s="12" t="s">
        <v>27</v>
      </c>
      <c r="J1446" s="12" t="s">
        <v>42</v>
      </c>
      <c r="K1446" s="12" t="s">
        <v>43</v>
      </c>
      <c r="L1446" s="13">
        <v>43.52</v>
      </c>
      <c r="M1446" s="13">
        <v>25</v>
      </c>
      <c r="N1446" s="13">
        <v>1.7407999999999999</v>
      </c>
      <c r="O1446" s="13">
        <v>83</v>
      </c>
      <c r="P1446" s="13" t="s">
        <v>30</v>
      </c>
      <c r="Q1446" s="13">
        <v>0</v>
      </c>
      <c r="R1446" s="14">
        <v>3612.1600000000003</v>
      </c>
      <c r="S1446" s="15">
        <v>38</v>
      </c>
      <c r="T1446" s="15">
        <v>1653.7600000000002</v>
      </c>
      <c r="U1446" s="15">
        <v>1958.4</v>
      </c>
      <c r="V1446" s="15">
        <v>1958.4</v>
      </c>
      <c r="W1446" s="15"/>
      <c r="X1446" s="15">
        <v>1566.72</v>
      </c>
      <c r="Y1446" s="16">
        <v>87.040000000000191</v>
      </c>
      <c r="Z1446" s="67" t="s">
        <v>565</v>
      </c>
      <c r="AA1446" s="12" t="s">
        <v>78</v>
      </c>
    </row>
    <row r="1447" spans="1:27" x14ac:dyDescent="0.25">
      <c r="A1447" s="10">
        <v>45680</v>
      </c>
      <c r="B1447" s="11" t="s">
        <v>345</v>
      </c>
      <c r="C1447" s="11" t="s">
        <v>3278</v>
      </c>
      <c r="D1447" s="11" t="s">
        <v>26</v>
      </c>
      <c r="E1447" s="11" t="s">
        <v>439</v>
      </c>
      <c r="F1447" s="11" t="s">
        <v>26</v>
      </c>
      <c r="G1447" s="11" t="s">
        <v>35</v>
      </c>
      <c r="H1447" s="12" t="s">
        <v>36</v>
      </c>
      <c r="I1447" s="12" t="s">
        <v>27</v>
      </c>
      <c r="J1447" s="12" t="s">
        <v>42</v>
      </c>
      <c r="K1447" s="12" t="s">
        <v>43</v>
      </c>
      <c r="L1447" s="13">
        <v>10.6</v>
      </c>
      <c r="M1447" s="13">
        <v>6</v>
      </c>
      <c r="N1447" s="13">
        <v>1.7666666666666671</v>
      </c>
      <c r="O1447" s="13">
        <v>45</v>
      </c>
      <c r="P1447" s="13" t="s">
        <v>30</v>
      </c>
      <c r="Q1447" s="13">
        <v>0</v>
      </c>
      <c r="R1447" s="14">
        <v>477</v>
      </c>
      <c r="S1447" s="15">
        <v>0</v>
      </c>
      <c r="T1447" s="15">
        <v>0</v>
      </c>
      <c r="U1447" s="15">
        <v>477</v>
      </c>
      <c r="V1447" s="15">
        <v>0</v>
      </c>
      <c r="W1447" s="15">
        <v>477</v>
      </c>
      <c r="X1447" s="15">
        <v>0</v>
      </c>
      <c r="Y1447" s="16">
        <v>0</v>
      </c>
      <c r="Z1447" s="67" t="s">
        <v>26</v>
      </c>
      <c r="AA1447" s="12" t="s">
        <v>31</v>
      </c>
    </row>
    <row r="1448" spans="1:27" x14ac:dyDescent="0.25">
      <c r="A1448" s="10">
        <v>45680</v>
      </c>
      <c r="B1448" s="11" t="s">
        <v>3279</v>
      </c>
      <c r="C1448" s="11" t="s">
        <v>3280</v>
      </c>
      <c r="D1448" s="11" t="s">
        <v>26</v>
      </c>
      <c r="E1448" s="11" t="s">
        <v>505</v>
      </c>
      <c r="F1448" s="11" t="s">
        <v>26</v>
      </c>
      <c r="G1448" s="11">
        <v>1256</v>
      </c>
      <c r="H1448" s="12" t="s">
        <v>141</v>
      </c>
      <c r="I1448" s="12" t="s">
        <v>27</v>
      </c>
      <c r="J1448" s="12" t="s">
        <v>33</v>
      </c>
      <c r="K1448" s="12" t="s">
        <v>34</v>
      </c>
      <c r="L1448" s="13">
        <v>34.68</v>
      </c>
      <c r="M1448" s="13">
        <v>25</v>
      </c>
      <c r="N1448" s="13">
        <v>1.3872</v>
      </c>
      <c r="O1448" s="13">
        <v>40</v>
      </c>
      <c r="P1448" s="13" t="s">
        <v>30</v>
      </c>
      <c r="Q1448" s="13">
        <v>0</v>
      </c>
      <c r="R1448" s="14">
        <v>1387.2</v>
      </c>
      <c r="S1448" s="15">
        <v>0</v>
      </c>
      <c r="T1448" s="15">
        <v>0</v>
      </c>
      <c r="U1448" s="15">
        <v>1387.2</v>
      </c>
      <c r="V1448" s="15">
        <v>0</v>
      </c>
      <c r="W1448" s="15">
        <v>1387.2</v>
      </c>
      <c r="X1448" s="15">
        <v>0</v>
      </c>
      <c r="Y1448" s="16">
        <v>0</v>
      </c>
      <c r="Z1448" s="67" t="s">
        <v>26</v>
      </c>
      <c r="AA1448" s="12" t="s">
        <v>31</v>
      </c>
    </row>
    <row r="1449" spans="1:27" x14ac:dyDescent="0.25">
      <c r="A1449" s="10">
        <v>45680</v>
      </c>
      <c r="B1449" s="11" t="s">
        <v>693</v>
      </c>
      <c r="C1449" s="11" t="s">
        <v>3281</v>
      </c>
      <c r="D1449" s="11" t="s">
        <v>26</v>
      </c>
      <c r="E1449" s="11" t="s">
        <v>444</v>
      </c>
      <c r="F1449" s="11" t="s">
        <v>26</v>
      </c>
      <c r="G1449" s="11" t="s">
        <v>185</v>
      </c>
      <c r="H1449" s="12" t="s">
        <v>4449</v>
      </c>
      <c r="I1449" s="12" t="s">
        <v>27</v>
      </c>
      <c r="J1449" s="12" t="s">
        <v>206</v>
      </c>
      <c r="K1449" s="12" t="s">
        <v>207</v>
      </c>
      <c r="L1449" s="13">
        <v>31.9</v>
      </c>
      <c r="M1449" s="13">
        <v>22</v>
      </c>
      <c r="N1449" s="13">
        <v>1.45</v>
      </c>
      <c r="O1449" s="13">
        <v>50</v>
      </c>
      <c r="P1449" s="13" t="s">
        <v>30</v>
      </c>
      <c r="Q1449" s="13">
        <v>0</v>
      </c>
      <c r="R1449" s="14">
        <v>1595</v>
      </c>
      <c r="S1449" s="15">
        <v>0</v>
      </c>
      <c r="T1449" s="15">
        <v>0</v>
      </c>
      <c r="U1449" s="15">
        <v>1595</v>
      </c>
      <c r="V1449" s="15">
        <v>0</v>
      </c>
      <c r="W1449" s="15">
        <v>1595</v>
      </c>
      <c r="X1449" s="15">
        <v>0</v>
      </c>
      <c r="Y1449" s="16">
        <v>0</v>
      </c>
      <c r="Z1449" s="67" t="s">
        <v>26</v>
      </c>
      <c r="AA1449" s="12" t="s">
        <v>31</v>
      </c>
    </row>
    <row r="1450" spans="1:27" x14ac:dyDescent="0.25">
      <c r="A1450" s="10">
        <v>45680</v>
      </c>
      <c r="B1450" s="11" t="s">
        <v>742</v>
      </c>
      <c r="C1450" s="11" t="s">
        <v>3282</v>
      </c>
      <c r="D1450" s="11" t="s">
        <v>26</v>
      </c>
      <c r="E1450" s="11" t="s">
        <v>77</v>
      </c>
      <c r="F1450" s="11" t="s">
        <v>26</v>
      </c>
      <c r="G1450" s="11" t="s">
        <v>185</v>
      </c>
      <c r="H1450" s="12" t="s">
        <v>4449</v>
      </c>
      <c r="I1450" s="12" t="s">
        <v>55</v>
      </c>
      <c r="J1450" s="12" t="s">
        <v>55</v>
      </c>
      <c r="K1450" s="12" t="s">
        <v>56</v>
      </c>
      <c r="L1450" s="13">
        <v>40.200000000000003</v>
      </c>
      <c r="M1450" s="13">
        <v>25</v>
      </c>
      <c r="N1450" s="13">
        <v>1.6080000000000001</v>
      </c>
      <c r="O1450" s="13">
        <v>15</v>
      </c>
      <c r="P1450" s="13" t="s">
        <v>30</v>
      </c>
      <c r="Q1450" s="13">
        <v>0</v>
      </c>
      <c r="R1450" s="14">
        <v>603</v>
      </c>
      <c r="S1450" s="15">
        <v>0</v>
      </c>
      <c r="T1450" s="15">
        <v>0</v>
      </c>
      <c r="U1450" s="15">
        <v>603</v>
      </c>
      <c r="V1450" s="15">
        <v>603</v>
      </c>
      <c r="W1450" s="15">
        <v>0</v>
      </c>
      <c r="X1450" s="15">
        <v>0</v>
      </c>
      <c r="Y1450" s="16">
        <v>0</v>
      </c>
      <c r="Z1450" s="67" t="s">
        <v>26</v>
      </c>
      <c r="AA1450" s="12" t="s">
        <v>31</v>
      </c>
    </row>
    <row r="1451" spans="1:27" x14ac:dyDescent="0.25">
      <c r="A1451" s="10">
        <v>45680</v>
      </c>
      <c r="B1451" s="11" t="s">
        <v>3283</v>
      </c>
      <c r="C1451" s="11" t="s">
        <v>3284</v>
      </c>
      <c r="D1451" s="11" t="s">
        <v>26</v>
      </c>
      <c r="E1451" s="11" t="s">
        <v>80</v>
      </c>
      <c r="F1451" s="11" t="s">
        <v>26</v>
      </c>
      <c r="G1451" s="11">
        <v>10652</v>
      </c>
      <c r="H1451" s="12" t="s">
        <v>140</v>
      </c>
      <c r="I1451" s="12" t="s">
        <v>27</v>
      </c>
      <c r="J1451" s="12" t="s">
        <v>33</v>
      </c>
      <c r="K1451" s="12" t="s">
        <v>34</v>
      </c>
      <c r="L1451" s="13">
        <v>41.6</v>
      </c>
      <c r="M1451" s="13">
        <v>28</v>
      </c>
      <c r="N1451" s="13">
        <v>1.485714285714286</v>
      </c>
      <c r="O1451" s="13">
        <v>40</v>
      </c>
      <c r="P1451" s="13"/>
      <c r="Q1451" s="13">
        <v>0</v>
      </c>
      <c r="R1451" s="14">
        <v>1664</v>
      </c>
      <c r="S1451" s="15">
        <v>0</v>
      </c>
      <c r="T1451" s="15">
        <v>0</v>
      </c>
      <c r="U1451" s="15">
        <v>1664</v>
      </c>
      <c r="V1451" s="15">
        <v>0</v>
      </c>
      <c r="W1451" s="15">
        <v>1664</v>
      </c>
      <c r="X1451" s="15">
        <v>0</v>
      </c>
      <c r="Y1451" s="16">
        <v>0</v>
      </c>
      <c r="Z1451" s="67" t="s">
        <v>26</v>
      </c>
      <c r="AA1451" s="12" t="s">
        <v>31</v>
      </c>
    </row>
    <row r="1452" spans="1:27" x14ac:dyDescent="0.25">
      <c r="A1452" s="10">
        <v>45680</v>
      </c>
      <c r="B1452" s="11" t="s">
        <v>260</v>
      </c>
      <c r="C1452" s="11" t="s">
        <v>3285</v>
      </c>
      <c r="D1452" s="11" t="s">
        <v>26</v>
      </c>
      <c r="E1452" s="11" t="s">
        <v>519</v>
      </c>
      <c r="F1452" s="11" t="s">
        <v>26</v>
      </c>
      <c r="G1452" s="11">
        <v>21761</v>
      </c>
      <c r="H1452" s="12" t="s">
        <v>4448</v>
      </c>
      <c r="I1452" s="12" t="s">
        <v>27</v>
      </c>
      <c r="J1452" s="12" t="s">
        <v>42</v>
      </c>
      <c r="K1452" s="12" t="s">
        <v>43</v>
      </c>
      <c r="L1452" s="13">
        <v>44.34</v>
      </c>
      <c r="M1452" s="13">
        <v>25</v>
      </c>
      <c r="N1452" s="13">
        <v>1.7736000000000001</v>
      </c>
      <c r="O1452" s="13">
        <v>42.5</v>
      </c>
      <c r="P1452" s="13" t="s">
        <v>30</v>
      </c>
      <c r="Q1452" s="13">
        <v>0</v>
      </c>
      <c r="R1452" s="14">
        <v>1884.45</v>
      </c>
      <c r="S1452" s="15">
        <v>0</v>
      </c>
      <c r="T1452" s="15">
        <v>0</v>
      </c>
      <c r="U1452" s="15">
        <v>1884.45</v>
      </c>
      <c r="V1452" s="15">
        <v>1413.3375000000001</v>
      </c>
      <c r="W1452" s="15">
        <v>471.11249999999995</v>
      </c>
      <c r="X1452" s="15">
        <v>0</v>
      </c>
      <c r="Y1452" s="16">
        <v>0</v>
      </c>
      <c r="Z1452" s="67" t="s">
        <v>26</v>
      </c>
      <c r="AA1452" s="12" t="s">
        <v>31</v>
      </c>
    </row>
    <row r="1453" spans="1:27" x14ac:dyDescent="0.25">
      <c r="A1453" s="10">
        <v>45680</v>
      </c>
      <c r="B1453" s="11" t="s">
        <v>2892</v>
      </c>
      <c r="C1453" s="11" t="s">
        <v>3286</v>
      </c>
      <c r="D1453" s="11" t="s">
        <v>26</v>
      </c>
      <c r="E1453" s="11" t="s">
        <v>179</v>
      </c>
      <c r="F1453" s="11" t="s">
        <v>26</v>
      </c>
      <c r="G1453" s="11">
        <v>57741</v>
      </c>
      <c r="H1453" s="12" t="s">
        <v>4423</v>
      </c>
      <c r="I1453" s="12" t="s">
        <v>27</v>
      </c>
      <c r="J1453" s="12" t="s">
        <v>42</v>
      </c>
      <c r="K1453" s="12" t="s">
        <v>43</v>
      </c>
      <c r="L1453" s="13">
        <v>40</v>
      </c>
      <c r="M1453" s="13">
        <v>25</v>
      </c>
      <c r="N1453" s="13">
        <v>1.6</v>
      </c>
      <c r="O1453" s="13">
        <v>42</v>
      </c>
      <c r="P1453" s="13" t="s">
        <v>30</v>
      </c>
      <c r="Q1453" s="13">
        <v>0</v>
      </c>
      <c r="R1453" s="14">
        <v>1680</v>
      </c>
      <c r="S1453" s="15">
        <v>0</v>
      </c>
      <c r="T1453" s="15">
        <v>0</v>
      </c>
      <c r="U1453" s="15">
        <v>1680</v>
      </c>
      <c r="V1453" s="15">
        <v>1680</v>
      </c>
      <c r="W1453" s="15">
        <v>0</v>
      </c>
      <c r="X1453" s="15">
        <v>0</v>
      </c>
      <c r="Y1453" s="16">
        <v>0</v>
      </c>
      <c r="Z1453" s="67" t="s">
        <v>26</v>
      </c>
      <c r="AA1453" s="12" t="s">
        <v>31</v>
      </c>
    </row>
    <row r="1454" spans="1:27" x14ac:dyDescent="0.25">
      <c r="A1454" s="10">
        <v>45680</v>
      </c>
      <c r="B1454" s="11" t="s">
        <v>3287</v>
      </c>
      <c r="C1454" s="11" t="s">
        <v>3288</v>
      </c>
      <c r="D1454" s="11" t="s">
        <v>26</v>
      </c>
      <c r="E1454" s="11" t="s">
        <v>98</v>
      </c>
      <c r="F1454" s="11" t="s">
        <v>26</v>
      </c>
      <c r="G1454" s="11">
        <v>10146</v>
      </c>
      <c r="H1454" s="12" t="s">
        <v>140</v>
      </c>
      <c r="I1454" s="12" t="s">
        <v>27</v>
      </c>
      <c r="J1454" s="12" t="s">
        <v>42</v>
      </c>
      <c r="K1454" s="12" t="s">
        <v>43</v>
      </c>
      <c r="L1454" s="13">
        <v>36.840000000000003</v>
      </c>
      <c r="M1454" s="13">
        <v>25</v>
      </c>
      <c r="N1454" s="13">
        <v>1.4736</v>
      </c>
      <c r="O1454" s="13">
        <v>35</v>
      </c>
      <c r="P1454" s="13"/>
      <c r="Q1454" s="13">
        <v>0</v>
      </c>
      <c r="R1454" s="14">
        <v>1289.4000000000001</v>
      </c>
      <c r="S1454" s="15">
        <v>0</v>
      </c>
      <c r="T1454" s="15">
        <v>0</v>
      </c>
      <c r="U1454" s="15">
        <v>1289.4000000000001</v>
      </c>
      <c r="V1454" s="15">
        <v>0</v>
      </c>
      <c r="W1454" s="15">
        <v>1289.4000000000001</v>
      </c>
      <c r="X1454" s="15">
        <v>0</v>
      </c>
      <c r="Y1454" s="16">
        <v>0</v>
      </c>
      <c r="Z1454" s="67" t="s">
        <v>26</v>
      </c>
      <c r="AA1454" s="12" t="s">
        <v>31</v>
      </c>
    </row>
    <row r="1455" spans="1:27" x14ac:dyDescent="0.25">
      <c r="A1455" s="10">
        <v>45680</v>
      </c>
      <c r="B1455" s="11" t="s">
        <v>3289</v>
      </c>
      <c r="C1455" s="11" t="s">
        <v>3290</v>
      </c>
      <c r="D1455" s="11" t="s">
        <v>26</v>
      </c>
      <c r="E1455" s="11" t="s">
        <v>520</v>
      </c>
      <c r="F1455" s="11" t="s">
        <v>26</v>
      </c>
      <c r="G1455" s="11">
        <v>4379</v>
      </c>
      <c r="H1455" s="12" t="s">
        <v>140</v>
      </c>
      <c r="I1455" s="12" t="s">
        <v>27</v>
      </c>
      <c r="J1455" s="12" t="s">
        <v>42</v>
      </c>
      <c r="K1455" s="12" t="s">
        <v>43</v>
      </c>
      <c r="L1455" s="13">
        <v>42.32</v>
      </c>
      <c r="M1455" s="13">
        <v>25</v>
      </c>
      <c r="N1455" s="13">
        <v>1.6928000000000001</v>
      </c>
      <c r="O1455" s="13">
        <v>35</v>
      </c>
      <c r="P1455" s="13"/>
      <c r="Q1455" s="13">
        <v>0</v>
      </c>
      <c r="R1455" s="14">
        <v>1481.2</v>
      </c>
      <c r="S1455" s="15">
        <v>0</v>
      </c>
      <c r="T1455" s="15">
        <v>0</v>
      </c>
      <c r="U1455" s="15">
        <v>1481.2</v>
      </c>
      <c r="V1455" s="15">
        <v>0</v>
      </c>
      <c r="W1455" s="15">
        <v>1481.2</v>
      </c>
      <c r="X1455" s="15">
        <v>0</v>
      </c>
      <c r="Y1455" s="16">
        <v>0</v>
      </c>
      <c r="Z1455" s="67" t="s">
        <v>26</v>
      </c>
      <c r="AA1455" s="12" t="s">
        <v>31</v>
      </c>
    </row>
    <row r="1456" spans="1:27" x14ac:dyDescent="0.25">
      <c r="A1456" s="10">
        <v>45680</v>
      </c>
      <c r="B1456" s="11" t="s">
        <v>3291</v>
      </c>
      <c r="C1456" s="11" t="s">
        <v>3292</v>
      </c>
      <c r="D1456" s="11" t="s">
        <v>26</v>
      </c>
      <c r="E1456" s="11" t="s">
        <v>506</v>
      </c>
      <c r="F1456" s="11" t="s">
        <v>26</v>
      </c>
      <c r="G1456" s="11">
        <v>1535</v>
      </c>
      <c r="H1456" s="12" t="s">
        <v>45</v>
      </c>
      <c r="I1456" s="12" t="s">
        <v>27</v>
      </c>
      <c r="J1456" s="12" t="s">
        <v>33</v>
      </c>
      <c r="K1456" s="12" t="s">
        <v>34</v>
      </c>
      <c r="L1456" s="13">
        <v>38.64</v>
      </c>
      <c r="M1456" s="13">
        <v>25</v>
      </c>
      <c r="N1456" s="13">
        <v>1.5456000000000001</v>
      </c>
      <c r="O1456" s="13" t="s">
        <v>30</v>
      </c>
      <c r="P1456" s="13">
        <v>58</v>
      </c>
      <c r="Q1456" s="13">
        <v>0</v>
      </c>
      <c r="R1456" s="14">
        <v>1450</v>
      </c>
      <c r="S1456" s="15">
        <v>0</v>
      </c>
      <c r="T1456" s="15">
        <v>0</v>
      </c>
      <c r="U1456" s="15">
        <v>1450</v>
      </c>
      <c r="V1456" s="15">
        <v>0</v>
      </c>
      <c r="W1456" s="15">
        <v>1450</v>
      </c>
      <c r="X1456" s="15">
        <v>0</v>
      </c>
      <c r="Y1456" s="16">
        <v>0</v>
      </c>
      <c r="Z1456" s="67" t="s">
        <v>26</v>
      </c>
      <c r="AA1456" s="12" t="s">
        <v>31</v>
      </c>
    </row>
    <row r="1457" spans="1:27" x14ac:dyDescent="0.25">
      <c r="A1457" s="10">
        <v>45680</v>
      </c>
      <c r="B1457" s="11" t="s">
        <v>3293</v>
      </c>
      <c r="C1457" s="11" t="s">
        <v>3294</v>
      </c>
      <c r="D1457" s="11" t="s">
        <v>26</v>
      </c>
      <c r="E1457" s="11" t="s">
        <v>570</v>
      </c>
      <c r="F1457" s="11" t="s">
        <v>26</v>
      </c>
      <c r="G1457" s="11">
        <v>10334</v>
      </c>
      <c r="H1457" s="12" t="s">
        <v>140</v>
      </c>
      <c r="I1457" s="12" t="s">
        <v>27</v>
      </c>
      <c r="J1457" s="12" t="s">
        <v>42</v>
      </c>
      <c r="K1457" s="12" t="s">
        <v>43</v>
      </c>
      <c r="L1457" s="13">
        <v>42.22</v>
      </c>
      <c r="M1457" s="13">
        <v>25</v>
      </c>
      <c r="N1457" s="13">
        <v>1.6888000000000001</v>
      </c>
      <c r="O1457" s="13">
        <v>35</v>
      </c>
      <c r="P1457" s="13"/>
      <c r="Q1457" s="13">
        <v>0</v>
      </c>
      <c r="R1457" s="14">
        <v>1477.7</v>
      </c>
      <c r="S1457" s="15">
        <v>0</v>
      </c>
      <c r="T1457" s="15">
        <v>0</v>
      </c>
      <c r="U1457" s="15">
        <v>1477.7</v>
      </c>
      <c r="V1457" s="15">
        <v>0</v>
      </c>
      <c r="W1457" s="15">
        <v>1477.7</v>
      </c>
      <c r="X1457" s="15">
        <v>0</v>
      </c>
      <c r="Y1457" s="16">
        <v>0</v>
      </c>
      <c r="Z1457" s="67" t="s">
        <v>26</v>
      </c>
      <c r="AA1457" s="12" t="s">
        <v>31</v>
      </c>
    </row>
    <row r="1458" spans="1:27" x14ac:dyDescent="0.25">
      <c r="A1458" s="10">
        <v>45680</v>
      </c>
      <c r="B1458" s="11" t="s">
        <v>694</v>
      </c>
      <c r="C1458" s="11" t="s">
        <v>3295</v>
      </c>
      <c r="D1458" s="11" t="s">
        <v>26</v>
      </c>
      <c r="E1458" s="11" t="s">
        <v>501</v>
      </c>
      <c r="F1458" s="11" t="s">
        <v>26</v>
      </c>
      <c r="G1458" s="11">
        <v>808</v>
      </c>
      <c r="H1458" s="12" t="s">
        <v>141</v>
      </c>
      <c r="I1458" s="12" t="s">
        <v>37</v>
      </c>
      <c r="J1458" s="12" t="s">
        <v>599</v>
      </c>
      <c r="K1458" s="12" t="s">
        <v>82</v>
      </c>
      <c r="L1458" s="13">
        <v>39.119999999999997</v>
      </c>
      <c r="M1458" s="13">
        <v>25</v>
      </c>
      <c r="N1458" s="13">
        <v>1.5648</v>
      </c>
      <c r="O1458" s="13">
        <v>29</v>
      </c>
      <c r="P1458" s="13" t="s">
        <v>30</v>
      </c>
      <c r="Q1458" s="13">
        <v>0</v>
      </c>
      <c r="R1458" s="14">
        <v>1134.48</v>
      </c>
      <c r="S1458" s="15">
        <v>0</v>
      </c>
      <c r="T1458" s="15">
        <v>0</v>
      </c>
      <c r="U1458" s="15">
        <v>1134.48</v>
      </c>
      <c r="V1458" s="15">
        <v>0</v>
      </c>
      <c r="W1458" s="15">
        <v>1134.48</v>
      </c>
      <c r="X1458" s="15">
        <v>0</v>
      </c>
      <c r="Y1458" s="16">
        <v>0</v>
      </c>
      <c r="Z1458" s="67" t="s">
        <v>26</v>
      </c>
      <c r="AA1458" s="12" t="s">
        <v>31</v>
      </c>
    </row>
    <row r="1459" spans="1:27" x14ac:dyDescent="0.25">
      <c r="A1459" s="10">
        <v>45680</v>
      </c>
      <c r="B1459" s="11" t="s">
        <v>3296</v>
      </c>
      <c r="C1459" s="11" t="s">
        <v>3297</v>
      </c>
      <c r="D1459" s="11" t="s">
        <v>26</v>
      </c>
      <c r="E1459" s="11" t="s">
        <v>67</v>
      </c>
      <c r="F1459" s="11" t="s">
        <v>26</v>
      </c>
      <c r="G1459" s="11">
        <v>1613</v>
      </c>
      <c r="H1459" s="12" t="s">
        <v>66</v>
      </c>
      <c r="I1459" s="12" t="s">
        <v>27</v>
      </c>
      <c r="J1459" s="12" t="s">
        <v>47</v>
      </c>
      <c r="K1459" s="12" t="s">
        <v>48</v>
      </c>
      <c r="L1459" s="13">
        <v>40.06</v>
      </c>
      <c r="M1459" s="13">
        <v>28</v>
      </c>
      <c r="N1459" s="13">
        <v>1.430714285714286</v>
      </c>
      <c r="O1459" s="13" t="s">
        <v>30</v>
      </c>
      <c r="P1459" s="13">
        <v>74</v>
      </c>
      <c r="Q1459" s="13">
        <v>0</v>
      </c>
      <c r="R1459" s="14">
        <v>2072</v>
      </c>
      <c r="S1459" s="15">
        <v>0</v>
      </c>
      <c r="T1459" s="15">
        <v>0</v>
      </c>
      <c r="U1459" s="15">
        <v>2072</v>
      </c>
      <c r="V1459" s="15">
        <v>2072</v>
      </c>
      <c r="W1459" s="15">
        <v>0</v>
      </c>
      <c r="X1459" s="15">
        <v>0</v>
      </c>
      <c r="Y1459" s="16">
        <v>0</v>
      </c>
      <c r="Z1459" s="67" t="s">
        <v>26</v>
      </c>
      <c r="AA1459" s="12" t="s">
        <v>31</v>
      </c>
    </row>
    <row r="1460" spans="1:27" x14ac:dyDescent="0.25">
      <c r="A1460" s="10">
        <v>45680</v>
      </c>
      <c r="B1460" s="11" t="s">
        <v>2988</v>
      </c>
      <c r="C1460" s="11" t="s">
        <v>3298</v>
      </c>
      <c r="D1460" s="11" t="s">
        <v>26</v>
      </c>
      <c r="E1460" s="11" t="s">
        <v>1200</v>
      </c>
      <c r="F1460" s="11" t="s">
        <v>26</v>
      </c>
      <c r="G1460" s="11">
        <v>555</v>
      </c>
      <c r="H1460" s="12" t="s">
        <v>163</v>
      </c>
      <c r="I1460" s="12" t="s">
        <v>27</v>
      </c>
      <c r="J1460" s="12" t="s">
        <v>42</v>
      </c>
      <c r="K1460" s="12" t="s">
        <v>43</v>
      </c>
      <c r="L1460" s="13">
        <v>44.18</v>
      </c>
      <c r="M1460" s="13">
        <v>25</v>
      </c>
      <c r="N1460" s="13">
        <v>1.7672000000000001</v>
      </c>
      <c r="O1460" s="13" t="s">
        <v>30</v>
      </c>
      <c r="P1460" s="13">
        <v>56</v>
      </c>
      <c r="Q1460" s="13">
        <v>0</v>
      </c>
      <c r="R1460" s="14">
        <v>1400</v>
      </c>
      <c r="S1460" s="15">
        <v>0</v>
      </c>
      <c r="T1460" s="15">
        <v>0</v>
      </c>
      <c r="U1460" s="15">
        <v>1400</v>
      </c>
      <c r="V1460" s="15">
        <v>0</v>
      </c>
      <c r="W1460" s="15">
        <v>1400</v>
      </c>
      <c r="X1460" s="15">
        <v>0</v>
      </c>
      <c r="Y1460" s="16">
        <v>0</v>
      </c>
      <c r="Z1460" s="67" t="s">
        <v>26</v>
      </c>
      <c r="AA1460" s="12" t="s">
        <v>31</v>
      </c>
    </row>
    <row r="1461" spans="1:27" x14ac:dyDescent="0.25">
      <c r="A1461" s="10">
        <v>45680</v>
      </c>
      <c r="B1461" s="11" t="s">
        <v>3299</v>
      </c>
      <c r="C1461" s="11" t="s">
        <v>3300</v>
      </c>
      <c r="D1461" s="11" t="s">
        <v>26</v>
      </c>
      <c r="E1461" s="11" t="s">
        <v>50</v>
      </c>
      <c r="F1461" s="11" t="s">
        <v>26</v>
      </c>
      <c r="G1461" s="11">
        <v>650</v>
      </c>
      <c r="H1461" s="12" t="s">
        <v>163</v>
      </c>
      <c r="I1461" s="12" t="s">
        <v>27</v>
      </c>
      <c r="J1461" s="12" t="s">
        <v>33</v>
      </c>
      <c r="K1461" s="12" t="s">
        <v>34</v>
      </c>
      <c r="L1461" s="13">
        <v>36.26</v>
      </c>
      <c r="M1461" s="13">
        <v>25</v>
      </c>
      <c r="N1461" s="13">
        <v>1.4503999999999999</v>
      </c>
      <c r="O1461" s="13" t="s">
        <v>30</v>
      </c>
      <c r="P1461" s="13">
        <v>58</v>
      </c>
      <c r="Q1461" s="13">
        <v>0</v>
      </c>
      <c r="R1461" s="14">
        <v>1450</v>
      </c>
      <c r="S1461" s="15">
        <v>0</v>
      </c>
      <c r="T1461" s="15">
        <v>0</v>
      </c>
      <c r="U1461" s="15">
        <v>1450</v>
      </c>
      <c r="V1461" s="15">
        <v>0</v>
      </c>
      <c r="W1461" s="15">
        <v>1450</v>
      </c>
      <c r="X1461" s="15">
        <v>0</v>
      </c>
      <c r="Y1461" s="16">
        <v>0</v>
      </c>
      <c r="Z1461" s="67" t="s">
        <v>26</v>
      </c>
      <c r="AA1461" s="12" t="s">
        <v>31</v>
      </c>
    </row>
    <row r="1462" spans="1:27" x14ac:dyDescent="0.25">
      <c r="A1462" s="10">
        <v>45680</v>
      </c>
      <c r="B1462" s="11" t="s">
        <v>681</v>
      </c>
      <c r="C1462" s="11" t="s">
        <v>3301</v>
      </c>
      <c r="D1462" s="11" t="s">
        <v>26</v>
      </c>
      <c r="E1462" s="11" t="s">
        <v>559</v>
      </c>
      <c r="F1462" s="11" t="s">
        <v>26</v>
      </c>
      <c r="G1462" s="11" t="s">
        <v>26</v>
      </c>
      <c r="H1462" s="12" t="s">
        <v>4424</v>
      </c>
      <c r="I1462" s="12" t="s">
        <v>27</v>
      </c>
      <c r="J1462" s="12" t="s">
        <v>47</v>
      </c>
      <c r="K1462" s="12" t="s">
        <v>48</v>
      </c>
      <c r="L1462" s="13">
        <v>35.18</v>
      </c>
      <c r="M1462" s="13">
        <v>24</v>
      </c>
      <c r="N1462" s="13">
        <v>1.4658333333333331</v>
      </c>
      <c r="O1462" s="13">
        <v>90</v>
      </c>
      <c r="P1462" s="13" t="s">
        <v>30</v>
      </c>
      <c r="Q1462" s="13">
        <v>0</v>
      </c>
      <c r="R1462" s="14">
        <v>3166.2</v>
      </c>
      <c r="S1462" s="15">
        <v>40</v>
      </c>
      <c r="T1462" s="15">
        <v>1407.2</v>
      </c>
      <c r="U1462" s="15">
        <v>1758.9999999999998</v>
      </c>
      <c r="V1462" s="15">
        <v>1758.9999999999998</v>
      </c>
      <c r="W1462" s="15">
        <v>0</v>
      </c>
      <c r="X1462" s="16">
        <v>1407.2</v>
      </c>
      <c r="Y1462" s="16">
        <v>0</v>
      </c>
      <c r="Z1462" s="67" t="s">
        <v>41</v>
      </c>
      <c r="AA1462" s="12" t="s">
        <v>746</v>
      </c>
    </row>
    <row r="1463" spans="1:27" x14ac:dyDescent="0.25">
      <c r="A1463" s="10">
        <v>45680</v>
      </c>
      <c r="B1463" s="11" t="s">
        <v>425</v>
      </c>
      <c r="C1463" s="11" t="s">
        <v>3302</v>
      </c>
      <c r="D1463" s="11" t="s">
        <v>26</v>
      </c>
      <c r="E1463" s="11" t="s">
        <v>444</v>
      </c>
      <c r="F1463" s="11" t="s">
        <v>26</v>
      </c>
      <c r="G1463" s="11" t="s">
        <v>185</v>
      </c>
      <c r="H1463" s="12" t="s">
        <v>4449</v>
      </c>
      <c r="I1463" s="12" t="s">
        <v>55</v>
      </c>
      <c r="J1463" s="12" t="s">
        <v>55</v>
      </c>
      <c r="K1463" s="12" t="s">
        <v>56</v>
      </c>
      <c r="L1463" s="13">
        <v>33.6</v>
      </c>
      <c r="M1463" s="13">
        <v>22</v>
      </c>
      <c r="N1463" s="13">
        <v>1.5272727272727269</v>
      </c>
      <c r="O1463" s="13">
        <v>15</v>
      </c>
      <c r="P1463" s="13" t="s">
        <v>30</v>
      </c>
      <c r="Q1463" s="13">
        <v>0</v>
      </c>
      <c r="R1463" s="14">
        <v>504</v>
      </c>
      <c r="S1463" s="15">
        <v>0</v>
      </c>
      <c r="T1463" s="15">
        <v>0</v>
      </c>
      <c r="U1463" s="15">
        <v>504</v>
      </c>
      <c r="V1463" s="15">
        <v>504</v>
      </c>
      <c r="W1463" s="15">
        <v>0</v>
      </c>
      <c r="X1463" s="16">
        <v>0</v>
      </c>
      <c r="Y1463" s="16">
        <v>0</v>
      </c>
      <c r="Z1463" s="67" t="s">
        <v>26</v>
      </c>
      <c r="AA1463" s="12" t="s">
        <v>31</v>
      </c>
    </row>
    <row r="1464" spans="1:27" x14ac:dyDescent="0.25">
      <c r="A1464" s="10">
        <v>45680</v>
      </c>
      <c r="B1464" s="11" t="s">
        <v>3303</v>
      </c>
      <c r="C1464" s="11" t="s">
        <v>3304</v>
      </c>
      <c r="D1464" s="11" t="s">
        <v>26</v>
      </c>
      <c r="E1464" s="11" t="s">
        <v>77</v>
      </c>
      <c r="F1464" s="11" t="s">
        <v>26</v>
      </c>
      <c r="G1464" s="11" t="s">
        <v>185</v>
      </c>
      <c r="H1464" s="12" t="s">
        <v>4449</v>
      </c>
      <c r="I1464" s="12" t="s">
        <v>55</v>
      </c>
      <c r="J1464" s="12" t="s">
        <v>55</v>
      </c>
      <c r="K1464" s="12" t="s">
        <v>56</v>
      </c>
      <c r="L1464" s="13">
        <v>40.42</v>
      </c>
      <c r="M1464" s="13">
        <v>25</v>
      </c>
      <c r="N1464" s="13">
        <v>1.6168</v>
      </c>
      <c r="O1464" s="13">
        <v>15</v>
      </c>
      <c r="P1464" s="13" t="s">
        <v>30</v>
      </c>
      <c r="Q1464" s="13">
        <v>0</v>
      </c>
      <c r="R1464" s="14">
        <v>606.30000000000007</v>
      </c>
      <c r="S1464" s="15">
        <v>0</v>
      </c>
      <c r="T1464" s="15">
        <v>0</v>
      </c>
      <c r="U1464" s="15">
        <v>606.30000000000007</v>
      </c>
      <c r="V1464" s="15">
        <v>606.30000000000007</v>
      </c>
      <c r="W1464" s="15">
        <v>0</v>
      </c>
      <c r="X1464" s="15">
        <v>0</v>
      </c>
      <c r="Y1464" s="16">
        <v>0</v>
      </c>
      <c r="Z1464" s="67" t="s">
        <v>26</v>
      </c>
      <c r="AA1464" s="12" t="s">
        <v>31</v>
      </c>
    </row>
    <row r="1465" spans="1:27" x14ac:dyDescent="0.25">
      <c r="A1465" s="10">
        <v>45680</v>
      </c>
      <c r="B1465" s="11" t="s">
        <v>253</v>
      </c>
      <c r="C1465" s="11" t="s">
        <v>3305</v>
      </c>
      <c r="D1465" s="11" t="s">
        <v>26</v>
      </c>
      <c r="E1465" s="11" t="s">
        <v>572</v>
      </c>
      <c r="F1465" s="11" t="s">
        <v>26</v>
      </c>
      <c r="G1465" s="11">
        <v>112217</v>
      </c>
      <c r="H1465" s="12" t="s">
        <v>4446</v>
      </c>
      <c r="I1465" s="12" t="s">
        <v>27</v>
      </c>
      <c r="J1465" s="12" t="s">
        <v>42</v>
      </c>
      <c r="K1465" s="12" t="s">
        <v>43</v>
      </c>
      <c r="L1465" s="13">
        <v>37.22</v>
      </c>
      <c r="M1465" s="13">
        <v>25</v>
      </c>
      <c r="N1465" s="13">
        <v>1.4887999999999999</v>
      </c>
      <c r="O1465" s="13">
        <v>42</v>
      </c>
      <c r="P1465" s="13" t="s">
        <v>30</v>
      </c>
      <c r="Q1465" s="13">
        <v>0</v>
      </c>
      <c r="R1465" s="14">
        <v>1563.24</v>
      </c>
      <c r="S1465" s="15">
        <v>0</v>
      </c>
      <c r="T1465" s="15">
        <v>0</v>
      </c>
      <c r="U1465" s="15">
        <v>1563.24</v>
      </c>
      <c r="V1465" s="15">
        <v>1563.24</v>
      </c>
      <c r="W1465" s="15">
        <v>0</v>
      </c>
      <c r="X1465" s="16">
        <v>0</v>
      </c>
      <c r="Y1465" s="16">
        <v>0</v>
      </c>
      <c r="Z1465" s="67" t="s">
        <v>26</v>
      </c>
      <c r="AA1465" s="12" t="s">
        <v>31</v>
      </c>
    </row>
    <row r="1466" spans="1:27" x14ac:dyDescent="0.25">
      <c r="A1466" s="10">
        <v>45680</v>
      </c>
      <c r="B1466" s="11" t="s">
        <v>3306</v>
      </c>
      <c r="C1466" s="11" t="s">
        <v>3307</v>
      </c>
      <c r="D1466" s="11" t="s">
        <v>26</v>
      </c>
      <c r="E1466" s="11" t="s">
        <v>322</v>
      </c>
      <c r="F1466" s="11" t="s">
        <v>26</v>
      </c>
      <c r="G1466" s="11">
        <v>112291</v>
      </c>
      <c r="H1466" s="12" t="s">
        <v>4446</v>
      </c>
      <c r="I1466" s="12" t="s">
        <v>27</v>
      </c>
      <c r="J1466" s="12" t="s">
        <v>33</v>
      </c>
      <c r="K1466" s="12" t="s">
        <v>34</v>
      </c>
      <c r="L1466" s="13">
        <v>35.380000000000003</v>
      </c>
      <c r="M1466" s="13">
        <v>25</v>
      </c>
      <c r="N1466" s="13">
        <v>1.4152</v>
      </c>
      <c r="O1466" s="13">
        <v>44</v>
      </c>
      <c r="P1466" s="13" t="s">
        <v>30</v>
      </c>
      <c r="Q1466" s="13">
        <v>0</v>
      </c>
      <c r="R1466" s="14">
        <v>1556.72</v>
      </c>
      <c r="S1466" s="15">
        <v>0</v>
      </c>
      <c r="T1466" s="15">
        <v>0</v>
      </c>
      <c r="U1466" s="15">
        <v>1556.72</v>
      </c>
      <c r="V1466" s="15">
        <v>1556.72</v>
      </c>
      <c r="W1466" s="15">
        <v>0</v>
      </c>
      <c r="X1466" s="16">
        <v>0</v>
      </c>
      <c r="Y1466" s="16">
        <v>0</v>
      </c>
      <c r="Z1466" s="67" t="s">
        <v>26</v>
      </c>
      <c r="AA1466" s="12" t="s">
        <v>31</v>
      </c>
    </row>
    <row r="1467" spans="1:27" x14ac:dyDescent="0.25">
      <c r="A1467" s="10">
        <v>45680</v>
      </c>
      <c r="B1467" s="11" t="s">
        <v>195</v>
      </c>
      <c r="C1467" s="11" t="s">
        <v>3308</v>
      </c>
      <c r="D1467" s="11" t="s">
        <v>26</v>
      </c>
      <c r="E1467" s="11" t="s">
        <v>90</v>
      </c>
      <c r="F1467" s="11" t="s">
        <v>26</v>
      </c>
      <c r="G1467" s="11">
        <v>60859</v>
      </c>
      <c r="H1467" s="12" t="s">
        <v>4423</v>
      </c>
      <c r="I1467" s="12" t="s">
        <v>27</v>
      </c>
      <c r="J1467" s="12" t="s">
        <v>42</v>
      </c>
      <c r="K1467" s="12" t="s">
        <v>43</v>
      </c>
      <c r="L1467" s="13">
        <v>36.28</v>
      </c>
      <c r="M1467" s="13">
        <v>25</v>
      </c>
      <c r="N1467" s="13">
        <v>1.4512</v>
      </c>
      <c r="O1467" s="13">
        <v>42</v>
      </c>
      <c r="P1467" s="13" t="s">
        <v>30</v>
      </c>
      <c r="Q1467" s="13">
        <v>0</v>
      </c>
      <c r="R1467" s="14">
        <v>1523.76</v>
      </c>
      <c r="S1467" s="15">
        <v>0</v>
      </c>
      <c r="T1467" s="15">
        <v>0</v>
      </c>
      <c r="U1467" s="15">
        <v>1523.76</v>
      </c>
      <c r="V1467" s="15">
        <v>1523.76</v>
      </c>
      <c r="W1467" s="15">
        <v>0</v>
      </c>
      <c r="X1467" s="15">
        <v>0</v>
      </c>
      <c r="Y1467" s="16">
        <v>0</v>
      </c>
      <c r="Z1467" s="67" t="s">
        <v>26</v>
      </c>
      <c r="AA1467" s="12" t="s">
        <v>31</v>
      </c>
    </row>
    <row r="1468" spans="1:27" x14ac:dyDescent="0.25">
      <c r="A1468" s="10">
        <v>45680</v>
      </c>
      <c r="B1468" s="11" t="s">
        <v>3309</v>
      </c>
      <c r="C1468" s="11" t="s">
        <v>3310</v>
      </c>
      <c r="D1468" s="11" t="s">
        <v>26</v>
      </c>
      <c r="E1468" s="11" t="s">
        <v>593</v>
      </c>
      <c r="F1468" s="11" t="s">
        <v>26</v>
      </c>
      <c r="G1468" s="11">
        <v>59500</v>
      </c>
      <c r="H1468" s="12" t="s">
        <v>4423</v>
      </c>
      <c r="I1468" s="12" t="s">
        <v>27</v>
      </c>
      <c r="J1468" s="12" t="s">
        <v>33</v>
      </c>
      <c r="K1468" s="12" t="s">
        <v>34</v>
      </c>
      <c r="L1468" s="13">
        <v>35.700000000000003</v>
      </c>
      <c r="M1468" s="13">
        <v>25</v>
      </c>
      <c r="N1468" s="13">
        <v>1.4279999999999999</v>
      </c>
      <c r="O1468" s="13">
        <v>45</v>
      </c>
      <c r="P1468" s="13" t="s">
        <v>30</v>
      </c>
      <c r="Q1468" s="13">
        <v>0</v>
      </c>
      <c r="R1468" s="14">
        <v>1606.5000000000002</v>
      </c>
      <c r="S1468" s="15">
        <v>0</v>
      </c>
      <c r="T1468" s="15">
        <v>0</v>
      </c>
      <c r="U1468" s="15">
        <v>1606.5000000000002</v>
      </c>
      <c r="V1468" s="15">
        <v>1606.5000000000002</v>
      </c>
      <c r="W1468" s="15">
        <v>0</v>
      </c>
      <c r="X1468" s="15">
        <v>0</v>
      </c>
      <c r="Y1468" s="16">
        <v>0</v>
      </c>
      <c r="Z1468" s="67" t="s">
        <v>26</v>
      </c>
      <c r="AA1468" s="12" t="s">
        <v>31</v>
      </c>
    </row>
    <row r="1469" spans="1:27" x14ac:dyDescent="0.25">
      <c r="A1469" s="10">
        <v>45680</v>
      </c>
      <c r="B1469" s="11" t="s">
        <v>3311</v>
      </c>
      <c r="C1469" s="11" t="s">
        <v>3312</v>
      </c>
      <c r="D1469" s="11" t="s">
        <v>26</v>
      </c>
      <c r="E1469" s="11" t="s">
        <v>604</v>
      </c>
      <c r="F1469" s="11" t="s">
        <v>26</v>
      </c>
      <c r="G1469" s="11">
        <v>1114</v>
      </c>
      <c r="H1469" s="12" t="s">
        <v>141</v>
      </c>
      <c r="I1469" s="12" t="s">
        <v>27</v>
      </c>
      <c r="J1469" s="12" t="s">
        <v>33</v>
      </c>
      <c r="K1469" s="12" t="s">
        <v>34</v>
      </c>
      <c r="L1469" s="13">
        <v>38.799999999999997</v>
      </c>
      <c r="M1469" s="13">
        <v>25</v>
      </c>
      <c r="N1469" s="13">
        <v>1.552</v>
      </c>
      <c r="O1469" s="13">
        <v>40</v>
      </c>
      <c r="P1469" s="13" t="s">
        <v>30</v>
      </c>
      <c r="Q1469" s="13">
        <v>0</v>
      </c>
      <c r="R1469" s="14">
        <v>1552</v>
      </c>
      <c r="S1469" s="15">
        <v>0</v>
      </c>
      <c r="T1469" s="15">
        <v>0</v>
      </c>
      <c r="U1469" s="15">
        <v>1552</v>
      </c>
      <c r="V1469" s="15">
        <v>0</v>
      </c>
      <c r="W1469" s="15">
        <v>1552</v>
      </c>
      <c r="X1469" s="15">
        <v>0</v>
      </c>
      <c r="Y1469" s="16">
        <v>0</v>
      </c>
      <c r="Z1469" s="67" t="s">
        <v>26</v>
      </c>
      <c r="AA1469" s="12" t="s">
        <v>31</v>
      </c>
    </row>
    <row r="1470" spans="1:27" x14ac:dyDescent="0.25">
      <c r="A1470" s="10">
        <v>45680</v>
      </c>
      <c r="B1470" s="11" t="s">
        <v>3313</v>
      </c>
      <c r="C1470" s="11" t="s">
        <v>3314</v>
      </c>
      <c r="D1470" s="11" t="s">
        <v>26</v>
      </c>
      <c r="E1470" s="11" t="s">
        <v>87</v>
      </c>
      <c r="F1470" s="11" t="s">
        <v>26</v>
      </c>
      <c r="G1470" s="11">
        <v>32386</v>
      </c>
      <c r="H1470" s="12" t="s">
        <v>4423</v>
      </c>
      <c r="I1470" s="12" t="s">
        <v>27</v>
      </c>
      <c r="J1470" s="12" t="s">
        <v>42</v>
      </c>
      <c r="K1470" s="12" t="s">
        <v>43</v>
      </c>
      <c r="L1470" s="13">
        <v>38</v>
      </c>
      <c r="M1470" s="13">
        <v>25</v>
      </c>
      <c r="N1470" s="13">
        <v>1.52</v>
      </c>
      <c r="O1470" s="13">
        <v>42</v>
      </c>
      <c r="P1470" s="13" t="s">
        <v>30</v>
      </c>
      <c r="Q1470" s="13">
        <v>0</v>
      </c>
      <c r="R1470" s="14">
        <v>1596</v>
      </c>
      <c r="S1470" s="15">
        <v>0</v>
      </c>
      <c r="T1470" s="15">
        <v>0</v>
      </c>
      <c r="U1470" s="15">
        <v>1596</v>
      </c>
      <c r="V1470" s="15">
        <v>1596</v>
      </c>
      <c r="W1470" s="15">
        <v>0</v>
      </c>
      <c r="X1470" s="15">
        <v>0</v>
      </c>
      <c r="Y1470" s="16">
        <v>0</v>
      </c>
      <c r="Z1470" s="67" t="s">
        <v>26</v>
      </c>
      <c r="AA1470" s="12" t="s">
        <v>31</v>
      </c>
    </row>
    <row r="1471" spans="1:27" x14ac:dyDescent="0.25">
      <c r="A1471" s="10">
        <v>45680</v>
      </c>
      <c r="B1471" s="11" t="s">
        <v>3315</v>
      </c>
      <c r="C1471" s="11" t="s">
        <v>3316</v>
      </c>
      <c r="D1471" s="11" t="s">
        <v>26</v>
      </c>
      <c r="E1471" s="11" t="s">
        <v>65</v>
      </c>
      <c r="F1471" s="11" t="s">
        <v>26</v>
      </c>
      <c r="G1471" s="11">
        <v>1587</v>
      </c>
      <c r="H1471" s="12" t="s">
        <v>66</v>
      </c>
      <c r="I1471" s="12" t="s">
        <v>27</v>
      </c>
      <c r="J1471" s="12" t="s">
        <v>47</v>
      </c>
      <c r="K1471" s="12" t="s">
        <v>48</v>
      </c>
      <c r="L1471" s="13">
        <v>40.700000000000003</v>
      </c>
      <c r="M1471" s="13">
        <v>28</v>
      </c>
      <c r="N1471" s="13">
        <v>1.453571428571429</v>
      </c>
      <c r="O1471" s="13" t="s">
        <v>30</v>
      </c>
      <c r="P1471" s="13">
        <v>74</v>
      </c>
      <c r="Q1471" s="14">
        <v>0</v>
      </c>
      <c r="R1471" s="15">
        <v>2072</v>
      </c>
      <c r="S1471" s="15">
        <v>0</v>
      </c>
      <c r="T1471" s="15">
        <v>0</v>
      </c>
      <c r="U1471" s="15">
        <v>2072</v>
      </c>
      <c r="V1471" s="15">
        <v>2072</v>
      </c>
      <c r="W1471" s="15">
        <v>0</v>
      </c>
      <c r="X1471" s="15">
        <v>0</v>
      </c>
      <c r="Y1471" s="16">
        <v>0</v>
      </c>
      <c r="Z1471" s="67" t="s">
        <v>26</v>
      </c>
      <c r="AA1471" s="12" t="s">
        <v>31</v>
      </c>
    </row>
    <row r="1472" spans="1:27" x14ac:dyDescent="0.25">
      <c r="A1472" s="10">
        <v>45680</v>
      </c>
      <c r="B1472" s="11" t="s">
        <v>3317</v>
      </c>
      <c r="C1472" s="11" t="s">
        <v>3318</v>
      </c>
      <c r="D1472" s="11" t="s">
        <v>26</v>
      </c>
      <c r="E1472" s="11" t="s">
        <v>444</v>
      </c>
      <c r="F1472" s="11" t="s">
        <v>26</v>
      </c>
      <c r="G1472" s="11" t="s">
        <v>185</v>
      </c>
      <c r="H1472" s="12" t="s">
        <v>4449</v>
      </c>
      <c r="I1472" s="12" t="s">
        <v>55</v>
      </c>
      <c r="J1472" s="12" t="s">
        <v>55</v>
      </c>
      <c r="K1472" s="12" t="s">
        <v>56</v>
      </c>
      <c r="L1472" s="13">
        <v>33.82</v>
      </c>
      <c r="M1472" s="13">
        <v>22</v>
      </c>
      <c r="N1472" s="13">
        <v>1.5372727272727269</v>
      </c>
      <c r="O1472" s="13">
        <v>15</v>
      </c>
      <c r="P1472" s="13" t="s">
        <v>30</v>
      </c>
      <c r="Q1472" s="13">
        <v>0</v>
      </c>
      <c r="R1472" s="14">
        <v>507.3</v>
      </c>
      <c r="S1472" s="15">
        <v>0</v>
      </c>
      <c r="T1472" s="15">
        <v>0</v>
      </c>
      <c r="U1472" s="15">
        <v>507.3</v>
      </c>
      <c r="V1472" s="15">
        <v>507.3</v>
      </c>
      <c r="W1472" s="15">
        <v>0</v>
      </c>
      <c r="X1472" s="15">
        <v>0</v>
      </c>
      <c r="Y1472" s="16">
        <v>0</v>
      </c>
      <c r="Z1472" s="67" t="s">
        <v>26</v>
      </c>
      <c r="AA1472" s="12" t="s">
        <v>31</v>
      </c>
    </row>
    <row r="1473" spans="1:27" x14ac:dyDescent="0.25">
      <c r="A1473" s="10">
        <v>45680</v>
      </c>
      <c r="B1473" s="11" t="s">
        <v>3319</v>
      </c>
      <c r="C1473" s="11" t="s">
        <v>3320</v>
      </c>
      <c r="D1473" s="11" t="s">
        <v>26</v>
      </c>
      <c r="E1473" s="11" t="s">
        <v>77</v>
      </c>
      <c r="F1473" s="11" t="s">
        <v>26</v>
      </c>
      <c r="G1473" s="11" t="s">
        <v>185</v>
      </c>
      <c r="H1473" s="12" t="s">
        <v>4449</v>
      </c>
      <c r="I1473" s="12" t="s">
        <v>55</v>
      </c>
      <c r="J1473" s="12" t="s">
        <v>55</v>
      </c>
      <c r="K1473" s="12" t="s">
        <v>56</v>
      </c>
      <c r="L1473" s="13">
        <v>39.06</v>
      </c>
      <c r="M1473" s="13">
        <v>25</v>
      </c>
      <c r="N1473" s="13">
        <v>1.5624</v>
      </c>
      <c r="O1473" s="13">
        <v>15</v>
      </c>
      <c r="P1473" s="13" t="s">
        <v>30</v>
      </c>
      <c r="Q1473" s="13">
        <v>0</v>
      </c>
      <c r="R1473" s="14">
        <v>585.90000000000009</v>
      </c>
      <c r="S1473" s="15">
        <v>0</v>
      </c>
      <c r="T1473" s="15">
        <v>0</v>
      </c>
      <c r="U1473" s="15">
        <v>585.90000000000009</v>
      </c>
      <c r="V1473" s="15">
        <v>585.90000000000009</v>
      </c>
      <c r="W1473" s="15">
        <v>0</v>
      </c>
      <c r="X1473" s="15">
        <v>0</v>
      </c>
      <c r="Y1473" s="16">
        <v>0</v>
      </c>
      <c r="Z1473" s="67" t="s">
        <v>26</v>
      </c>
      <c r="AA1473" s="12" t="s">
        <v>31</v>
      </c>
    </row>
    <row r="1474" spans="1:27" x14ac:dyDescent="0.25">
      <c r="A1474" s="10">
        <v>45680</v>
      </c>
      <c r="B1474" s="11" t="s">
        <v>3321</v>
      </c>
      <c r="C1474" s="11" t="s">
        <v>3322</v>
      </c>
      <c r="D1474" s="11" t="s">
        <v>26</v>
      </c>
      <c r="E1474" s="11" t="s">
        <v>80</v>
      </c>
      <c r="F1474" s="11" t="s">
        <v>26</v>
      </c>
      <c r="G1474" s="11">
        <v>10653</v>
      </c>
      <c r="H1474" s="12" t="s">
        <v>140</v>
      </c>
      <c r="I1474" s="12" t="s">
        <v>27</v>
      </c>
      <c r="J1474" s="12" t="s">
        <v>33</v>
      </c>
      <c r="K1474" s="12" t="s">
        <v>34</v>
      </c>
      <c r="L1474" s="13">
        <v>40.22</v>
      </c>
      <c r="M1474" s="13">
        <v>28</v>
      </c>
      <c r="N1474" s="13">
        <v>1.4364285714285709</v>
      </c>
      <c r="O1474" s="13">
        <v>40</v>
      </c>
      <c r="P1474" s="13"/>
      <c r="Q1474" s="13">
        <v>0</v>
      </c>
      <c r="R1474" s="15">
        <v>1608.8</v>
      </c>
      <c r="S1474" s="15">
        <v>0</v>
      </c>
      <c r="T1474" s="15">
        <v>0</v>
      </c>
      <c r="U1474" s="15">
        <v>1608.8</v>
      </c>
      <c r="V1474" s="15">
        <v>0</v>
      </c>
      <c r="W1474" s="15">
        <v>1608.8</v>
      </c>
      <c r="X1474" s="15">
        <v>0</v>
      </c>
      <c r="Y1474" s="16">
        <v>0</v>
      </c>
      <c r="Z1474" s="67" t="s">
        <v>26</v>
      </c>
      <c r="AA1474" s="12" t="s">
        <v>31</v>
      </c>
    </row>
    <row r="1475" spans="1:27" x14ac:dyDescent="0.25">
      <c r="A1475" s="10">
        <v>45680</v>
      </c>
      <c r="B1475" s="11" t="s">
        <v>3323</v>
      </c>
      <c r="C1475" s="11" t="s">
        <v>3324</v>
      </c>
      <c r="D1475" s="11" t="s">
        <v>26</v>
      </c>
      <c r="E1475" s="11" t="s">
        <v>559</v>
      </c>
      <c r="F1475" s="11" t="s">
        <v>26</v>
      </c>
      <c r="G1475" s="11">
        <v>2566</v>
      </c>
      <c r="H1475" s="12" t="s">
        <v>41</v>
      </c>
      <c r="I1475" s="12" t="s">
        <v>55</v>
      </c>
      <c r="J1475" s="12" t="s">
        <v>55</v>
      </c>
      <c r="K1475" s="12" t="s">
        <v>56</v>
      </c>
      <c r="L1475" s="13">
        <v>33.22</v>
      </c>
      <c r="M1475" s="13">
        <v>20</v>
      </c>
      <c r="N1475" s="13">
        <v>1.661</v>
      </c>
      <c r="O1475" s="13" t="s">
        <v>30</v>
      </c>
      <c r="P1475" s="13">
        <v>24</v>
      </c>
      <c r="Q1475" s="13">
        <v>0</v>
      </c>
      <c r="R1475" s="14">
        <v>480</v>
      </c>
      <c r="S1475" s="15">
        <v>0</v>
      </c>
      <c r="T1475" s="15">
        <v>0</v>
      </c>
      <c r="U1475" s="15">
        <v>480</v>
      </c>
      <c r="V1475" s="15">
        <v>0</v>
      </c>
      <c r="W1475" s="15">
        <v>480</v>
      </c>
      <c r="X1475" s="15">
        <v>0</v>
      </c>
      <c r="Y1475" s="16">
        <v>0</v>
      </c>
      <c r="Z1475" s="67" t="s">
        <v>26</v>
      </c>
      <c r="AA1475" s="12" t="s">
        <v>31</v>
      </c>
    </row>
    <row r="1476" spans="1:27" x14ac:dyDescent="0.25">
      <c r="A1476" s="10">
        <v>45680</v>
      </c>
      <c r="B1476" s="11" t="s">
        <v>3325</v>
      </c>
      <c r="C1476" s="11" t="s">
        <v>3326</v>
      </c>
      <c r="D1476" s="11" t="s">
        <v>26</v>
      </c>
      <c r="E1476" s="11" t="s">
        <v>570</v>
      </c>
      <c r="F1476" s="11" t="s">
        <v>26</v>
      </c>
      <c r="G1476" s="11">
        <v>10335</v>
      </c>
      <c r="H1476" s="12" t="s">
        <v>140</v>
      </c>
      <c r="I1476" s="12" t="s">
        <v>27</v>
      </c>
      <c r="J1476" s="12" t="s">
        <v>42</v>
      </c>
      <c r="K1476" s="12" t="s">
        <v>43</v>
      </c>
      <c r="L1476" s="13">
        <v>41.78</v>
      </c>
      <c r="M1476" s="13">
        <v>25</v>
      </c>
      <c r="N1476" s="13">
        <v>1.6712</v>
      </c>
      <c r="O1476" s="13">
        <v>35</v>
      </c>
      <c r="P1476" s="13"/>
      <c r="Q1476" s="13">
        <v>0</v>
      </c>
      <c r="R1476" s="14">
        <v>1462.3</v>
      </c>
      <c r="S1476" s="15">
        <v>0</v>
      </c>
      <c r="T1476" s="15">
        <v>0</v>
      </c>
      <c r="U1476" s="15">
        <v>1462.3</v>
      </c>
      <c r="V1476" s="15">
        <v>0</v>
      </c>
      <c r="W1476" s="15">
        <v>1462.3</v>
      </c>
      <c r="X1476" s="15">
        <v>0</v>
      </c>
      <c r="Y1476" s="16">
        <v>0</v>
      </c>
      <c r="Z1476" s="67" t="s">
        <v>26</v>
      </c>
      <c r="AA1476" s="12" t="s">
        <v>31</v>
      </c>
    </row>
    <row r="1477" spans="1:27" x14ac:dyDescent="0.25">
      <c r="A1477" s="10">
        <v>45680</v>
      </c>
      <c r="B1477" s="11" t="s">
        <v>293</v>
      </c>
      <c r="C1477" s="11" t="s">
        <v>3327</v>
      </c>
      <c r="D1477" s="11" t="s">
        <v>26</v>
      </c>
      <c r="E1477" s="11" t="s">
        <v>50</v>
      </c>
      <c r="F1477" s="11" t="s">
        <v>26</v>
      </c>
      <c r="G1477" s="11">
        <v>901</v>
      </c>
      <c r="H1477" s="12" t="s">
        <v>163</v>
      </c>
      <c r="I1477" s="12" t="s">
        <v>27</v>
      </c>
      <c r="J1477" s="12" t="s">
        <v>33</v>
      </c>
      <c r="K1477" s="12" t="s">
        <v>34</v>
      </c>
      <c r="L1477" s="13">
        <v>36.36</v>
      </c>
      <c r="M1477" s="13">
        <v>25</v>
      </c>
      <c r="N1477" s="13">
        <v>1.4543999999999999</v>
      </c>
      <c r="O1477" s="13" t="s">
        <v>30</v>
      </c>
      <c r="P1477" s="13">
        <v>58</v>
      </c>
      <c r="Q1477" s="13">
        <v>0</v>
      </c>
      <c r="R1477" s="14">
        <v>1450</v>
      </c>
      <c r="S1477" s="15">
        <v>0</v>
      </c>
      <c r="T1477" s="15">
        <v>0</v>
      </c>
      <c r="U1477" s="15">
        <v>1450</v>
      </c>
      <c r="V1477" s="15">
        <v>0</v>
      </c>
      <c r="W1477" s="15">
        <v>1450</v>
      </c>
      <c r="X1477" s="15">
        <v>0</v>
      </c>
      <c r="Y1477" s="16">
        <v>0</v>
      </c>
      <c r="Z1477" s="67" t="s">
        <v>26</v>
      </c>
      <c r="AA1477" s="12" t="s">
        <v>31</v>
      </c>
    </row>
    <row r="1478" spans="1:27" x14ac:dyDescent="0.25">
      <c r="A1478" s="10">
        <v>45680</v>
      </c>
      <c r="B1478" s="11" t="s">
        <v>3328</v>
      </c>
      <c r="C1478" s="11" t="s">
        <v>3329</v>
      </c>
      <c r="D1478" s="11" t="s">
        <v>26</v>
      </c>
      <c r="E1478" s="11" t="s">
        <v>230</v>
      </c>
      <c r="F1478" s="11" t="s">
        <v>26</v>
      </c>
      <c r="G1478" s="11" t="s">
        <v>26</v>
      </c>
      <c r="H1478" s="12" t="s">
        <v>4422</v>
      </c>
      <c r="I1478" s="12" t="s">
        <v>27</v>
      </c>
      <c r="J1478" s="12" t="s">
        <v>47</v>
      </c>
      <c r="K1478" s="12" t="s">
        <v>48</v>
      </c>
      <c r="L1478" s="13">
        <v>42.86</v>
      </c>
      <c r="M1478" s="13">
        <v>29</v>
      </c>
      <c r="N1478" s="13">
        <v>1.477931034482759</v>
      </c>
      <c r="O1478" s="13">
        <v>87</v>
      </c>
      <c r="P1478" s="13" t="s">
        <v>30</v>
      </c>
      <c r="Q1478" s="13">
        <v>0</v>
      </c>
      <c r="R1478" s="14">
        <v>3728.82</v>
      </c>
      <c r="S1478" s="15">
        <v>38</v>
      </c>
      <c r="T1478" s="15">
        <v>1628.68</v>
      </c>
      <c r="U1478" s="15">
        <v>2100.1400000000003</v>
      </c>
      <c r="V1478" s="15">
        <v>2100.1400000000003</v>
      </c>
      <c r="W1478" s="15"/>
      <c r="X1478" s="15">
        <v>1542.96</v>
      </c>
      <c r="Y1478" s="16">
        <v>85.720000000000027</v>
      </c>
      <c r="Z1478" s="67" t="s">
        <v>565</v>
      </c>
      <c r="AA1478" s="12" t="s">
        <v>78</v>
      </c>
    </row>
    <row r="1479" spans="1:27" x14ac:dyDescent="0.25">
      <c r="A1479" s="10">
        <v>45680</v>
      </c>
      <c r="B1479" s="11" t="s">
        <v>3330</v>
      </c>
      <c r="C1479" s="11" t="s">
        <v>3331</v>
      </c>
      <c r="D1479" s="11" t="s">
        <v>26</v>
      </c>
      <c r="E1479" s="11" t="s">
        <v>241</v>
      </c>
      <c r="F1479" s="11" t="s">
        <v>26</v>
      </c>
      <c r="G1479" s="11">
        <v>74965</v>
      </c>
      <c r="H1479" s="12" t="s">
        <v>4448</v>
      </c>
      <c r="I1479" s="12" t="s">
        <v>27</v>
      </c>
      <c r="J1479" s="12" t="s">
        <v>42</v>
      </c>
      <c r="K1479" s="12" t="s">
        <v>43</v>
      </c>
      <c r="L1479" s="13">
        <v>45.9</v>
      </c>
      <c r="M1479" s="13">
        <v>29</v>
      </c>
      <c r="N1479" s="13">
        <v>1.5827586206896549</v>
      </c>
      <c r="O1479" s="13">
        <v>42.5</v>
      </c>
      <c r="P1479" s="13" t="s">
        <v>30</v>
      </c>
      <c r="Q1479" s="13">
        <v>0</v>
      </c>
      <c r="R1479" s="14">
        <v>1950.75</v>
      </c>
      <c r="S1479" s="15">
        <v>0</v>
      </c>
      <c r="T1479" s="15">
        <v>0</v>
      </c>
      <c r="U1479" s="15">
        <v>1950.75</v>
      </c>
      <c r="V1479" s="15">
        <v>1463.0625</v>
      </c>
      <c r="W1479" s="15">
        <v>487.6875</v>
      </c>
      <c r="X1479" s="15">
        <v>0</v>
      </c>
      <c r="Y1479" s="16">
        <v>0</v>
      </c>
      <c r="Z1479" s="67" t="s">
        <v>26</v>
      </c>
      <c r="AA1479" s="12" t="s">
        <v>31</v>
      </c>
    </row>
    <row r="1480" spans="1:27" x14ac:dyDescent="0.25">
      <c r="A1480" s="10">
        <v>45680</v>
      </c>
      <c r="B1480" s="11" t="s">
        <v>3332</v>
      </c>
      <c r="C1480" s="11" t="s">
        <v>3333</v>
      </c>
      <c r="D1480" s="11" t="s">
        <v>26</v>
      </c>
      <c r="E1480" s="11" t="s">
        <v>74</v>
      </c>
      <c r="F1480" s="11" t="s">
        <v>26</v>
      </c>
      <c r="G1480" s="11">
        <v>1321</v>
      </c>
      <c r="H1480" s="12" t="s">
        <v>70</v>
      </c>
      <c r="I1480" s="12" t="s">
        <v>27</v>
      </c>
      <c r="J1480" s="12" t="s">
        <v>42</v>
      </c>
      <c r="K1480" s="12" t="s">
        <v>43</v>
      </c>
      <c r="L1480" s="13">
        <v>43.68</v>
      </c>
      <c r="M1480" s="13">
        <v>25</v>
      </c>
      <c r="N1480" s="13">
        <v>1.7472000000000001</v>
      </c>
      <c r="O1480" s="13" t="s">
        <v>30</v>
      </c>
      <c r="P1480" s="13">
        <v>64</v>
      </c>
      <c r="Q1480" s="13">
        <v>0</v>
      </c>
      <c r="R1480" s="14">
        <v>1600</v>
      </c>
      <c r="S1480" s="15">
        <v>0</v>
      </c>
      <c r="T1480" s="15">
        <v>0</v>
      </c>
      <c r="U1480" s="15">
        <v>1600</v>
      </c>
      <c r="V1480" s="15">
        <v>0</v>
      </c>
      <c r="W1480" s="15">
        <v>1600</v>
      </c>
      <c r="X1480" s="15">
        <v>0</v>
      </c>
      <c r="Y1480" s="16">
        <v>0</v>
      </c>
      <c r="Z1480" s="67" t="s">
        <v>26</v>
      </c>
      <c r="AA1480" s="12" t="s">
        <v>31</v>
      </c>
    </row>
    <row r="1481" spans="1:27" x14ac:dyDescent="0.25">
      <c r="A1481" s="10">
        <v>45680</v>
      </c>
      <c r="B1481" s="11" t="s">
        <v>3334</v>
      </c>
      <c r="C1481" s="11" t="s">
        <v>3335</v>
      </c>
      <c r="D1481" s="11" t="s">
        <v>26</v>
      </c>
      <c r="E1481" s="11" t="s">
        <v>240</v>
      </c>
      <c r="F1481" s="11" t="s">
        <v>26</v>
      </c>
      <c r="G1481" s="11">
        <v>2933</v>
      </c>
      <c r="H1481" s="12" t="s">
        <v>41</v>
      </c>
      <c r="I1481" s="12" t="s">
        <v>27</v>
      </c>
      <c r="J1481" s="12" t="s">
        <v>42</v>
      </c>
      <c r="K1481" s="12" t="s">
        <v>43</v>
      </c>
      <c r="L1481" s="13">
        <v>40.94</v>
      </c>
      <c r="M1481" s="13">
        <v>25</v>
      </c>
      <c r="N1481" s="13">
        <v>1.6375999999999999</v>
      </c>
      <c r="O1481" s="13" t="s">
        <v>30</v>
      </c>
      <c r="P1481" s="13">
        <v>64</v>
      </c>
      <c r="Q1481" s="13">
        <v>0</v>
      </c>
      <c r="R1481" s="14">
        <v>1600</v>
      </c>
      <c r="S1481" s="15">
        <v>0</v>
      </c>
      <c r="T1481" s="15">
        <v>0</v>
      </c>
      <c r="U1481" s="15">
        <v>1600</v>
      </c>
      <c r="V1481" s="15">
        <v>0</v>
      </c>
      <c r="W1481" s="15">
        <v>1600</v>
      </c>
      <c r="X1481" s="15">
        <v>0</v>
      </c>
      <c r="Y1481" s="16">
        <v>0</v>
      </c>
      <c r="Z1481" s="67" t="s">
        <v>26</v>
      </c>
      <c r="AA1481" s="12" t="s">
        <v>31</v>
      </c>
    </row>
    <row r="1482" spans="1:27" x14ac:dyDescent="0.25">
      <c r="A1482" s="10">
        <v>45680</v>
      </c>
      <c r="B1482" s="11" t="s">
        <v>3336</v>
      </c>
      <c r="C1482" s="11" t="s">
        <v>3337</v>
      </c>
      <c r="D1482" s="11" t="s">
        <v>26</v>
      </c>
      <c r="E1482" s="11" t="s">
        <v>501</v>
      </c>
      <c r="F1482" s="11" t="s">
        <v>26</v>
      </c>
      <c r="G1482" s="11">
        <v>809</v>
      </c>
      <c r="H1482" s="12" t="s">
        <v>141</v>
      </c>
      <c r="I1482" s="12" t="s">
        <v>27</v>
      </c>
      <c r="J1482" s="12" t="s">
        <v>33</v>
      </c>
      <c r="K1482" s="12" t="s">
        <v>34</v>
      </c>
      <c r="L1482" s="13">
        <v>40</v>
      </c>
      <c r="M1482" s="13">
        <v>28</v>
      </c>
      <c r="N1482" s="13">
        <v>1.428571428571429</v>
      </c>
      <c r="O1482" s="13">
        <v>40</v>
      </c>
      <c r="P1482" s="13" t="s">
        <v>30</v>
      </c>
      <c r="Q1482" s="13">
        <v>0</v>
      </c>
      <c r="R1482" s="15">
        <v>1600</v>
      </c>
      <c r="S1482" s="15">
        <v>0</v>
      </c>
      <c r="T1482" s="15">
        <v>0</v>
      </c>
      <c r="U1482" s="15">
        <v>1600</v>
      </c>
      <c r="V1482" s="15">
        <v>0</v>
      </c>
      <c r="W1482" s="15">
        <v>1600</v>
      </c>
      <c r="X1482" s="15">
        <v>0</v>
      </c>
      <c r="Y1482" s="16">
        <v>0</v>
      </c>
      <c r="Z1482" s="67" t="s">
        <v>26</v>
      </c>
      <c r="AA1482" s="12" t="s">
        <v>31</v>
      </c>
    </row>
    <row r="1483" spans="1:27" x14ac:dyDescent="0.25">
      <c r="A1483" s="10">
        <v>45680</v>
      </c>
      <c r="B1483" s="11" t="s">
        <v>1835</v>
      </c>
      <c r="C1483" s="11" t="s">
        <v>3338</v>
      </c>
      <c r="D1483" s="11" t="s">
        <v>26</v>
      </c>
      <c r="E1483" s="11" t="s">
        <v>444</v>
      </c>
      <c r="F1483" s="11" t="s">
        <v>26</v>
      </c>
      <c r="G1483" s="11" t="s">
        <v>185</v>
      </c>
      <c r="H1483" s="12" t="s">
        <v>4449</v>
      </c>
      <c r="I1483" s="12" t="s">
        <v>55</v>
      </c>
      <c r="J1483" s="12" t="s">
        <v>55</v>
      </c>
      <c r="K1483" s="12" t="s">
        <v>56</v>
      </c>
      <c r="L1483" s="13">
        <v>34.880000000000003</v>
      </c>
      <c r="M1483" s="13">
        <v>21</v>
      </c>
      <c r="N1483" s="13">
        <v>1.660952380952381</v>
      </c>
      <c r="O1483" s="13">
        <v>15</v>
      </c>
      <c r="P1483" s="13" t="s">
        <v>30</v>
      </c>
      <c r="Q1483" s="13">
        <v>0</v>
      </c>
      <c r="R1483" s="15">
        <v>523.20000000000005</v>
      </c>
      <c r="S1483" s="15">
        <v>0</v>
      </c>
      <c r="T1483" s="15">
        <v>0</v>
      </c>
      <c r="U1483" s="15">
        <v>523.20000000000005</v>
      </c>
      <c r="V1483" s="15">
        <v>523.20000000000005</v>
      </c>
      <c r="W1483" s="15">
        <v>0</v>
      </c>
      <c r="X1483" s="15">
        <v>0</v>
      </c>
      <c r="Y1483" s="16">
        <v>0</v>
      </c>
      <c r="Z1483" s="67" t="s">
        <v>26</v>
      </c>
      <c r="AA1483" s="12" t="s">
        <v>31</v>
      </c>
    </row>
    <row r="1484" spans="1:27" x14ac:dyDescent="0.25">
      <c r="A1484" s="10">
        <v>45680</v>
      </c>
      <c r="B1484" s="11" t="s">
        <v>3339</v>
      </c>
      <c r="C1484" s="11" t="s">
        <v>3340</v>
      </c>
      <c r="D1484" s="11" t="s">
        <v>26</v>
      </c>
      <c r="E1484" s="11" t="s">
        <v>68</v>
      </c>
      <c r="F1484" s="11" t="s">
        <v>26</v>
      </c>
      <c r="G1484" s="11">
        <v>1534</v>
      </c>
      <c r="H1484" s="12" t="s">
        <v>45</v>
      </c>
      <c r="I1484" s="12" t="s">
        <v>27</v>
      </c>
      <c r="J1484" s="12" t="s">
        <v>42</v>
      </c>
      <c r="K1484" s="12" t="s">
        <v>43</v>
      </c>
      <c r="L1484" s="13">
        <v>43.96</v>
      </c>
      <c r="M1484" s="13">
        <v>25</v>
      </c>
      <c r="N1484" s="13">
        <v>1.7584</v>
      </c>
      <c r="O1484" s="13" t="s">
        <v>30</v>
      </c>
      <c r="P1484" s="13">
        <v>62</v>
      </c>
      <c r="Q1484" s="13">
        <v>0</v>
      </c>
      <c r="R1484" s="14">
        <v>1550</v>
      </c>
      <c r="S1484" s="15">
        <v>0</v>
      </c>
      <c r="T1484" s="15">
        <v>0</v>
      </c>
      <c r="U1484" s="15">
        <v>1550</v>
      </c>
      <c r="V1484" s="15">
        <v>0</v>
      </c>
      <c r="W1484" s="15">
        <v>1550</v>
      </c>
      <c r="X1484" s="15">
        <v>0</v>
      </c>
      <c r="Y1484" s="16">
        <v>0</v>
      </c>
      <c r="Z1484" s="67" t="s">
        <v>26</v>
      </c>
      <c r="AA1484" s="12" t="s">
        <v>31</v>
      </c>
    </row>
    <row r="1485" spans="1:27" x14ac:dyDescent="0.25">
      <c r="A1485" s="10">
        <v>45680</v>
      </c>
      <c r="B1485" s="11" t="s">
        <v>3341</v>
      </c>
      <c r="C1485" s="11" t="s">
        <v>3342</v>
      </c>
      <c r="D1485" s="11" t="s">
        <v>26</v>
      </c>
      <c r="E1485" s="11" t="s">
        <v>526</v>
      </c>
      <c r="F1485" s="11" t="s">
        <v>26</v>
      </c>
      <c r="G1485" s="11">
        <v>1531</v>
      </c>
      <c r="H1485" s="12" t="s">
        <v>45</v>
      </c>
      <c r="I1485" s="12" t="s">
        <v>27</v>
      </c>
      <c r="J1485" s="12" t="s">
        <v>42</v>
      </c>
      <c r="K1485" s="12" t="s">
        <v>43</v>
      </c>
      <c r="L1485" s="13">
        <v>40.22</v>
      </c>
      <c r="M1485" s="13">
        <v>25</v>
      </c>
      <c r="N1485" s="13">
        <v>1.6088</v>
      </c>
      <c r="O1485" s="13" t="s">
        <v>30</v>
      </c>
      <c r="P1485" s="13">
        <v>62</v>
      </c>
      <c r="Q1485" s="13">
        <v>0</v>
      </c>
      <c r="R1485" s="14">
        <v>1550</v>
      </c>
      <c r="S1485" s="15">
        <v>0</v>
      </c>
      <c r="T1485" s="15">
        <v>0</v>
      </c>
      <c r="U1485" s="15">
        <v>1550</v>
      </c>
      <c r="V1485" s="15">
        <v>0</v>
      </c>
      <c r="W1485" s="15">
        <v>1550</v>
      </c>
      <c r="X1485" s="15">
        <v>0</v>
      </c>
      <c r="Y1485" s="16">
        <v>0</v>
      </c>
      <c r="Z1485" s="67" t="s">
        <v>26</v>
      </c>
      <c r="AA1485" s="12" t="s">
        <v>31</v>
      </c>
    </row>
    <row r="1486" spans="1:27" x14ac:dyDescent="0.25">
      <c r="A1486" s="10">
        <v>45680</v>
      </c>
      <c r="B1486" s="11" t="s">
        <v>3343</v>
      </c>
      <c r="C1486" s="11" t="s">
        <v>3344</v>
      </c>
      <c r="D1486" s="11" t="s">
        <v>26</v>
      </c>
      <c r="E1486" s="11" t="s">
        <v>67</v>
      </c>
      <c r="F1486" s="11" t="s">
        <v>26</v>
      </c>
      <c r="G1486" s="11">
        <v>1614</v>
      </c>
      <c r="H1486" s="12" t="s">
        <v>66</v>
      </c>
      <c r="I1486" s="12" t="s">
        <v>27</v>
      </c>
      <c r="J1486" s="12" t="s">
        <v>47</v>
      </c>
      <c r="K1486" s="12" t="s">
        <v>48</v>
      </c>
      <c r="L1486" s="13">
        <v>39.04</v>
      </c>
      <c r="M1486" s="13">
        <v>25</v>
      </c>
      <c r="N1486" s="13">
        <v>1.5616000000000001</v>
      </c>
      <c r="O1486" s="13" t="s">
        <v>30</v>
      </c>
      <c r="P1486" s="13">
        <v>74</v>
      </c>
      <c r="Q1486" s="13">
        <v>0</v>
      </c>
      <c r="R1486" s="14">
        <v>1850</v>
      </c>
      <c r="S1486" s="15">
        <v>0</v>
      </c>
      <c r="T1486" s="15">
        <v>0</v>
      </c>
      <c r="U1486" s="15">
        <v>1850</v>
      </c>
      <c r="V1486" s="15">
        <v>1850</v>
      </c>
      <c r="W1486" s="15">
        <v>0</v>
      </c>
      <c r="X1486" s="15">
        <v>0</v>
      </c>
      <c r="Y1486" s="16">
        <v>0</v>
      </c>
      <c r="Z1486" s="67" t="s">
        <v>26</v>
      </c>
      <c r="AA1486" s="12" t="s">
        <v>31</v>
      </c>
    </row>
    <row r="1487" spans="1:27" x14ac:dyDescent="0.25">
      <c r="A1487" s="10">
        <v>45680</v>
      </c>
      <c r="B1487" s="11" t="s">
        <v>3345</v>
      </c>
      <c r="C1487" s="11" t="s">
        <v>3346</v>
      </c>
      <c r="D1487" s="11" t="s">
        <v>26</v>
      </c>
      <c r="E1487" s="11" t="s">
        <v>246</v>
      </c>
      <c r="F1487" s="11" t="s">
        <v>26</v>
      </c>
      <c r="G1487" s="11">
        <v>2965</v>
      </c>
      <c r="H1487" s="12" t="s">
        <v>41</v>
      </c>
      <c r="I1487" s="12" t="s">
        <v>27</v>
      </c>
      <c r="J1487" s="12" t="s">
        <v>33</v>
      </c>
      <c r="K1487" s="12" t="s">
        <v>34</v>
      </c>
      <c r="L1487" s="13">
        <v>38.6</v>
      </c>
      <c r="M1487" s="13">
        <v>25</v>
      </c>
      <c r="N1487" s="13">
        <v>1.544</v>
      </c>
      <c r="O1487" s="13" t="s">
        <v>30</v>
      </c>
      <c r="P1487" s="13">
        <v>60</v>
      </c>
      <c r="Q1487" s="13">
        <v>0</v>
      </c>
      <c r="R1487" s="14">
        <v>1500</v>
      </c>
      <c r="S1487" s="15">
        <v>0</v>
      </c>
      <c r="T1487" s="15">
        <v>0</v>
      </c>
      <c r="U1487" s="15">
        <v>1500</v>
      </c>
      <c r="V1487" s="15">
        <v>0</v>
      </c>
      <c r="W1487" s="15">
        <v>1500</v>
      </c>
      <c r="X1487" s="15">
        <v>0</v>
      </c>
      <c r="Y1487" s="16">
        <v>0</v>
      </c>
      <c r="Z1487" s="67" t="s">
        <v>26</v>
      </c>
      <c r="AA1487" s="12" t="s">
        <v>31</v>
      </c>
    </row>
    <row r="1488" spans="1:27" x14ac:dyDescent="0.25">
      <c r="A1488" s="10">
        <v>45680</v>
      </c>
      <c r="B1488" s="11" t="s">
        <v>1783</v>
      </c>
      <c r="C1488" s="11" t="s">
        <v>3347</v>
      </c>
      <c r="D1488" s="11" t="s">
        <v>26</v>
      </c>
      <c r="E1488" s="11" t="s">
        <v>3348</v>
      </c>
      <c r="F1488" s="11" t="s">
        <v>26</v>
      </c>
      <c r="G1488" s="11" t="s">
        <v>35</v>
      </c>
      <c r="H1488" s="12" t="s">
        <v>36</v>
      </c>
      <c r="I1488" s="12" t="s">
        <v>55</v>
      </c>
      <c r="J1488" s="12" t="s">
        <v>55</v>
      </c>
      <c r="K1488" s="12" t="s">
        <v>56</v>
      </c>
      <c r="L1488" s="13">
        <v>35.14</v>
      </c>
      <c r="M1488" s="13">
        <v>24</v>
      </c>
      <c r="N1488" s="13">
        <v>1.4641666666666671</v>
      </c>
      <c r="O1488" s="13">
        <v>20</v>
      </c>
      <c r="P1488" s="13" t="s">
        <v>30</v>
      </c>
      <c r="Q1488" s="13">
        <v>0</v>
      </c>
      <c r="R1488" s="14">
        <v>702.8</v>
      </c>
      <c r="S1488" s="15">
        <v>0</v>
      </c>
      <c r="T1488" s="15">
        <v>0</v>
      </c>
      <c r="U1488" s="15">
        <v>702.8</v>
      </c>
      <c r="V1488" s="15">
        <v>0</v>
      </c>
      <c r="W1488" s="15">
        <v>702.8</v>
      </c>
      <c r="X1488" s="15">
        <v>0</v>
      </c>
      <c r="Y1488" s="16">
        <v>0</v>
      </c>
      <c r="Z1488" s="67" t="s">
        <v>26</v>
      </c>
      <c r="AA1488" s="12" t="s">
        <v>31</v>
      </c>
    </row>
    <row r="1489" spans="1:27" x14ac:dyDescent="0.25">
      <c r="A1489" s="10">
        <v>45680</v>
      </c>
      <c r="B1489" s="11" t="s">
        <v>3349</v>
      </c>
      <c r="C1489" s="11" t="s">
        <v>3350</v>
      </c>
      <c r="D1489" s="11" t="s">
        <v>26</v>
      </c>
      <c r="E1489" s="11" t="s">
        <v>65</v>
      </c>
      <c r="F1489" s="11" t="s">
        <v>26</v>
      </c>
      <c r="G1489" s="11">
        <v>1588</v>
      </c>
      <c r="H1489" s="12" t="s">
        <v>66</v>
      </c>
      <c r="I1489" s="12" t="s">
        <v>37</v>
      </c>
      <c r="J1489" s="12" t="s">
        <v>1909</v>
      </c>
      <c r="K1489" s="12" t="s">
        <v>82</v>
      </c>
      <c r="L1489" s="13">
        <v>36.56</v>
      </c>
      <c r="M1489" s="13">
        <v>25</v>
      </c>
      <c r="N1489" s="13">
        <v>1.4623999999999999</v>
      </c>
      <c r="O1489" s="13" t="s">
        <v>30</v>
      </c>
      <c r="P1489" s="13">
        <v>54</v>
      </c>
      <c r="Q1489" s="13">
        <v>0</v>
      </c>
      <c r="R1489" s="14">
        <v>1350</v>
      </c>
      <c r="S1489" s="15">
        <v>0</v>
      </c>
      <c r="T1489" s="15">
        <v>0</v>
      </c>
      <c r="U1489" s="15">
        <v>1350</v>
      </c>
      <c r="V1489" s="15">
        <v>1350</v>
      </c>
      <c r="W1489" s="15">
        <v>0</v>
      </c>
      <c r="X1489" s="15">
        <v>0</v>
      </c>
      <c r="Y1489" s="16">
        <v>0</v>
      </c>
      <c r="Z1489" s="67" t="s">
        <v>26</v>
      </c>
      <c r="AA1489" s="12" t="s">
        <v>31</v>
      </c>
    </row>
    <row r="1490" spans="1:27" x14ac:dyDescent="0.25">
      <c r="A1490" s="10">
        <v>45680</v>
      </c>
      <c r="B1490" s="11" t="s">
        <v>3351</v>
      </c>
      <c r="C1490" s="11" t="s">
        <v>3352</v>
      </c>
      <c r="D1490" s="11" t="s">
        <v>26</v>
      </c>
      <c r="E1490" s="11" t="s">
        <v>3353</v>
      </c>
      <c r="F1490" s="11" t="s">
        <v>26</v>
      </c>
      <c r="G1490" s="11" t="s">
        <v>35</v>
      </c>
      <c r="H1490" s="12" t="s">
        <v>36</v>
      </c>
      <c r="I1490" s="12" t="s">
        <v>55</v>
      </c>
      <c r="J1490" s="12" t="s">
        <v>55</v>
      </c>
      <c r="K1490" s="12" t="s">
        <v>56</v>
      </c>
      <c r="L1490" s="13">
        <v>34.36</v>
      </c>
      <c r="M1490" s="13">
        <v>24</v>
      </c>
      <c r="N1490" s="13">
        <v>1.4316666666666671</v>
      </c>
      <c r="O1490" s="13">
        <v>20</v>
      </c>
      <c r="P1490" s="13" t="s">
        <v>30</v>
      </c>
      <c r="Q1490" s="13">
        <v>0</v>
      </c>
      <c r="R1490" s="14">
        <v>687.2</v>
      </c>
      <c r="S1490" s="15">
        <v>0</v>
      </c>
      <c r="T1490" s="15">
        <v>0</v>
      </c>
      <c r="U1490" s="15">
        <v>687.2</v>
      </c>
      <c r="V1490" s="15">
        <v>0</v>
      </c>
      <c r="W1490" s="15">
        <v>687.2</v>
      </c>
      <c r="X1490" s="15">
        <v>0</v>
      </c>
      <c r="Y1490" s="16">
        <v>0</v>
      </c>
      <c r="Z1490" s="67" t="s">
        <v>26</v>
      </c>
      <c r="AA1490" s="12" t="s">
        <v>31</v>
      </c>
    </row>
    <row r="1491" spans="1:27" x14ac:dyDescent="0.25">
      <c r="A1491" s="10">
        <v>45680</v>
      </c>
      <c r="B1491" s="11" t="s">
        <v>3354</v>
      </c>
      <c r="C1491" s="11" t="s">
        <v>3355</v>
      </c>
      <c r="D1491" s="11" t="s">
        <v>26</v>
      </c>
      <c r="E1491" s="11" t="s">
        <v>58</v>
      </c>
      <c r="F1491" s="11" t="s">
        <v>26</v>
      </c>
      <c r="G1491" s="11">
        <v>45631</v>
      </c>
      <c r="H1491" s="12" t="s">
        <v>4423</v>
      </c>
      <c r="I1491" s="12" t="s">
        <v>27</v>
      </c>
      <c r="J1491" s="12" t="s">
        <v>33</v>
      </c>
      <c r="K1491" s="12" t="s">
        <v>34</v>
      </c>
      <c r="L1491" s="13">
        <v>36.24</v>
      </c>
      <c r="M1491" s="13">
        <v>25</v>
      </c>
      <c r="N1491" s="13">
        <v>1.4496</v>
      </c>
      <c r="O1491" s="13">
        <v>45</v>
      </c>
      <c r="P1491" s="13" t="s">
        <v>30</v>
      </c>
      <c r="Q1491" s="13">
        <v>0</v>
      </c>
      <c r="R1491" s="14">
        <v>1630.8000000000002</v>
      </c>
      <c r="S1491" s="15">
        <v>0</v>
      </c>
      <c r="T1491" s="15">
        <v>0</v>
      </c>
      <c r="U1491" s="15">
        <v>1630.8000000000002</v>
      </c>
      <c r="V1491" s="15">
        <v>1630.8000000000002</v>
      </c>
      <c r="W1491" s="15">
        <v>0</v>
      </c>
      <c r="X1491" s="15">
        <v>0</v>
      </c>
      <c r="Y1491" s="16">
        <v>0</v>
      </c>
      <c r="Z1491" s="67" t="s">
        <v>26</v>
      </c>
      <c r="AA1491" s="12" t="s">
        <v>31</v>
      </c>
    </row>
    <row r="1492" spans="1:27" x14ac:dyDescent="0.25">
      <c r="A1492" s="10">
        <v>45680</v>
      </c>
      <c r="B1492" s="11" t="s">
        <v>1731</v>
      </c>
      <c r="C1492" s="11" t="s">
        <v>3356</v>
      </c>
      <c r="D1492" s="11" t="s">
        <v>26</v>
      </c>
      <c r="E1492" s="11" t="s">
        <v>2109</v>
      </c>
      <c r="F1492" s="11" t="s">
        <v>26</v>
      </c>
      <c r="G1492" s="11">
        <v>10607</v>
      </c>
      <c r="H1492" s="12" t="s">
        <v>140</v>
      </c>
      <c r="I1492" s="12" t="s">
        <v>27</v>
      </c>
      <c r="J1492" s="12" t="s">
        <v>42</v>
      </c>
      <c r="K1492" s="12" t="s">
        <v>43</v>
      </c>
      <c r="L1492" s="13">
        <v>41.12</v>
      </c>
      <c r="M1492" s="13">
        <v>25</v>
      </c>
      <c r="N1492" s="13">
        <v>1.6448</v>
      </c>
      <c r="O1492" s="13">
        <v>35</v>
      </c>
      <c r="P1492" s="13"/>
      <c r="Q1492" s="13">
        <v>0</v>
      </c>
      <c r="R1492" s="14">
        <v>1439.1999999999998</v>
      </c>
      <c r="S1492" s="15">
        <v>0</v>
      </c>
      <c r="T1492" s="15">
        <v>0</v>
      </c>
      <c r="U1492" s="15">
        <v>1439.1999999999998</v>
      </c>
      <c r="V1492" s="15">
        <v>0</v>
      </c>
      <c r="W1492" s="15">
        <v>1439.1999999999998</v>
      </c>
      <c r="X1492" s="15">
        <v>0</v>
      </c>
      <c r="Y1492" s="16">
        <v>0</v>
      </c>
      <c r="Z1492" s="67" t="s">
        <v>26</v>
      </c>
      <c r="AA1492" s="12" t="s">
        <v>31</v>
      </c>
    </row>
    <row r="1493" spans="1:27" x14ac:dyDescent="0.25">
      <c r="A1493" s="10">
        <v>45680</v>
      </c>
      <c r="B1493" s="11" t="s">
        <v>3357</v>
      </c>
      <c r="C1493" s="11" t="s">
        <v>3358</v>
      </c>
      <c r="D1493" s="11" t="s">
        <v>26</v>
      </c>
      <c r="E1493" s="11" t="s">
        <v>183</v>
      </c>
      <c r="F1493" s="11" t="s">
        <v>26</v>
      </c>
      <c r="G1493" s="11">
        <v>4678</v>
      </c>
      <c r="H1493" s="12" t="s">
        <v>41</v>
      </c>
      <c r="I1493" s="12" t="s">
        <v>55</v>
      </c>
      <c r="J1493" s="12" t="s">
        <v>55</v>
      </c>
      <c r="K1493" s="12" t="s">
        <v>56</v>
      </c>
      <c r="L1493" s="13">
        <v>33.78</v>
      </c>
      <c r="M1493" s="13">
        <v>20</v>
      </c>
      <c r="N1493" s="13">
        <v>1.6890000000000001</v>
      </c>
      <c r="O1493" s="13" t="s">
        <v>30</v>
      </c>
      <c r="P1493" s="13">
        <v>24</v>
      </c>
      <c r="Q1493" s="13">
        <v>0</v>
      </c>
      <c r="R1493" s="14">
        <v>480</v>
      </c>
      <c r="S1493" s="15">
        <v>0</v>
      </c>
      <c r="T1493" s="15">
        <v>0</v>
      </c>
      <c r="U1493" s="15">
        <v>480</v>
      </c>
      <c r="V1493" s="15">
        <v>0</v>
      </c>
      <c r="W1493" s="15">
        <v>480</v>
      </c>
      <c r="X1493" s="15">
        <v>0</v>
      </c>
      <c r="Y1493" s="16">
        <v>0</v>
      </c>
      <c r="Z1493" s="67" t="s">
        <v>26</v>
      </c>
      <c r="AA1493" s="12" t="s">
        <v>31</v>
      </c>
    </row>
    <row r="1494" spans="1:27" x14ac:dyDescent="0.25">
      <c r="A1494" s="10">
        <v>45680</v>
      </c>
      <c r="B1494" s="11" t="s">
        <v>696</v>
      </c>
      <c r="C1494" s="11" t="s">
        <v>3359</v>
      </c>
      <c r="D1494" s="11" t="s">
        <v>26</v>
      </c>
      <c r="E1494" s="11" t="s">
        <v>179</v>
      </c>
      <c r="F1494" s="11" t="s">
        <v>26</v>
      </c>
      <c r="G1494" s="11">
        <v>57743</v>
      </c>
      <c r="H1494" s="12" t="s">
        <v>4423</v>
      </c>
      <c r="I1494" s="12" t="s">
        <v>27</v>
      </c>
      <c r="J1494" s="12" t="s">
        <v>33</v>
      </c>
      <c r="K1494" s="12" t="s">
        <v>34</v>
      </c>
      <c r="L1494" s="13">
        <v>37.46</v>
      </c>
      <c r="M1494" s="13">
        <v>25</v>
      </c>
      <c r="N1494" s="13">
        <v>1.4984</v>
      </c>
      <c r="O1494" s="13">
        <v>45</v>
      </c>
      <c r="P1494" s="13" t="s">
        <v>30</v>
      </c>
      <c r="Q1494" s="13">
        <v>0</v>
      </c>
      <c r="R1494" s="15">
        <v>1685.7</v>
      </c>
      <c r="S1494" s="15">
        <v>0</v>
      </c>
      <c r="T1494" s="15">
        <v>0</v>
      </c>
      <c r="U1494" s="15">
        <v>1685.7</v>
      </c>
      <c r="V1494" s="15">
        <v>1685.7</v>
      </c>
      <c r="W1494" s="15">
        <v>0</v>
      </c>
      <c r="X1494" s="15">
        <v>0</v>
      </c>
      <c r="Y1494" s="16">
        <v>0</v>
      </c>
      <c r="Z1494" s="67" t="s">
        <v>26</v>
      </c>
      <c r="AA1494" s="12" t="s">
        <v>31</v>
      </c>
    </row>
    <row r="1495" spans="1:27" x14ac:dyDescent="0.25">
      <c r="A1495" s="10">
        <v>45680</v>
      </c>
      <c r="B1495" s="11" t="s">
        <v>3019</v>
      </c>
      <c r="C1495" s="11" t="s">
        <v>3360</v>
      </c>
      <c r="D1495" s="11" t="s">
        <v>26</v>
      </c>
      <c r="E1495" s="11" t="s">
        <v>444</v>
      </c>
      <c r="F1495" s="11" t="s">
        <v>26</v>
      </c>
      <c r="G1495" s="11" t="s">
        <v>185</v>
      </c>
      <c r="H1495" s="12" t="s">
        <v>4449</v>
      </c>
      <c r="I1495" s="12" t="s">
        <v>55</v>
      </c>
      <c r="J1495" s="12" t="s">
        <v>55</v>
      </c>
      <c r="K1495" s="12" t="s">
        <v>56</v>
      </c>
      <c r="L1495" s="13">
        <v>32.979999999999997</v>
      </c>
      <c r="M1495" s="13">
        <v>20</v>
      </c>
      <c r="N1495" s="13">
        <v>1.649</v>
      </c>
      <c r="O1495" s="13">
        <v>15</v>
      </c>
      <c r="P1495" s="13" t="s">
        <v>30</v>
      </c>
      <c r="Q1495" s="13">
        <v>0</v>
      </c>
      <c r="R1495" s="14">
        <v>494.69999999999993</v>
      </c>
      <c r="S1495" s="15">
        <v>0</v>
      </c>
      <c r="T1495" s="15">
        <v>0</v>
      </c>
      <c r="U1495" s="15">
        <v>494.69999999999993</v>
      </c>
      <c r="V1495" s="15">
        <v>494.69999999999993</v>
      </c>
      <c r="W1495" s="15">
        <v>0</v>
      </c>
      <c r="X1495" s="15">
        <v>0</v>
      </c>
      <c r="Y1495" s="16">
        <v>0</v>
      </c>
      <c r="Z1495" s="67" t="s">
        <v>26</v>
      </c>
      <c r="AA1495" s="12" t="s">
        <v>31</v>
      </c>
    </row>
    <row r="1496" spans="1:27" x14ac:dyDescent="0.25">
      <c r="A1496" s="10">
        <v>45680</v>
      </c>
      <c r="B1496" s="11" t="s">
        <v>3361</v>
      </c>
      <c r="C1496" s="11" t="s">
        <v>3362</v>
      </c>
      <c r="D1496" s="11" t="s">
        <v>26</v>
      </c>
      <c r="E1496" s="11" t="s">
        <v>91</v>
      </c>
      <c r="F1496" s="11" t="s">
        <v>26</v>
      </c>
      <c r="G1496" s="11">
        <v>2460</v>
      </c>
      <c r="H1496" s="12" t="s">
        <v>41</v>
      </c>
      <c r="I1496" s="12" t="s">
        <v>27</v>
      </c>
      <c r="J1496" s="12" t="s">
        <v>33</v>
      </c>
      <c r="K1496" s="12" t="s">
        <v>34</v>
      </c>
      <c r="L1496" s="13">
        <v>34.6</v>
      </c>
      <c r="M1496" s="13">
        <v>23</v>
      </c>
      <c r="N1496" s="13">
        <v>1.5043478260869561</v>
      </c>
      <c r="O1496" s="13" t="s">
        <v>30</v>
      </c>
      <c r="P1496" s="13">
        <v>60</v>
      </c>
      <c r="Q1496" s="13">
        <v>0</v>
      </c>
      <c r="R1496" s="14">
        <v>1380</v>
      </c>
      <c r="S1496" s="15">
        <v>0</v>
      </c>
      <c r="T1496" s="15">
        <v>0</v>
      </c>
      <c r="U1496" s="15">
        <v>1380</v>
      </c>
      <c r="V1496" s="15">
        <v>0</v>
      </c>
      <c r="W1496" s="15">
        <v>1380</v>
      </c>
      <c r="X1496" s="15">
        <v>0</v>
      </c>
      <c r="Y1496" s="16">
        <v>0</v>
      </c>
      <c r="Z1496" s="67" t="s">
        <v>26</v>
      </c>
      <c r="AA1496" s="12" t="s">
        <v>31</v>
      </c>
    </row>
    <row r="1497" spans="1:27" x14ac:dyDescent="0.25">
      <c r="A1497" s="10">
        <v>45680</v>
      </c>
      <c r="B1497" s="11" t="s">
        <v>380</v>
      </c>
      <c r="C1497" s="11" t="s">
        <v>3363</v>
      </c>
      <c r="D1497" s="11" t="s">
        <v>26</v>
      </c>
      <c r="E1497" s="11" t="s">
        <v>100</v>
      </c>
      <c r="F1497" s="11" t="s">
        <v>26</v>
      </c>
      <c r="G1497" s="11">
        <v>21730</v>
      </c>
      <c r="H1497" s="12" t="s">
        <v>4448</v>
      </c>
      <c r="I1497" s="12" t="s">
        <v>27</v>
      </c>
      <c r="J1497" s="12" t="s">
        <v>42</v>
      </c>
      <c r="K1497" s="12" t="s">
        <v>43</v>
      </c>
      <c r="L1497" s="13">
        <v>41.78</v>
      </c>
      <c r="M1497" s="13">
        <v>25</v>
      </c>
      <c r="N1497" s="13">
        <v>1.6712</v>
      </c>
      <c r="O1497" s="13">
        <v>42.5</v>
      </c>
      <c r="P1497" s="13" t="s">
        <v>30</v>
      </c>
      <c r="Q1497" s="13">
        <v>0</v>
      </c>
      <c r="R1497" s="14">
        <v>1775.65</v>
      </c>
      <c r="S1497" s="15">
        <v>0</v>
      </c>
      <c r="T1497" s="15">
        <v>0</v>
      </c>
      <c r="U1497" s="15">
        <v>1775.65</v>
      </c>
      <c r="V1497" s="15">
        <v>1331.7375000000002</v>
      </c>
      <c r="W1497" s="15">
        <v>443.91249999999991</v>
      </c>
      <c r="X1497" s="15">
        <v>0</v>
      </c>
      <c r="Y1497" s="16">
        <v>0</v>
      </c>
      <c r="Z1497" s="67" t="s">
        <v>26</v>
      </c>
      <c r="AA1497" s="12" t="s">
        <v>31</v>
      </c>
    </row>
    <row r="1498" spans="1:27" x14ac:dyDescent="0.25">
      <c r="A1498" s="10">
        <v>45680</v>
      </c>
      <c r="B1498" s="11" t="s">
        <v>1051</v>
      </c>
      <c r="C1498" s="11" t="s">
        <v>3364</v>
      </c>
      <c r="D1498" s="11" t="s">
        <v>26</v>
      </c>
      <c r="E1498" s="11" t="s">
        <v>654</v>
      </c>
      <c r="F1498" s="11" t="s">
        <v>26</v>
      </c>
      <c r="G1498" s="11">
        <v>2808</v>
      </c>
      <c r="H1498" s="12" t="s">
        <v>41</v>
      </c>
      <c r="I1498" s="12" t="s">
        <v>27</v>
      </c>
      <c r="J1498" s="12" t="s">
        <v>42</v>
      </c>
      <c r="K1498" s="12" t="s">
        <v>43</v>
      </c>
      <c r="L1498" s="13">
        <v>37.06</v>
      </c>
      <c r="M1498" s="13">
        <v>23</v>
      </c>
      <c r="N1498" s="13">
        <v>1.6113043478260869</v>
      </c>
      <c r="O1498" s="13" t="s">
        <v>30</v>
      </c>
      <c r="P1498" s="13">
        <v>64</v>
      </c>
      <c r="Q1498" s="13">
        <v>0</v>
      </c>
      <c r="R1498" s="14">
        <v>1472</v>
      </c>
      <c r="S1498" s="15">
        <v>0</v>
      </c>
      <c r="T1498" s="15">
        <v>0</v>
      </c>
      <c r="U1498" s="15">
        <v>1472</v>
      </c>
      <c r="V1498" s="15">
        <v>0</v>
      </c>
      <c r="W1498" s="15">
        <v>1472</v>
      </c>
      <c r="X1498" s="15">
        <v>0</v>
      </c>
      <c r="Y1498" s="16">
        <v>0</v>
      </c>
      <c r="Z1498" s="67" t="s">
        <v>26</v>
      </c>
      <c r="AA1498" s="12" t="s">
        <v>31</v>
      </c>
    </row>
    <row r="1499" spans="1:27" x14ac:dyDescent="0.25">
      <c r="A1499" s="10">
        <v>45681</v>
      </c>
      <c r="B1499" s="11" t="s">
        <v>3365</v>
      </c>
      <c r="C1499" s="11" t="s">
        <v>3366</v>
      </c>
      <c r="D1499" s="11" t="s">
        <v>26</v>
      </c>
      <c r="E1499" s="11" t="s">
        <v>50</v>
      </c>
      <c r="F1499" s="11" t="s">
        <v>26</v>
      </c>
      <c r="G1499" s="11">
        <v>902</v>
      </c>
      <c r="H1499" s="12" t="s">
        <v>163</v>
      </c>
      <c r="I1499" s="12" t="s">
        <v>27</v>
      </c>
      <c r="J1499" s="12" t="s">
        <v>47</v>
      </c>
      <c r="K1499" s="12" t="s">
        <v>48</v>
      </c>
      <c r="L1499" s="13">
        <v>38.18</v>
      </c>
      <c r="M1499" s="13">
        <v>25</v>
      </c>
      <c r="N1499" s="13">
        <v>1.5271999999999999</v>
      </c>
      <c r="O1499" s="13" t="s">
        <v>30</v>
      </c>
      <c r="P1499" s="13">
        <v>58</v>
      </c>
      <c r="Q1499" s="13">
        <v>0</v>
      </c>
      <c r="R1499" s="14">
        <v>1450</v>
      </c>
      <c r="S1499" s="15">
        <v>0</v>
      </c>
      <c r="T1499" s="15">
        <v>0</v>
      </c>
      <c r="U1499" s="15">
        <v>1450</v>
      </c>
      <c r="V1499" s="15">
        <v>0</v>
      </c>
      <c r="W1499" s="15">
        <v>1450</v>
      </c>
      <c r="X1499" s="15">
        <v>0</v>
      </c>
      <c r="Y1499" s="16">
        <v>0</v>
      </c>
      <c r="Z1499" s="67" t="s">
        <v>26</v>
      </c>
      <c r="AA1499" s="12" t="s">
        <v>31</v>
      </c>
    </row>
    <row r="1500" spans="1:27" x14ac:dyDescent="0.25">
      <c r="A1500" s="10">
        <v>45681</v>
      </c>
      <c r="B1500" s="11" t="s">
        <v>384</v>
      </c>
      <c r="C1500" s="11" t="s">
        <v>3367</v>
      </c>
      <c r="D1500" s="11" t="s">
        <v>26</v>
      </c>
      <c r="E1500" s="11" t="s">
        <v>553</v>
      </c>
      <c r="F1500" s="11" t="s">
        <v>26</v>
      </c>
      <c r="G1500" s="11">
        <v>4654</v>
      </c>
      <c r="H1500" s="12" t="s">
        <v>4423</v>
      </c>
      <c r="I1500" s="12" t="s">
        <v>27</v>
      </c>
      <c r="J1500" s="12" t="s">
        <v>47</v>
      </c>
      <c r="K1500" s="12" t="s">
        <v>48</v>
      </c>
      <c r="L1500" s="13">
        <v>36.659999999999997</v>
      </c>
      <c r="M1500" s="13">
        <v>25</v>
      </c>
      <c r="N1500" s="13">
        <v>1.4663999999999999</v>
      </c>
      <c r="O1500" s="13">
        <v>46</v>
      </c>
      <c r="P1500" s="13" t="s">
        <v>30</v>
      </c>
      <c r="Q1500" s="13">
        <v>0</v>
      </c>
      <c r="R1500" s="14">
        <v>1686.36</v>
      </c>
      <c r="S1500" s="15">
        <v>0</v>
      </c>
      <c r="T1500" s="15">
        <v>0</v>
      </c>
      <c r="U1500" s="15">
        <v>1686.36</v>
      </c>
      <c r="V1500" s="15">
        <v>1686.36</v>
      </c>
      <c r="W1500" s="15">
        <v>0</v>
      </c>
      <c r="X1500" s="15">
        <v>0</v>
      </c>
      <c r="Y1500" s="16">
        <v>0</v>
      </c>
      <c r="Z1500" s="67" t="s">
        <v>26</v>
      </c>
      <c r="AA1500" s="12" t="s">
        <v>31</v>
      </c>
    </row>
    <row r="1501" spans="1:27" x14ac:dyDescent="0.25">
      <c r="A1501" s="10">
        <v>45681</v>
      </c>
      <c r="B1501" s="11" t="s">
        <v>3368</v>
      </c>
      <c r="C1501" s="11" t="s">
        <v>3369</v>
      </c>
      <c r="D1501" s="11" t="s">
        <v>26</v>
      </c>
      <c r="E1501" s="11" t="s">
        <v>574</v>
      </c>
      <c r="F1501" s="11" t="s">
        <v>26</v>
      </c>
      <c r="G1501" s="11">
        <v>773</v>
      </c>
      <c r="H1501" s="12" t="s">
        <v>141</v>
      </c>
      <c r="I1501" s="12" t="s">
        <v>27</v>
      </c>
      <c r="J1501" s="12" t="s">
        <v>47</v>
      </c>
      <c r="K1501" s="12" t="s">
        <v>48</v>
      </c>
      <c r="L1501" s="13">
        <v>40.08</v>
      </c>
      <c r="M1501" s="13">
        <v>28</v>
      </c>
      <c r="N1501" s="13">
        <v>1.4314285714285711</v>
      </c>
      <c r="O1501" s="13">
        <v>40</v>
      </c>
      <c r="P1501" s="13" t="s">
        <v>30</v>
      </c>
      <c r="Q1501" s="13">
        <v>0</v>
      </c>
      <c r="R1501" s="14">
        <v>1603.1999999999998</v>
      </c>
      <c r="S1501" s="15">
        <v>0</v>
      </c>
      <c r="T1501" s="15">
        <v>0</v>
      </c>
      <c r="U1501" s="15">
        <v>1603.1999999999998</v>
      </c>
      <c r="V1501" s="15">
        <v>0</v>
      </c>
      <c r="W1501" s="15">
        <v>1603.1999999999998</v>
      </c>
      <c r="X1501" s="15">
        <v>0</v>
      </c>
      <c r="Y1501" s="16">
        <v>0</v>
      </c>
      <c r="Z1501" s="67" t="s">
        <v>26</v>
      </c>
      <c r="AA1501" s="12" t="s">
        <v>31</v>
      </c>
    </row>
    <row r="1502" spans="1:27" x14ac:dyDescent="0.25">
      <c r="A1502" s="10">
        <v>45681</v>
      </c>
      <c r="B1502" s="11" t="s">
        <v>3370</v>
      </c>
      <c r="C1502" s="11" t="s">
        <v>3371</v>
      </c>
      <c r="D1502" s="11" t="s">
        <v>26</v>
      </c>
      <c r="E1502" s="11" t="s">
        <v>501</v>
      </c>
      <c r="F1502" s="11" t="s">
        <v>26</v>
      </c>
      <c r="G1502" s="11">
        <v>810</v>
      </c>
      <c r="H1502" s="12" t="s">
        <v>141</v>
      </c>
      <c r="I1502" s="12" t="s">
        <v>27</v>
      </c>
      <c r="J1502" s="12" t="s">
        <v>47</v>
      </c>
      <c r="K1502" s="12" t="s">
        <v>48</v>
      </c>
      <c r="L1502" s="13">
        <v>42.16</v>
      </c>
      <c r="M1502" s="13">
        <v>29</v>
      </c>
      <c r="N1502" s="13">
        <v>1.4537931034482761</v>
      </c>
      <c r="O1502" s="13">
        <v>40</v>
      </c>
      <c r="P1502" s="13" t="s">
        <v>30</v>
      </c>
      <c r="Q1502" s="13">
        <v>0</v>
      </c>
      <c r="R1502" s="14">
        <v>1686.3999999999999</v>
      </c>
      <c r="S1502" s="15">
        <v>0</v>
      </c>
      <c r="T1502" s="15">
        <v>0</v>
      </c>
      <c r="U1502" s="15">
        <v>1686.3999999999999</v>
      </c>
      <c r="V1502" s="15">
        <v>0</v>
      </c>
      <c r="W1502" s="15">
        <v>1686.3999999999999</v>
      </c>
      <c r="X1502" s="15">
        <v>0</v>
      </c>
      <c r="Y1502" s="16">
        <v>0</v>
      </c>
      <c r="Z1502" s="67" t="s">
        <v>26</v>
      </c>
      <c r="AA1502" s="12" t="s">
        <v>31</v>
      </c>
    </row>
    <row r="1503" spans="1:27" x14ac:dyDescent="0.25">
      <c r="A1503" s="10">
        <v>45681</v>
      </c>
      <c r="B1503" s="11" t="s">
        <v>3372</v>
      </c>
      <c r="C1503" s="11" t="s">
        <v>3373</v>
      </c>
      <c r="D1503" s="11" t="s">
        <v>26</v>
      </c>
      <c r="E1503" s="11" t="s">
        <v>322</v>
      </c>
      <c r="F1503" s="11" t="s">
        <v>26</v>
      </c>
      <c r="G1503" s="11">
        <v>112297</v>
      </c>
      <c r="H1503" s="12" t="s">
        <v>4446</v>
      </c>
      <c r="I1503" s="12" t="s">
        <v>27</v>
      </c>
      <c r="J1503" s="12" t="s">
        <v>33</v>
      </c>
      <c r="K1503" s="12" t="s">
        <v>34</v>
      </c>
      <c r="L1503" s="13">
        <v>36.26</v>
      </c>
      <c r="M1503" s="13">
        <v>25</v>
      </c>
      <c r="N1503" s="13">
        <v>1.4503999999999999</v>
      </c>
      <c r="O1503" s="13">
        <v>44</v>
      </c>
      <c r="P1503" s="13" t="s">
        <v>30</v>
      </c>
      <c r="Q1503" s="13">
        <v>0</v>
      </c>
      <c r="R1503" s="14">
        <v>1595.4399999999998</v>
      </c>
      <c r="S1503" s="15">
        <v>0</v>
      </c>
      <c r="T1503" s="15">
        <v>0</v>
      </c>
      <c r="U1503" s="15">
        <v>1595.4399999999998</v>
      </c>
      <c r="V1503" s="15">
        <v>1595.4399999999998</v>
      </c>
      <c r="W1503" s="15">
        <v>0</v>
      </c>
      <c r="X1503" s="15">
        <v>0</v>
      </c>
      <c r="Y1503" s="16">
        <v>0</v>
      </c>
      <c r="Z1503" s="67" t="s">
        <v>26</v>
      </c>
      <c r="AA1503" s="12" t="s">
        <v>31</v>
      </c>
    </row>
    <row r="1504" spans="1:27" x14ac:dyDescent="0.25">
      <c r="A1504" s="10">
        <v>45681</v>
      </c>
      <c r="B1504" s="11" t="s">
        <v>613</v>
      </c>
      <c r="C1504" s="11" t="s">
        <v>3374</v>
      </c>
      <c r="D1504" s="11" t="s">
        <v>26</v>
      </c>
      <c r="E1504" s="11" t="s">
        <v>49</v>
      </c>
      <c r="F1504" s="11" t="s">
        <v>26</v>
      </c>
      <c r="G1504" s="11">
        <v>1572</v>
      </c>
      <c r="H1504" s="12" t="s">
        <v>45</v>
      </c>
      <c r="I1504" s="12" t="s">
        <v>55</v>
      </c>
      <c r="J1504" s="12" t="s">
        <v>55</v>
      </c>
      <c r="K1504" s="12" t="s">
        <v>56</v>
      </c>
      <c r="L1504" s="13">
        <v>40.72</v>
      </c>
      <c r="M1504" s="13">
        <v>25</v>
      </c>
      <c r="N1504" s="13">
        <v>1.6288</v>
      </c>
      <c r="O1504" s="13" t="s">
        <v>30</v>
      </c>
      <c r="P1504" s="13">
        <v>22</v>
      </c>
      <c r="Q1504" s="13">
        <v>0</v>
      </c>
      <c r="R1504" s="14">
        <v>550</v>
      </c>
      <c r="S1504" s="15">
        <v>0</v>
      </c>
      <c r="T1504" s="15">
        <v>0</v>
      </c>
      <c r="U1504" s="15">
        <v>550</v>
      </c>
      <c r="V1504" s="15">
        <v>0</v>
      </c>
      <c r="W1504" s="15">
        <v>550</v>
      </c>
      <c r="X1504" s="15">
        <v>0</v>
      </c>
      <c r="Y1504" s="16">
        <v>0</v>
      </c>
      <c r="Z1504" s="67" t="s">
        <v>26</v>
      </c>
      <c r="AA1504" s="12" t="s">
        <v>31</v>
      </c>
    </row>
    <row r="1505" spans="1:27" x14ac:dyDescent="0.25">
      <c r="A1505" s="10">
        <v>45681</v>
      </c>
      <c r="B1505" s="11" t="s">
        <v>3349</v>
      </c>
      <c r="C1505" s="11" t="s">
        <v>3375</v>
      </c>
      <c r="D1505" s="11" t="s">
        <v>26</v>
      </c>
      <c r="E1505" s="11" t="s">
        <v>100</v>
      </c>
      <c r="F1505" s="11" t="s">
        <v>26</v>
      </c>
      <c r="G1505" s="11">
        <v>21731</v>
      </c>
      <c r="H1505" s="12" t="s">
        <v>4448</v>
      </c>
      <c r="I1505" s="12" t="s">
        <v>27</v>
      </c>
      <c r="J1505" s="12" t="s">
        <v>33</v>
      </c>
      <c r="K1505" s="12" t="s">
        <v>34</v>
      </c>
      <c r="L1505" s="13">
        <v>38.479999999999997</v>
      </c>
      <c r="M1505" s="13">
        <v>25</v>
      </c>
      <c r="N1505" s="13">
        <v>1.5391999999999999</v>
      </c>
      <c r="O1505" s="13">
        <v>45.33</v>
      </c>
      <c r="P1505" s="13" t="s">
        <v>30</v>
      </c>
      <c r="Q1505" s="13">
        <v>0</v>
      </c>
      <c r="R1505" s="14">
        <v>1744.2983999999999</v>
      </c>
      <c r="S1505" s="15">
        <v>0</v>
      </c>
      <c r="T1505" s="15">
        <v>0</v>
      </c>
      <c r="U1505" s="15">
        <v>1744.2983999999999</v>
      </c>
      <c r="V1505" s="15">
        <v>1308.2238</v>
      </c>
      <c r="W1505" s="15">
        <v>436.07459999999992</v>
      </c>
      <c r="X1505" s="15">
        <v>0</v>
      </c>
      <c r="Y1505" s="16">
        <v>0</v>
      </c>
      <c r="Z1505" s="67" t="s">
        <v>26</v>
      </c>
      <c r="AA1505" s="12" t="s">
        <v>31</v>
      </c>
    </row>
    <row r="1506" spans="1:27" x14ac:dyDescent="0.25">
      <c r="A1506" s="10">
        <v>45681</v>
      </c>
      <c r="B1506" s="11" t="s">
        <v>666</v>
      </c>
      <c r="C1506" s="11" t="s">
        <v>3376</v>
      </c>
      <c r="D1506" s="11" t="s">
        <v>26</v>
      </c>
      <c r="E1506" s="11" t="s">
        <v>44</v>
      </c>
      <c r="F1506" s="11" t="s">
        <v>26</v>
      </c>
      <c r="G1506" s="11">
        <v>1576</v>
      </c>
      <c r="H1506" s="12" t="s">
        <v>45</v>
      </c>
      <c r="I1506" s="12" t="s">
        <v>55</v>
      </c>
      <c r="J1506" s="12" t="s">
        <v>55</v>
      </c>
      <c r="K1506" s="12" t="s">
        <v>56</v>
      </c>
      <c r="L1506" s="13">
        <v>41.68</v>
      </c>
      <c r="M1506" s="13">
        <v>25</v>
      </c>
      <c r="N1506" s="13">
        <v>1.6672</v>
      </c>
      <c r="O1506" s="13" t="s">
        <v>30</v>
      </c>
      <c r="P1506" s="13">
        <v>22</v>
      </c>
      <c r="Q1506" s="13">
        <v>0</v>
      </c>
      <c r="R1506" s="15">
        <v>550</v>
      </c>
      <c r="S1506" s="15">
        <v>0</v>
      </c>
      <c r="T1506" s="15">
        <v>0</v>
      </c>
      <c r="U1506" s="15">
        <v>550</v>
      </c>
      <c r="V1506" s="15">
        <v>0</v>
      </c>
      <c r="W1506" s="15">
        <v>550</v>
      </c>
      <c r="X1506" s="15">
        <v>0</v>
      </c>
      <c r="Y1506" s="16">
        <v>0</v>
      </c>
      <c r="Z1506" s="67" t="s">
        <v>26</v>
      </c>
      <c r="AA1506" s="12" t="s">
        <v>31</v>
      </c>
    </row>
    <row r="1507" spans="1:27" x14ac:dyDescent="0.25">
      <c r="A1507" s="10">
        <v>45681</v>
      </c>
      <c r="B1507" s="11" t="s">
        <v>3377</v>
      </c>
      <c r="C1507" s="11" t="s">
        <v>3378</v>
      </c>
      <c r="D1507" s="11" t="s">
        <v>26</v>
      </c>
      <c r="E1507" s="11" t="s">
        <v>552</v>
      </c>
      <c r="F1507" s="11" t="s">
        <v>26</v>
      </c>
      <c r="G1507" s="11">
        <v>69127</v>
      </c>
      <c r="H1507" s="12" t="s">
        <v>4423</v>
      </c>
      <c r="I1507" s="12" t="s">
        <v>27</v>
      </c>
      <c r="J1507" s="12" t="s">
        <v>33</v>
      </c>
      <c r="K1507" s="12" t="s">
        <v>34</v>
      </c>
      <c r="L1507" s="13">
        <v>35.56</v>
      </c>
      <c r="M1507" s="13">
        <v>25</v>
      </c>
      <c r="N1507" s="13">
        <v>1.4224000000000001</v>
      </c>
      <c r="O1507" s="13">
        <v>45</v>
      </c>
      <c r="P1507" s="13" t="s">
        <v>30</v>
      </c>
      <c r="Q1507" s="13">
        <v>0</v>
      </c>
      <c r="R1507" s="14">
        <v>1600.2</v>
      </c>
      <c r="S1507" s="15">
        <v>0</v>
      </c>
      <c r="T1507" s="15">
        <v>0</v>
      </c>
      <c r="U1507" s="15">
        <v>1600.2</v>
      </c>
      <c r="V1507" s="15">
        <v>1600.2</v>
      </c>
      <c r="W1507" s="15">
        <v>0</v>
      </c>
      <c r="X1507" s="15">
        <v>0</v>
      </c>
      <c r="Y1507" s="16">
        <v>0</v>
      </c>
      <c r="Z1507" s="67" t="s">
        <v>26</v>
      </c>
      <c r="AA1507" s="12" t="s">
        <v>31</v>
      </c>
    </row>
    <row r="1508" spans="1:27" x14ac:dyDescent="0.25">
      <c r="A1508" s="10">
        <v>45681</v>
      </c>
      <c r="B1508" s="11" t="s">
        <v>3379</v>
      </c>
      <c r="C1508" s="11" t="s">
        <v>3380</v>
      </c>
      <c r="D1508" s="11" t="s">
        <v>26</v>
      </c>
      <c r="E1508" s="11" t="s">
        <v>184</v>
      </c>
      <c r="F1508" s="11" t="s">
        <v>26</v>
      </c>
      <c r="G1508" s="11">
        <v>1004</v>
      </c>
      <c r="H1508" s="12" t="s">
        <v>141</v>
      </c>
      <c r="I1508" s="12" t="s">
        <v>27</v>
      </c>
      <c r="J1508" s="12" t="s">
        <v>33</v>
      </c>
      <c r="K1508" s="12" t="s">
        <v>34</v>
      </c>
      <c r="L1508" s="13">
        <v>41.52</v>
      </c>
      <c r="M1508" s="13">
        <v>28</v>
      </c>
      <c r="N1508" s="13">
        <v>1.4828571428571431</v>
      </c>
      <c r="O1508" s="13">
        <v>40</v>
      </c>
      <c r="P1508" s="13" t="s">
        <v>30</v>
      </c>
      <c r="Q1508" s="13">
        <v>0</v>
      </c>
      <c r="R1508" s="15">
        <v>1660.8000000000002</v>
      </c>
      <c r="S1508" s="15">
        <v>0</v>
      </c>
      <c r="T1508" s="15">
        <v>0</v>
      </c>
      <c r="U1508" s="15">
        <v>1660.8000000000002</v>
      </c>
      <c r="V1508" s="15">
        <v>0</v>
      </c>
      <c r="W1508" s="15">
        <v>1660.8000000000002</v>
      </c>
      <c r="X1508" s="15">
        <v>0</v>
      </c>
      <c r="Y1508" s="16">
        <v>0</v>
      </c>
      <c r="Z1508" s="67" t="s">
        <v>26</v>
      </c>
      <c r="AA1508" s="12" t="s">
        <v>31</v>
      </c>
    </row>
    <row r="1509" spans="1:27" x14ac:dyDescent="0.25">
      <c r="A1509" s="10">
        <v>45681</v>
      </c>
      <c r="B1509" s="11" t="s">
        <v>3381</v>
      </c>
      <c r="C1509" s="11" t="s">
        <v>3382</v>
      </c>
      <c r="D1509" s="11" t="s">
        <v>26</v>
      </c>
      <c r="E1509" s="11" t="s">
        <v>67</v>
      </c>
      <c r="F1509" s="11" t="s">
        <v>26</v>
      </c>
      <c r="G1509" s="11">
        <v>1615</v>
      </c>
      <c r="H1509" s="12" t="s">
        <v>66</v>
      </c>
      <c r="I1509" s="12" t="s">
        <v>37</v>
      </c>
      <c r="J1509" s="12" t="s">
        <v>1909</v>
      </c>
      <c r="K1509" s="12" t="s">
        <v>82</v>
      </c>
      <c r="L1509" s="13">
        <v>41.44</v>
      </c>
      <c r="M1509" s="13">
        <v>25</v>
      </c>
      <c r="N1509" s="13">
        <v>1.6576</v>
      </c>
      <c r="O1509" s="13" t="s">
        <v>30</v>
      </c>
      <c r="P1509" s="13">
        <v>54</v>
      </c>
      <c r="Q1509" s="13">
        <v>0</v>
      </c>
      <c r="R1509" s="15">
        <v>1350</v>
      </c>
      <c r="S1509" s="15">
        <v>0</v>
      </c>
      <c r="T1509" s="15">
        <v>0</v>
      </c>
      <c r="U1509" s="15">
        <v>1350</v>
      </c>
      <c r="V1509" s="15">
        <v>1350</v>
      </c>
      <c r="W1509" s="15">
        <v>0</v>
      </c>
      <c r="X1509" s="15">
        <v>0</v>
      </c>
      <c r="Y1509" s="16">
        <v>0</v>
      </c>
      <c r="Z1509" s="67" t="s">
        <v>26</v>
      </c>
      <c r="AA1509" s="12" t="s">
        <v>31</v>
      </c>
    </row>
    <row r="1510" spans="1:27" x14ac:dyDescent="0.25">
      <c r="A1510" s="10">
        <v>45681</v>
      </c>
      <c r="B1510" s="11" t="s">
        <v>3383</v>
      </c>
      <c r="C1510" s="11" t="s">
        <v>3384</v>
      </c>
      <c r="D1510" s="11" t="s">
        <v>26</v>
      </c>
      <c r="E1510" s="11" t="s">
        <v>81</v>
      </c>
      <c r="F1510" s="11" t="s">
        <v>26</v>
      </c>
      <c r="G1510" s="11">
        <v>1204</v>
      </c>
      <c r="H1510" s="12" t="s">
        <v>141</v>
      </c>
      <c r="I1510" s="12" t="s">
        <v>27</v>
      </c>
      <c r="J1510" s="12" t="s">
        <v>33</v>
      </c>
      <c r="K1510" s="12" t="s">
        <v>34</v>
      </c>
      <c r="L1510" s="13">
        <v>41.5</v>
      </c>
      <c r="M1510" s="13">
        <v>25</v>
      </c>
      <c r="N1510" s="13">
        <v>1.66</v>
      </c>
      <c r="O1510" s="13">
        <v>40</v>
      </c>
      <c r="P1510" s="13" t="s">
        <v>30</v>
      </c>
      <c r="Q1510" s="13">
        <v>0</v>
      </c>
      <c r="R1510" s="15">
        <v>1660</v>
      </c>
      <c r="S1510" s="15">
        <v>0</v>
      </c>
      <c r="T1510" s="15">
        <v>0</v>
      </c>
      <c r="U1510" s="15">
        <v>1660</v>
      </c>
      <c r="V1510" s="15">
        <v>0</v>
      </c>
      <c r="W1510" s="15">
        <v>1660</v>
      </c>
      <c r="X1510" s="15">
        <v>0</v>
      </c>
      <c r="Y1510" s="16">
        <v>0</v>
      </c>
      <c r="Z1510" s="67" t="s">
        <v>26</v>
      </c>
      <c r="AA1510" s="12" t="s">
        <v>31</v>
      </c>
    </row>
    <row r="1511" spans="1:27" x14ac:dyDescent="0.25">
      <c r="A1511" s="10">
        <v>45681</v>
      </c>
      <c r="B1511" s="11" t="s">
        <v>3385</v>
      </c>
      <c r="C1511" s="11" t="s">
        <v>3386</v>
      </c>
      <c r="D1511" s="11" t="s">
        <v>26</v>
      </c>
      <c r="E1511" s="11" t="s">
        <v>53</v>
      </c>
      <c r="F1511" s="11" t="s">
        <v>26</v>
      </c>
      <c r="G1511" s="11">
        <v>3766</v>
      </c>
      <c r="H1511" s="12" t="s">
        <v>41</v>
      </c>
      <c r="I1511" s="12" t="s">
        <v>27</v>
      </c>
      <c r="J1511" s="12" t="s">
        <v>42</v>
      </c>
      <c r="K1511" s="12" t="s">
        <v>43</v>
      </c>
      <c r="L1511" s="13">
        <v>43.9</v>
      </c>
      <c r="M1511" s="13">
        <v>25</v>
      </c>
      <c r="N1511" s="13">
        <v>1.756</v>
      </c>
      <c r="O1511" s="13" t="s">
        <v>30</v>
      </c>
      <c r="P1511" s="13">
        <v>64</v>
      </c>
      <c r="Q1511" s="13">
        <v>0</v>
      </c>
      <c r="R1511" s="14">
        <v>1600</v>
      </c>
      <c r="S1511" s="15">
        <v>0</v>
      </c>
      <c r="T1511" s="15">
        <v>0</v>
      </c>
      <c r="U1511" s="15">
        <v>1600</v>
      </c>
      <c r="V1511" s="15">
        <v>0</v>
      </c>
      <c r="W1511" s="15">
        <v>1600</v>
      </c>
      <c r="X1511" s="16">
        <v>0</v>
      </c>
      <c r="Y1511" s="16">
        <v>0</v>
      </c>
      <c r="Z1511" s="67" t="s">
        <v>26</v>
      </c>
      <c r="AA1511" s="12" t="s">
        <v>31</v>
      </c>
    </row>
    <row r="1512" spans="1:27" x14ac:dyDescent="0.25">
      <c r="A1512" s="10">
        <v>45681</v>
      </c>
      <c r="B1512" s="11" t="s">
        <v>296</v>
      </c>
      <c r="C1512" s="11" t="s">
        <v>3387</v>
      </c>
      <c r="D1512" s="11" t="s">
        <v>26</v>
      </c>
      <c r="E1512" s="11" t="s">
        <v>77</v>
      </c>
      <c r="F1512" s="11" t="s">
        <v>26</v>
      </c>
      <c r="G1512" s="11" t="s">
        <v>185</v>
      </c>
      <c r="H1512" s="12" t="s">
        <v>4449</v>
      </c>
      <c r="I1512" s="12" t="s">
        <v>55</v>
      </c>
      <c r="J1512" s="12" t="s">
        <v>55</v>
      </c>
      <c r="K1512" s="12" t="s">
        <v>56</v>
      </c>
      <c r="L1512" s="13">
        <v>39.86</v>
      </c>
      <c r="M1512" s="13">
        <v>25</v>
      </c>
      <c r="N1512" s="13">
        <v>1.5944</v>
      </c>
      <c r="O1512" s="13">
        <v>15</v>
      </c>
      <c r="P1512" s="13" t="s">
        <v>30</v>
      </c>
      <c r="Q1512" s="13">
        <v>0</v>
      </c>
      <c r="R1512" s="14">
        <v>597.9</v>
      </c>
      <c r="S1512" s="15">
        <v>0</v>
      </c>
      <c r="T1512" s="15">
        <v>0</v>
      </c>
      <c r="U1512" s="15">
        <v>597.9</v>
      </c>
      <c r="V1512" s="15">
        <v>597.9</v>
      </c>
      <c r="W1512" s="15">
        <v>0</v>
      </c>
      <c r="X1512" s="15">
        <v>0</v>
      </c>
      <c r="Y1512" s="16">
        <v>0</v>
      </c>
      <c r="Z1512" s="67" t="s">
        <v>26</v>
      </c>
      <c r="AA1512" s="12" t="s">
        <v>31</v>
      </c>
    </row>
    <row r="1513" spans="1:27" x14ac:dyDescent="0.25">
      <c r="A1513" s="10">
        <v>45681</v>
      </c>
      <c r="B1513" s="11" t="s">
        <v>3388</v>
      </c>
      <c r="C1513" s="11" t="s">
        <v>3389</v>
      </c>
      <c r="D1513" s="11" t="s">
        <v>26</v>
      </c>
      <c r="E1513" s="11" t="s">
        <v>506</v>
      </c>
      <c r="F1513" s="11" t="s">
        <v>26</v>
      </c>
      <c r="G1513" s="11">
        <v>1536</v>
      </c>
      <c r="H1513" s="12" t="s">
        <v>45</v>
      </c>
      <c r="I1513" s="12" t="s">
        <v>27</v>
      </c>
      <c r="J1513" s="12" t="s">
        <v>42</v>
      </c>
      <c r="K1513" s="12" t="s">
        <v>43</v>
      </c>
      <c r="L1513" s="13">
        <v>43.7</v>
      </c>
      <c r="M1513" s="13">
        <v>25</v>
      </c>
      <c r="N1513" s="13">
        <v>1.748</v>
      </c>
      <c r="O1513" s="13" t="s">
        <v>30</v>
      </c>
      <c r="P1513" s="13">
        <v>62</v>
      </c>
      <c r="Q1513" s="13">
        <v>0</v>
      </c>
      <c r="R1513" s="14">
        <v>1550</v>
      </c>
      <c r="S1513" s="15">
        <v>0</v>
      </c>
      <c r="T1513" s="15">
        <v>0</v>
      </c>
      <c r="U1513" s="15">
        <v>1550</v>
      </c>
      <c r="V1513" s="15">
        <v>0</v>
      </c>
      <c r="W1513" s="15">
        <v>1550</v>
      </c>
      <c r="X1513" s="15">
        <v>0</v>
      </c>
      <c r="Y1513" s="16">
        <v>0</v>
      </c>
      <c r="Z1513" s="67" t="s">
        <v>26</v>
      </c>
      <c r="AA1513" s="12" t="s">
        <v>31</v>
      </c>
    </row>
    <row r="1514" spans="1:27" x14ac:dyDescent="0.25">
      <c r="A1514" s="10">
        <v>45681</v>
      </c>
      <c r="B1514" s="11" t="s">
        <v>3390</v>
      </c>
      <c r="C1514" s="11" t="s">
        <v>3391</v>
      </c>
      <c r="D1514" s="11" t="s">
        <v>26</v>
      </c>
      <c r="E1514" s="11" t="s">
        <v>65</v>
      </c>
      <c r="F1514" s="11" t="s">
        <v>26</v>
      </c>
      <c r="G1514" s="11">
        <v>1589</v>
      </c>
      <c r="H1514" s="12" t="s">
        <v>66</v>
      </c>
      <c r="I1514" s="12" t="s">
        <v>37</v>
      </c>
      <c r="J1514" s="12" t="s">
        <v>1909</v>
      </c>
      <c r="K1514" s="12" t="s">
        <v>82</v>
      </c>
      <c r="L1514" s="13">
        <v>40.42</v>
      </c>
      <c r="M1514" s="13">
        <v>25</v>
      </c>
      <c r="N1514" s="13">
        <v>1.6168</v>
      </c>
      <c r="O1514" s="13" t="s">
        <v>30</v>
      </c>
      <c r="P1514" s="13">
        <v>54</v>
      </c>
      <c r="Q1514" s="13">
        <v>0</v>
      </c>
      <c r="R1514" s="14">
        <v>1350</v>
      </c>
      <c r="S1514" s="15">
        <v>0</v>
      </c>
      <c r="T1514" s="15">
        <v>0</v>
      </c>
      <c r="U1514" s="15">
        <v>1350</v>
      </c>
      <c r="V1514" s="15">
        <v>1350</v>
      </c>
      <c r="W1514" s="15">
        <v>0</v>
      </c>
      <c r="X1514" s="15">
        <v>0</v>
      </c>
      <c r="Y1514" s="16">
        <v>0</v>
      </c>
      <c r="Z1514" s="67" t="s">
        <v>26</v>
      </c>
      <c r="AA1514" s="12" t="s">
        <v>31</v>
      </c>
    </row>
    <row r="1515" spans="1:27" x14ac:dyDescent="0.25">
      <c r="A1515" s="10">
        <v>45681</v>
      </c>
      <c r="B1515" s="11" t="s">
        <v>3392</v>
      </c>
      <c r="C1515" s="11" t="s">
        <v>3393</v>
      </c>
      <c r="D1515" s="11" t="s">
        <v>26</v>
      </c>
      <c r="E1515" s="11" t="s">
        <v>2109</v>
      </c>
      <c r="F1515" s="11" t="s">
        <v>26</v>
      </c>
      <c r="G1515" s="11" t="s">
        <v>26</v>
      </c>
      <c r="H1515" s="12" t="s">
        <v>4422</v>
      </c>
      <c r="I1515" s="12" t="s">
        <v>27</v>
      </c>
      <c r="J1515" s="12" t="s">
        <v>42</v>
      </c>
      <c r="K1515" s="12" t="s">
        <v>43</v>
      </c>
      <c r="L1515" s="13">
        <v>42.32</v>
      </c>
      <c r="M1515" s="13">
        <v>25</v>
      </c>
      <c r="N1515" s="13">
        <v>1.6928000000000001</v>
      </c>
      <c r="O1515" s="13">
        <v>83</v>
      </c>
      <c r="P1515" s="13" t="s">
        <v>30</v>
      </c>
      <c r="Q1515" s="13">
        <v>0</v>
      </c>
      <c r="R1515" s="14">
        <v>3512.56</v>
      </c>
      <c r="S1515" s="15">
        <v>38</v>
      </c>
      <c r="T1515" s="15">
        <v>1608.16</v>
      </c>
      <c r="U1515" s="15">
        <v>1904.3999999999999</v>
      </c>
      <c r="V1515" s="15">
        <v>1904.3999999999999</v>
      </c>
      <c r="W1515" s="15"/>
      <c r="X1515" s="15">
        <v>1523.52</v>
      </c>
      <c r="Y1515" s="16">
        <v>84.6400000000001</v>
      </c>
      <c r="Z1515" s="67" t="s">
        <v>140</v>
      </c>
      <c r="AA1515" s="12" t="s">
        <v>78</v>
      </c>
    </row>
    <row r="1516" spans="1:27" x14ac:dyDescent="0.25">
      <c r="A1516" s="10">
        <v>45681</v>
      </c>
      <c r="B1516" s="11" t="s">
        <v>3394</v>
      </c>
      <c r="C1516" s="11" t="s">
        <v>3395</v>
      </c>
      <c r="D1516" s="11" t="s">
        <v>26</v>
      </c>
      <c r="E1516" s="11" t="s">
        <v>605</v>
      </c>
      <c r="F1516" s="11" t="s">
        <v>26</v>
      </c>
      <c r="G1516" s="11">
        <v>1056</v>
      </c>
      <c r="H1516" s="12" t="s">
        <v>141</v>
      </c>
      <c r="I1516" s="12" t="s">
        <v>27</v>
      </c>
      <c r="J1516" s="12" t="s">
        <v>42</v>
      </c>
      <c r="K1516" s="12" t="s">
        <v>43</v>
      </c>
      <c r="L1516" s="13">
        <v>43.22</v>
      </c>
      <c r="M1516" s="13">
        <v>25</v>
      </c>
      <c r="N1516" s="13">
        <v>1.7287999999999999</v>
      </c>
      <c r="O1516" s="13">
        <v>40</v>
      </c>
      <c r="P1516" s="13" t="s">
        <v>30</v>
      </c>
      <c r="Q1516" s="13">
        <v>0</v>
      </c>
      <c r="R1516" s="15">
        <v>1728.8</v>
      </c>
      <c r="S1516" s="15">
        <v>0</v>
      </c>
      <c r="T1516" s="15">
        <v>0</v>
      </c>
      <c r="U1516" s="15">
        <v>1728.8</v>
      </c>
      <c r="V1516" s="15">
        <v>0</v>
      </c>
      <c r="W1516" s="15">
        <v>1728.8</v>
      </c>
      <c r="X1516" s="15">
        <v>0</v>
      </c>
      <c r="Y1516" s="16">
        <v>0</v>
      </c>
      <c r="Z1516" s="67" t="s">
        <v>26</v>
      </c>
      <c r="AA1516" s="12" t="s">
        <v>31</v>
      </c>
    </row>
    <row r="1517" spans="1:27" x14ac:dyDescent="0.25">
      <c r="A1517" s="10">
        <v>45681</v>
      </c>
      <c r="B1517" s="11" t="s">
        <v>3396</v>
      </c>
      <c r="C1517" s="11" t="s">
        <v>3397</v>
      </c>
      <c r="D1517" s="11" t="s">
        <v>26</v>
      </c>
      <c r="E1517" s="11" t="s">
        <v>57</v>
      </c>
      <c r="F1517" s="11" t="s">
        <v>26</v>
      </c>
      <c r="G1517" s="11" t="s">
        <v>26</v>
      </c>
      <c r="H1517" s="12" t="s">
        <v>4422</v>
      </c>
      <c r="I1517" s="12" t="s">
        <v>27</v>
      </c>
      <c r="J1517" s="12" t="s">
        <v>42</v>
      </c>
      <c r="K1517" s="12" t="s">
        <v>43</v>
      </c>
      <c r="L1517" s="13">
        <v>41.32</v>
      </c>
      <c r="M1517" s="13">
        <v>25</v>
      </c>
      <c r="N1517" s="13">
        <v>1.6528</v>
      </c>
      <c r="O1517" s="13">
        <v>83</v>
      </c>
      <c r="P1517" s="13" t="s">
        <v>30</v>
      </c>
      <c r="Q1517" s="13">
        <v>0</v>
      </c>
      <c r="R1517" s="14">
        <v>3429.56</v>
      </c>
      <c r="S1517" s="15">
        <v>38</v>
      </c>
      <c r="T1517" s="15">
        <v>1570.16</v>
      </c>
      <c r="U1517" s="15">
        <v>1859.3999999999999</v>
      </c>
      <c r="V1517" s="15">
        <v>1859.3999999999999</v>
      </c>
      <c r="W1517" s="15"/>
      <c r="X1517" s="15">
        <v>1528.84</v>
      </c>
      <c r="Y1517" s="16">
        <v>41.320000000000164</v>
      </c>
      <c r="Z1517" s="67" t="s">
        <v>41</v>
      </c>
      <c r="AA1517" s="12" t="s">
        <v>78</v>
      </c>
    </row>
    <row r="1518" spans="1:27" x14ac:dyDescent="0.25">
      <c r="A1518" s="10">
        <v>45681</v>
      </c>
      <c r="B1518" s="11" t="s">
        <v>3398</v>
      </c>
      <c r="C1518" s="11" t="s">
        <v>3399</v>
      </c>
      <c r="D1518" s="11" t="s">
        <v>26</v>
      </c>
      <c r="E1518" s="11" t="s">
        <v>224</v>
      </c>
      <c r="F1518" s="11" t="s">
        <v>26</v>
      </c>
      <c r="G1518" s="11">
        <v>55331</v>
      </c>
      <c r="H1518" s="12" t="s">
        <v>4423</v>
      </c>
      <c r="I1518" s="12" t="s">
        <v>27</v>
      </c>
      <c r="J1518" s="12" t="s">
        <v>42</v>
      </c>
      <c r="K1518" s="12" t="s">
        <v>43</v>
      </c>
      <c r="L1518" s="13">
        <v>36.159999999999997</v>
      </c>
      <c r="M1518" s="13">
        <v>25</v>
      </c>
      <c r="N1518" s="13">
        <v>1.4463999999999999</v>
      </c>
      <c r="O1518" s="13">
        <v>42</v>
      </c>
      <c r="P1518" s="13" t="s">
        <v>30</v>
      </c>
      <c r="Q1518" s="13">
        <v>0</v>
      </c>
      <c r="R1518" s="14">
        <v>1518.7199999999998</v>
      </c>
      <c r="S1518" s="15">
        <v>0</v>
      </c>
      <c r="T1518" s="15">
        <v>0</v>
      </c>
      <c r="U1518" s="15">
        <v>1518.7199999999998</v>
      </c>
      <c r="V1518" s="15">
        <v>1518.7199999999998</v>
      </c>
      <c r="W1518" s="15">
        <v>0</v>
      </c>
      <c r="X1518" s="15">
        <v>0</v>
      </c>
      <c r="Y1518" s="16">
        <v>0</v>
      </c>
      <c r="Z1518" s="67" t="s">
        <v>26</v>
      </c>
      <c r="AA1518" s="12" t="s">
        <v>31</v>
      </c>
    </row>
    <row r="1519" spans="1:27" x14ac:dyDescent="0.25">
      <c r="A1519" s="10">
        <v>45681</v>
      </c>
      <c r="B1519" s="11" t="s">
        <v>3400</v>
      </c>
      <c r="C1519" s="11" t="s">
        <v>3401</v>
      </c>
      <c r="D1519" s="11" t="s">
        <v>26</v>
      </c>
      <c r="E1519" s="11" t="s">
        <v>482</v>
      </c>
      <c r="F1519" s="11" t="s">
        <v>26</v>
      </c>
      <c r="G1519" s="11">
        <v>74897</v>
      </c>
      <c r="H1519" s="12" t="s">
        <v>4448</v>
      </c>
      <c r="I1519" s="12" t="s">
        <v>27</v>
      </c>
      <c r="J1519" s="12" t="s">
        <v>42</v>
      </c>
      <c r="K1519" s="12" t="s">
        <v>43</v>
      </c>
      <c r="L1519" s="13">
        <v>42.34</v>
      </c>
      <c r="M1519" s="13">
        <v>25</v>
      </c>
      <c r="N1519" s="13">
        <v>1.6936</v>
      </c>
      <c r="O1519" s="13">
        <v>42.5</v>
      </c>
      <c r="P1519" s="13" t="s">
        <v>30</v>
      </c>
      <c r="Q1519" s="13">
        <v>0</v>
      </c>
      <c r="R1519" s="14">
        <v>1799.45</v>
      </c>
      <c r="S1519" s="15">
        <v>0</v>
      </c>
      <c r="T1519" s="15">
        <v>0</v>
      </c>
      <c r="U1519" s="15">
        <v>1799.45</v>
      </c>
      <c r="V1519" s="15">
        <v>1349.5875000000001</v>
      </c>
      <c r="W1519" s="15">
        <v>449.86249999999995</v>
      </c>
      <c r="X1519" s="15">
        <v>0</v>
      </c>
      <c r="Y1519" s="16">
        <v>0</v>
      </c>
      <c r="Z1519" s="67" t="s">
        <v>26</v>
      </c>
      <c r="AA1519" s="12" t="s">
        <v>31</v>
      </c>
    </row>
    <row r="1520" spans="1:27" x14ac:dyDescent="0.25">
      <c r="A1520" s="10">
        <v>45681</v>
      </c>
      <c r="B1520" s="11" t="s">
        <v>3402</v>
      </c>
      <c r="C1520" s="11" t="s">
        <v>3403</v>
      </c>
      <c r="D1520" s="11" t="s">
        <v>26</v>
      </c>
      <c r="E1520" s="11" t="s">
        <v>63</v>
      </c>
      <c r="F1520" s="11" t="s">
        <v>26</v>
      </c>
      <c r="G1520" s="11" t="s">
        <v>26</v>
      </c>
      <c r="H1520" s="12" t="s">
        <v>4422</v>
      </c>
      <c r="I1520" s="12" t="s">
        <v>27</v>
      </c>
      <c r="J1520" s="12" t="s">
        <v>42</v>
      </c>
      <c r="K1520" s="12" t="s">
        <v>43</v>
      </c>
      <c r="L1520" s="13">
        <v>41.96</v>
      </c>
      <c r="M1520" s="13">
        <v>25</v>
      </c>
      <c r="N1520" s="13">
        <v>1.6783999999999999</v>
      </c>
      <c r="O1520" s="13">
        <v>83</v>
      </c>
      <c r="P1520" s="13" t="s">
        <v>30</v>
      </c>
      <c r="Q1520" s="13">
        <v>0</v>
      </c>
      <c r="R1520" s="14">
        <v>3482.6800000000003</v>
      </c>
      <c r="S1520" s="15">
        <v>38</v>
      </c>
      <c r="T1520" s="15">
        <v>1594.48</v>
      </c>
      <c r="U1520" s="15">
        <v>1888.2000000000003</v>
      </c>
      <c r="V1520" s="15">
        <v>1888.2000000000003</v>
      </c>
      <c r="W1520" s="15"/>
      <c r="X1520" s="15">
        <v>1510.56</v>
      </c>
      <c r="Y1520" s="16">
        <v>83.920000000000073</v>
      </c>
      <c r="Z1520" s="67" t="s">
        <v>140</v>
      </c>
      <c r="AA1520" s="12" t="s">
        <v>78</v>
      </c>
    </row>
    <row r="1521" spans="1:27" x14ac:dyDescent="0.25">
      <c r="A1521" s="10">
        <v>45681</v>
      </c>
      <c r="B1521" s="11" t="s">
        <v>3404</v>
      </c>
      <c r="C1521" s="11" t="s">
        <v>3405</v>
      </c>
      <c r="D1521" s="11" t="s">
        <v>26</v>
      </c>
      <c r="E1521" s="11" t="s">
        <v>520</v>
      </c>
      <c r="F1521" s="11" t="s">
        <v>26</v>
      </c>
      <c r="G1521" s="11" t="s">
        <v>26</v>
      </c>
      <c r="H1521" s="12" t="s">
        <v>4422</v>
      </c>
      <c r="I1521" s="12" t="s">
        <v>27</v>
      </c>
      <c r="J1521" s="12" t="s">
        <v>33</v>
      </c>
      <c r="K1521" s="12" t="s">
        <v>34</v>
      </c>
      <c r="L1521" s="13">
        <v>41.32</v>
      </c>
      <c r="M1521" s="13">
        <v>28</v>
      </c>
      <c r="N1521" s="13">
        <v>1.475714285714286</v>
      </c>
      <c r="O1521" s="13">
        <v>85</v>
      </c>
      <c r="P1521" s="13" t="s">
        <v>30</v>
      </c>
      <c r="Q1521" s="13">
        <v>0</v>
      </c>
      <c r="R1521" s="14">
        <v>3512.2</v>
      </c>
      <c r="S1521" s="15">
        <v>38</v>
      </c>
      <c r="T1521" s="15">
        <v>1570.16</v>
      </c>
      <c r="U1521" s="15">
        <v>1942.0399999999997</v>
      </c>
      <c r="V1521" s="15">
        <v>1942.0399999999997</v>
      </c>
      <c r="W1521" s="15">
        <v>0</v>
      </c>
      <c r="X1521" s="16">
        <v>1487.52</v>
      </c>
      <c r="Y1521" s="16">
        <v>82.6400000000001</v>
      </c>
      <c r="Z1521" s="67" t="s">
        <v>140</v>
      </c>
      <c r="AA1521" s="12" t="s">
        <v>78</v>
      </c>
    </row>
    <row r="1522" spans="1:27" x14ac:dyDescent="0.25">
      <c r="A1522" s="10">
        <v>45681</v>
      </c>
      <c r="B1522" s="11" t="s">
        <v>3406</v>
      </c>
      <c r="C1522" s="11" t="s">
        <v>3407</v>
      </c>
      <c r="D1522" s="11" t="s">
        <v>26</v>
      </c>
      <c r="E1522" s="11" t="s">
        <v>573</v>
      </c>
      <c r="F1522" s="11" t="s">
        <v>26</v>
      </c>
      <c r="G1522" s="11">
        <v>112085</v>
      </c>
      <c r="H1522" s="12" t="s">
        <v>4446</v>
      </c>
      <c r="I1522" s="12" t="s">
        <v>27</v>
      </c>
      <c r="J1522" s="12" t="s">
        <v>42</v>
      </c>
      <c r="K1522" s="12" t="s">
        <v>43</v>
      </c>
      <c r="L1522" s="13">
        <v>39.42</v>
      </c>
      <c r="M1522" s="13">
        <v>25</v>
      </c>
      <c r="N1522" s="13">
        <v>1.5768</v>
      </c>
      <c r="O1522" s="13">
        <v>42</v>
      </c>
      <c r="P1522" s="13" t="s">
        <v>30</v>
      </c>
      <c r="Q1522" s="13">
        <v>0</v>
      </c>
      <c r="R1522" s="15">
        <v>1655.64</v>
      </c>
      <c r="S1522" s="15">
        <v>0</v>
      </c>
      <c r="T1522" s="15">
        <v>0</v>
      </c>
      <c r="U1522" s="15">
        <v>1655.64</v>
      </c>
      <c r="V1522" s="15">
        <v>1655.64</v>
      </c>
      <c r="W1522" s="15">
        <v>0</v>
      </c>
      <c r="X1522" s="15">
        <v>0</v>
      </c>
      <c r="Y1522" s="16">
        <v>0</v>
      </c>
      <c r="Z1522" s="67" t="s">
        <v>26</v>
      </c>
      <c r="AA1522" s="12" t="s">
        <v>31</v>
      </c>
    </row>
    <row r="1523" spans="1:27" x14ac:dyDescent="0.25">
      <c r="A1523" s="10">
        <v>45681</v>
      </c>
      <c r="B1523" s="11" t="s">
        <v>3408</v>
      </c>
      <c r="C1523" s="11" t="s">
        <v>3409</v>
      </c>
      <c r="D1523" s="11" t="s">
        <v>26</v>
      </c>
      <c r="E1523" s="11" t="s">
        <v>87</v>
      </c>
      <c r="F1523" s="11" t="s">
        <v>26</v>
      </c>
      <c r="G1523" s="11">
        <v>32388</v>
      </c>
      <c r="H1523" s="12" t="s">
        <v>4423</v>
      </c>
      <c r="I1523" s="12" t="s">
        <v>27</v>
      </c>
      <c r="J1523" s="12" t="s">
        <v>42</v>
      </c>
      <c r="K1523" s="12" t="s">
        <v>43</v>
      </c>
      <c r="L1523" s="13">
        <v>37.840000000000003</v>
      </c>
      <c r="M1523" s="13">
        <v>25</v>
      </c>
      <c r="N1523" s="13">
        <v>1.5136000000000001</v>
      </c>
      <c r="O1523" s="13">
        <v>42</v>
      </c>
      <c r="P1523" s="13" t="s">
        <v>30</v>
      </c>
      <c r="Q1523" s="13">
        <v>0</v>
      </c>
      <c r="R1523" s="15">
        <v>1589.2800000000002</v>
      </c>
      <c r="S1523" s="15">
        <v>0</v>
      </c>
      <c r="T1523" s="15">
        <v>0</v>
      </c>
      <c r="U1523" s="15">
        <v>1589.2800000000002</v>
      </c>
      <c r="V1523" s="15">
        <v>1589.2800000000002</v>
      </c>
      <c r="W1523" s="15">
        <v>0</v>
      </c>
      <c r="X1523" s="15">
        <v>0</v>
      </c>
      <c r="Y1523" s="16">
        <v>0</v>
      </c>
      <c r="Z1523" s="67" t="s">
        <v>26</v>
      </c>
      <c r="AA1523" s="12" t="s">
        <v>31</v>
      </c>
    </row>
    <row r="1524" spans="1:27" x14ac:dyDescent="0.25">
      <c r="A1524" s="10">
        <v>45681</v>
      </c>
      <c r="B1524" s="11" t="s">
        <v>3410</v>
      </c>
      <c r="C1524" s="11" t="s">
        <v>3411</v>
      </c>
      <c r="D1524" s="11" t="s">
        <v>26</v>
      </c>
      <c r="E1524" s="11" t="s">
        <v>593</v>
      </c>
      <c r="F1524" s="11" t="s">
        <v>26</v>
      </c>
      <c r="G1524" s="11">
        <v>44301</v>
      </c>
      <c r="H1524" s="12" t="s">
        <v>4423</v>
      </c>
      <c r="I1524" s="12" t="s">
        <v>27</v>
      </c>
      <c r="J1524" s="12" t="s">
        <v>33</v>
      </c>
      <c r="K1524" s="12" t="s">
        <v>34</v>
      </c>
      <c r="L1524" s="13">
        <v>35.68</v>
      </c>
      <c r="M1524" s="13">
        <v>25</v>
      </c>
      <c r="N1524" s="13">
        <v>1.4272</v>
      </c>
      <c r="O1524" s="13">
        <v>45</v>
      </c>
      <c r="P1524" s="13" t="s">
        <v>30</v>
      </c>
      <c r="Q1524" s="13">
        <v>0</v>
      </c>
      <c r="R1524" s="14">
        <v>1605.6</v>
      </c>
      <c r="S1524" s="15">
        <v>0</v>
      </c>
      <c r="T1524" s="15">
        <v>0</v>
      </c>
      <c r="U1524" s="15">
        <v>1605.6</v>
      </c>
      <c r="V1524" s="15">
        <v>1605.6</v>
      </c>
      <c r="W1524" s="15">
        <v>0</v>
      </c>
      <c r="X1524" s="15">
        <v>0</v>
      </c>
      <c r="Y1524" s="16">
        <v>0</v>
      </c>
      <c r="Z1524" s="67" t="s">
        <v>26</v>
      </c>
      <c r="AA1524" s="12" t="s">
        <v>31</v>
      </c>
    </row>
    <row r="1525" spans="1:27" x14ac:dyDescent="0.25">
      <c r="A1525" s="10">
        <v>45681</v>
      </c>
      <c r="B1525" s="11" t="s">
        <v>3412</v>
      </c>
      <c r="C1525" s="11" t="s">
        <v>3413</v>
      </c>
      <c r="D1525" s="11" t="s">
        <v>26</v>
      </c>
      <c r="E1525" s="11" t="s">
        <v>77</v>
      </c>
      <c r="F1525" s="11" t="s">
        <v>26</v>
      </c>
      <c r="G1525" s="11" t="s">
        <v>185</v>
      </c>
      <c r="H1525" s="12" t="s">
        <v>4449</v>
      </c>
      <c r="I1525" s="12" t="s">
        <v>55</v>
      </c>
      <c r="J1525" s="12" t="s">
        <v>55</v>
      </c>
      <c r="K1525" s="12" t="s">
        <v>56</v>
      </c>
      <c r="L1525" s="13">
        <v>40.4</v>
      </c>
      <c r="M1525" s="13">
        <v>25</v>
      </c>
      <c r="N1525" s="13">
        <v>1.6160000000000001</v>
      </c>
      <c r="O1525" s="13">
        <v>15</v>
      </c>
      <c r="P1525" s="13" t="s">
        <v>30</v>
      </c>
      <c r="Q1525" s="13">
        <v>0</v>
      </c>
      <c r="R1525" s="14">
        <v>606</v>
      </c>
      <c r="S1525" s="15">
        <v>0</v>
      </c>
      <c r="T1525" s="15">
        <v>0</v>
      </c>
      <c r="U1525" s="15">
        <v>606</v>
      </c>
      <c r="V1525" s="15">
        <v>606</v>
      </c>
      <c r="W1525" s="15">
        <v>0</v>
      </c>
      <c r="X1525" s="15">
        <v>0</v>
      </c>
      <c r="Y1525" s="16">
        <v>0</v>
      </c>
      <c r="Z1525" s="67" t="s">
        <v>26</v>
      </c>
      <c r="AA1525" s="12" t="s">
        <v>31</v>
      </c>
    </row>
    <row r="1526" spans="1:27" x14ac:dyDescent="0.25">
      <c r="A1526" s="10">
        <v>45681</v>
      </c>
      <c r="B1526" s="11" t="s">
        <v>3414</v>
      </c>
      <c r="C1526" s="11" t="s">
        <v>3415</v>
      </c>
      <c r="D1526" s="11" t="s">
        <v>26</v>
      </c>
      <c r="E1526" s="11" t="s">
        <v>50</v>
      </c>
      <c r="F1526" s="11" t="s">
        <v>26</v>
      </c>
      <c r="G1526" s="11">
        <v>903</v>
      </c>
      <c r="H1526" s="12" t="s">
        <v>163</v>
      </c>
      <c r="I1526" s="12" t="s">
        <v>27</v>
      </c>
      <c r="J1526" s="12" t="s">
        <v>42</v>
      </c>
      <c r="K1526" s="12" t="s">
        <v>43</v>
      </c>
      <c r="L1526" s="13">
        <v>41.1</v>
      </c>
      <c r="M1526" s="13">
        <v>25</v>
      </c>
      <c r="N1526" s="13">
        <v>1.6439999999999999</v>
      </c>
      <c r="O1526" s="13" t="s">
        <v>30</v>
      </c>
      <c r="P1526" s="13">
        <v>56</v>
      </c>
      <c r="Q1526" s="13">
        <v>0</v>
      </c>
      <c r="R1526" s="14">
        <v>1400</v>
      </c>
      <c r="S1526" s="15">
        <v>0</v>
      </c>
      <c r="T1526" s="15">
        <v>0</v>
      </c>
      <c r="U1526" s="15">
        <v>1400</v>
      </c>
      <c r="V1526" s="15">
        <v>0</v>
      </c>
      <c r="W1526" s="15">
        <v>1400</v>
      </c>
      <c r="X1526" s="15">
        <v>0</v>
      </c>
      <c r="Y1526" s="16">
        <v>0</v>
      </c>
      <c r="Z1526" s="67" t="s">
        <v>26</v>
      </c>
      <c r="AA1526" s="12" t="s">
        <v>31</v>
      </c>
    </row>
    <row r="1527" spans="1:27" x14ac:dyDescent="0.25">
      <c r="A1527" s="10">
        <v>45681</v>
      </c>
      <c r="B1527" s="11" t="s">
        <v>3323</v>
      </c>
      <c r="C1527" s="11" t="s">
        <v>3416</v>
      </c>
      <c r="D1527" s="11" t="s">
        <v>26</v>
      </c>
      <c r="E1527" s="11" t="s">
        <v>46</v>
      </c>
      <c r="F1527" s="11" t="s">
        <v>26</v>
      </c>
      <c r="G1527" s="11">
        <v>112287</v>
      </c>
      <c r="H1527" s="12" t="s">
        <v>4446</v>
      </c>
      <c r="I1527" s="12" t="s">
        <v>27</v>
      </c>
      <c r="J1527" s="12" t="s">
        <v>42</v>
      </c>
      <c r="K1527" s="12" t="s">
        <v>43</v>
      </c>
      <c r="L1527" s="13">
        <v>39.700000000000003</v>
      </c>
      <c r="M1527" s="13">
        <v>25</v>
      </c>
      <c r="N1527" s="13">
        <v>1.5880000000000001</v>
      </c>
      <c r="O1527" s="13">
        <v>42</v>
      </c>
      <c r="P1527" s="13" t="s">
        <v>30</v>
      </c>
      <c r="Q1527" s="13">
        <v>0</v>
      </c>
      <c r="R1527" s="14">
        <v>1667.4</v>
      </c>
      <c r="S1527" s="15">
        <v>0</v>
      </c>
      <c r="T1527" s="15">
        <v>0</v>
      </c>
      <c r="U1527" s="15">
        <v>1667.4</v>
      </c>
      <c r="V1527" s="15">
        <v>1667.4</v>
      </c>
      <c r="W1527" s="15">
        <v>0</v>
      </c>
      <c r="X1527" s="16">
        <v>0</v>
      </c>
      <c r="Y1527" s="16">
        <v>0</v>
      </c>
      <c r="Z1527" s="67" t="s">
        <v>26</v>
      </c>
      <c r="AA1527" s="12" t="s">
        <v>31</v>
      </c>
    </row>
    <row r="1528" spans="1:27" x14ac:dyDescent="0.25">
      <c r="A1528" s="10">
        <v>45681</v>
      </c>
      <c r="B1528" s="11" t="s">
        <v>3417</v>
      </c>
      <c r="C1528" s="11" t="s">
        <v>3418</v>
      </c>
      <c r="D1528" s="11" t="s">
        <v>26</v>
      </c>
      <c r="E1528" s="11" t="s">
        <v>230</v>
      </c>
      <c r="F1528" s="11" t="s">
        <v>26</v>
      </c>
      <c r="G1528" s="11" t="s">
        <v>26</v>
      </c>
      <c r="H1528" s="12" t="s">
        <v>4422</v>
      </c>
      <c r="I1528" s="12" t="s">
        <v>27</v>
      </c>
      <c r="J1528" s="12" t="s">
        <v>33</v>
      </c>
      <c r="K1528" s="12" t="s">
        <v>34</v>
      </c>
      <c r="L1528" s="13">
        <v>41.6</v>
      </c>
      <c r="M1528" s="13">
        <v>28</v>
      </c>
      <c r="N1528" s="13">
        <v>1.485714285714286</v>
      </c>
      <c r="O1528" s="13">
        <v>85</v>
      </c>
      <c r="P1528" s="13" t="s">
        <v>30</v>
      </c>
      <c r="Q1528" s="13">
        <v>0</v>
      </c>
      <c r="R1528" s="15">
        <v>3536</v>
      </c>
      <c r="S1528" s="15">
        <v>38</v>
      </c>
      <c r="T1528" s="15">
        <v>1580.8</v>
      </c>
      <c r="U1528" s="15">
        <v>1955.2</v>
      </c>
      <c r="V1528" s="15">
        <v>1955.2</v>
      </c>
      <c r="W1528" s="15">
        <v>0</v>
      </c>
      <c r="X1528" s="15">
        <v>1497.6000000000001</v>
      </c>
      <c r="Y1528" s="16">
        <v>83.199999999999818</v>
      </c>
      <c r="Z1528" s="67" t="s">
        <v>565</v>
      </c>
      <c r="AA1528" s="12" t="s">
        <v>78</v>
      </c>
    </row>
    <row r="1529" spans="1:27" x14ac:dyDescent="0.25">
      <c r="A1529" s="10">
        <v>45681</v>
      </c>
      <c r="B1529" s="11" t="s">
        <v>609</v>
      </c>
      <c r="C1529" s="11" t="s">
        <v>3419</v>
      </c>
      <c r="D1529" s="11" t="s">
        <v>26</v>
      </c>
      <c r="E1529" s="11" t="s">
        <v>496</v>
      </c>
      <c r="F1529" s="11" t="s">
        <v>26</v>
      </c>
      <c r="G1529" s="11">
        <v>22910</v>
      </c>
      <c r="H1529" s="12" t="s">
        <v>4448</v>
      </c>
      <c r="I1529" s="12" t="s">
        <v>27</v>
      </c>
      <c r="J1529" s="12" t="s">
        <v>47</v>
      </c>
      <c r="K1529" s="12" t="s">
        <v>48</v>
      </c>
      <c r="L1529" s="13">
        <v>42.1</v>
      </c>
      <c r="M1529" s="13">
        <v>29</v>
      </c>
      <c r="N1529" s="13">
        <v>1.4517241379310351</v>
      </c>
      <c r="O1529" s="13">
        <v>46.66</v>
      </c>
      <c r="P1529" s="13" t="s">
        <v>30</v>
      </c>
      <c r="Q1529" s="13">
        <v>0</v>
      </c>
      <c r="R1529" s="14">
        <v>1964.386</v>
      </c>
      <c r="S1529" s="15">
        <v>0</v>
      </c>
      <c r="T1529" s="15">
        <v>0</v>
      </c>
      <c r="U1529" s="15">
        <v>1964.386</v>
      </c>
      <c r="V1529" s="15">
        <v>1473.2894999999999</v>
      </c>
      <c r="W1529" s="15">
        <v>491.09650000000011</v>
      </c>
      <c r="X1529" s="15">
        <v>0</v>
      </c>
      <c r="Y1529" s="16">
        <v>0</v>
      </c>
      <c r="Z1529" s="67" t="s">
        <v>26</v>
      </c>
      <c r="AA1529" s="12" t="s">
        <v>31</v>
      </c>
    </row>
    <row r="1530" spans="1:27" x14ac:dyDescent="0.25">
      <c r="A1530" s="10">
        <v>45681</v>
      </c>
      <c r="B1530" s="11" t="s">
        <v>3420</v>
      </c>
      <c r="C1530" s="11" t="s">
        <v>3421</v>
      </c>
      <c r="D1530" s="11" t="s">
        <v>26</v>
      </c>
      <c r="E1530" s="11" t="s">
        <v>552</v>
      </c>
      <c r="F1530" s="11" t="s">
        <v>26</v>
      </c>
      <c r="G1530" s="11">
        <v>69128</v>
      </c>
      <c r="H1530" s="12" t="s">
        <v>4423</v>
      </c>
      <c r="I1530" s="12" t="s">
        <v>27</v>
      </c>
      <c r="J1530" s="12" t="s">
        <v>42</v>
      </c>
      <c r="K1530" s="12" t="s">
        <v>43</v>
      </c>
      <c r="L1530" s="13">
        <v>36.72</v>
      </c>
      <c r="M1530" s="13">
        <v>25</v>
      </c>
      <c r="N1530" s="13">
        <v>1.4688000000000001</v>
      </c>
      <c r="O1530" s="13">
        <v>42</v>
      </c>
      <c r="P1530" s="13" t="s">
        <v>30</v>
      </c>
      <c r="Q1530" s="13">
        <v>0</v>
      </c>
      <c r="R1530" s="14">
        <v>1542.24</v>
      </c>
      <c r="S1530" s="15">
        <v>0</v>
      </c>
      <c r="T1530" s="15">
        <v>0</v>
      </c>
      <c r="U1530" s="15">
        <v>1542.24</v>
      </c>
      <c r="V1530" s="15">
        <v>1542.24</v>
      </c>
      <c r="W1530" s="15">
        <v>0</v>
      </c>
      <c r="X1530" s="15">
        <v>0</v>
      </c>
      <c r="Y1530" s="16">
        <v>0</v>
      </c>
      <c r="Z1530" s="67" t="s">
        <v>26</v>
      </c>
      <c r="AA1530" s="12" t="s">
        <v>31</v>
      </c>
    </row>
    <row r="1531" spans="1:27" x14ac:dyDescent="0.25">
      <c r="A1531" s="10">
        <v>45681</v>
      </c>
      <c r="B1531" s="11" t="s">
        <v>3422</v>
      </c>
      <c r="C1531" s="11" t="s">
        <v>3423</v>
      </c>
      <c r="D1531" s="11" t="s">
        <v>26</v>
      </c>
      <c r="E1531" s="11" t="s">
        <v>444</v>
      </c>
      <c r="F1531" s="11" t="s">
        <v>26</v>
      </c>
      <c r="G1531" s="11" t="s">
        <v>185</v>
      </c>
      <c r="H1531" s="12" t="s">
        <v>4449</v>
      </c>
      <c r="I1531" s="12" t="s">
        <v>55</v>
      </c>
      <c r="J1531" s="12" t="s">
        <v>55</v>
      </c>
      <c r="K1531" s="12" t="s">
        <v>56</v>
      </c>
      <c r="L1531" s="13">
        <v>33.76</v>
      </c>
      <c r="M1531" s="13">
        <v>22</v>
      </c>
      <c r="N1531" s="13">
        <v>1.534545454545454</v>
      </c>
      <c r="O1531" s="13">
        <v>15</v>
      </c>
      <c r="P1531" s="13" t="s">
        <v>30</v>
      </c>
      <c r="Q1531" s="13">
        <v>0</v>
      </c>
      <c r="R1531" s="14">
        <v>506.4</v>
      </c>
      <c r="S1531" s="15">
        <v>0</v>
      </c>
      <c r="T1531" s="15">
        <v>0</v>
      </c>
      <c r="U1531" s="15">
        <v>506.4</v>
      </c>
      <c r="V1531" s="15">
        <v>506.4</v>
      </c>
      <c r="W1531" s="15">
        <v>0</v>
      </c>
      <c r="X1531" s="15">
        <v>0</v>
      </c>
      <c r="Y1531" s="16">
        <v>0</v>
      </c>
      <c r="Z1531" s="67" t="s">
        <v>26</v>
      </c>
      <c r="AA1531" s="12" t="s">
        <v>31</v>
      </c>
    </row>
    <row r="1532" spans="1:27" x14ac:dyDescent="0.25">
      <c r="A1532" s="10">
        <v>45681</v>
      </c>
      <c r="B1532" s="11" t="s">
        <v>3424</v>
      </c>
      <c r="C1532" s="11" t="s">
        <v>3425</v>
      </c>
      <c r="D1532" s="11" t="s">
        <v>26</v>
      </c>
      <c r="E1532" s="11" t="s">
        <v>69</v>
      </c>
      <c r="F1532" s="11" t="s">
        <v>26</v>
      </c>
      <c r="G1532" s="11" t="s">
        <v>26</v>
      </c>
      <c r="H1532" s="12" t="s">
        <v>4422</v>
      </c>
      <c r="I1532" s="12" t="s">
        <v>27</v>
      </c>
      <c r="J1532" s="12" t="s">
        <v>33</v>
      </c>
      <c r="K1532" s="12" t="s">
        <v>34</v>
      </c>
      <c r="L1532" s="13">
        <v>42.48</v>
      </c>
      <c r="M1532" s="13">
        <v>29</v>
      </c>
      <c r="N1532" s="13">
        <v>1.464827586206896</v>
      </c>
      <c r="O1532" s="13">
        <v>85</v>
      </c>
      <c r="P1532" s="13" t="s">
        <v>30</v>
      </c>
      <c r="Q1532" s="13">
        <v>0</v>
      </c>
      <c r="R1532" s="14">
        <v>3610.7999999999997</v>
      </c>
      <c r="S1532" s="15">
        <v>38</v>
      </c>
      <c r="T1532" s="15">
        <v>1614.2399999999998</v>
      </c>
      <c r="U1532" s="15">
        <v>1996.56</v>
      </c>
      <c r="V1532" s="15">
        <v>1996.56</v>
      </c>
      <c r="W1532" s="15">
        <v>0</v>
      </c>
      <c r="X1532" s="16">
        <v>1529.28</v>
      </c>
      <c r="Y1532" s="16">
        <v>84.959999999999809</v>
      </c>
      <c r="Z1532" s="67" t="s">
        <v>70</v>
      </c>
      <c r="AA1532" s="12" t="s">
        <v>78</v>
      </c>
    </row>
    <row r="1533" spans="1:27" x14ac:dyDescent="0.25">
      <c r="A1533" s="10">
        <v>45681</v>
      </c>
      <c r="B1533" s="11" t="s">
        <v>3048</v>
      </c>
      <c r="C1533" s="11" t="s">
        <v>3426</v>
      </c>
      <c r="D1533" s="11" t="s">
        <v>26</v>
      </c>
      <c r="E1533" s="11" t="s">
        <v>53</v>
      </c>
      <c r="F1533" s="11" t="s">
        <v>26</v>
      </c>
      <c r="G1533" s="11">
        <v>3768</v>
      </c>
      <c r="H1533" s="12" t="s">
        <v>41</v>
      </c>
      <c r="I1533" s="12" t="s">
        <v>55</v>
      </c>
      <c r="J1533" s="12" t="s">
        <v>55</v>
      </c>
      <c r="K1533" s="12" t="s">
        <v>56</v>
      </c>
      <c r="L1533" s="13">
        <v>40.36</v>
      </c>
      <c r="M1533" s="13">
        <v>25</v>
      </c>
      <c r="N1533" s="13">
        <v>1.6144000000000001</v>
      </c>
      <c r="O1533" s="13" t="s">
        <v>30</v>
      </c>
      <c r="P1533" s="13">
        <v>24</v>
      </c>
      <c r="Q1533" s="13">
        <v>0</v>
      </c>
      <c r="R1533" s="14">
        <v>600</v>
      </c>
      <c r="S1533" s="15">
        <v>0</v>
      </c>
      <c r="T1533" s="15">
        <v>0</v>
      </c>
      <c r="U1533" s="15">
        <v>600</v>
      </c>
      <c r="V1533" s="15">
        <v>0</v>
      </c>
      <c r="W1533" s="15">
        <v>600</v>
      </c>
      <c r="X1533" s="15">
        <v>0</v>
      </c>
      <c r="Y1533" s="16">
        <v>0</v>
      </c>
      <c r="Z1533" s="67" t="s">
        <v>26</v>
      </c>
      <c r="AA1533" s="12" t="s">
        <v>31</v>
      </c>
    </row>
    <row r="1534" spans="1:27" x14ac:dyDescent="0.25">
      <c r="A1534" s="10">
        <v>45681</v>
      </c>
      <c r="B1534" s="11" t="s">
        <v>745</v>
      </c>
      <c r="C1534" s="11" t="s">
        <v>3427</v>
      </c>
      <c r="D1534" s="11" t="s">
        <v>26</v>
      </c>
      <c r="E1534" s="11" t="s">
        <v>67</v>
      </c>
      <c r="F1534" s="11" t="s">
        <v>26</v>
      </c>
      <c r="G1534" s="11">
        <v>1616</v>
      </c>
      <c r="H1534" s="12" t="s">
        <v>66</v>
      </c>
      <c r="I1534" s="12" t="s">
        <v>37</v>
      </c>
      <c r="J1534" s="12" t="s">
        <v>1909</v>
      </c>
      <c r="K1534" s="12" t="s">
        <v>82</v>
      </c>
      <c r="L1534" s="13">
        <v>39.1</v>
      </c>
      <c r="M1534" s="13">
        <v>25</v>
      </c>
      <c r="N1534" s="13">
        <v>1.5640000000000001</v>
      </c>
      <c r="O1534" s="13" t="s">
        <v>30</v>
      </c>
      <c r="P1534" s="13">
        <v>54</v>
      </c>
      <c r="Q1534" s="13">
        <v>0</v>
      </c>
      <c r="R1534" s="14">
        <v>1350</v>
      </c>
      <c r="S1534" s="15">
        <v>0</v>
      </c>
      <c r="T1534" s="15">
        <v>0</v>
      </c>
      <c r="U1534" s="15">
        <v>1350</v>
      </c>
      <c r="V1534" s="15">
        <v>1350</v>
      </c>
      <c r="W1534" s="15">
        <v>0</v>
      </c>
      <c r="X1534" s="15">
        <v>0</v>
      </c>
      <c r="Y1534" s="16">
        <v>0</v>
      </c>
      <c r="Z1534" s="67" t="s">
        <v>26</v>
      </c>
      <c r="AA1534" s="12" t="s">
        <v>31</v>
      </c>
    </row>
    <row r="1535" spans="1:27" x14ac:dyDescent="0.25">
      <c r="A1535" s="10">
        <v>45681</v>
      </c>
      <c r="B1535" s="11" t="s">
        <v>3428</v>
      </c>
      <c r="C1535" s="11" t="s">
        <v>3429</v>
      </c>
      <c r="D1535" s="11" t="s">
        <v>26</v>
      </c>
      <c r="E1535" s="11" t="s">
        <v>49</v>
      </c>
      <c r="F1535" s="11" t="s">
        <v>26</v>
      </c>
      <c r="G1535" s="11">
        <v>1575</v>
      </c>
      <c r="H1535" s="12" t="s">
        <v>45</v>
      </c>
      <c r="I1535" s="12" t="s">
        <v>27</v>
      </c>
      <c r="J1535" s="12" t="s">
        <v>33</v>
      </c>
      <c r="K1535" s="12" t="s">
        <v>34</v>
      </c>
      <c r="L1535" s="13">
        <v>37</v>
      </c>
      <c r="M1535" s="13">
        <v>25</v>
      </c>
      <c r="N1535" s="13">
        <v>1.48</v>
      </c>
      <c r="O1535" s="13" t="s">
        <v>30</v>
      </c>
      <c r="P1535" s="13">
        <v>58</v>
      </c>
      <c r="Q1535" s="13">
        <v>0</v>
      </c>
      <c r="R1535" s="15">
        <v>1450</v>
      </c>
      <c r="S1535" s="15">
        <v>0</v>
      </c>
      <c r="T1535" s="15">
        <v>0</v>
      </c>
      <c r="U1535" s="15">
        <v>1450</v>
      </c>
      <c r="V1535" s="15">
        <v>0</v>
      </c>
      <c r="W1535" s="15">
        <v>1450</v>
      </c>
      <c r="X1535" s="15">
        <v>0</v>
      </c>
      <c r="Y1535" s="16">
        <v>0</v>
      </c>
      <c r="Z1535" s="67" t="s">
        <v>26</v>
      </c>
      <c r="AA1535" s="12" t="s">
        <v>31</v>
      </c>
    </row>
    <row r="1536" spans="1:27" x14ac:dyDescent="0.25">
      <c r="A1536" s="10">
        <v>45681</v>
      </c>
      <c r="B1536" s="11" t="s">
        <v>1896</v>
      </c>
      <c r="C1536" s="11" t="s">
        <v>3430</v>
      </c>
      <c r="D1536" s="11" t="s">
        <v>26</v>
      </c>
      <c r="E1536" s="11" t="s">
        <v>501</v>
      </c>
      <c r="F1536" s="11" t="s">
        <v>26</v>
      </c>
      <c r="G1536" s="11">
        <v>811</v>
      </c>
      <c r="H1536" s="12" t="s">
        <v>141</v>
      </c>
      <c r="I1536" s="12" t="s">
        <v>27</v>
      </c>
      <c r="J1536" s="12" t="s">
        <v>42</v>
      </c>
      <c r="K1536" s="12" t="s">
        <v>43</v>
      </c>
      <c r="L1536" s="13">
        <v>41.84</v>
      </c>
      <c r="M1536" s="13">
        <v>25</v>
      </c>
      <c r="N1536" s="13">
        <v>1.6736</v>
      </c>
      <c r="O1536" s="13">
        <v>40</v>
      </c>
      <c r="P1536" s="13" t="s">
        <v>30</v>
      </c>
      <c r="Q1536" s="13">
        <v>0</v>
      </c>
      <c r="R1536" s="14">
        <v>1673.6000000000001</v>
      </c>
      <c r="S1536" s="15">
        <v>0</v>
      </c>
      <c r="T1536" s="15">
        <v>0</v>
      </c>
      <c r="U1536" s="15">
        <v>1673.6000000000001</v>
      </c>
      <c r="V1536" s="15">
        <v>0</v>
      </c>
      <c r="W1536" s="15">
        <v>1673.6000000000001</v>
      </c>
      <c r="X1536" s="15">
        <v>0</v>
      </c>
      <c r="Y1536" s="16">
        <v>0</v>
      </c>
      <c r="Z1536" s="67" t="s">
        <v>26</v>
      </c>
      <c r="AA1536" s="12" t="s">
        <v>31</v>
      </c>
    </row>
    <row r="1537" spans="1:27" x14ac:dyDescent="0.25">
      <c r="A1537" s="10">
        <v>45681</v>
      </c>
      <c r="B1537" s="11" t="s">
        <v>3431</v>
      </c>
      <c r="C1537" s="11" t="s">
        <v>3432</v>
      </c>
      <c r="D1537" s="11" t="s">
        <v>26</v>
      </c>
      <c r="E1537" s="11" t="s">
        <v>44</v>
      </c>
      <c r="F1537" s="11" t="s">
        <v>26</v>
      </c>
      <c r="G1537" s="11">
        <v>1577</v>
      </c>
      <c r="H1537" s="12" t="s">
        <v>45</v>
      </c>
      <c r="I1537" s="12" t="s">
        <v>27</v>
      </c>
      <c r="J1537" s="12" t="s">
        <v>33</v>
      </c>
      <c r="K1537" s="12" t="s">
        <v>34</v>
      </c>
      <c r="L1537" s="13">
        <v>38.659999999999997</v>
      </c>
      <c r="M1537" s="13">
        <v>25</v>
      </c>
      <c r="N1537" s="13">
        <v>1.5464</v>
      </c>
      <c r="O1537" s="13" t="s">
        <v>30</v>
      </c>
      <c r="P1537" s="13">
        <v>58</v>
      </c>
      <c r="Q1537" s="13">
        <v>0</v>
      </c>
      <c r="R1537" s="14">
        <v>1450</v>
      </c>
      <c r="S1537" s="15">
        <v>0</v>
      </c>
      <c r="T1537" s="15">
        <v>0</v>
      </c>
      <c r="U1537" s="15">
        <v>1450</v>
      </c>
      <c r="V1537" s="15">
        <v>0</v>
      </c>
      <c r="W1537" s="15">
        <v>1450</v>
      </c>
      <c r="X1537" s="15">
        <v>0</v>
      </c>
      <c r="Y1537" s="16">
        <v>0</v>
      </c>
      <c r="Z1537" s="67" t="s">
        <v>26</v>
      </c>
      <c r="AA1537" s="12" t="s">
        <v>31</v>
      </c>
    </row>
    <row r="1538" spans="1:27" x14ac:dyDescent="0.25">
      <c r="A1538" s="10">
        <v>45681</v>
      </c>
      <c r="B1538" s="11" t="s">
        <v>3433</v>
      </c>
      <c r="C1538" s="11" t="s">
        <v>3434</v>
      </c>
      <c r="D1538" s="11" t="s">
        <v>26</v>
      </c>
      <c r="E1538" s="11" t="s">
        <v>65</v>
      </c>
      <c r="F1538" s="11" t="s">
        <v>26</v>
      </c>
      <c r="G1538" s="11">
        <v>1590</v>
      </c>
      <c r="H1538" s="12" t="s">
        <v>66</v>
      </c>
      <c r="I1538" s="12" t="s">
        <v>37</v>
      </c>
      <c r="J1538" s="12" t="s">
        <v>1909</v>
      </c>
      <c r="K1538" s="12" t="s">
        <v>82</v>
      </c>
      <c r="L1538" s="13">
        <v>38.22</v>
      </c>
      <c r="M1538" s="13">
        <v>25</v>
      </c>
      <c r="N1538" s="13">
        <v>1.5287999999999999</v>
      </c>
      <c r="O1538" s="13" t="s">
        <v>30</v>
      </c>
      <c r="P1538" s="13">
        <v>54</v>
      </c>
      <c r="Q1538" s="13">
        <v>0</v>
      </c>
      <c r="R1538" s="15">
        <v>1350</v>
      </c>
      <c r="S1538" s="15">
        <v>0</v>
      </c>
      <c r="T1538" s="15">
        <v>0</v>
      </c>
      <c r="U1538" s="15">
        <v>1350</v>
      </c>
      <c r="V1538" s="15">
        <v>1350</v>
      </c>
      <c r="W1538" s="15">
        <v>0</v>
      </c>
      <c r="X1538" s="15">
        <v>0</v>
      </c>
      <c r="Y1538" s="16">
        <v>0</v>
      </c>
      <c r="Z1538" s="67" t="s">
        <v>26</v>
      </c>
      <c r="AA1538" s="12" t="s">
        <v>31</v>
      </c>
    </row>
    <row r="1539" spans="1:27" x14ac:dyDescent="0.25">
      <c r="A1539" s="10">
        <v>45681</v>
      </c>
      <c r="B1539" s="11" t="s">
        <v>3435</v>
      </c>
      <c r="C1539" s="11" t="s">
        <v>3436</v>
      </c>
      <c r="D1539" s="11" t="s">
        <v>26</v>
      </c>
      <c r="E1539" s="11" t="s">
        <v>57</v>
      </c>
      <c r="F1539" s="11" t="s">
        <v>26</v>
      </c>
      <c r="G1539" s="11">
        <v>2749</v>
      </c>
      <c r="H1539" s="12" t="s">
        <v>41</v>
      </c>
      <c r="I1539" s="12" t="s">
        <v>55</v>
      </c>
      <c r="J1539" s="12" t="s">
        <v>55</v>
      </c>
      <c r="K1539" s="12" t="s">
        <v>56</v>
      </c>
      <c r="L1539" s="13">
        <v>40.76</v>
      </c>
      <c r="M1539" s="13">
        <v>25</v>
      </c>
      <c r="N1539" s="13">
        <v>1.6304000000000001</v>
      </c>
      <c r="O1539" s="13" t="s">
        <v>30</v>
      </c>
      <c r="P1539" s="13">
        <v>24</v>
      </c>
      <c r="Q1539" s="13">
        <v>0</v>
      </c>
      <c r="R1539" s="14">
        <v>600</v>
      </c>
      <c r="S1539" s="15">
        <v>0</v>
      </c>
      <c r="T1539" s="15">
        <v>0</v>
      </c>
      <c r="U1539" s="15">
        <v>600</v>
      </c>
      <c r="V1539" s="15">
        <v>0</v>
      </c>
      <c r="W1539" s="15">
        <v>600</v>
      </c>
      <c r="X1539" s="15">
        <v>0</v>
      </c>
      <c r="Y1539" s="16">
        <v>0</v>
      </c>
      <c r="Z1539" s="67" t="s">
        <v>26</v>
      </c>
      <c r="AA1539" s="12" t="s">
        <v>31</v>
      </c>
    </row>
    <row r="1540" spans="1:27" x14ac:dyDescent="0.25">
      <c r="A1540" s="10">
        <v>45681</v>
      </c>
      <c r="B1540" s="11" t="s">
        <v>3437</v>
      </c>
      <c r="C1540" s="11" t="s">
        <v>3438</v>
      </c>
      <c r="D1540" s="11" t="s">
        <v>26</v>
      </c>
      <c r="E1540" s="11" t="s">
        <v>77</v>
      </c>
      <c r="F1540" s="11" t="s">
        <v>26</v>
      </c>
      <c r="G1540" s="11" t="s">
        <v>185</v>
      </c>
      <c r="H1540" s="12" t="s">
        <v>4449</v>
      </c>
      <c r="I1540" s="12" t="s">
        <v>55</v>
      </c>
      <c r="J1540" s="12" t="s">
        <v>55</v>
      </c>
      <c r="K1540" s="12" t="s">
        <v>56</v>
      </c>
      <c r="L1540" s="13">
        <v>38.479999999999997</v>
      </c>
      <c r="M1540" s="13">
        <v>25</v>
      </c>
      <c r="N1540" s="13">
        <v>1.5391999999999999</v>
      </c>
      <c r="O1540" s="13">
        <v>15</v>
      </c>
      <c r="P1540" s="13" t="s">
        <v>30</v>
      </c>
      <c r="Q1540" s="14">
        <v>0</v>
      </c>
      <c r="R1540" s="15">
        <v>577.19999999999993</v>
      </c>
      <c r="S1540" s="15">
        <v>0</v>
      </c>
      <c r="T1540" s="15">
        <v>0</v>
      </c>
      <c r="U1540" s="15">
        <v>577.19999999999993</v>
      </c>
      <c r="V1540" s="15">
        <v>577.19999999999993</v>
      </c>
      <c r="W1540" s="15">
        <v>0</v>
      </c>
      <c r="X1540" s="15">
        <v>0</v>
      </c>
      <c r="Y1540" s="16">
        <v>0</v>
      </c>
      <c r="Z1540" s="67" t="s">
        <v>26</v>
      </c>
      <c r="AA1540" s="12" t="s">
        <v>31</v>
      </c>
    </row>
    <row r="1541" spans="1:27" x14ac:dyDescent="0.25">
      <c r="A1541" s="10">
        <v>45681</v>
      </c>
      <c r="B1541" s="11" t="s">
        <v>1087</v>
      </c>
      <c r="C1541" s="11" t="s">
        <v>3439</v>
      </c>
      <c r="D1541" s="11" t="s">
        <v>26</v>
      </c>
      <c r="E1541" s="11" t="s">
        <v>444</v>
      </c>
      <c r="F1541" s="11" t="s">
        <v>26</v>
      </c>
      <c r="G1541" s="11" t="s">
        <v>185</v>
      </c>
      <c r="H1541" s="12" t="s">
        <v>4449</v>
      </c>
      <c r="I1541" s="12" t="s">
        <v>55</v>
      </c>
      <c r="J1541" s="12" t="s">
        <v>55</v>
      </c>
      <c r="K1541" s="12" t="s">
        <v>56</v>
      </c>
      <c r="L1541" s="13">
        <v>34.14</v>
      </c>
      <c r="M1541" s="13">
        <v>22</v>
      </c>
      <c r="N1541" s="13">
        <v>1.551818181818182</v>
      </c>
      <c r="O1541" s="13">
        <v>15</v>
      </c>
      <c r="P1541" s="13" t="s">
        <v>30</v>
      </c>
      <c r="Q1541" s="13">
        <v>0</v>
      </c>
      <c r="R1541" s="14">
        <v>512.1</v>
      </c>
      <c r="S1541" s="15">
        <v>0</v>
      </c>
      <c r="T1541" s="15">
        <v>0</v>
      </c>
      <c r="U1541" s="15">
        <v>512.1</v>
      </c>
      <c r="V1541" s="15">
        <v>512.1</v>
      </c>
      <c r="W1541" s="15">
        <v>0</v>
      </c>
      <c r="X1541" s="15">
        <v>0</v>
      </c>
      <c r="Y1541" s="16">
        <v>0</v>
      </c>
      <c r="Z1541" s="67" t="s">
        <v>26</v>
      </c>
      <c r="AA1541" s="12" t="s">
        <v>31</v>
      </c>
    </row>
    <row r="1542" spans="1:27" x14ac:dyDescent="0.25">
      <c r="A1542" s="10">
        <v>45681</v>
      </c>
      <c r="B1542" s="11" t="s">
        <v>3440</v>
      </c>
      <c r="C1542" s="11" t="s">
        <v>3441</v>
      </c>
      <c r="D1542" s="11" t="s">
        <v>26</v>
      </c>
      <c r="E1542" s="11" t="s">
        <v>322</v>
      </c>
      <c r="F1542" s="11" t="s">
        <v>26</v>
      </c>
      <c r="G1542" s="11">
        <v>112351</v>
      </c>
      <c r="H1542" s="12" t="s">
        <v>4446</v>
      </c>
      <c r="I1542" s="12" t="s">
        <v>27</v>
      </c>
      <c r="J1542" s="12" t="s">
        <v>33</v>
      </c>
      <c r="K1542" s="12" t="s">
        <v>34</v>
      </c>
      <c r="L1542" s="13">
        <v>35.26</v>
      </c>
      <c r="M1542" s="13">
        <v>25</v>
      </c>
      <c r="N1542" s="13">
        <v>1.4104000000000001</v>
      </c>
      <c r="O1542" s="13">
        <v>44</v>
      </c>
      <c r="P1542" s="13" t="s">
        <v>30</v>
      </c>
      <c r="Q1542" s="13">
        <v>0</v>
      </c>
      <c r="R1542" s="14">
        <v>1551.4399999999998</v>
      </c>
      <c r="S1542" s="15">
        <v>0</v>
      </c>
      <c r="T1542" s="15">
        <v>0</v>
      </c>
      <c r="U1542" s="15">
        <v>1551.4399999999998</v>
      </c>
      <c r="V1542" s="15">
        <v>1551.4399999999998</v>
      </c>
      <c r="W1542" s="15">
        <v>0</v>
      </c>
      <c r="X1542" s="16">
        <v>0</v>
      </c>
      <c r="Y1542" s="16">
        <v>0</v>
      </c>
      <c r="Z1542" s="67" t="s">
        <v>26</v>
      </c>
      <c r="AA1542" s="12" t="s">
        <v>31</v>
      </c>
    </row>
    <row r="1543" spans="1:27" x14ac:dyDescent="0.25">
      <c r="A1543" s="10">
        <v>45681</v>
      </c>
      <c r="B1543" s="11" t="s">
        <v>330</v>
      </c>
      <c r="C1543" s="11" t="s">
        <v>3442</v>
      </c>
      <c r="D1543" s="11" t="s">
        <v>26</v>
      </c>
      <c r="E1543" s="11" t="s">
        <v>240</v>
      </c>
      <c r="F1543" s="11" t="s">
        <v>26</v>
      </c>
      <c r="G1543" s="11">
        <v>2937</v>
      </c>
      <c r="H1543" s="12" t="s">
        <v>41</v>
      </c>
      <c r="I1543" s="12" t="s">
        <v>37</v>
      </c>
      <c r="J1543" s="12" t="s">
        <v>85</v>
      </c>
      <c r="K1543" s="12" t="s">
        <v>86</v>
      </c>
      <c r="L1543" s="13">
        <v>36.32</v>
      </c>
      <c r="M1543" s="13">
        <v>25</v>
      </c>
      <c r="N1543" s="13">
        <v>1.4528000000000001</v>
      </c>
      <c r="O1543" s="13" t="s">
        <v>30</v>
      </c>
      <c r="P1543" s="13">
        <v>43.5</v>
      </c>
      <c r="Q1543" s="13">
        <v>0</v>
      </c>
      <c r="R1543" s="14">
        <v>1087.5</v>
      </c>
      <c r="S1543" s="15">
        <v>0</v>
      </c>
      <c r="T1543" s="15">
        <v>0</v>
      </c>
      <c r="U1543" s="15">
        <v>1087.5</v>
      </c>
      <c r="V1543" s="15">
        <v>0</v>
      </c>
      <c r="W1543" s="15">
        <v>1087.5</v>
      </c>
      <c r="X1543" s="16">
        <v>0</v>
      </c>
      <c r="Y1543" s="16">
        <v>0</v>
      </c>
      <c r="Z1543" s="67" t="s">
        <v>26</v>
      </c>
      <c r="AA1543" s="12" t="s">
        <v>31</v>
      </c>
    </row>
    <row r="1544" spans="1:27" x14ac:dyDescent="0.25">
      <c r="A1544" s="10">
        <v>45681</v>
      </c>
      <c r="B1544" s="11" t="s">
        <v>636</v>
      </c>
      <c r="C1544" s="11" t="s">
        <v>3443</v>
      </c>
      <c r="D1544" s="11" t="s">
        <v>26</v>
      </c>
      <c r="E1544" s="11" t="s">
        <v>90</v>
      </c>
      <c r="F1544" s="11" t="s">
        <v>26</v>
      </c>
      <c r="G1544" s="11">
        <v>60862</v>
      </c>
      <c r="H1544" s="12" t="s">
        <v>4423</v>
      </c>
      <c r="I1544" s="12" t="s">
        <v>27</v>
      </c>
      <c r="J1544" s="12" t="s">
        <v>42</v>
      </c>
      <c r="K1544" s="12" t="s">
        <v>43</v>
      </c>
      <c r="L1544" s="13">
        <v>36.700000000000003</v>
      </c>
      <c r="M1544" s="13">
        <v>25</v>
      </c>
      <c r="N1544" s="13">
        <v>1.468</v>
      </c>
      <c r="O1544" s="13">
        <v>42</v>
      </c>
      <c r="P1544" s="13" t="s">
        <v>30</v>
      </c>
      <c r="Q1544" s="13">
        <v>0</v>
      </c>
      <c r="R1544" s="14">
        <v>1541.4</v>
      </c>
      <c r="S1544" s="15">
        <v>0</v>
      </c>
      <c r="T1544" s="15">
        <v>0</v>
      </c>
      <c r="U1544" s="15">
        <v>1541.4</v>
      </c>
      <c r="V1544" s="15">
        <v>1541.4</v>
      </c>
      <c r="W1544" s="15">
        <v>0</v>
      </c>
      <c r="X1544" s="15">
        <v>0</v>
      </c>
      <c r="Y1544" s="16">
        <v>0</v>
      </c>
      <c r="Z1544" s="67" t="s">
        <v>26</v>
      </c>
      <c r="AA1544" s="12" t="s">
        <v>31</v>
      </c>
    </row>
    <row r="1545" spans="1:27" x14ac:dyDescent="0.25">
      <c r="A1545" s="10">
        <v>45681</v>
      </c>
      <c r="B1545" s="11" t="s">
        <v>3444</v>
      </c>
      <c r="C1545" s="11" t="s">
        <v>3445</v>
      </c>
      <c r="D1545" s="11" t="s">
        <v>26</v>
      </c>
      <c r="E1545" s="11" t="s">
        <v>81</v>
      </c>
      <c r="F1545" s="11" t="s">
        <v>26</v>
      </c>
      <c r="G1545" s="11">
        <v>1205</v>
      </c>
      <c r="H1545" s="12" t="s">
        <v>141</v>
      </c>
      <c r="I1545" s="12" t="s">
        <v>55</v>
      </c>
      <c r="J1545" s="12" t="s">
        <v>55</v>
      </c>
      <c r="K1545" s="12" t="s">
        <v>56</v>
      </c>
      <c r="L1545" s="13">
        <v>39.659999999999997</v>
      </c>
      <c r="M1545" s="13">
        <v>25</v>
      </c>
      <c r="N1545" s="13">
        <v>1.5864</v>
      </c>
      <c r="O1545" s="13">
        <v>15</v>
      </c>
      <c r="P1545" s="13" t="s">
        <v>30</v>
      </c>
      <c r="Q1545" s="13">
        <v>0</v>
      </c>
      <c r="R1545" s="14">
        <v>594.9</v>
      </c>
      <c r="S1545" s="15">
        <v>0</v>
      </c>
      <c r="T1545" s="15">
        <v>0</v>
      </c>
      <c r="U1545" s="15">
        <v>594.9</v>
      </c>
      <c r="V1545" s="15">
        <v>0</v>
      </c>
      <c r="W1545" s="15">
        <v>594.9</v>
      </c>
      <c r="X1545" s="15">
        <v>0</v>
      </c>
      <c r="Y1545" s="16">
        <v>0</v>
      </c>
      <c r="Z1545" s="67" t="s">
        <v>26</v>
      </c>
      <c r="AA1545" s="12" t="s">
        <v>31</v>
      </c>
    </row>
    <row r="1546" spans="1:27" x14ac:dyDescent="0.25">
      <c r="A1546" s="10">
        <v>45681</v>
      </c>
      <c r="B1546" s="11" t="s">
        <v>3446</v>
      </c>
      <c r="C1546" s="11" t="s">
        <v>3447</v>
      </c>
      <c r="D1546" s="11" t="s">
        <v>26</v>
      </c>
      <c r="E1546" s="11" t="s">
        <v>605</v>
      </c>
      <c r="F1546" s="11" t="s">
        <v>26</v>
      </c>
      <c r="G1546" s="11">
        <v>1057</v>
      </c>
      <c r="H1546" s="12" t="s">
        <v>141</v>
      </c>
      <c r="I1546" s="12" t="s">
        <v>55</v>
      </c>
      <c r="J1546" s="12" t="s">
        <v>55</v>
      </c>
      <c r="K1546" s="12" t="s">
        <v>56</v>
      </c>
      <c r="L1546" s="13">
        <v>39.32</v>
      </c>
      <c r="M1546" s="13">
        <v>25</v>
      </c>
      <c r="N1546" s="13">
        <v>1.5728</v>
      </c>
      <c r="O1546" s="13">
        <v>15</v>
      </c>
      <c r="P1546" s="13" t="s">
        <v>30</v>
      </c>
      <c r="Q1546" s="13">
        <v>0</v>
      </c>
      <c r="R1546" s="15">
        <v>589.79999999999995</v>
      </c>
      <c r="S1546" s="15">
        <v>0</v>
      </c>
      <c r="T1546" s="15">
        <v>0</v>
      </c>
      <c r="U1546" s="15">
        <v>589.79999999999995</v>
      </c>
      <c r="V1546" s="15">
        <v>0</v>
      </c>
      <c r="W1546" s="15">
        <v>589.79999999999995</v>
      </c>
      <c r="X1546" s="15">
        <v>0</v>
      </c>
      <c r="Y1546" s="16">
        <v>0</v>
      </c>
      <c r="Z1546" s="67" t="s">
        <v>26</v>
      </c>
      <c r="AA1546" s="12" t="s">
        <v>31</v>
      </c>
    </row>
    <row r="1547" spans="1:27" x14ac:dyDescent="0.25">
      <c r="A1547" s="10">
        <v>45681</v>
      </c>
      <c r="B1547" s="11" t="s">
        <v>3448</v>
      </c>
      <c r="C1547" s="11" t="s">
        <v>3449</v>
      </c>
      <c r="D1547" s="11" t="s">
        <v>26</v>
      </c>
      <c r="E1547" s="11" t="s">
        <v>570</v>
      </c>
      <c r="F1547" s="11" t="s">
        <v>26</v>
      </c>
      <c r="G1547" s="11" t="s">
        <v>26</v>
      </c>
      <c r="H1547" s="12" t="s">
        <v>4422</v>
      </c>
      <c r="I1547" s="12" t="s">
        <v>27</v>
      </c>
      <c r="J1547" s="12" t="s">
        <v>47</v>
      </c>
      <c r="K1547" s="12" t="s">
        <v>48</v>
      </c>
      <c r="L1547" s="13">
        <v>41.76</v>
      </c>
      <c r="M1547" s="13">
        <v>28</v>
      </c>
      <c r="N1547" s="13">
        <v>1.4914285714285711</v>
      </c>
      <c r="O1547" s="13">
        <v>87</v>
      </c>
      <c r="P1547" s="13" t="s">
        <v>30</v>
      </c>
      <c r="Q1547" s="13">
        <v>0</v>
      </c>
      <c r="R1547" s="14">
        <v>3633.12</v>
      </c>
      <c r="S1547" s="15">
        <v>38</v>
      </c>
      <c r="T1547" s="15">
        <v>1586.8799999999999</v>
      </c>
      <c r="U1547" s="15">
        <v>2046.24</v>
      </c>
      <c r="V1547" s="15">
        <v>2046.24</v>
      </c>
      <c r="W1547" s="15"/>
      <c r="X1547" s="15">
        <v>1503.36</v>
      </c>
      <c r="Y1547" s="16">
        <v>83.519999999999982</v>
      </c>
      <c r="Z1547" s="67" t="s">
        <v>140</v>
      </c>
      <c r="AA1547" s="12" t="s">
        <v>78</v>
      </c>
    </row>
    <row r="1548" spans="1:27" x14ac:dyDescent="0.25">
      <c r="A1548" s="10">
        <v>45681</v>
      </c>
      <c r="B1548" s="11" t="s">
        <v>3450</v>
      </c>
      <c r="C1548" s="11" t="s">
        <v>3451</v>
      </c>
      <c r="D1548" s="11" t="s">
        <v>26</v>
      </c>
      <c r="E1548" s="11" t="s">
        <v>80</v>
      </c>
      <c r="F1548" s="11" t="s">
        <v>26</v>
      </c>
      <c r="G1548" s="11">
        <v>10655</v>
      </c>
      <c r="H1548" s="12" t="s">
        <v>140</v>
      </c>
      <c r="I1548" s="12" t="s">
        <v>27</v>
      </c>
      <c r="J1548" s="12" t="s">
        <v>47</v>
      </c>
      <c r="K1548" s="12" t="s">
        <v>48</v>
      </c>
      <c r="L1548" s="13">
        <v>43.42</v>
      </c>
      <c r="M1548" s="13">
        <v>30</v>
      </c>
      <c r="N1548" s="13">
        <v>1.4473333333333329</v>
      </c>
      <c r="O1548" s="13">
        <v>40</v>
      </c>
      <c r="P1548" s="13"/>
      <c r="Q1548" s="13">
        <v>0</v>
      </c>
      <c r="R1548" s="14">
        <v>1736.8000000000002</v>
      </c>
      <c r="S1548" s="15">
        <v>0</v>
      </c>
      <c r="T1548" s="15">
        <v>0</v>
      </c>
      <c r="U1548" s="15">
        <v>1736.8000000000002</v>
      </c>
      <c r="V1548" s="15">
        <v>0</v>
      </c>
      <c r="W1548" s="15">
        <v>1736.8000000000002</v>
      </c>
      <c r="X1548" s="15">
        <v>0</v>
      </c>
      <c r="Y1548" s="16">
        <v>0</v>
      </c>
      <c r="Z1548" s="67" t="s">
        <v>26</v>
      </c>
      <c r="AA1548" s="12" t="s">
        <v>31</v>
      </c>
    </row>
    <row r="1549" spans="1:27" x14ac:dyDescent="0.25">
      <c r="A1549" s="10">
        <v>45681</v>
      </c>
      <c r="B1549" s="11" t="s">
        <v>3452</v>
      </c>
      <c r="C1549" s="11" t="s">
        <v>3453</v>
      </c>
      <c r="D1549" s="11" t="s">
        <v>26</v>
      </c>
      <c r="E1549" s="11" t="s">
        <v>496</v>
      </c>
      <c r="F1549" s="11" t="s">
        <v>26</v>
      </c>
      <c r="G1549" s="11">
        <v>22911</v>
      </c>
      <c r="H1549" s="12" t="s">
        <v>4448</v>
      </c>
      <c r="I1549" s="12" t="s">
        <v>27</v>
      </c>
      <c r="J1549" s="12" t="s">
        <v>42</v>
      </c>
      <c r="K1549" s="12" t="s">
        <v>43</v>
      </c>
      <c r="L1549" s="13">
        <v>43.4</v>
      </c>
      <c r="M1549" s="13">
        <v>25</v>
      </c>
      <c r="N1549" s="13">
        <v>1.736</v>
      </c>
      <c r="O1549" s="13">
        <v>42.5</v>
      </c>
      <c r="P1549" s="13" t="s">
        <v>30</v>
      </c>
      <c r="Q1549" s="13">
        <v>0</v>
      </c>
      <c r="R1549" s="14">
        <v>1844.5</v>
      </c>
      <c r="S1549" s="15">
        <v>0</v>
      </c>
      <c r="T1549" s="15">
        <v>0</v>
      </c>
      <c r="U1549" s="15">
        <v>1844.5</v>
      </c>
      <c r="V1549" s="15">
        <v>1383.375</v>
      </c>
      <c r="W1549" s="15">
        <v>461.125</v>
      </c>
      <c r="X1549" s="15">
        <v>0</v>
      </c>
      <c r="Y1549" s="16">
        <v>0</v>
      </c>
      <c r="Z1549" s="67" t="s">
        <v>26</v>
      </c>
      <c r="AA1549" s="12" t="s">
        <v>31</v>
      </c>
    </row>
    <row r="1550" spans="1:27" x14ac:dyDescent="0.25">
      <c r="A1550" s="10">
        <v>45681</v>
      </c>
      <c r="B1550" s="11" t="s">
        <v>3454</v>
      </c>
      <c r="C1550" s="11" t="s">
        <v>3455</v>
      </c>
      <c r="D1550" s="11" t="s">
        <v>26</v>
      </c>
      <c r="E1550" s="11" t="s">
        <v>87</v>
      </c>
      <c r="F1550" s="11" t="s">
        <v>26</v>
      </c>
      <c r="G1550" s="11">
        <v>32389</v>
      </c>
      <c r="H1550" s="12" t="s">
        <v>4423</v>
      </c>
      <c r="I1550" s="12" t="s">
        <v>27</v>
      </c>
      <c r="J1550" s="12" t="s">
        <v>33</v>
      </c>
      <c r="K1550" s="12" t="s">
        <v>34</v>
      </c>
      <c r="L1550" s="13">
        <v>35.08</v>
      </c>
      <c r="M1550" s="13">
        <v>25</v>
      </c>
      <c r="N1550" s="13">
        <v>1.4032</v>
      </c>
      <c r="O1550" s="13">
        <v>45</v>
      </c>
      <c r="P1550" s="13" t="s">
        <v>30</v>
      </c>
      <c r="Q1550" s="13">
        <v>0</v>
      </c>
      <c r="R1550" s="14">
        <v>1578.6</v>
      </c>
      <c r="S1550" s="15">
        <v>0</v>
      </c>
      <c r="T1550" s="15">
        <v>0</v>
      </c>
      <c r="U1550" s="15">
        <v>1578.6</v>
      </c>
      <c r="V1550" s="15">
        <v>1578.6</v>
      </c>
      <c r="W1550" s="15">
        <v>0</v>
      </c>
      <c r="X1550" s="15">
        <v>0</v>
      </c>
      <c r="Y1550" s="16">
        <v>0</v>
      </c>
      <c r="Z1550" s="67" t="s">
        <v>26</v>
      </c>
      <c r="AA1550" s="12" t="s">
        <v>31</v>
      </c>
    </row>
    <row r="1551" spans="1:27" x14ac:dyDescent="0.25">
      <c r="A1551" s="10">
        <v>45681</v>
      </c>
      <c r="B1551" s="11" t="s">
        <v>739</v>
      </c>
      <c r="C1551" s="11" t="s">
        <v>3456</v>
      </c>
      <c r="D1551" s="11" t="s">
        <v>26</v>
      </c>
      <c r="E1551" s="11" t="s">
        <v>589</v>
      </c>
      <c r="F1551" s="11" t="s">
        <v>26</v>
      </c>
      <c r="G1551" s="11">
        <v>4595</v>
      </c>
      <c r="H1551" s="12" t="s">
        <v>4423</v>
      </c>
      <c r="I1551" s="12" t="s">
        <v>27</v>
      </c>
      <c r="J1551" s="12" t="s">
        <v>33</v>
      </c>
      <c r="K1551" s="12" t="s">
        <v>34</v>
      </c>
      <c r="L1551" s="13">
        <v>36.86</v>
      </c>
      <c r="M1551" s="13">
        <v>25</v>
      </c>
      <c r="N1551" s="13">
        <v>1.4743999999999999</v>
      </c>
      <c r="O1551" s="13">
        <v>45</v>
      </c>
      <c r="P1551" s="13" t="s">
        <v>30</v>
      </c>
      <c r="Q1551" s="13">
        <v>0</v>
      </c>
      <c r="R1551" s="14">
        <v>1658.7</v>
      </c>
      <c r="S1551" s="15">
        <v>0</v>
      </c>
      <c r="T1551" s="15">
        <v>0</v>
      </c>
      <c r="U1551" s="15">
        <v>1658.7</v>
      </c>
      <c r="V1551" s="15">
        <v>1658.7</v>
      </c>
      <c r="W1551" s="15">
        <v>0</v>
      </c>
      <c r="X1551" s="16">
        <v>0</v>
      </c>
      <c r="Y1551" s="16">
        <v>0</v>
      </c>
      <c r="Z1551" s="67" t="s">
        <v>26</v>
      </c>
      <c r="AA1551" s="12" t="s">
        <v>31</v>
      </c>
    </row>
    <row r="1552" spans="1:27" x14ac:dyDescent="0.25">
      <c r="A1552" s="10">
        <v>45681</v>
      </c>
      <c r="B1552" s="11" t="s">
        <v>2881</v>
      </c>
      <c r="C1552" s="11" t="s">
        <v>3457</v>
      </c>
      <c r="D1552" s="11" t="s">
        <v>26</v>
      </c>
      <c r="E1552" s="11" t="s">
        <v>50</v>
      </c>
      <c r="F1552" s="11" t="s">
        <v>26</v>
      </c>
      <c r="G1552" s="11">
        <v>904</v>
      </c>
      <c r="H1552" s="12" t="s">
        <v>163</v>
      </c>
      <c r="I1552" s="12" t="s">
        <v>55</v>
      </c>
      <c r="J1552" s="12" t="s">
        <v>55</v>
      </c>
      <c r="K1552" s="12" t="s">
        <v>56</v>
      </c>
      <c r="L1552" s="13">
        <v>41.2</v>
      </c>
      <c r="M1552" s="13">
        <v>25</v>
      </c>
      <c r="N1552" s="13">
        <v>1.6479999999999999</v>
      </c>
      <c r="O1552" s="13" t="s">
        <v>30</v>
      </c>
      <c r="P1552" s="13">
        <v>22</v>
      </c>
      <c r="Q1552" s="13">
        <v>0</v>
      </c>
      <c r="R1552" s="14">
        <v>550</v>
      </c>
      <c r="S1552" s="15">
        <v>0</v>
      </c>
      <c r="T1552" s="15">
        <v>0</v>
      </c>
      <c r="U1552" s="15">
        <v>550</v>
      </c>
      <c r="V1552" s="15">
        <v>0</v>
      </c>
      <c r="W1552" s="15">
        <v>550</v>
      </c>
      <c r="X1552" s="15">
        <v>0</v>
      </c>
      <c r="Y1552" s="16">
        <v>0</v>
      </c>
      <c r="Z1552" s="67" t="s">
        <v>26</v>
      </c>
      <c r="AA1552" s="12" t="s">
        <v>31</v>
      </c>
    </row>
    <row r="1553" spans="1:27" x14ac:dyDescent="0.25">
      <c r="A1553" s="10">
        <v>45681</v>
      </c>
      <c r="B1553" s="11" t="s">
        <v>3458</v>
      </c>
      <c r="C1553" s="11" t="s">
        <v>3459</v>
      </c>
      <c r="D1553" s="11" t="s">
        <v>26</v>
      </c>
      <c r="E1553" s="11" t="s">
        <v>542</v>
      </c>
      <c r="F1553" s="11" t="s">
        <v>26</v>
      </c>
      <c r="G1553" s="11" t="s">
        <v>35</v>
      </c>
      <c r="H1553" s="12" t="s">
        <v>36</v>
      </c>
      <c r="I1553" s="12" t="s">
        <v>55</v>
      </c>
      <c r="J1553" s="12" t="s">
        <v>55</v>
      </c>
      <c r="K1553" s="12" t="s">
        <v>56</v>
      </c>
      <c r="L1553" s="13">
        <v>39.340000000000003</v>
      </c>
      <c r="M1553" s="13">
        <v>25</v>
      </c>
      <c r="N1553" s="13">
        <v>1.5736000000000001</v>
      </c>
      <c r="O1553" s="13">
        <v>20</v>
      </c>
      <c r="P1553" s="13" t="s">
        <v>30</v>
      </c>
      <c r="Q1553" s="13">
        <v>0</v>
      </c>
      <c r="R1553" s="15">
        <v>786.80000000000007</v>
      </c>
      <c r="S1553" s="15">
        <v>0</v>
      </c>
      <c r="T1553" s="15">
        <v>0</v>
      </c>
      <c r="U1553" s="15">
        <v>786.80000000000007</v>
      </c>
      <c r="V1553" s="15">
        <v>0</v>
      </c>
      <c r="W1553" s="15">
        <v>786.80000000000007</v>
      </c>
      <c r="X1553" s="15">
        <v>0</v>
      </c>
      <c r="Y1553" s="16">
        <v>0</v>
      </c>
      <c r="Z1553" s="67" t="s">
        <v>26</v>
      </c>
      <c r="AA1553" s="12" t="s">
        <v>31</v>
      </c>
    </row>
    <row r="1554" spans="1:27" x14ac:dyDescent="0.25">
      <c r="A1554" s="10">
        <v>45681</v>
      </c>
      <c r="B1554" s="11" t="s">
        <v>3460</v>
      </c>
      <c r="C1554" s="11" t="s">
        <v>3461</v>
      </c>
      <c r="D1554" s="11" t="s">
        <v>26</v>
      </c>
      <c r="E1554" s="11" t="s">
        <v>506</v>
      </c>
      <c r="F1554" s="11" t="s">
        <v>26</v>
      </c>
      <c r="G1554" s="11">
        <v>1537</v>
      </c>
      <c r="H1554" s="12" t="s">
        <v>45</v>
      </c>
      <c r="I1554" s="12" t="s">
        <v>27</v>
      </c>
      <c r="J1554" s="12" t="s">
        <v>33</v>
      </c>
      <c r="K1554" s="12" t="s">
        <v>34</v>
      </c>
      <c r="L1554" s="13">
        <v>38.880000000000003</v>
      </c>
      <c r="M1554" s="13">
        <v>25</v>
      </c>
      <c r="N1554" s="13">
        <v>1.5551999999999999</v>
      </c>
      <c r="O1554" s="13" t="s">
        <v>30</v>
      </c>
      <c r="P1554" s="13">
        <v>58</v>
      </c>
      <c r="Q1554" s="13">
        <v>0</v>
      </c>
      <c r="R1554" s="14">
        <v>1450</v>
      </c>
      <c r="S1554" s="15">
        <v>0</v>
      </c>
      <c r="T1554" s="15">
        <v>0</v>
      </c>
      <c r="U1554" s="15">
        <v>1450</v>
      </c>
      <c r="V1554" s="15">
        <v>0</v>
      </c>
      <c r="W1554" s="15">
        <v>1450</v>
      </c>
      <c r="X1554" s="15">
        <v>0</v>
      </c>
      <c r="Y1554" s="16">
        <v>0</v>
      </c>
      <c r="Z1554" s="67" t="s">
        <v>26</v>
      </c>
      <c r="AA1554" s="12" t="s">
        <v>31</v>
      </c>
    </row>
    <row r="1555" spans="1:27" x14ac:dyDescent="0.25">
      <c r="A1555" s="10">
        <v>45681</v>
      </c>
      <c r="B1555" s="11" t="s">
        <v>3462</v>
      </c>
      <c r="C1555" s="11" t="s">
        <v>3463</v>
      </c>
      <c r="D1555" s="11" t="s">
        <v>26</v>
      </c>
      <c r="E1555" s="11" t="s">
        <v>552</v>
      </c>
      <c r="F1555" s="11" t="s">
        <v>26</v>
      </c>
      <c r="G1555" s="11">
        <v>69129</v>
      </c>
      <c r="H1555" s="12" t="s">
        <v>4423</v>
      </c>
      <c r="I1555" s="12" t="s">
        <v>27</v>
      </c>
      <c r="J1555" s="12" t="s">
        <v>42</v>
      </c>
      <c r="K1555" s="12" t="s">
        <v>43</v>
      </c>
      <c r="L1555" s="13">
        <v>35.86</v>
      </c>
      <c r="M1555" s="13">
        <v>25</v>
      </c>
      <c r="N1555" s="13">
        <v>1.4343999999999999</v>
      </c>
      <c r="O1555" s="13">
        <v>42</v>
      </c>
      <c r="P1555" s="13" t="s">
        <v>30</v>
      </c>
      <c r="Q1555" s="13">
        <v>0</v>
      </c>
      <c r="R1555" s="14">
        <v>1506.12</v>
      </c>
      <c r="S1555" s="15">
        <v>0</v>
      </c>
      <c r="T1555" s="15">
        <v>0</v>
      </c>
      <c r="U1555" s="15">
        <v>1506.12</v>
      </c>
      <c r="V1555" s="15">
        <v>1506.12</v>
      </c>
      <c r="W1555" s="15">
        <v>0</v>
      </c>
      <c r="X1555" s="15">
        <v>0</v>
      </c>
      <c r="Y1555" s="16">
        <v>0</v>
      </c>
      <c r="Z1555" s="67" t="s">
        <v>26</v>
      </c>
      <c r="AA1555" s="12" t="s">
        <v>31</v>
      </c>
    </row>
    <row r="1556" spans="1:27" x14ac:dyDescent="0.25">
      <c r="A1556" s="10">
        <v>45681</v>
      </c>
      <c r="B1556" s="11" t="s">
        <v>3464</v>
      </c>
      <c r="C1556" s="11" t="s">
        <v>3465</v>
      </c>
      <c r="D1556" s="11" t="s">
        <v>26</v>
      </c>
      <c r="E1556" s="11" t="s">
        <v>46</v>
      </c>
      <c r="F1556" s="11" t="s">
        <v>26</v>
      </c>
      <c r="G1556" s="11">
        <v>112354</v>
      </c>
      <c r="H1556" s="12" t="s">
        <v>4446</v>
      </c>
      <c r="I1556" s="12" t="s">
        <v>27</v>
      </c>
      <c r="J1556" s="12" t="s">
        <v>33</v>
      </c>
      <c r="K1556" s="12" t="s">
        <v>34</v>
      </c>
      <c r="L1556" s="13">
        <v>36.32</v>
      </c>
      <c r="M1556" s="13">
        <v>25</v>
      </c>
      <c r="N1556" s="13">
        <v>1.4528000000000001</v>
      </c>
      <c r="O1556" s="13">
        <v>44</v>
      </c>
      <c r="P1556" s="13" t="s">
        <v>30</v>
      </c>
      <c r="Q1556" s="13">
        <v>0</v>
      </c>
      <c r="R1556" s="14">
        <v>1598.08</v>
      </c>
      <c r="S1556" s="15">
        <v>0</v>
      </c>
      <c r="T1556" s="15">
        <v>0</v>
      </c>
      <c r="U1556" s="15">
        <v>1598.08</v>
      </c>
      <c r="V1556" s="15">
        <v>1598.08</v>
      </c>
      <c r="W1556" s="15">
        <v>0</v>
      </c>
      <c r="X1556" s="15">
        <v>0</v>
      </c>
      <c r="Y1556" s="16">
        <v>0</v>
      </c>
      <c r="Z1556" s="67" t="s">
        <v>26</v>
      </c>
      <c r="AA1556" s="12" t="s">
        <v>31</v>
      </c>
    </row>
    <row r="1557" spans="1:27" x14ac:dyDescent="0.25">
      <c r="A1557" s="10">
        <v>45681</v>
      </c>
      <c r="B1557" s="11" t="s">
        <v>3466</v>
      </c>
      <c r="C1557" s="11" t="s">
        <v>3467</v>
      </c>
      <c r="D1557" s="11" t="s">
        <v>26</v>
      </c>
      <c r="E1557" s="11" t="s">
        <v>77</v>
      </c>
      <c r="F1557" s="11" t="s">
        <v>26</v>
      </c>
      <c r="G1557" s="11" t="s">
        <v>185</v>
      </c>
      <c r="H1557" s="12" t="s">
        <v>4449</v>
      </c>
      <c r="I1557" s="12" t="s">
        <v>55</v>
      </c>
      <c r="J1557" s="12" t="s">
        <v>55</v>
      </c>
      <c r="K1557" s="12" t="s">
        <v>56</v>
      </c>
      <c r="L1557" s="13">
        <v>39.94</v>
      </c>
      <c r="M1557" s="13">
        <v>25</v>
      </c>
      <c r="N1557" s="13">
        <v>1.5975999999999999</v>
      </c>
      <c r="O1557" s="13">
        <v>15</v>
      </c>
      <c r="P1557" s="13" t="s">
        <v>30</v>
      </c>
      <c r="Q1557" s="13">
        <v>0</v>
      </c>
      <c r="R1557" s="14">
        <v>599.09999999999991</v>
      </c>
      <c r="S1557" s="15">
        <v>0</v>
      </c>
      <c r="T1557" s="15">
        <v>0</v>
      </c>
      <c r="U1557" s="15">
        <v>599.09999999999991</v>
      </c>
      <c r="V1557" s="15">
        <v>599.09999999999991</v>
      </c>
      <c r="W1557" s="15">
        <v>0</v>
      </c>
      <c r="X1557" s="15">
        <v>0</v>
      </c>
      <c r="Y1557" s="16">
        <v>0</v>
      </c>
      <c r="Z1557" s="67" t="s">
        <v>26</v>
      </c>
      <c r="AA1557" s="12" t="s">
        <v>31</v>
      </c>
    </row>
    <row r="1558" spans="1:27" x14ac:dyDescent="0.25">
      <c r="A1558" s="10">
        <v>45681</v>
      </c>
      <c r="B1558" s="11" t="s">
        <v>3468</v>
      </c>
      <c r="C1558" s="11" t="s">
        <v>3469</v>
      </c>
      <c r="D1558" s="11" t="s">
        <v>26</v>
      </c>
      <c r="E1558" s="11" t="s">
        <v>593</v>
      </c>
      <c r="F1558" s="11" t="s">
        <v>26</v>
      </c>
      <c r="G1558" s="11">
        <v>44302</v>
      </c>
      <c r="H1558" s="12" t="s">
        <v>4423</v>
      </c>
      <c r="I1558" s="12" t="s">
        <v>27</v>
      </c>
      <c r="J1558" s="12" t="s">
        <v>33</v>
      </c>
      <c r="K1558" s="12" t="s">
        <v>34</v>
      </c>
      <c r="L1558" s="13">
        <v>35.9</v>
      </c>
      <c r="M1558" s="13">
        <v>25</v>
      </c>
      <c r="N1558" s="13">
        <v>1.4359999999999999</v>
      </c>
      <c r="O1558" s="13">
        <v>45</v>
      </c>
      <c r="P1558" s="13" t="s">
        <v>30</v>
      </c>
      <c r="Q1558" s="13">
        <v>0</v>
      </c>
      <c r="R1558" s="14">
        <v>1615.5</v>
      </c>
      <c r="S1558" s="15">
        <v>0</v>
      </c>
      <c r="T1558" s="15">
        <v>0</v>
      </c>
      <c r="U1558" s="15">
        <v>1615.5</v>
      </c>
      <c r="V1558" s="15">
        <v>1615.5</v>
      </c>
      <c r="W1558" s="15">
        <v>0</v>
      </c>
      <c r="X1558" s="15">
        <v>0</v>
      </c>
      <c r="Y1558" s="16">
        <v>0</v>
      </c>
      <c r="Z1558" s="67" t="s">
        <v>26</v>
      </c>
      <c r="AA1558" s="12" t="s">
        <v>31</v>
      </c>
    </row>
    <row r="1559" spans="1:27" x14ac:dyDescent="0.25">
      <c r="A1559" s="10">
        <v>45681</v>
      </c>
      <c r="B1559" s="11" t="s">
        <v>3470</v>
      </c>
      <c r="C1559" s="11" t="s">
        <v>3471</v>
      </c>
      <c r="D1559" s="11" t="s">
        <v>26</v>
      </c>
      <c r="E1559" s="11" t="s">
        <v>230</v>
      </c>
      <c r="F1559" s="11" t="s">
        <v>26</v>
      </c>
      <c r="G1559" s="11" t="s">
        <v>26</v>
      </c>
      <c r="H1559" s="12" t="s">
        <v>4422</v>
      </c>
      <c r="I1559" s="12" t="s">
        <v>27</v>
      </c>
      <c r="J1559" s="12" t="s">
        <v>47</v>
      </c>
      <c r="K1559" s="12" t="s">
        <v>48</v>
      </c>
      <c r="L1559" s="13">
        <v>42.56</v>
      </c>
      <c r="M1559" s="13">
        <v>29</v>
      </c>
      <c r="N1559" s="13">
        <v>1.4675862068965519</v>
      </c>
      <c r="O1559" s="13">
        <v>87</v>
      </c>
      <c r="P1559" s="13" t="s">
        <v>30</v>
      </c>
      <c r="Q1559" s="13">
        <v>0</v>
      </c>
      <c r="R1559" s="14">
        <v>3702.7200000000003</v>
      </c>
      <c r="S1559" s="15">
        <v>38</v>
      </c>
      <c r="T1559" s="15">
        <v>1617.2800000000002</v>
      </c>
      <c r="U1559" s="15">
        <v>2085.44</v>
      </c>
      <c r="V1559" s="15">
        <v>2085.44</v>
      </c>
      <c r="W1559" s="15"/>
      <c r="X1559" s="15">
        <v>1532.16</v>
      </c>
      <c r="Y1559" s="16">
        <v>85.120000000000118</v>
      </c>
      <c r="Z1559" s="67" t="s">
        <v>565</v>
      </c>
      <c r="AA1559" s="12" t="s">
        <v>78</v>
      </c>
    </row>
    <row r="1560" spans="1:27" x14ac:dyDescent="0.25">
      <c r="A1560" s="10">
        <v>45681</v>
      </c>
      <c r="B1560" s="11" t="s">
        <v>3472</v>
      </c>
      <c r="C1560" s="11" t="s">
        <v>3473</v>
      </c>
      <c r="D1560" s="11" t="s">
        <v>26</v>
      </c>
      <c r="E1560" s="11" t="s">
        <v>553</v>
      </c>
      <c r="F1560" s="11" t="s">
        <v>26</v>
      </c>
      <c r="G1560" s="11">
        <v>4656</v>
      </c>
      <c r="H1560" s="12" t="s">
        <v>4423</v>
      </c>
      <c r="I1560" s="12" t="s">
        <v>27</v>
      </c>
      <c r="J1560" s="12" t="s">
        <v>33</v>
      </c>
      <c r="K1560" s="12" t="s">
        <v>34</v>
      </c>
      <c r="L1560" s="13">
        <v>37.4</v>
      </c>
      <c r="M1560" s="13">
        <v>25</v>
      </c>
      <c r="N1560" s="13">
        <v>1.496</v>
      </c>
      <c r="O1560" s="13">
        <v>45</v>
      </c>
      <c r="P1560" s="13" t="s">
        <v>30</v>
      </c>
      <c r="Q1560" s="13">
        <v>0</v>
      </c>
      <c r="R1560" s="14">
        <v>1683</v>
      </c>
      <c r="S1560" s="15">
        <v>0</v>
      </c>
      <c r="T1560" s="15">
        <v>0</v>
      </c>
      <c r="U1560" s="15">
        <v>1683</v>
      </c>
      <c r="V1560" s="15">
        <v>1683</v>
      </c>
      <c r="W1560" s="15">
        <v>0</v>
      </c>
      <c r="X1560" s="15">
        <v>0</v>
      </c>
      <c r="Y1560" s="16">
        <v>0</v>
      </c>
      <c r="Z1560" s="67" t="s">
        <v>26</v>
      </c>
      <c r="AA1560" s="12" t="s">
        <v>31</v>
      </c>
    </row>
    <row r="1561" spans="1:27" x14ac:dyDescent="0.25">
      <c r="A1561" s="10">
        <v>45681</v>
      </c>
      <c r="B1561" s="11" t="s">
        <v>3474</v>
      </c>
      <c r="C1561" s="11" t="s">
        <v>3475</v>
      </c>
      <c r="D1561" s="11" t="s">
        <v>26</v>
      </c>
      <c r="E1561" s="11" t="s">
        <v>74</v>
      </c>
      <c r="F1561" s="11" t="s">
        <v>26</v>
      </c>
      <c r="G1561" s="11">
        <v>1322</v>
      </c>
      <c r="H1561" s="12" t="s">
        <v>70</v>
      </c>
      <c r="I1561" s="12" t="s">
        <v>27</v>
      </c>
      <c r="J1561" s="12" t="s">
        <v>33</v>
      </c>
      <c r="K1561" s="12" t="s">
        <v>34</v>
      </c>
      <c r="L1561" s="13">
        <v>37.119999999999997</v>
      </c>
      <c r="M1561" s="13">
        <v>25</v>
      </c>
      <c r="N1561" s="13">
        <v>1.4847999999999999</v>
      </c>
      <c r="O1561" s="13" t="s">
        <v>30</v>
      </c>
      <c r="P1561" s="13">
        <v>60</v>
      </c>
      <c r="Q1561" s="13">
        <v>0</v>
      </c>
      <c r="R1561" s="14">
        <v>1500</v>
      </c>
      <c r="S1561" s="15">
        <v>0</v>
      </c>
      <c r="T1561" s="15">
        <v>0</v>
      </c>
      <c r="U1561" s="15">
        <v>1500</v>
      </c>
      <c r="V1561" s="15">
        <v>0</v>
      </c>
      <c r="W1561" s="15">
        <v>1500</v>
      </c>
      <c r="X1561" s="15">
        <v>0</v>
      </c>
      <c r="Y1561" s="16">
        <v>0</v>
      </c>
      <c r="Z1561" s="67" t="s">
        <v>26</v>
      </c>
      <c r="AA1561" s="12" t="s">
        <v>31</v>
      </c>
    </row>
    <row r="1562" spans="1:27" x14ac:dyDescent="0.25">
      <c r="A1562" s="10">
        <v>45681</v>
      </c>
      <c r="B1562" s="11" t="s">
        <v>465</v>
      </c>
      <c r="C1562" s="11" t="s">
        <v>3476</v>
      </c>
      <c r="D1562" s="11" t="s">
        <v>26</v>
      </c>
      <c r="E1562" s="11" t="s">
        <v>486</v>
      </c>
      <c r="F1562" s="11" t="s">
        <v>26</v>
      </c>
      <c r="G1562" s="11">
        <v>72893</v>
      </c>
      <c r="H1562" s="12" t="s">
        <v>4448</v>
      </c>
      <c r="I1562" s="12" t="s">
        <v>27</v>
      </c>
      <c r="J1562" s="12" t="s">
        <v>42</v>
      </c>
      <c r="K1562" s="12" t="s">
        <v>43</v>
      </c>
      <c r="L1562" s="13">
        <v>41.64</v>
      </c>
      <c r="M1562" s="13">
        <v>25</v>
      </c>
      <c r="N1562" s="13">
        <v>1.6656</v>
      </c>
      <c r="O1562" s="13">
        <v>42.5</v>
      </c>
      <c r="P1562" s="13" t="s">
        <v>30</v>
      </c>
      <c r="Q1562" s="13">
        <v>0</v>
      </c>
      <c r="R1562" s="14">
        <v>1769.7</v>
      </c>
      <c r="S1562" s="15">
        <v>0</v>
      </c>
      <c r="T1562" s="15">
        <v>0</v>
      </c>
      <c r="U1562" s="15">
        <v>1769.7</v>
      </c>
      <c r="V1562" s="15">
        <v>1327.2750000000001</v>
      </c>
      <c r="W1562" s="15">
        <v>442.42499999999995</v>
      </c>
      <c r="X1562" s="15">
        <v>0</v>
      </c>
      <c r="Y1562" s="16">
        <v>0</v>
      </c>
      <c r="Z1562" s="67" t="s">
        <v>26</v>
      </c>
      <c r="AA1562" s="12" t="s">
        <v>31</v>
      </c>
    </row>
    <row r="1563" spans="1:27" x14ac:dyDescent="0.25">
      <c r="A1563" s="10">
        <v>45681</v>
      </c>
      <c r="B1563" s="11" t="s">
        <v>3477</v>
      </c>
      <c r="C1563" s="11" t="s">
        <v>3478</v>
      </c>
      <c r="D1563" s="11" t="s">
        <v>26</v>
      </c>
      <c r="E1563" s="11" t="s">
        <v>67</v>
      </c>
      <c r="F1563" s="11" t="s">
        <v>26</v>
      </c>
      <c r="G1563" s="11">
        <v>1617</v>
      </c>
      <c r="H1563" s="12" t="s">
        <v>66</v>
      </c>
      <c r="I1563" s="12" t="s">
        <v>37</v>
      </c>
      <c r="J1563" s="12" t="s">
        <v>1909</v>
      </c>
      <c r="K1563" s="12" t="s">
        <v>82</v>
      </c>
      <c r="L1563" s="13">
        <v>38.94</v>
      </c>
      <c r="M1563" s="13">
        <v>25</v>
      </c>
      <c r="N1563" s="13">
        <v>1.5576000000000001</v>
      </c>
      <c r="O1563" s="13" t="s">
        <v>30</v>
      </c>
      <c r="P1563" s="13">
        <v>54</v>
      </c>
      <c r="Q1563" s="13">
        <v>0</v>
      </c>
      <c r="R1563" s="14">
        <v>1350</v>
      </c>
      <c r="S1563" s="15">
        <v>0</v>
      </c>
      <c r="T1563" s="15">
        <v>0</v>
      </c>
      <c r="U1563" s="15">
        <v>1350</v>
      </c>
      <c r="V1563" s="15">
        <v>1350</v>
      </c>
      <c r="W1563" s="15">
        <v>0</v>
      </c>
      <c r="X1563" s="15">
        <v>0</v>
      </c>
      <c r="Y1563" s="16">
        <v>0</v>
      </c>
      <c r="Z1563" s="67" t="s">
        <v>26</v>
      </c>
      <c r="AA1563" s="12" t="s">
        <v>31</v>
      </c>
    </row>
    <row r="1564" spans="1:27" x14ac:dyDescent="0.25">
      <c r="A1564" s="10">
        <v>45681</v>
      </c>
      <c r="B1564" s="11" t="s">
        <v>402</v>
      </c>
      <c r="C1564" s="11" t="s">
        <v>3479</v>
      </c>
      <c r="D1564" s="11" t="s">
        <v>26</v>
      </c>
      <c r="E1564" s="11" t="s">
        <v>68</v>
      </c>
      <c r="F1564" s="11" t="s">
        <v>26</v>
      </c>
      <c r="G1564" s="11">
        <v>76359</v>
      </c>
      <c r="H1564" s="12" t="s">
        <v>4448</v>
      </c>
      <c r="I1564" s="12" t="s">
        <v>27</v>
      </c>
      <c r="J1564" s="12" t="s">
        <v>33</v>
      </c>
      <c r="K1564" s="12" t="s">
        <v>34</v>
      </c>
      <c r="L1564" s="13">
        <v>39.28</v>
      </c>
      <c r="M1564" s="13">
        <v>27</v>
      </c>
      <c r="N1564" s="13">
        <v>1.454814814814815</v>
      </c>
      <c r="O1564" s="13">
        <v>45.33</v>
      </c>
      <c r="P1564" s="13" t="s">
        <v>30</v>
      </c>
      <c r="Q1564" s="13">
        <v>0</v>
      </c>
      <c r="R1564" s="14">
        <v>1780.5624</v>
      </c>
      <c r="S1564" s="15">
        <v>0</v>
      </c>
      <c r="T1564" s="15">
        <v>0</v>
      </c>
      <c r="U1564" s="15">
        <v>1780.5624</v>
      </c>
      <c r="V1564" s="15">
        <v>1335.4218000000001</v>
      </c>
      <c r="W1564" s="15">
        <v>445.14059999999995</v>
      </c>
      <c r="X1564" s="15">
        <v>0</v>
      </c>
      <c r="Y1564" s="16">
        <v>0</v>
      </c>
      <c r="Z1564" s="67" t="s">
        <v>26</v>
      </c>
      <c r="AA1564" s="12" t="s">
        <v>31</v>
      </c>
    </row>
    <row r="1565" spans="1:27" x14ac:dyDescent="0.25">
      <c r="A1565" s="10">
        <v>45681</v>
      </c>
      <c r="B1565" s="11" t="s">
        <v>3480</v>
      </c>
      <c r="C1565" s="11" t="s">
        <v>3481</v>
      </c>
      <c r="D1565" s="11" t="s">
        <v>26</v>
      </c>
      <c r="E1565" s="11" t="s">
        <v>69</v>
      </c>
      <c r="F1565" s="11" t="s">
        <v>26</v>
      </c>
      <c r="G1565" s="11" t="s">
        <v>26</v>
      </c>
      <c r="H1565" s="12" t="s">
        <v>4422</v>
      </c>
      <c r="I1565" s="12" t="s">
        <v>27</v>
      </c>
      <c r="J1565" s="12" t="s">
        <v>47</v>
      </c>
      <c r="K1565" s="12" t="s">
        <v>48</v>
      </c>
      <c r="L1565" s="13">
        <v>42.48</v>
      </c>
      <c r="M1565" s="13">
        <v>29</v>
      </c>
      <c r="N1565" s="13">
        <v>1.464827586206896</v>
      </c>
      <c r="O1565" s="13">
        <v>87</v>
      </c>
      <c r="P1565" s="13" t="s">
        <v>30</v>
      </c>
      <c r="Q1565" s="13">
        <v>0</v>
      </c>
      <c r="R1565" s="14">
        <v>3695.7599999999998</v>
      </c>
      <c r="S1565" s="15">
        <v>38</v>
      </c>
      <c r="T1565" s="15">
        <v>1614.2399999999998</v>
      </c>
      <c r="U1565" s="15">
        <v>2081.52</v>
      </c>
      <c r="V1565" s="15">
        <v>2081.52</v>
      </c>
      <c r="W1565" s="15"/>
      <c r="X1565" s="15">
        <v>1529.28</v>
      </c>
      <c r="Y1565" s="16">
        <v>84.959999999999809</v>
      </c>
      <c r="Z1565" s="67" t="s">
        <v>70</v>
      </c>
      <c r="AA1565" s="12" t="s">
        <v>78</v>
      </c>
    </row>
    <row r="1566" spans="1:27" x14ac:dyDescent="0.25">
      <c r="A1566" s="10">
        <v>45681</v>
      </c>
      <c r="B1566" s="11" t="s">
        <v>3482</v>
      </c>
      <c r="C1566" s="11" t="s">
        <v>3483</v>
      </c>
      <c r="D1566" s="11" t="s">
        <v>26</v>
      </c>
      <c r="E1566" s="11" t="s">
        <v>98</v>
      </c>
      <c r="F1566" s="11" t="s">
        <v>26</v>
      </c>
      <c r="G1566" s="11" t="s">
        <v>26</v>
      </c>
      <c r="H1566" s="12" t="s">
        <v>4422</v>
      </c>
      <c r="I1566" s="12" t="s">
        <v>27</v>
      </c>
      <c r="J1566" s="12" t="s">
        <v>42</v>
      </c>
      <c r="K1566" s="12" t="s">
        <v>43</v>
      </c>
      <c r="L1566" s="13">
        <v>42.34</v>
      </c>
      <c r="M1566" s="13">
        <v>25</v>
      </c>
      <c r="N1566" s="13">
        <v>1.6936</v>
      </c>
      <c r="O1566" s="13">
        <v>83</v>
      </c>
      <c r="P1566" s="13" t="s">
        <v>30</v>
      </c>
      <c r="Q1566" s="13">
        <v>0</v>
      </c>
      <c r="R1566" s="15">
        <v>3514.2200000000003</v>
      </c>
      <c r="S1566" s="15">
        <v>38</v>
      </c>
      <c r="T1566" s="15">
        <v>1608.92</v>
      </c>
      <c r="U1566" s="15">
        <v>1905.3000000000002</v>
      </c>
      <c r="V1566" s="15">
        <v>1905.3000000000002</v>
      </c>
      <c r="W1566" s="15"/>
      <c r="X1566" s="15">
        <v>1524.2400000000002</v>
      </c>
      <c r="Y1566" s="16">
        <v>84.679999999999836</v>
      </c>
      <c r="Z1566" s="67" t="s">
        <v>140</v>
      </c>
      <c r="AA1566" s="12" t="s">
        <v>78</v>
      </c>
    </row>
    <row r="1567" spans="1:27" x14ac:dyDescent="0.25">
      <c r="A1567" s="10">
        <v>45681</v>
      </c>
      <c r="B1567" s="11" t="s">
        <v>3484</v>
      </c>
      <c r="C1567" s="11" t="s">
        <v>3485</v>
      </c>
      <c r="D1567" s="11" t="s">
        <v>26</v>
      </c>
      <c r="E1567" s="11" t="s">
        <v>65</v>
      </c>
      <c r="F1567" s="11" t="s">
        <v>26</v>
      </c>
      <c r="G1567" s="11">
        <v>1591</v>
      </c>
      <c r="H1567" s="12" t="s">
        <v>66</v>
      </c>
      <c r="I1567" s="12" t="s">
        <v>37</v>
      </c>
      <c r="J1567" s="12" t="s">
        <v>1909</v>
      </c>
      <c r="K1567" s="12" t="s">
        <v>82</v>
      </c>
      <c r="L1567" s="13">
        <v>39.520000000000003</v>
      </c>
      <c r="M1567" s="13">
        <v>25</v>
      </c>
      <c r="N1567" s="13">
        <v>1.5808</v>
      </c>
      <c r="O1567" s="13" t="s">
        <v>30</v>
      </c>
      <c r="P1567" s="13">
        <v>54</v>
      </c>
      <c r="Q1567" s="13">
        <v>0</v>
      </c>
      <c r="R1567" s="14">
        <v>1350</v>
      </c>
      <c r="S1567" s="15">
        <v>0</v>
      </c>
      <c r="T1567" s="15">
        <v>0</v>
      </c>
      <c r="U1567" s="15">
        <v>1350</v>
      </c>
      <c r="V1567" s="15">
        <v>1350</v>
      </c>
      <c r="W1567" s="15">
        <v>0</v>
      </c>
      <c r="X1567" s="15">
        <v>0</v>
      </c>
      <c r="Y1567" s="16">
        <v>0</v>
      </c>
      <c r="Z1567" s="67" t="s">
        <v>26</v>
      </c>
      <c r="AA1567" s="12" t="s">
        <v>31</v>
      </c>
    </row>
    <row r="1568" spans="1:27" x14ac:dyDescent="0.25">
      <c r="A1568" s="10">
        <v>45681</v>
      </c>
      <c r="B1568" s="11" t="s">
        <v>3486</v>
      </c>
      <c r="C1568" s="11" t="s">
        <v>3487</v>
      </c>
      <c r="D1568" s="11" t="s">
        <v>26</v>
      </c>
      <c r="E1568" s="11" t="s">
        <v>559</v>
      </c>
      <c r="F1568" s="11" t="s">
        <v>26</v>
      </c>
      <c r="G1568" s="11">
        <v>2567</v>
      </c>
      <c r="H1568" s="12" t="s">
        <v>41</v>
      </c>
      <c r="I1568" s="12" t="s">
        <v>55</v>
      </c>
      <c r="J1568" s="12" t="s">
        <v>55</v>
      </c>
      <c r="K1568" s="12" t="s">
        <v>56</v>
      </c>
      <c r="L1568" s="13">
        <v>34.32</v>
      </c>
      <c r="M1568" s="13">
        <v>21</v>
      </c>
      <c r="N1568" s="13">
        <v>1.6342857142857139</v>
      </c>
      <c r="O1568" s="13" t="s">
        <v>30</v>
      </c>
      <c r="P1568" s="13">
        <v>24</v>
      </c>
      <c r="Q1568" s="13">
        <v>0</v>
      </c>
      <c r="R1568" s="14">
        <v>504</v>
      </c>
      <c r="S1568" s="15">
        <v>0</v>
      </c>
      <c r="T1568" s="15">
        <v>0</v>
      </c>
      <c r="U1568" s="15">
        <v>504</v>
      </c>
      <c r="V1568" s="15">
        <v>0</v>
      </c>
      <c r="W1568" s="15">
        <v>504</v>
      </c>
      <c r="X1568" s="15">
        <v>0</v>
      </c>
      <c r="Y1568" s="16">
        <v>0</v>
      </c>
      <c r="Z1568" s="67" t="s">
        <v>26</v>
      </c>
      <c r="AA1568" s="12" t="s">
        <v>31</v>
      </c>
    </row>
    <row r="1569" spans="1:27" x14ac:dyDescent="0.25">
      <c r="A1569" s="10">
        <v>45681</v>
      </c>
      <c r="B1569" s="11" t="s">
        <v>3488</v>
      </c>
      <c r="C1569" s="11" t="s">
        <v>3489</v>
      </c>
      <c r="D1569" s="11" t="s">
        <v>26</v>
      </c>
      <c r="E1569" s="11" t="s">
        <v>654</v>
      </c>
      <c r="F1569" s="11" t="s">
        <v>26</v>
      </c>
      <c r="G1569" s="11">
        <v>2810</v>
      </c>
      <c r="H1569" s="12" t="s">
        <v>41</v>
      </c>
      <c r="I1569" s="12" t="s">
        <v>55</v>
      </c>
      <c r="J1569" s="12" t="s">
        <v>55</v>
      </c>
      <c r="K1569" s="12" t="s">
        <v>56</v>
      </c>
      <c r="L1569" s="13">
        <v>34</v>
      </c>
      <c r="M1569" s="13">
        <v>20</v>
      </c>
      <c r="N1569" s="13">
        <v>1.7</v>
      </c>
      <c r="O1569" s="13" t="s">
        <v>30</v>
      </c>
      <c r="P1569" s="13">
        <v>24</v>
      </c>
      <c r="Q1569" s="13">
        <v>0</v>
      </c>
      <c r="R1569" s="14">
        <v>480</v>
      </c>
      <c r="S1569" s="15">
        <v>0</v>
      </c>
      <c r="T1569" s="15">
        <v>0</v>
      </c>
      <c r="U1569" s="15">
        <v>480</v>
      </c>
      <c r="V1569" s="15">
        <v>0</v>
      </c>
      <c r="W1569" s="15">
        <v>480</v>
      </c>
      <c r="X1569" s="15">
        <v>0</v>
      </c>
      <c r="Y1569" s="16">
        <v>0</v>
      </c>
      <c r="Z1569" s="67" t="s">
        <v>26</v>
      </c>
      <c r="AA1569" s="12" t="s">
        <v>31</v>
      </c>
    </row>
    <row r="1570" spans="1:27" x14ac:dyDescent="0.25">
      <c r="A1570" s="10">
        <v>45681</v>
      </c>
      <c r="B1570" s="11" t="s">
        <v>3490</v>
      </c>
      <c r="C1570" s="11" t="s">
        <v>3491</v>
      </c>
      <c r="D1570" s="11" t="s">
        <v>26</v>
      </c>
      <c r="E1570" s="11" t="s">
        <v>241</v>
      </c>
      <c r="F1570" s="11" t="s">
        <v>26</v>
      </c>
      <c r="G1570" s="11">
        <v>74966</v>
      </c>
      <c r="H1570" s="12" t="s">
        <v>4448</v>
      </c>
      <c r="I1570" s="12" t="s">
        <v>27</v>
      </c>
      <c r="J1570" s="12" t="s">
        <v>42</v>
      </c>
      <c r="K1570" s="12" t="s">
        <v>43</v>
      </c>
      <c r="L1570" s="13">
        <v>41.66</v>
      </c>
      <c r="M1570" s="13">
        <v>25</v>
      </c>
      <c r="N1570" s="13">
        <v>1.6664000000000001</v>
      </c>
      <c r="O1570" s="13">
        <v>42.5</v>
      </c>
      <c r="P1570" s="13" t="s">
        <v>30</v>
      </c>
      <c r="Q1570" s="13">
        <v>0</v>
      </c>
      <c r="R1570" s="15">
        <v>1770.55</v>
      </c>
      <c r="S1570" s="15">
        <v>0</v>
      </c>
      <c r="T1570" s="15">
        <v>0</v>
      </c>
      <c r="U1570" s="15">
        <v>1770.55</v>
      </c>
      <c r="V1570" s="15">
        <v>1327.9124999999999</v>
      </c>
      <c r="W1570" s="15">
        <v>442.63750000000005</v>
      </c>
      <c r="X1570" s="15">
        <v>0</v>
      </c>
      <c r="Y1570" s="16">
        <v>0</v>
      </c>
      <c r="Z1570" s="67" t="s">
        <v>26</v>
      </c>
      <c r="AA1570" s="12" t="s">
        <v>31</v>
      </c>
    </row>
    <row r="1571" spans="1:27" x14ac:dyDescent="0.25">
      <c r="A1571" s="10">
        <v>45681</v>
      </c>
      <c r="B1571" s="11" t="s">
        <v>287</v>
      </c>
      <c r="C1571" s="11" t="s">
        <v>3492</v>
      </c>
      <c r="D1571" s="11" t="s">
        <v>26</v>
      </c>
      <c r="E1571" s="11" t="s">
        <v>479</v>
      </c>
      <c r="F1571" s="11" t="s">
        <v>26</v>
      </c>
      <c r="G1571" s="11">
        <v>76346</v>
      </c>
      <c r="H1571" s="12" t="s">
        <v>4448</v>
      </c>
      <c r="I1571" s="12" t="s">
        <v>27</v>
      </c>
      <c r="J1571" s="12" t="s">
        <v>42</v>
      </c>
      <c r="K1571" s="12" t="s">
        <v>43</v>
      </c>
      <c r="L1571" s="13">
        <v>40.92</v>
      </c>
      <c r="M1571" s="13">
        <v>25</v>
      </c>
      <c r="N1571" s="13">
        <v>1.6368</v>
      </c>
      <c r="O1571" s="13">
        <v>42.5</v>
      </c>
      <c r="P1571" s="13" t="s">
        <v>30</v>
      </c>
      <c r="Q1571" s="13">
        <v>0</v>
      </c>
      <c r="R1571" s="14">
        <v>1739.1000000000001</v>
      </c>
      <c r="S1571" s="15">
        <v>0</v>
      </c>
      <c r="T1571" s="15">
        <v>0</v>
      </c>
      <c r="U1571" s="15">
        <v>1739.1000000000001</v>
      </c>
      <c r="V1571" s="15">
        <v>1304.325</v>
      </c>
      <c r="W1571" s="15">
        <v>434.77500000000009</v>
      </c>
      <c r="X1571" s="16">
        <v>0</v>
      </c>
      <c r="Y1571" s="16">
        <v>0</v>
      </c>
      <c r="Z1571" s="67" t="s">
        <v>26</v>
      </c>
      <c r="AA1571" s="12" t="s">
        <v>31</v>
      </c>
    </row>
    <row r="1572" spans="1:27" x14ac:dyDescent="0.25">
      <c r="A1572" s="10">
        <v>45681</v>
      </c>
      <c r="B1572" s="11" t="s">
        <v>3493</v>
      </c>
      <c r="C1572" s="11" t="s">
        <v>3494</v>
      </c>
      <c r="D1572" s="11" t="s">
        <v>26</v>
      </c>
      <c r="E1572" s="11" t="s">
        <v>179</v>
      </c>
      <c r="F1572" s="11" t="s">
        <v>26</v>
      </c>
      <c r="G1572" s="11">
        <v>57744</v>
      </c>
      <c r="H1572" s="12" t="s">
        <v>4423</v>
      </c>
      <c r="I1572" s="12" t="s">
        <v>27</v>
      </c>
      <c r="J1572" s="12" t="s">
        <v>33</v>
      </c>
      <c r="K1572" s="12" t="s">
        <v>34</v>
      </c>
      <c r="L1572" s="13">
        <v>35.340000000000003</v>
      </c>
      <c r="M1572" s="13">
        <v>25</v>
      </c>
      <c r="N1572" s="13">
        <v>1.4136</v>
      </c>
      <c r="O1572" s="13">
        <v>45</v>
      </c>
      <c r="P1572" s="13" t="s">
        <v>30</v>
      </c>
      <c r="Q1572" s="13">
        <v>0</v>
      </c>
      <c r="R1572" s="14">
        <v>1590.3000000000002</v>
      </c>
      <c r="S1572" s="15">
        <v>0</v>
      </c>
      <c r="T1572" s="15">
        <v>0</v>
      </c>
      <c r="U1572" s="15">
        <v>1590.3000000000002</v>
      </c>
      <c r="V1572" s="15">
        <v>1590.3000000000002</v>
      </c>
      <c r="W1572" s="15">
        <v>0</v>
      </c>
      <c r="X1572" s="15">
        <v>0</v>
      </c>
      <c r="Y1572" s="16">
        <v>0</v>
      </c>
      <c r="Z1572" s="67" t="s">
        <v>26</v>
      </c>
      <c r="AA1572" s="12" t="s">
        <v>31</v>
      </c>
    </row>
    <row r="1573" spans="1:27" x14ac:dyDescent="0.25">
      <c r="A1573" s="10">
        <v>45681</v>
      </c>
      <c r="B1573" s="11" t="s">
        <v>748</v>
      </c>
      <c r="C1573" s="11" t="s">
        <v>3495</v>
      </c>
      <c r="D1573" s="11" t="s">
        <v>26</v>
      </c>
      <c r="E1573" s="11" t="s">
        <v>240</v>
      </c>
      <c r="F1573" s="11" t="s">
        <v>26</v>
      </c>
      <c r="G1573" s="11">
        <v>2938</v>
      </c>
      <c r="H1573" s="12" t="s">
        <v>41</v>
      </c>
      <c r="I1573" s="12" t="s">
        <v>37</v>
      </c>
      <c r="J1573" s="12" t="s">
        <v>85</v>
      </c>
      <c r="K1573" s="12" t="s">
        <v>86</v>
      </c>
      <c r="L1573" s="13">
        <v>36.4</v>
      </c>
      <c r="M1573" s="13">
        <v>22</v>
      </c>
      <c r="N1573" s="13">
        <v>1.654545454545455</v>
      </c>
      <c r="O1573" s="13" t="s">
        <v>30</v>
      </c>
      <c r="P1573" s="13">
        <v>43.5</v>
      </c>
      <c r="Q1573" s="13">
        <v>0</v>
      </c>
      <c r="R1573" s="14">
        <v>957</v>
      </c>
      <c r="S1573" s="15">
        <v>0</v>
      </c>
      <c r="T1573" s="15">
        <v>0</v>
      </c>
      <c r="U1573" s="15">
        <v>957</v>
      </c>
      <c r="V1573" s="15">
        <v>0</v>
      </c>
      <c r="W1573" s="15">
        <v>957</v>
      </c>
      <c r="X1573" s="15">
        <v>0</v>
      </c>
      <c r="Y1573" s="16">
        <v>0</v>
      </c>
      <c r="Z1573" s="67" t="s">
        <v>26</v>
      </c>
      <c r="AA1573" s="12" t="s">
        <v>31</v>
      </c>
    </row>
    <row r="1574" spans="1:27" x14ac:dyDescent="0.25">
      <c r="A1574" s="10">
        <v>45681</v>
      </c>
      <c r="B1574" s="11" t="s">
        <v>266</v>
      </c>
      <c r="C1574" s="11" t="s">
        <v>3496</v>
      </c>
      <c r="D1574" s="11" t="s">
        <v>26</v>
      </c>
      <c r="E1574" s="11" t="s">
        <v>573</v>
      </c>
      <c r="F1574" s="11" t="s">
        <v>26</v>
      </c>
      <c r="G1574" s="11">
        <v>112087</v>
      </c>
      <c r="H1574" s="12" t="s">
        <v>4446</v>
      </c>
      <c r="I1574" s="12" t="s">
        <v>27</v>
      </c>
      <c r="J1574" s="12" t="s">
        <v>33</v>
      </c>
      <c r="K1574" s="12" t="s">
        <v>34</v>
      </c>
      <c r="L1574" s="13">
        <v>37.119999999999997</v>
      </c>
      <c r="M1574" s="13">
        <v>25</v>
      </c>
      <c r="N1574" s="13">
        <v>1.4847999999999999</v>
      </c>
      <c r="O1574" s="13">
        <v>44</v>
      </c>
      <c r="P1574" s="13" t="s">
        <v>30</v>
      </c>
      <c r="Q1574" s="13">
        <v>0</v>
      </c>
      <c r="R1574" s="14">
        <v>1633.28</v>
      </c>
      <c r="S1574" s="15">
        <v>0</v>
      </c>
      <c r="T1574" s="15">
        <v>0</v>
      </c>
      <c r="U1574" s="15">
        <v>1633.28</v>
      </c>
      <c r="V1574" s="15">
        <v>1633.28</v>
      </c>
      <c r="W1574" s="15">
        <v>0</v>
      </c>
      <c r="X1574" s="15">
        <v>0</v>
      </c>
      <c r="Y1574" s="16">
        <v>0</v>
      </c>
      <c r="Z1574" s="67" t="s">
        <v>26</v>
      </c>
      <c r="AA1574" s="12" t="s">
        <v>31</v>
      </c>
    </row>
    <row r="1575" spans="1:27" x14ac:dyDescent="0.25">
      <c r="A1575" s="10">
        <v>45681</v>
      </c>
      <c r="B1575" s="11" t="s">
        <v>424</v>
      </c>
      <c r="C1575" s="11" t="s">
        <v>3497</v>
      </c>
      <c r="D1575" s="11" t="s">
        <v>26</v>
      </c>
      <c r="E1575" s="11" t="s">
        <v>570</v>
      </c>
      <c r="F1575" s="11" t="s">
        <v>26</v>
      </c>
      <c r="G1575" s="11" t="s">
        <v>26</v>
      </c>
      <c r="H1575" s="12" t="s">
        <v>4422</v>
      </c>
      <c r="I1575" s="12" t="s">
        <v>27</v>
      </c>
      <c r="J1575" s="12" t="s">
        <v>42</v>
      </c>
      <c r="K1575" s="12" t="s">
        <v>43</v>
      </c>
      <c r="L1575" s="13">
        <v>43.88</v>
      </c>
      <c r="M1575" s="13">
        <v>25</v>
      </c>
      <c r="N1575" s="13">
        <v>1.7552000000000001</v>
      </c>
      <c r="O1575" s="13">
        <v>83</v>
      </c>
      <c r="P1575" s="13" t="s">
        <v>30</v>
      </c>
      <c r="Q1575" s="13">
        <v>0</v>
      </c>
      <c r="R1575" s="14">
        <v>3642.0400000000004</v>
      </c>
      <c r="S1575" s="15">
        <v>38</v>
      </c>
      <c r="T1575" s="15">
        <v>1667.44</v>
      </c>
      <c r="U1575" s="15">
        <v>1974.6000000000004</v>
      </c>
      <c r="V1575" s="15">
        <v>1974.6000000000004</v>
      </c>
      <c r="W1575" s="15"/>
      <c r="X1575" s="15">
        <v>1579.68</v>
      </c>
      <c r="Y1575" s="16">
        <v>87.759999999999991</v>
      </c>
      <c r="Z1575" s="67" t="s">
        <v>140</v>
      </c>
      <c r="AA1575" s="12" t="s">
        <v>78</v>
      </c>
    </row>
    <row r="1576" spans="1:27" x14ac:dyDescent="0.25">
      <c r="A1576" s="10">
        <v>45681</v>
      </c>
      <c r="B1576" s="11" t="s">
        <v>3498</v>
      </c>
      <c r="C1576" s="11" t="s">
        <v>3499</v>
      </c>
      <c r="D1576" s="11" t="s">
        <v>26</v>
      </c>
      <c r="E1576" s="11" t="s">
        <v>40</v>
      </c>
      <c r="F1576" s="11" t="s">
        <v>26</v>
      </c>
      <c r="G1576" s="11">
        <v>3710</v>
      </c>
      <c r="H1576" s="12" t="s">
        <v>41</v>
      </c>
      <c r="I1576" s="12" t="s">
        <v>55</v>
      </c>
      <c r="J1576" s="12" t="s">
        <v>55</v>
      </c>
      <c r="K1576" s="12" t="s">
        <v>56</v>
      </c>
      <c r="L1576" s="13">
        <v>39.700000000000003</v>
      </c>
      <c r="M1576" s="13">
        <v>25</v>
      </c>
      <c r="N1576" s="13">
        <v>1.5880000000000001</v>
      </c>
      <c r="O1576" s="13" t="s">
        <v>30</v>
      </c>
      <c r="P1576" s="13">
        <v>24</v>
      </c>
      <c r="Q1576" s="13">
        <v>0</v>
      </c>
      <c r="R1576" s="14">
        <v>600</v>
      </c>
      <c r="S1576" s="15">
        <v>0</v>
      </c>
      <c r="T1576" s="15">
        <v>0</v>
      </c>
      <c r="U1576" s="15">
        <v>600</v>
      </c>
      <c r="V1576" s="15">
        <v>0</v>
      </c>
      <c r="W1576" s="15">
        <v>600</v>
      </c>
      <c r="X1576" s="15">
        <v>0</v>
      </c>
      <c r="Y1576" s="16">
        <v>0</v>
      </c>
      <c r="Z1576" s="67" t="s">
        <v>26</v>
      </c>
      <c r="AA1576" s="12" t="s">
        <v>31</v>
      </c>
    </row>
    <row r="1577" spans="1:27" x14ac:dyDescent="0.25">
      <c r="A1577" s="10">
        <v>45681</v>
      </c>
      <c r="B1577" s="11" t="s">
        <v>2642</v>
      </c>
      <c r="C1577" s="11" t="s">
        <v>3500</v>
      </c>
      <c r="D1577" s="11" t="s">
        <v>26</v>
      </c>
      <c r="E1577" s="11" t="s">
        <v>435</v>
      </c>
      <c r="F1577" s="11" t="s">
        <v>26</v>
      </c>
      <c r="G1577" s="11">
        <v>3514</v>
      </c>
      <c r="H1577" s="12" t="s">
        <v>41</v>
      </c>
      <c r="I1577" s="12" t="s">
        <v>55</v>
      </c>
      <c r="J1577" s="12" t="s">
        <v>55</v>
      </c>
      <c r="K1577" s="12" t="s">
        <v>56</v>
      </c>
      <c r="L1577" s="13">
        <v>40.380000000000003</v>
      </c>
      <c r="M1577" s="13">
        <v>24</v>
      </c>
      <c r="N1577" s="13">
        <v>1.6825000000000001</v>
      </c>
      <c r="O1577" s="13" t="s">
        <v>30</v>
      </c>
      <c r="P1577" s="13">
        <v>24</v>
      </c>
      <c r="Q1577" s="13">
        <v>0</v>
      </c>
      <c r="R1577" s="14">
        <v>576</v>
      </c>
      <c r="S1577" s="15">
        <v>0</v>
      </c>
      <c r="T1577" s="15">
        <v>0</v>
      </c>
      <c r="U1577" s="15">
        <v>576</v>
      </c>
      <c r="V1577" s="15">
        <v>0</v>
      </c>
      <c r="W1577" s="15">
        <v>576</v>
      </c>
      <c r="X1577" s="15">
        <v>0</v>
      </c>
      <c r="Y1577" s="16">
        <v>0</v>
      </c>
      <c r="Z1577" s="67" t="s">
        <v>26</v>
      </c>
      <c r="AA1577" s="12" t="s">
        <v>31</v>
      </c>
    </row>
    <row r="1578" spans="1:27" x14ac:dyDescent="0.25">
      <c r="A1578" s="10">
        <v>45681</v>
      </c>
      <c r="B1578" s="11" t="s">
        <v>466</v>
      </c>
      <c r="C1578" s="11" t="s">
        <v>3501</v>
      </c>
      <c r="D1578" s="11" t="s">
        <v>26</v>
      </c>
      <c r="E1578" s="11" t="s">
        <v>444</v>
      </c>
      <c r="F1578" s="11" t="s">
        <v>26</v>
      </c>
      <c r="G1578" s="11" t="s">
        <v>185</v>
      </c>
      <c r="H1578" s="12" t="s">
        <v>4449</v>
      </c>
      <c r="I1578" s="12" t="s">
        <v>55</v>
      </c>
      <c r="J1578" s="12" t="s">
        <v>55</v>
      </c>
      <c r="K1578" s="12" t="s">
        <v>56</v>
      </c>
      <c r="L1578" s="13">
        <v>35.18</v>
      </c>
      <c r="M1578" s="13">
        <v>22</v>
      </c>
      <c r="N1578" s="13">
        <v>1.5990909090909089</v>
      </c>
      <c r="O1578" s="13">
        <v>15</v>
      </c>
      <c r="P1578" s="13" t="s">
        <v>30</v>
      </c>
      <c r="Q1578" s="13">
        <v>0</v>
      </c>
      <c r="R1578" s="14">
        <v>527.70000000000005</v>
      </c>
      <c r="S1578" s="15">
        <v>0</v>
      </c>
      <c r="T1578" s="15">
        <v>0</v>
      </c>
      <c r="U1578" s="15">
        <v>527.70000000000005</v>
      </c>
      <c r="V1578" s="15">
        <v>527.70000000000005</v>
      </c>
      <c r="W1578" s="15">
        <v>0</v>
      </c>
      <c r="X1578" s="15">
        <v>0</v>
      </c>
      <c r="Y1578" s="16">
        <v>0</v>
      </c>
      <c r="Z1578" s="67" t="s">
        <v>26</v>
      </c>
      <c r="AA1578" s="12" t="s">
        <v>31</v>
      </c>
    </row>
    <row r="1579" spans="1:27" x14ac:dyDescent="0.25">
      <c r="A1579" s="10">
        <v>45681</v>
      </c>
      <c r="B1579" s="11" t="s">
        <v>3502</v>
      </c>
      <c r="C1579" s="11" t="s">
        <v>3503</v>
      </c>
      <c r="D1579" s="11" t="s">
        <v>26</v>
      </c>
      <c r="E1579" s="11" t="s">
        <v>237</v>
      </c>
      <c r="F1579" s="11" t="s">
        <v>26</v>
      </c>
      <c r="G1579" s="11">
        <v>61860</v>
      </c>
      <c r="H1579" s="12" t="s">
        <v>4423</v>
      </c>
      <c r="I1579" s="12" t="s">
        <v>27</v>
      </c>
      <c r="J1579" s="12" t="s">
        <v>33</v>
      </c>
      <c r="K1579" s="12" t="s">
        <v>34</v>
      </c>
      <c r="L1579" s="13">
        <v>37.340000000000003</v>
      </c>
      <c r="M1579" s="13">
        <v>25</v>
      </c>
      <c r="N1579" s="13">
        <v>1.4936</v>
      </c>
      <c r="O1579" s="13">
        <v>45</v>
      </c>
      <c r="P1579" s="13" t="s">
        <v>30</v>
      </c>
      <c r="Q1579" s="13">
        <v>0</v>
      </c>
      <c r="R1579" s="14">
        <v>1680.3000000000002</v>
      </c>
      <c r="S1579" s="15">
        <v>0</v>
      </c>
      <c r="T1579" s="15">
        <v>0</v>
      </c>
      <c r="U1579" s="15">
        <v>1680.3000000000002</v>
      </c>
      <c r="V1579" s="15">
        <v>1680.3000000000002</v>
      </c>
      <c r="W1579" s="15">
        <v>0</v>
      </c>
      <c r="X1579" s="15">
        <v>0</v>
      </c>
      <c r="Y1579" s="16">
        <v>0</v>
      </c>
      <c r="Z1579" s="67" t="s">
        <v>26</v>
      </c>
      <c r="AA1579" s="12" t="s">
        <v>31</v>
      </c>
    </row>
    <row r="1580" spans="1:27" x14ac:dyDescent="0.25">
      <c r="A1580" s="10">
        <v>45681</v>
      </c>
      <c r="B1580" s="11" t="s">
        <v>3504</v>
      </c>
      <c r="C1580" s="11" t="s">
        <v>3505</v>
      </c>
      <c r="D1580" s="11" t="s">
        <v>26</v>
      </c>
      <c r="E1580" s="11" t="s">
        <v>50</v>
      </c>
      <c r="F1580" s="11" t="s">
        <v>26</v>
      </c>
      <c r="G1580" s="11">
        <v>905</v>
      </c>
      <c r="H1580" s="12" t="s">
        <v>163</v>
      </c>
      <c r="I1580" s="12" t="s">
        <v>27</v>
      </c>
      <c r="J1580" s="12" t="s">
        <v>47</v>
      </c>
      <c r="K1580" s="12" t="s">
        <v>48</v>
      </c>
      <c r="L1580" s="13">
        <v>37.44</v>
      </c>
      <c r="M1580" s="13">
        <v>25</v>
      </c>
      <c r="N1580" s="13">
        <v>1.4976</v>
      </c>
      <c r="O1580" s="13" t="s">
        <v>30</v>
      </c>
      <c r="P1580" s="13">
        <v>58</v>
      </c>
      <c r="Q1580" s="13">
        <v>0</v>
      </c>
      <c r="R1580" s="14">
        <v>1450</v>
      </c>
      <c r="S1580" s="15">
        <v>0</v>
      </c>
      <c r="T1580" s="15">
        <v>0</v>
      </c>
      <c r="U1580" s="15">
        <v>1450</v>
      </c>
      <c r="V1580" s="15">
        <v>0</v>
      </c>
      <c r="W1580" s="15">
        <v>1450</v>
      </c>
      <c r="X1580" s="15">
        <v>0</v>
      </c>
      <c r="Y1580" s="16">
        <v>0</v>
      </c>
      <c r="Z1580" s="67" t="s">
        <v>26</v>
      </c>
      <c r="AA1580" s="12" t="s">
        <v>31</v>
      </c>
    </row>
    <row r="1581" spans="1:27" x14ac:dyDescent="0.25">
      <c r="A1581" s="10">
        <v>45681</v>
      </c>
      <c r="B1581" s="11" t="s">
        <v>3017</v>
      </c>
      <c r="C1581" s="11" t="s">
        <v>3506</v>
      </c>
      <c r="D1581" s="11" t="s">
        <v>26</v>
      </c>
      <c r="E1581" s="11" t="s">
        <v>2618</v>
      </c>
      <c r="F1581" s="11" t="s">
        <v>26</v>
      </c>
      <c r="G1581" s="11" t="s">
        <v>35</v>
      </c>
      <c r="H1581" s="12" t="s">
        <v>36</v>
      </c>
      <c r="I1581" s="12" t="s">
        <v>37</v>
      </c>
      <c r="J1581" s="12" t="s">
        <v>228</v>
      </c>
      <c r="K1581" s="12" t="s">
        <v>38</v>
      </c>
      <c r="L1581" s="13">
        <v>28.32</v>
      </c>
      <c r="M1581" s="13">
        <v>20</v>
      </c>
      <c r="N1581" s="13">
        <v>1.4159999999999999</v>
      </c>
      <c r="O1581" s="13">
        <v>37</v>
      </c>
      <c r="P1581" s="13" t="s">
        <v>30</v>
      </c>
      <c r="Q1581" s="13">
        <v>0</v>
      </c>
      <c r="R1581" s="15">
        <v>1047.8399999999999</v>
      </c>
      <c r="S1581" s="15">
        <v>0</v>
      </c>
      <c r="T1581" s="15">
        <v>0</v>
      </c>
      <c r="U1581" s="15">
        <v>1047.8399999999999</v>
      </c>
      <c r="V1581" s="15">
        <v>0</v>
      </c>
      <c r="W1581" s="15">
        <v>1047.8399999999999</v>
      </c>
      <c r="X1581" s="15">
        <v>0</v>
      </c>
      <c r="Y1581" s="16">
        <v>0</v>
      </c>
      <c r="Z1581" s="67" t="s">
        <v>26</v>
      </c>
      <c r="AA1581" s="12" t="s">
        <v>31</v>
      </c>
    </row>
    <row r="1582" spans="1:27" x14ac:dyDescent="0.25">
      <c r="A1582" s="10">
        <v>45682</v>
      </c>
      <c r="B1582" s="11" t="s">
        <v>1233</v>
      </c>
      <c r="C1582" s="11" t="s">
        <v>3507</v>
      </c>
      <c r="D1582" s="11" t="s">
        <v>26</v>
      </c>
      <c r="E1582" s="11" t="s">
        <v>484</v>
      </c>
      <c r="F1582" s="11" t="s">
        <v>26</v>
      </c>
      <c r="G1582" s="11">
        <v>1005</v>
      </c>
      <c r="H1582" s="12" t="s">
        <v>141</v>
      </c>
      <c r="I1582" s="12" t="s">
        <v>27</v>
      </c>
      <c r="J1582" s="12" t="s">
        <v>33</v>
      </c>
      <c r="K1582" s="12" t="s">
        <v>34</v>
      </c>
      <c r="L1582" s="13">
        <v>34.5</v>
      </c>
      <c r="M1582" s="13">
        <v>25</v>
      </c>
      <c r="N1582" s="13">
        <v>1.38</v>
      </c>
      <c r="O1582" s="13">
        <v>40</v>
      </c>
      <c r="P1582" s="13" t="s">
        <v>30</v>
      </c>
      <c r="Q1582" s="13">
        <v>0</v>
      </c>
      <c r="R1582" s="15">
        <v>1380</v>
      </c>
      <c r="S1582" s="15">
        <v>0</v>
      </c>
      <c r="T1582" s="15">
        <v>0</v>
      </c>
      <c r="U1582" s="15">
        <v>1380</v>
      </c>
      <c r="V1582" s="15">
        <v>0</v>
      </c>
      <c r="W1582" s="15">
        <v>1380</v>
      </c>
      <c r="X1582" s="15">
        <v>0</v>
      </c>
      <c r="Y1582" s="16">
        <v>0</v>
      </c>
      <c r="Z1582" s="67" t="s">
        <v>26</v>
      </c>
      <c r="AA1582" s="12" t="s">
        <v>31</v>
      </c>
    </row>
    <row r="1583" spans="1:27" x14ac:dyDescent="0.25">
      <c r="A1583" s="10">
        <v>45682</v>
      </c>
      <c r="B1583" s="11" t="s">
        <v>1329</v>
      </c>
      <c r="C1583" s="11" t="s">
        <v>3508</v>
      </c>
      <c r="D1583" s="11" t="s">
        <v>26</v>
      </c>
      <c r="E1583" s="11" t="s">
        <v>496</v>
      </c>
      <c r="F1583" s="11" t="s">
        <v>26</v>
      </c>
      <c r="G1583" s="11">
        <v>22912</v>
      </c>
      <c r="H1583" s="12" t="s">
        <v>4448</v>
      </c>
      <c r="I1583" s="12" t="s">
        <v>27</v>
      </c>
      <c r="J1583" s="12" t="s">
        <v>47</v>
      </c>
      <c r="K1583" s="12" t="s">
        <v>48</v>
      </c>
      <c r="L1583" s="13">
        <v>37.78</v>
      </c>
      <c r="M1583" s="13">
        <v>25</v>
      </c>
      <c r="N1583" s="13">
        <v>1.5112000000000001</v>
      </c>
      <c r="O1583" s="13">
        <v>46.66</v>
      </c>
      <c r="P1583" s="13" t="s">
        <v>30</v>
      </c>
      <c r="Q1583" s="13">
        <v>0</v>
      </c>
      <c r="R1583" s="14">
        <v>1762.8147999999999</v>
      </c>
      <c r="S1583" s="15">
        <v>0</v>
      </c>
      <c r="T1583" s="15">
        <v>0</v>
      </c>
      <c r="U1583" s="15">
        <v>1762.8147999999999</v>
      </c>
      <c r="V1583" s="15">
        <v>1322.1110999999999</v>
      </c>
      <c r="W1583" s="15">
        <v>440.70370000000003</v>
      </c>
      <c r="X1583" s="16">
        <v>0</v>
      </c>
      <c r="Y1583" s="16">
        <v>0</v>
      </c>
      <c r="Z1583" s="67" t="s">
        <v>26</v>
      </c>
      <c r="AA1583" s="12" t="s">
        <v>31</v>
      </c>
    </row>
    <row r="1584" spans="1:27" x14ac:dyDescent="0.25">
      <c r="A1584" s="10">
        <v>45682</v>
      </c>
      <c r="B1584" s="11" t="s">
        <v>385</v>
      </c>
      <c r="C1584" s="11" t="s">
        <v>3509</v>
      </c>
      <c r="D1584" s="11" t="s">
        <v>26</v>
      </c>
      <c r="E1584" s="11" t="s">
        <v>100</v>
      </c>
      <c r="F1584" s="11" t="s">
        <v>26</v>
      </c>
      <c r="G1584" s="11">
        <v>21732</v>
      </c>
      <c r="H1584" s="12" t="s">
        <v>4448</v>
      </c>
      <c r="I1584" s="12" t="s">
        <v>27</v>
      </c>
      <c r="J1584" s="12" t="s">
        <v>33</v>
      </c>
      <c r="K1584" s="12" t="s">
        <v>34</v>
      </c>
      <c r="L1584" s="13">
        <v>38.200000000000003</v>
      </c>
      <c r="M1584" s="13">
        <v>25</v>
      </c>
      <c r="N1584" s="13">
        <v>1.528</v>
      </c>
      <c r="O1584" s="13">
        <v>45.33</v>
      </c>
      <c r="P1584" s="13" t="s">
        <v>30</v>
      </c>
      <c r="Q1584" s="13">
        <v>0</v>
      </c>
      <c r="R1584" s="14">
        <v>1731.606</v>
      </c>
      <c r="S1584" s="15">
        <v>0</v>
      </c>
      <c r="T1584" s="15">
        <v>0</v>
      </c>
      <c r="U1584" s="15">
        <v>1731.606</v>
      </c>
      <c r="V1584" s="15">
        <v>1298.7045000000001</v>
      </c>
      <c r="W1584" s="15">
        <v>432.90149999999994</v>
      </c>
      <c r="X1584" s="16">
        <v>0</v>
      </c>
      <c r="Y1584" s="16">
        <v>0</v>
      </c>
      <c r="Z1584" s="67" t="s">
        <v>26</v>
      </c>
      <c r="AA1584" s="12" t="s">
        <v>31</v>
      </c>
    </row>
    <row r="1585" spans="1:27" x14ac:dyDescent="0.25">
      <c r="A1585" s="10">
        <v>45682</v>
      </c>
      <c r="B1585" s="11" t="s">
        <v>321</v>
      </c>
      <c r="C1585" s="11" t="s">
        <v>3510</v>
      </c>
      <c r="D1585" s="11" t="s">
        <v>26</v>
      </c>
      <c r="E1585" s="11" t="s">
        <v>184</v>
      </c>
      <c r="F1585" s="11" t="s">
        <v>26</v>
      </c>
      <c r="G1585" s="11">
        <v>1006</v>
      </c>
      <c r="H1585" s="12" t="s">
        <v>141</v>
      </c>
      <c r="I1585" s="12" t="s">
        <v>27</v>
      </c>
      <c r="J1585" s="12" t="s">
        <v>42</v>
      </c>
      <c r="K1585" s="12" t="s">
        <v>43</v>
      </c>
      <c r="L1585" s="13">
        <v>43.06</v>
      </c>
      <c r="M1585" s="13">
        <v>25</v>
      </c>
      <c r="N1585" s="13">
        <v>1.7223999999999999</v>
      </c>
      <c r="O1585" s="13">
        <v>40</v>
      </c>
      <c r="P1585" s="13" t="s">
        <v>30</v>
      </c>
      <c r="Q1585" s="13">
        <v>0</v>
      </c>
      <c r="R1585" s="14">
        <v>1722.4</v>
      </c>
      <c r="S1585" s="15">
        <v>0</v>
      </c>
      <c r="T1585" s="15">
        <v>0</v>
      </c>
      <c r="U1585" s="15">
        <v>1722.4</v>
      </c>
      <c r="V1585" s="15">
        <v>0</v>
      </c>
      <c r="W1585" s="15">
        <v>1722.4</v>
      </c>
      <c r="X1585" s="16">
        <v>0</v>
      </c>
      <c r="Y1585" s="16">
        <v>0</v>
      </c>
      <c r="Z1585" s="67" t="s">
        <v>26</v>
      </c>
      <c r="AA1585" s="12" t="s">
        <v>31</v>
      </c>
    </row>
    <row r="1586" spans="1:27" x14ac:dyDescent="0.25">
      <c r="A1586" s="10">
        <v>45682</v>
      </c>
      <c r="B1586" s="11" t="s">
        <v>3511</v>
      </c>
      <c r="C1586" s="11" t="s">
        <v>3512</v>
      </c>
      <c r="D1586" s="11" t="s">
        <v>26</v>
      </c>
      <c r="E1586" s="11" t="s">
        <v>322</v>
      </c>
      <c r="F1586" s="11" t="s">
        <v>26</v>
      </c>
      <c r="G1586" s="11">
        <v>112358</v>
      </c>
      <c r="H1586" s="12" t="s">
        <v>4446</v>
      </c>
      <c r="I1586" s="12" t="s">
        <v>27</v>
      </c>
      <c r="J1586" s="12" t="s">
        <v>33</v>
      </c>
      <c r="K1586" s="12" t="s">
        <v>34</v>
      </c>
      <c r="L1586" s="13">
        <v>36.22</v>
      </c>
      <c r="M1586" s="13">
        <v>25</v>
      </c>
      <c r="N1586" s="13">
        <v>1.4488000000000001</v>
      </c>
      <c r="O1586" s="13">
        <v>44</v>
      </c>
      <c r="P1586" s="13" t="s">
        <v>30</v>
      </c>
      <c r="Q1586" s="13">
        <v>0</v>
      </c>
      <c r="R1586" s="15">
        <v>1593.6799999999998</v>
      </c>
      <c r="S1586" s="15">
        <v>0</v>
      </c>
      <c r="T1586" s="15">
        <v>0</v>
      </c>
      <c r="U1586" s="15">
        <v>1593.6799999999998</v>
      </c>
      <c r="V1586" s="15">
        <v>1593.6799999999998</v>
      </c>
      <c r="W1586" s="15">
        <v>0</v>
      </c>
      <c r="X1586" s="15">
        <v>0</v>
      </c>
      <c r="Y1586" s="16">
        <v>0</v>
      </c>
      <c r="Z1586" s="67" t="s">
        <v>26</v>
      </c>
      <c r="AA1586" s="12" t="s">
        <v>31</v>
      </c>
    </row>
    <row r="1587" spans="1:27" x14ac:dyDescent="0.25">
      <c r="A1587" s="10">
        <v>45682</v>
      </c>
      <c r="B1587" s="11" t="s">
        <v>363</v>
      </c>
      <c r="C1587" s="11" t="s">
        <v>3513</v>
      </c>
      <c r="D1587" s="11" t="s">
        <v>26</v>
      </c>
      <c r="E1587" s="11" t="s">
        <v>50</v>
      </c>
      <c r="F1587" s="11" t="s">
        <v>26</v>
      </c>
      <c r="G1587" s="11">
        <v>906</v>
      </c>
      <c r="H1587" s="12" t="s">
        <v>163</v>
      </c>
      <c r="I1587" s="12" t="s">
        <v>27</v>
      </c>
      <c r="J1587" s="12" t="s">
        <v>42</v>
      </c>
      <c r="K1587" s="12" t="s">
        <v>43</v>
      </c>
      <c r="L1587" s="13">
        <v>41.56</v>
      </c>
      <c r="M1587" s="13">
        <v>25</v>
      </c>
      <c r="N1587" s="13">
        <v>1.6624000000000001</v>
      </c>
      <c r="O1587" s="13" t="s">
        <v>30</v>
      </c>
      <c r="P1587" s="13">
        <v>56</v>
      </c>
      <c r="Q1587" s="13">
        <v>0</v>
      </c>
      <c r="R1587" s="14">
        <v>1400</v>
      </c>
      <c r="S1587" s="15">
        <v>0</v>
      </c>
      <c r="T1587" s="15">
        <v>0</v>
      </c>
      <c r="U1587" s="15">
        <v>1400</v>
      </c>
      <c r="V1587" s="15">
        <v>0</v>
      </c>
      <c r="W1587" s="15">
        <v>1400</v>
      </c>
      <c r="X1587" s="15">
        <v>0</v>
      </c>
      <c r="Y1587" s="16">
        <v>0</v>
      </c>
      <c r="Z1587" s="67" t="s">
        <v>26</v>
      </c>
      <c r="AA1587" s="12" t="s">
        <v>31</v>
      </c>
    </row>
    <row r="1588" spans="1:27" x14ac:dyDescent="0.25">
      <c r="A1588" s="10">
        <v>45682</v>
      </c>
      <c r="B1588" s="11" t="s">
        <v>3514</v>
      </c>
      <c r="C1588" s="11" t="s">
        <v>3515</v>
      </c>
      <c r="D1588" s="11" t="s">
        <v>26</v>
      </c>
      <c r="E1588" s="11" t="s">
        <v>98</v>
      </c>
      <c r="F1588" s="11" t="s">
        <v>26</v>
      </c>
      <c r="G1588" s="11" t="s">
        <v>26</v>
      </c>
      <c r="H1588" s="12" t="s">
        <v>4422</v>
      </c>
      <c r="I1588" s="12" t="s">
        <v>27</v>
      </c>
      <c r="J1588" s="12" t="s">
        <v>42</v>
      </c>
      <c r="K1588" s="12" t="s">
        <v>43</v>
      </c>
      <c r="L1588" s="13">
        <v>41.32</v>
      </c>
      <c r="M1588" s="13">
        <v>25</v>
      </c>
      <c r="N1588" s="13">
        <v>1.6528</v>
      </c>
      <c r="O1588" s="13">
        <v>83</v>
      </c>
      <c r="P1588" s="13" t="s">
        <v>30</v>
      </c>
      <c r="Q1588" s="13">
        <v>0</v>
      </c>
      <c r="R1588" s="14">
        <v>3429.56</v>
      </c>
      <c r="S1588" s="15">
        <v>38</v>
      </c>
      <c r="T1588" s="15">
        <v>1570.16</v>
      </c>
      <c r="U1588" s="15">
        <v>1859.3999999999999</v>
      </c>
      <c r="V1588" s="15">
        <v>1859.3999999999999</v>
      </c>
      <c r="W1588" s="15"/>
      <c r="X1588" s="15">
        <v>1487.52</v>
      </c>
      <c r="Y1588" s="16">
        <v>82.6400000000001</v>
      </c>
      <c r="Z1588" s="67" t="s">
        <v>140</v>
      </c>
      <c r="AA1588" s="12" t="s">
        <v>78</v>
      </c>
    </row>
    <row r="1589" spans="1:27" x14ac:dyDescent="0.25">
      <c r="A1589" s="10">
        <v>45682</v>
      </c>
      <c r="B1589" s="11" t="s">
        <v>1346</v>
      </c>
      <c r="C1589" s="11" t="s">
        <v>3516</v>
      </c>
      <c r="D1589" s="11" t="s">
        <v>26</v>
      </c>
      <c r="E1589" s="11" t="s">
        <v>81</v>
      </c>
      <c r="F1589" s="11" t="s">
        <v>26</v>
      </c>
      <c r="G1589" s="11">
        <v>1206</v>
      </c>
      <c r="H1589" s="12" t="s">
        <v>141</v>
      </c>
      <c r="I1589" s="12" t="s">
        <v>27</v>
      </c>
      <c r="J1589" s="12" t="s">
        <v>33</v>
      </c>
      <c r="K1589" s="12" t="s">
        <v>34</v>
      </c>
      <c r="L1589" s="13">
        <v>42.02</v>
      </c>
      <c r="M1589" s="13">
        <v>29</v>
      </c>
      <c r="N1589" s="13">
        <v>1.4489655172413789</v>
      </c>
      <c r="O1589" s="13">
        <v>40</v>
      </c>
      <c r="P1589" s="13" t="s">
        <v>30</v>
      </c>
      <c r="Q1589" s="13">
        <v>0</v>
      </c>
      <c r="R1589" s="14">
        <v>1680.8000000000002</v>
      </c>
      <c r="S1589" s="15">
        <v>0</v>
      </c>
      <c r="T1589" s="15">
        <v>0</v>
      </c>
      <c r="U1589" s="15">
        <v>1680.8000000000002</v>
      </c>
      <c r="V1589" s="15">
        <v>0</v>
      </c>
      <c r="W1589" s="15">
        <v>1680.8000000000002</v>
      </c>
      <c r="X1589" s="15">
        <v>0</v>
      </c>
      <c r="Y1589" s="16">
        <v>0</v>
      </c>
      <c r="Z1589" s="67" t="s">
        <v>26</v>
      </c>
      <c r="AA1589" s="12" t="s">
        <v>31</v>
      </c>
    </row>
    <row r="1590" spans="1:27" x14ac:dyDescent="0.25">
      <c r="A1590" s="10">
        <v>45682</v>
      </c>
      <c r="B1590" s="11" t="s">
        <v>412</v>
      </c>
      <c r="C1590" s="11" t="s">
        <v>3517</v>
      </c>
      <c r="D1590" s="11" t="s">
        <v>26</v>
      </c>
      <c r="E1590" s="11" t="s">
        <v>501</v>
      </c>
      <c r="F1590" s="11" t="s">
        <v>26</v>
      </c>
      <c r="G1590" s="11">
        <v>812</v>
      </c>
      <c r="H1590" s="12" t="s">
        <v>141</v>
      </c>
      <c r="I1590" s="12" t="s">
        <v>27</v>
      </c>
      <c r="J1590" s="12" t="s">
        <v>33</v>
      </c>
      <c r="K1590" s="12" t="s">
        <v>34</v>
      </c>
      <c r="L1590" s="13">
        <v>42.74</v>
      </c>
      <c r="M1590" s="13">
        <v>29</v>
      </c>
      <c r="N1590" s="13">
        <v>1.4737931034482761</v>
      </c>
      <c r="O1590" s="13">
        <v>40</v>
      </c>
      <c r="P1590" s="13" t="s">
        <v>30</v>
      </c>
      <c r="Q1590" s="14">
        <v>0</v>
      </c>
      <c r="R1590" s="15">
        <v>1709.6000000000001</v>
      </c>
      <c r="S1590" s="15">
        <v>0</v>
      </c>
      <c r="T1590" s="15">
        <v>0</v>
      </c>
      <c r="U1590" s="15">
        <v>1709.6000000000001</v>
      </c>
      <c r="V1590" s="15">
        <v>0</v>
      </c>
      <c r="W1590" s="15">
        <v>1709.6000000000001</v>
      </c>
      <c r="X1590" s="15">
        <v>0</v>
      </c>
      <c r="Y1590" s="16">
        <v>0</v>
      </c>
      <c r="Z1590" s="67" t="s">
        <v>26</v>
      </c>
      <c r="AA1590" s="12" t="s">
        <v>31</v>
      </c>
    </row>
    <row r="1591" spans="1:27" x14ac:dyDescent="0.25">
      <c r="A1591" s="10">
        <v>45682</v>
      </c>
      <c r="B1591" s="11" t="s">
        <v>3518</v>
      </c>
      <c r="C1591" s="11" t="s">
        <v>3519</v>
      </c>
      <c r="D1591" s="11" t="s">
        <v>26</v>
      </c>
      <c r="E1591" s="11" t="s">
        <v>53</v>
      </c>
      <c r="F1591" s="11" t="s">
        <v>26</v>
      </c>
      <c r="G1591" s="11" t="s">
        <v>26</v>
      </c>
      <c r="H1591" s="12" t="s">
        <v>146</v>
      </c>
      <c r="I1591" s="12" t="s">
        <v>27</v>
      </c>
      <c r="J1591" s="12" t="s">
        <v>33</v>
      </c>
      <c r="K1591" s="12" t="s">
        <v>34</v>
      </c>
      <c r="L1591" s="13">
        <v>43.82</v>
      </c>
      <c r="M1591" s="13">
        <v>30</v>
      </c>
      <c r="N1591" s="13">
        <v>1.460666666666667</v>
      </c>
      <c r="O1591" s="13">
        <v>91</v>
      </c>
      <c r="P1591" s="13" t="s">
        <v>30</v>
      </c>
      <c r="Q1591" s="13">
        <v>0</v>
      </c>
      <c r="R1591" s="14">
        <v>3987.62</v>
      </c>
      <c r="S1591" s="15">
        <v>40</v>
      </c>
      <c r="T1591" s="15">
        <v>1752.8</v>
      </c>
      <c r="U1591" s="15">
        <v>2234.8199999999997</v>
      </c>
      <c r="V1591" s="15">
        <v>2234.8199999999997</v>
      </c>
      <c r="W1591" s="15">
        <v>0</v>
      </c>
      <c r="X1591" s="15">
        <v>1621.34</v>
      </c>
      <c r="Y1591" s="16">
        <v>131.46000000000004</v>
      </c>
      <c r="Z1591" s="67" t="s">
        <v>41</v>
      </c>
      <c r="AA1591" s="12" t="s">
        <v>79</v>
      </c>
    </row>
    <row r="1592" spans="1:27" x14ac:dyDescent="0.25">
      <c r="A1592" s="10">
        <v>45682</v>
      </c>
      <c r="B1592" s="11" t="s">
        <v>331</v>
      </c>
      <c r="C1592" s="11" t="s">
        <v>3520</v>
      </c>
      <c r="D1592" s="11" t="s">
        <v>26</v>
      </c>
      <c r="E1592" s="11" t="s">
        <v>480</v>
      </c>
      <c r="F1592" s="11" t="s">
        <v>26</v>
      </c>
      <c r="G1592" s="11">
        <v>74949</v>
      </c>
      <c r="H1592" s="12" t="s">
        <v>4448</v>
      </c>
      <c r="I1592" s="12" t="s">
        <v>55</v>
      </c>
      <c r="J1592" s="12" t="s">
        <v>55</v>
      </c>
      <c r="K1592" s="12" t="s">
        <v>56</v>
      </c>
      <c r="L1592" s="13">
        <v>38.9</v>
      </c>
      <c r="M1592" s="13">
        <v>25</v>
      </c>
      <c r="N1592" s="13">
        <v>1.556</v>
      </c>
      <c r="O1592" s="13">
        <v>15</v>
      </c>
      <c r="P1592" s="13" t="s">
        <v>30</v>
      </c>
      <c r="Q1592" s="13">
        <v>0</v>
      </c>
      <c r="R1592" s="15">
        <v>583.5</v>
      </c>
      <c r="S1592" s="15">
        <v>0</v>
      </c>
      <c r="T1592" s="15">
        <v>0</v>
      </c>
      <c r="U1592" s="15">
        <v>583.5</v>
      </c>
      <c r="V1592" s="15">
        <v>437.625</v>
      </c>
      <c r="W1592" s="15">
        <v>145.875</v>
      </c>
      <c r="X1592" s="15">
        <v>0</v>
      </c>
      <c r="Y1592" s="16">
        <v>0</v>
      </c>
      <c r="Z1592" s="67" t="s">
        <v>26</v>
      </c>
      <c r="AA1592" s="12" t="s">
        <v>31</v>
      </c>
    </row>
    <row r="1593" spans="1:27" x14ac:dyDescent="0.25">
      <c r="A1593" s="10">
        <v>45682</v>
      </c>
      <c r="B1593" s="11" t="s">
        <v>3521</v>
      </c>
      <c r="C1593" s="11" t="s">
        <v>3522</v>
      </c>
      <c r="D1593" s="11" t="s">
        <v>26</v>
      </c>
      <c r="E1593" s="11" t="s">
        <v>519</v>
      </c>
      <c r="F1593" s="11" t="s">
        <v>26</v>
      </c>
      <c r="G1593" s="11">
        <v>21762</v>
      </c>
      <c r="H1593" s="12" t="s">
        <v>4448</v>
      </c>
      <c r="I1593" s="12" t="s">
        <v>55</v>
      </c>
      <c r="J1593" s="12" t="s">
        <v>55</v>
      </c>
      <c r="K1593" s="12" t="s">
        <v>56</v>
      </c>
      <c r="L1593" s="13">
        <v>39.619999999999997</v>
      </c>
      <c r="M1593" s="13">
        <v>25</v>
      </c>
      <c r="N1593" s="13">
        <v>1.5848</v>
      </c>
      <c r="O1593" s="13">
        <v>15</v>
      </c>
      <c r="P1593" s="13" t="s">
        <v>30</v>
      </c>
      <c r="Q1593" s="13">
        <v>0</v>
      </c>
      <c r="R1593" s="14">
        <v>594.29999999999995</v>
      </c>
      <c r="S1593" s="15">
        <v>0</v>
      </c>
      <c r="T1593" s="15">
        <v>0</v>
      </c>
      <c r="U1593" s="15">
        <v>594.29999999999995</v>
      </c>
      <c r="V1593" s="15">
        <v>445.72499999999997</v>
      </c>
      <c r="W1593" s="15">
        <v>148.57499999999999</v>
      </c>
      <c r="X1593" s="15">
        <v>0</v>
      </c>
      <c r="Y1593" s="16">
        <v>0</v>
      </c>
      <c r="Z1593" s="67" t="s">
        <v>26</v>
      </c>
      <c r="AA1593" s="12" t="s">
        <v>31</v>
      </c>
    </row>
    <row r="1594" spans="1:27" x14ac:dyDescent="0.25">
      <c r="A1594" s="10">
        <v>45682</v>
      </c>
      <c r="B1594" s="11" t="s">
        <v>3523</v>
      </c>
      <c r="C1594" s="11" t="s">
        <v>3524</v>
      </c>
      <c r="D1594" s="11" t="s">
        <v>26</v>
      </c>
      <c r="E1594" s="11" t="s">
        <v>57</v>
      </c>
      <c r="F1594" s="11" t="s">
        <v>26</v>
      </c>
      <c r="G1594" s="11" t="s">
        <v>26</v>
      </c>
      <c r="H1594" s="12" t="s">
        <v>146</v>
      </c>
      <c r="I1594" s="12" t="s">
        <v>27</v>
      </c>
      <c r="J1594" s="12" t="s">
        <v>33</v>
      </c>
      <c r="K1594" s="12" t="s">
        <v>34</v>
      </c>
      <c r="L1594" s="13">
        <v>44.48</v>
      </c>
      <c r="M1594" s="13">
        <v>30</v>
      </c>
      <c r="N1594" s="13">
        <v>1.482666666666667</v>
      </c>
      <c r="O1594" s="13">
        <v>91</v>
      </c>
      <c r="P1594" s="13" t="s">
        <v>30</v>
      </c>
      <c r="Q1594" s="13">
        <v>0</v>
      </c>
      <c r="R1594" s="14">
        <v>4047.68</v>
      </c>
      <c r="S1594" s="15">
        <v>40</v>
      </c>
      <c r="T1594" s="15">
        <v>1779.1999999999998</v>
      </c>
      <c r="U1594" s="15">
        <v>2268.48</v>
      </c>
      <c r="V1594" s="15">
        <v>2268.48</v>
      </c>
      <c r="W1594" s="15">
        <v>0</v>
      </c>
      <c r="X1594" s="15">
        <v>1645.76</v>
      </c>
      <c r="Y1594" s="16">
        <v>133.43999999999983</v>
      </c>
      <c r="Z1594" s="67" t="s">
        <v>41</v>
      </c>
      <c r="AA1594" s="12" t="s">
        <v>79</v>
      </c>
    </row>
    <row r="1595" spans="1:27" x14ac:dyDescent="0.25">
      <c r="A1595" s="10">
        <v>45682</v>
      </c>
      <c r="B1595" s="11" t="s">
        <v>3490</v>
      </c>
      <c r="C1595" s="11" t="s">
        <v>3525</v>
      </c>
      <c r="D1595" s="11" t="s">
        <v>26</v>
      </c>
      <c r="E1595" s="11" t="s">
        <v>39</v>
      </c>
      <c r="F1595" s="11" t="s">
        <v>26</v>
      </c>
      <c r="G1595" s="11">
        <v>774</v>
      </c>
      <c r="H1595" s="12" t="s">
        <v>141</v>
      </c>
      <c r="I1595" s="12" t="s">
        <v>55</v>
      </c>
      <c r="J1595" s="12" t="s">
        <v>55</v>
      </c>
      <c r="K1595" s="12" t="s">
        <v>56</v>
      </c>
      <c r="L1595" s="13">
        <v>40</v>
      </c>
      <c r="M1595" s="13">
        <v>25</v>
      </c>
      <c r="N1595" s="13">
        <v>1.6</v>
      </c>
      <c r="O1595" s="13">
        <v>15</v>
      </c>
      <c r="P1595" s="13" t="s">
        <v>30</v>
      </c>
      <c r="Q1595" s="13">
        <v>0</v>
      </c>
      <c r="R1595" s="15">
        <v>600</v>
      </c>
      <c r="S1595" s="15">
        <v>0</v>
      </c>
      <c r="T1595" s="15">
        <v>0</v>
      </c>
      <c r="U1595" s="15">
        <v>600</v>
      </c>
      <c r="V1595" s="15">
        <v>0</v>
      </c>
      <c r="W1595" s="15">
        <v>600</v>
      </c>
      <c r="X1595" s="15">
        <v>0</v>
      </c>
      <c r="Y1595" s="16">
        <v>0</v>
      </c>
      <c r="Z1595" s="67" t="s">
        <v>26</v>
      </c>
      <c r="AA1595" s="12" t="s">
        <v>31</v>
      </c>
    </row>
    <row r="1596" spans="1:27" x14ac:dyDescent="0.25">
      <c r="A1596" s="10">
        <v>45682</v>
      </c>
      <c r="B1596" s="11" t="s">
        <v>3526</v>
      </c>
      <c r="C1596" s="11" t="s">
        <v>3527</v>
      </c>
      <c r="D1596" s="11" t="s">
        <v>26</v>
      </c>
      <c r="E1596" s="11" t="s">
        <v>553</v>
      </c>
      <c r="F1596" s="11" t="s">
        <v>26</v>
      </c>
      <c r="G1596" s="11">
        <v>4657</v>
      </c>
      <c r="H1596" s="12" t="s">
        <v>4423</v>
      </c>
      <c r="I1596" s="12" t="s">
        <v>27</v>
      </c>
      <c r="J1596" s="12" t="s">
        <v>33</v>
      </c>
      <c r="K1596" s="12" t="s">
        <v>34</v>
      </c>
      <c r="L1596" s="13">
        <v>38.58</v>
      </c>
      <c r="M1596" s="13">
        <v>25</v>
      </c>
      <c r="N1596" s="13">
        <v>1.5431999999999999</v>
      </c>
      <c r="O1596" s="13">
        <v>45</v>
      </c>
      <c r="P1596" s="13" t="s">
        <v>30</v>
      </c>
      <c r="Q1596" s="13">
        <v>0</v>
      </c>
      <c r="R1596" s="14">
        <v>1736.1</v>
      </c>
      <c r="S1596" s="15">
        <v>0</v>
      </c>
      <c r="T1596" s="15">
        <v>0</v>
      </c>
      <c r="U1596" s="15">
        <v>1736.1</v>
      </c>
      <c r="V1596" s="15">
        <v>1736.1</v>
      </c>
      <c r="W1596" s="15">
        <v>0</v>
      </c>
      <c r="X1596" s="15">
        <v>0</v>
      </c>
      <c r="Y1596" s="16">
        <v>0</v>
      </c>
      <c r="Z1596" s="67" t="s">
        <v>26</v>
      </c>
      <c r="AA1596" s="12" t="s">
        <v>31</v>
      </c>
    </row>
    <row r="1597" spans="1:27" x14ac:dyDescent="0.25">
      <c r="A1597" s="10">
        <v>45682</v>
      </c>
      <c r="B1597" s="11" t="s">
        <v>3528</v>
      </c>
      <c r="C1597" s="11" t="s">
        <v>3529</v>
      </c>
      <c r="D1597" s="11" t="s">
        <v>26</v>
      </c>
      <c r="E1597" s="11" t="s">
        <v>552</v>
      </c>
      <c r="F1597" s="11" t="s">
        <v>26</v>
      </c>
      <c r="G1597" s="11">
        <v>69130</v>
      </c>
      <c r="H1597" s="12" t="s">
        <v>4423</v>
      </c>
      <c r="I1597" s="12" t="s">
        <v>27</v>
      </c>
      <c r="J1597" s="12" t="s">
        <v>42</v>
      </c>
      <c r="K1597" s="12" t="s">
        <v>43</v>
      </c>
      <c r="L1597" s="13">
        <v>35.58</v>
      </c>
      <c r="M1597" s="13">
        <v>25</v>
      </c>
      <c r="N1597" s="13">
        <v>1.4232</v>
      </c>
      <c r="O1597" s="13">
        <v>42</v>
      </c>
      <c r="P1597" s="13" t="s">
        <v>30</v>
      </c>
      <c r="Q1597" s="13">
        <v>0</v>
      </c>
      <c r="R1597" s="14">
        <v>1494.36</v>
      </c>
      <c r="S1597" s="15">
        <v>0</v>
      </c>
      <c r="T1597" s="15">
        <v>0</v>
      </c>
      <c r="U1597" s="15">
        <v>1494.36</v>
      </c>
      <c r="V1597" s="15">
        <v>1494.36</v>
      </c>
      <c r="W1597" s="15">
        <v>0</v>
      </c>
      <c r="X1597" s="15">
        <v>0</v>
      </c>
      <c r="Y1597" s="16">
        <v>0</v>
      </c>
      <c r="Z1597" s="67" t="s">
        <v>26</v>
      </c>
      <c r="AA1597" s="12" t="s">
        <v>31</v>
      </c>
    </row>
    <row r="1598" spans="1:27" x14ac:dyDescent="0.25">
      <c r="A1598" s="10">
        <v>45682</v>
      </c>
      <c r="B1598" s="11" t="s">
        <v>3530</v>
      </c>
      <c r="C1598" s="11" t="s">
        <v>3531</v>
      </c>
      <c r="D1598" s="11" t="s">
        <v>26</v>
      </c>
      <c r="E1598" s="11" t="s">
        <v>177</v>
      </c>
      <c r="F1598" s="11" t="s">
        <v>26</v>
      </c>
      <c r="G1598" s="11">
        <v>775</v>
      </c>
      <c r="H1598" s="12" t="s">
        <v>141</v>
      </c>
      <c r="I1598" s="12" t="s">
        <v>55</v>
      </c>
      <c r="J1598" s="12" t="s">
        <v>55</v>
      </c>
      <c r="K1598" s="12" t="s">
        <v>56</v>
      </c>
      <c r="L1598" s="13">
        <v>39.64</v>
      </c>
      <c r="M1598" s="13">
        <v>25</v>
      </c>
      <c r="N1598" s="13">
        <v>1.5855999999999999</v>
      </c>
      <c r="O1598" s="13">
        <v>15</v>
      </c>
      <c r="P1598" s="13" t="s">
        <v>30</v>
      </c>
      <c r="Q1598" s="13">
        <v>0</v>
      </c>
      <c r="R1598" s="14">
        <v>594.6</v>
      </c>
      <c r="S1598" s="15">
        <v>0</v>
      </c>
      <c r="T1598" s="15">
        <v>0</v>
      </c>
      <c r="U1598" s="15">
        <v>594.6</v>
      </c>
      <c r="V1598" s="15">
        <v>0</v>
      </c>
      <c r="W1598" s="15">
        <v>594.6</v>
      </c>
      <c r="X1598" s="15">
        <v>0</v>
      </c>
      <c r="Y1598" s="16">
        <v>0</v>
      </c>
      <c r="Z1598" s="67" t="s">
        <v>26</v>
      </c>
      <c r="AA1598" s="12" t="s">
        <v>31</v>
      </c>
    </row>
    <row r="1599" spans="1:27" x14ac:dyDescent="0.25">
      <c r="A1599" s="10">
        <v>45682</v>
      </c>
      <c r="B1599" s="11" t="s">
        <v>3532</v>
      </c>
      <c r="C1599" s="11" t="s">
        <v>3533</v>
      </c>
      <c r="D1599" s="11" t="s">
        <v>26</v>
      </c>
      <c r="E1599" s="11" t="s">
        <v>52</v>
      </c>
      <c r="F1599" s="11" t="s">
        <v>26</v>
      </c>
      <c r="G1599" s="11">
        <v>776</v>
      </c>
      <c r="H1599" s="12" t="s">
        <v>141</v>
      </c>
      <c r="I1599" s="12" t="s">
        <v>55</v>
      </c>
      <c r="J1599" s="12" t="s">
        <v>55</v>
      </c>
      <c r="K1599" s="12" t="s">
        <v>56</v>
      </c>
      <c r="L1599" s="13">
        <v>39.32</v>
      </c>
      <c r="M1599" s="13">
        <v>25</v>
      </c>
      <c r="N1599" s="13">
        <v>1.5728</v>
      </c>
      <c r="O1599" s="13">
        <v>15</v>
      </c>
      <c r="P1599" s="13" t="s">
        <v>30</v>
      </c>
      <c r="Q1599" s="13">
        <v>0</v>
      </c>
      <c r="R1599" s="14">
        <v>589.79999999999995</v>
      </c>
      <c r="S1599" s="15">
        <v>0</v>
      </c>
      <c r="T1599" s="15">
        <v>0</v>
      </c>
      <c r="U1599" s="15">
        <v>589.79999999999995</v>
      </c>
      <c r="V1599" s="15">
        <v>0</v>
      </c>
      <c r="W1599" s="15">
        <v>589.79999999999995</v>
      </c>
      <c r="X1599" s="15">
        <v>0</v>
      </c>
      <c r="Y1599" s="16">
        <v>0</v>
      </c>
      <c r="Z1599" s="67" t="s">
        <v>26</v>
      </c>
      <c r="AA1599" s="12" t="s">
        <v>31</v>
      </c>
    </row>
    <row r="1600" spans="1:27" x14ac:dyDescent="0.25">
      <c r="A1600" s="10">
        <v>45682</v>
      </c>
      <c r="B1600" s="11" t="s">
        <v>3534</v>
      </c>
      <c r="C1600" s="11" t="s">
        <v>3535</v>
      </c>
      <c r="D1600" s="11" t="s">
        <v>26</v>
      </c>
      <c r="E1600" s="11" t="s">
        <v>224</v>
      </c>
      <c r="F1600" s="11" t="s">
        <v>26</v>
      </c>
      <c r="G1600" s="11">
        <v>55333</v>
      </c>
      <c r="H1600" s="12" t="s">
        <v>4423</v>
      </c>
      <c r="I1600" s="12" t="s">
        <v>27</v>
      </c>
      <c r="J1600" s="12" t="s">
        <v>42</v>
      </c>
      <c r="K1600" s="12" t="s">
        <v>43</v>
      </c>
      <c r="L1600" s="13">
        <v>36.72</v>
      </c>
      <c r="M1600" s="13">
        <v>25</v>
      </c>
      <c r="N1600" s="13">
        <v>1.4688000000000001</v>
      </c>
      <c r="O1600" s="13">
        <v>42</v>
      </c>
      <c r="P1600" s="13" t="s">
        <v>30</v>
      </c>
      <c r="Q1600" s="13">
        <v>0</v>
      </c>
      <c r="R1600" s="14">
        <v>1542.24</v>
      </c>
      <c r="S1600" s="15">
        <v>0</v>
      </c>
      <c r="T1600" s="15">
        <v>0</v>
      </c>
      <c r="U1600" s="15">
        <v>1542.24</v>
      </c>
      <c r="V1600" s="15">
        <v>1542.24</v>
      </c>
      <c r="W1600" s="15">
        <v>0</v>
      </c>
      <c r="X1600" s="15">
        <v>0</v>
      </c>
      <c r="Y1600" s="16">
        <v>0</v>
      </c>
      <c r="Z1600" s="67" t="s">
        <v>26</v>
      </c>
      <c r="AA1600" s="12" t="s">
        <v>31</v>
      </c>
    </row>
    <row r="1601" spans="1:27" x14ac:dyDescent="0.25">
      <c r="A1601" s="10">
        <v>45682</v>
      </c>
      <c r="B1601" s="11" t="s">
        <v>3536</v>
      </c>
      <c r="C1601" s="11" t="s">
        <v>3537</v>
      </c>
      <c r="D1601" s="11" t="s">
        <v>26</v>
      </c>
      <c r="E1601" s="11" t="s">
        <v>237</v>
      </c>
      <c r="F1601" s="11" t="s">
        <v>26</v>
      </c>
      <c r="G1601" s="11">
        <v>61861</v>
      </c>
      <c r="H1601" s="12" t="s">
        <v>4423</v>
      </c>
      <c r="I1601" s="12" t="s">
        <v>27</v>
      </c>
      <c r="J1601" s="12" t="s">
        <v>42</v>
      </c>
      <c r="K1601" s="12" t="s">
        <v>43</v>
      </c>
      <c r="L1601" s="13">
        <v>37.94</v>
      </c>
      <c r="M1601" s="13">
        <v>25</v>
      </c>
      <c r="N1601" s="13">
        <v>1.5176000000000001</v>
      </c>
      <c r="O1601" s="13">
        <v>42</v>
      </c>
      <c r="P1601" s="13" t="s">
        <v>30</v>
      </c>
      <c r="Q1601" s="13">
        <v>0</v>
      </c>
      <c r="R1601" s="14">
        <v>1593.48</v>
      </c>
      <c r="S1601" s="15">
        <v>0</v>
      </c>
      <c r="T1601" s="15">
        <v>0</v>
      </c>
      <c r="U1601" s="15">
        <v>1593.48</v>
      </c>
      <c r="V1601" s="15">
        <v>1593.48</v>
      </c>
      <c r="W1601" s="15">
        <v>0</v>
      </c>
      <c r="X1601" s="15">
        <v>0</v>
      </c>
      <c r="Y1601" s="16">
        <v>0</v>
      </c>
      <c r="Z1601" s="67" t="s">
        <v>26</v>
      </c>
      <c r="AA1601" s="12" t="s">
        <v>31</v>
      </c>
    </row>
    <row r="1602" spans="1:27" x14ac:dyDescent="0.25">
      <c r="A1602" s="10">
        <v>45682</v>
      </c>
      <c r="B1602" s="11" t="s">
        <v>3538</v>
      </c>
      <c r="C1602" s="11" t="s">
        <v>3539</v>
      </c>
      <c r="D1602" s="11" t="s">
        <v>26</v>
      </c>
      <c r="E1602" s="11" t="s">
        <v>67</v>
      </c>
      <c r="F1602" s="11" t="s">
        <v>26</v>
      </c>
      <c r="G1602" s="11">
        <v>1618</v>
      </c>
      <c r="H1602" s="12" t="s">
        <v>66</v>
      </c>
      <c r="I1602" s="12" t="s">
        <v>37</v>
      </c>
      <c r="J1602" s="12" t="s">
        <v>1909</v>
      </c>
      <c r="K1602" s="12" t="s">
        <v>82</v>
      </c>
      <c r="L1602" s="13">
        <v>39.6</v>
      </c>
      <c r="M1602" s="13">
        <v>25</v>
      </c>
      <c r="N1602" s="13">
        <v>1.5840000000000001</v>
      </c>
      <c r="O1602" s="13" t="s">
        <v>30</v>
      </c>
      <c r="P1602" s="13">
        <v>54</v>
      </c>
      <c r="Q1602" s="13">
        <v>0</v>
      </c>
      <c r="R1602" s="14">
        <v>1350</v>
      </c>
      <c r="S1602" s="15">
        <v>0</v>
      </c>
      <c r="T1602" s="15">
        <v>0</v>
      </c>
      <c r="U1602" s="15">
        <v>1350</v>
      </c>
      <c r="V1602" s="15">
        <v>1350</v>
      </c>
      <c r="W1602" s="15">
        <v>0</v>
      </c>
      <c r="X1602" s="15">
        <v>0</v>
      </c>
      <c r="Y1602" s="16">
        <v>0</v>
      </c>
      <c r="Z1602" s="67" t="s">
        <v>26</v>
      </c>
      <c r="AA1602" s="12" t="s">
        <v>31</v>
      </c>
    </row>
    <row r="1603" spans="1:27" x14ac:dyDescent="0.25">
      <c r="A1603" s="10">
        <v>45682</v>
      </c>
      <c r="B1603" s="11" t="s">
        <v>3540</v>
      </c>
      <c r="C1603" s="11" t="s">
        <v>3541</v>
      </c>
      <c r="D1603" s="11" t="s">
        <v>26</v>
      </c>
      <c r="E1603" s="11" t="s">
        <v>84</v>
      </c>
      <c r="F1603" s="11" t="s">
        <v>26</v>
      </c>
      <c r="G1603" s="11">
        <v>44362</v>
      </c>
      <c r="H1603" s="12" t="s">
        <v>4423</v>
      </c>
      <c r="I1603" s="12" t="s">
        <v>27</v>
      </c>
      <c r="J1603" s="12" t="s">
        <v>42</v>
      </c>
      <c r="K1603" s="12" t="s">
        <v>43</v>
      </c>
      <c r="L1603" s="13">
        <v>36.159999999999997</v>
      </c>
      <c r="M1603" s="13">
        <v>25</v>
      </c>
      <c r="N1603" s="13">
        <v>1.4463999999999999</v>
      </c>
      <c r="O1603" s="13">
        <v>42</v>
      </c>
      <c r="P1603" s="13" t="s">
        <v>30</v>
      </c>
      <c r="Q1603" s="13">
        <v>0</v>
      </c>
      <c r="R1603" s="14">
        <v>1518.7199999999998</v>
      </c>
      <c r="S1603" s="15">
        <v>0</v>
      </c>
      <c r="T1603" s="15">
        <v>0</v>
      </c>
      <c r="U1603" s="15">
        <v>1518.7199999999998</v>
      </c>
      <c r="V1603" s="15">
        <v>1518.7199999999998</v>
      </c>
      <c r="W1603" s="15">
        <v>0</v>
      </c>
      <c r="X1603" s="15">
        <v>0</v>
      </c>
      <c r="Y1603" s="16">
        <v>0</v>
      </c>
      <c r="Z1603" s="67" t="s">
        <v>26</v>
      </c>
      <c r="AA1603" s="12" t="s">
        <v>31</v>
      </c>
    </row>
    <row r="1604" spans="1:27" x14ac:dyDescent="0.25">
      <c r="A1604" s="10">
        <v>45682</v>
      </c>
      <c r="B1604" s="11" t="s">
        <v>2674</v>
      </c>
      <c r="C1604" s="11" t="s">
        <v>3542</v>
      </c>
      <c r="D1604" s="11" t="s">
        <v>26</v>
      </c>
      <c r="E1604" s="11" t="s">
        <v>65</v>
      </c>
      <c r="F1604" s="11" t="s">
        <v>26</v>
      </c>
      <c r="G1604" s="11">
        <v>1592</v>
      </c>
      <c r="H1604" s="12" t="s">
        <v>66</v>
      </c>
      <c r="I1604" s="12" t="s">
        <v>37</v>
      </c>
      <c r="J1604" s="12" t="s">
        <v>1909</v>
      </c>
      <c r="K1604" s="12" t="s">
        <v>82</v>
      </c>
      <c r="L1604" s="13">
        <v>39.08</v>
      </c>
      <c r="M1604" s="13">
        <v>25</v>
      </c>
      <c r="N1604" s="13">
        <v>1.5631999999999999</v>
      </c>
      <c r="O1604" s="13" t="s">
        <v>30</v>
      </c>
      <c r="P1604" s="13">
        <v>54</v>
      </c>
      <c r="Q1604" s="13">
        <v>0</v>
      </c>
      <c r="R1604" s="15">
        <v>1350</v>
      </c>
      <c r="S1604" s="15">
        <v>0</v>
      </c>
      <c r="T1604" s="15">
        <v>0</v>
      </c>
      <c r="U1604" s="15">
        <v>1350</v>
      </c>
      <c r="V1604" s="15">
        <v>1350</v>
      </c>
      <c r="W1604" s="15">
        <v>0</v>
      </c>
      <c r="X1604" s="15">
        <v>0</v>
      </c>
      <c r="Y1604" s="16">
        <v>0</v>
      </c>
      <c r="Z1604" s="67" t="s">
        <v>26</v>
      </c>
      <c r="AA1604" s="12" t="s">
        <v>31</v>
      </c>
    </row>
    <row r="1605" spans="1:27" x14ac:dyDescent="0.25">
      <c r="A1605" s="10">
        <v>45682</v>
      </c>
      <c r="B1605" s="11" t="s">
        <v>3543</v>
      </c>
      <c r="C1605" s="11" t="s">
        <v>3544</v>
      </c>
      <c r="D1605" s="11" t="s">
        <v>26</v>
      </c>
      <c r="E1605" s="11" t="s">
        <v>539</v>
      </c>
      <c r="F1605" s="11" t="s">
        <v>26</v>
      </c>
      <c r="G1605" s="11" t="s">
        <v>26</v>
      </c>
      <c r="H1605" s="12" t="s">
        <v>146</v>
      </c>
      <c r="I1605" s="12" t="s">
        <v>27</v>
      </c>
      <c r="J1605" s="12" t="s">
        <v>47</v>
      </c>
      <c r="K1605" s="12" t="s">
        <v>48</v>
      </c>
      <c r="L1605" s="13">
        <v>43.62</v>
      </c>
      <c r="M1605" s="13">
        <v>30</v>
      </c>
      <c r="N1605" s="13">
        <v>1.454</v>
      </c>
      <c r="O1605" s="13">
        <v>91</v>
      </c>
      <c r="P1605" s="13" t="s">
        <v>30</v>
      </c>
      <c r="Q1605" s="13">
        <v>0</v>
      </c>
      <c r="R1605" s="14">
        <v>3969.4199999999996</v>
      </c>
      <c r="S1605" s="15">
        <v>40</v>
      </c>
      <c r="T1605" s="15">
        <v>1744.8</v>
      </c>
      <c r="U1605" s="15">
        <v>2224.62</v>
      </c>
      <c r="V1605" s="15">
        <v>2224.62</v>
      </c>
      <c r="W1605" s="15">
        <v>0</v>
      </c>
      <c r="X1605" s="15">
        <v>1613.9399999999998</v>
      </c>
      <c r="Y1605" s="16">
        <v>130.86000000000013</v>
      </c>
      <c r="Z1605" s="67" t="s">
        <v>41</v>
      </c>
      <c r="AA1605" s="12" t="s">
        <v>79</v>
      </c>
    </row>
    <row r="1606" spans="1:27" x14ac:dyDescent="0.25">
      <c r="A1606" s="10">
        <v>45682</v>
      </c>
      <c r="B1606" s="11" t="s">
        <v>3545</v>
      </c>
      <c r="C1606" s="11" t="s">
        <v>3546</v>
      </c>
      <c r="D1606" s="11" t="s">
        <v>26</v>
      </c>
      <c r="E1606" s="11" t="s">
        <v>605</v>
      </c>
      <c r="F1606" s="11" t="s">
        <v>26</v>
      </c>
      <c r="G1606" s="11">
        <v>1058</v>
      </c>
      <c r="H1606" s="12" t="s">
        <v>141</v>
      </c>
      <c r="I1606" s="12" t="s">
        <v>27</v>
      </c>
      <c r="J1606" s="12" t="s">
        <v>42</v>
      </c>
      <c r="K1606" s="12" t="s">
        <v>43</v>
      </c>
      <c r="L1606" s="13">
        <v>42.8</v>
      </c>
      <c r="M1606" s="13">
        <v>25</v>
      </c>
      <c r="N1606" s="13">
        <v>1.712</v>
      </c>
      <c r="O1606" s="13">
        <v>40</v>
      </c>
      <c r="P1606" s="13" t="s">
        <v>30</v>
      </c>
      <c r="Q1606" s="13">
        <v>0</v>
      </c>
      <c r="R1606" s="14">
        <v>1712</v>
      </c>
      <c r="S1606" s="15">
        <v>0</v>
      </c>
      <c r="T1606" s="15">
        <v>0</v>
      </c>
      <c r="U1606" s="15">
        <v>1712</v>
      </c>
      <c r="V1606" s="15">
        <v>0</v>
      </c>
      <c r="W1606" s="15">
        <v>1712</v>
      </c>
      <c r="X1606" s="15">
        <v>0</v>
      </c>
      <c r="Y1606" s="16">
        <v>0</v>
      </c>
      <c r="Z1606" s="67" t="s">
        <v>26</v>
      </c>
      <c r="AA1606" s="12" t="s">
        <v>31</v>
      </c>
    </row>
    <row r="1607" spans="1:27" x14ac:dyDescent="0.25">
      <c r="A1607" s="10">
        <v>45682</v>
      </c>
      <c r="B1607" s="11" t="s">
        <v>3547</v>
      </c>
      <c r="C1607" s="11" t="s">
        <v>3548</v>
      </c>
      <c r="D1607" s="11" t="s">
        <v>26</v>
      </c>
      <c r="E1607" s="11" t="s">
        <v>64</v>
      </c>
      <c r="F1607" s="11" t="s">
        <v>26</v>
      </c>
      <c r="G1607" s="11">
        <v>777</v>
      </c>
      <c r="H1607" s="12" t="s">
        <v>141</v>
      </c>
      <c r="I1607" s="12" t="s">
        <v>55</v>
      </c>
      <c r="J1607" s="12" t="s">
        <v>55</v>
      </c>
      <c r="K1607" s="12" t="s">
        <v>56</v>
      </c>
      <c r="L1607" s="13">
        <v>38.799999999999997</v>
      </c>
      <c r="M1607" s="13">
        <v>25</v>
      </c>
      <c r="N1607" s="13">
        <v>1.552</v>
      </c>
      <c r="O1607" s="13">
        <v>15</v>
      </c>
      <c r="P1607" s="13" t="s">
        <v>30</v>
      </c>
      <c r="Q1607" s="13">
        <v>0</v>
      </c>
      <c r="R1607" s="14">
        <v>582</v>
      </c>
      <c r="S1607" s="15">
        <v>0</v>
      </c>
      <c r="T1607" s="15">
        <v>0</v>
      </c>
      <c r="U1607" s="15">
        <v>582</v>
      </c>
      <c r="V1607" s="15">
        <v>0</v>
      </c>
      <c r="W1607" s="15">
        <v>582</v>
      </c>
      <c r="X1607" s="15">
        <v>0</v>
      </c>
      <c r="Y1607" s="16">
        <v>0</v>
      </c>
      <c r="Z1607" s="67" t="s">
        <v>26</v>
      </c>
      <c r="AA1607" s="12" t="s">
        <v>31</v>
      </c>
    </row>
    <row r="1608" spans="1:27" x14ac:dyDescent="0.25">
      <c r="A1608" s="10">
        <v>45682</v>
      </c>
      <c r="B1608" s="11" t="s">
        <v>3549</v>
      </c>
      <c r="C1608" s="11" t="s">
        <v>3550</v>
      </c>
      <c r="D1608" s="11" t="s">
        <v>26</v>
      </c>
      <c r="E1608" s="11" t="s">
        <v>574</v>
      </c>
      <c r="F1608" s="11" t="s">
        <v>26</v>
      </c>
      <c r="G1608" s="11">
        <v>778</v>
      </c>
      <c r="H1608" s="12" t="s">
        <v>141</v>
      </c>
      <c r="I1608" s="12" t="s">
        <v>27</v>
      </c>
      <c r="J1608" s="12" t="s">
        <v>42</v>
      </c>
      <c r="K1608" s="12" t="s">
        <v>43</v>
      </c>
      <c r="L1608" s="13">
        <v>41.74</v>
      </c>
      <c r="M1608" s="13">
        <v>25</v>
      </c>
      <c r="N1608" s="13">
        <v>1.6696</v>
      </c>
      <c r="O1608" s="13">
        <v>40</v>
      </c>
      <c r="P1608" s="13" t="s">
        <v>30</v>
      </c>
      <c r="Q1608" s="13">
        <v>0</v>
      </c>
      <c r="R1608" s="14">
        <v>1669.6000000000001</v>
      </c>
      <c r="S1608" s="15">
        <v>0</v>
      </c>
      <c r="T1608" s="15">
        <v>0</v>
      </c>
      <c r="U1608" s="15">
        <v>1669.6000000000001</v>
      </c>
      <c r="V1608" s="15">
        <v>0</v>
      </c>
      <c r="W1608" s="15">
        <v>1669.6000000000001</v>
      </c>
      <c r="X1608" s="15">
        <v>0</v>
      </c>
      <c r="Y1608" s="16">
        <v>0</v>
      </c>
      <c r="Z1608" s="67" t="s">
        <v>26</v>
      </c>
      <c r="AA1608" s="12" t="s">
        <v>31</v>
      </c>
    </row>
    <row r="1609" spans="1:27" x14ac:dyDescent="0.25">
      <c r="A1609" s="10">
        <v>45682</v>
      </c>
      <c r="B1609" s="11" t="s">
        <v>643</v>
      </c>
      <c r="C1609" s="11" t="s">
        <v>3551</v>
      </c>
      <c r="D1609" s="11" t="s">
        <v>26</v>
      </c>
      <c r="E1609" s="11" t="s">
        <v>483</v>
      </c>
      <c r="F1609" s="11" t="s">
        <v>26</v>
      </c>
      <c r="G1609" s="11">
        <v>3553</v>
      </c>
      <c r="H1609" s="12" t="s">
        <v>41</v>
      </c>
      <c r="I1609" s="12" t="s">
        <v>55</v>
      </c>
      <c r="J1609" s="12" t="s">
        <v>55</v>
      </c>
      <c r="K1609" s="12" t="s">
        <v>56</v>
      </c>
      <c r="L1609" s="13">
        <v>40.22</v>
      </c>
      <c r="M1609" s="13">
        <v>25</v>
      </c>
      <c r="N1609" s="13">
        <v>1.6088</v>
      </c>
      <c r="O1609" s="13" t="s">
        <v>30</v>
      </c>
      <c r="P1609" s="13">
        <v>24</v>
      </c>
      <c r="Q1609" s="13">
        <v>0</v>
      </c>
      <c r="R1609" s="14">
        <v>600</v>
      </c>
      <c r="S1609" s="15">
        <v>0</v>
      </c>
      <c r="T1609" s="15">
        <v>0</v>
      </c>
      <c r="U1609" s="15">
        <v>600</v>
      </c>
      <c r="V1609" s="15">
        <v>0</v>
      </c>
      <c r="W1609" s="15">
        <v>600</v>
      </c>
      <c r="X1609" s="15">
        <v>0</v>
      </c>
      <c r="Y1609" s="16">
        <v>0</v>
      </c>
      <c r="Z1609" s="67" t="s">
        <v>26</v>
      </c>
      <c r="AA1609" s="12" t="s">
        <v>31</v>
      </c>
    </row>
    <row r="1610" spans="1:27" x14ac:dyDescent="0.25">
      <c r="A1610" s="10">
        <v>45682</v>
      </c>
      <c r="B1610" s="11" t="s">
        <v>120</v>
      </c>
      <c r="C1610" s="11" t="s">
        <v>3552</v>
      </c>
      <c r="D1610" s="11" t="s">
        <v>26</v>
      </c>
      <c r="E1610" s="11" t="s">
        <v>435</v>
      </c>
      <c r="F1610" s="11" t="s">
        <v>26</v>
      </c>
      <c r="G1610" s="11">
        <v>3516</v>
      </c>
      <c r="H1610" s="12" t="s">
        <v>41</v>
      </c>
      <c r="I1610" s="12" t="s">
        <v>55</v>
      </c>
      <c r="J1610" s="12" t="s">
        <v>55</v>
      </c>
      <c r="K1610" s="12" t="s">
        <v>56</v>
      </c>
      <c r="L1610" s="13">
        <v>43.08</v>
      </c>
      <c r="M1610" s="13">
        <v>25</v>
      </c>
      <c r="N1610" s="13">
        <v>1.7232000000000001</v>
      </c>
      <c r="O1610" s="13" t="s">
        <v>30</v>
      </c>
      <c r="P1610" s="13">
        <v>24</v>
      </c>
      <c r="Q1610" s="13">
        <v>0</v>
      </c>
      <c r="R1610" s="14">
        <v>600</v>
      </c>
      <c r="S1610" s="15">
        <v>0</v>
      </c>
      <c r="T1610" s="15">
        <v>0</v>
      </c>
      <c r="U1610" s="15">
        <v>600</v>
      </c>
      <c r="V1610" s="15">
        <v>0</v>
      </c>
      <c r="W1610" s="15">
        <v>600</v>
      </c>
      <c r="X1610" s="15">
        <v>0</v>
      </c>
      <c r="Y1610" s="16">
        <v>0</v>
      </c>
      <c r="Z1610" s="67" t="s">
        <v>26</v>
      </c>
      <c r="AA1610" s="12" t="s">
        <v>31</v>
      </c>
    </row>
    <row r="1611" spans="1:27" x14ac:dyDescent="0.25">
      <c r="A1611" s="10">
        <v>45682</v>
      </c>
      <c r="B1611" s="11" t="s">
        <v>3553</v>
      </c>
      <c r="C1611" s="11" t="s">
        <v>3554</v>
      </c>
      <c r="D1611" s="11" t="s">
        <v>26</v>
      </c>
      <c r="E1611" s="11" t="s">
        <v>246</v>
      </c>
      <c r="F1611" s="11" t="s">
        <v>26</v>
      </c>
      <c r="G1611" s="11" t="s">
        <v>26</v>
      </c>
      <c r="H1611" s="12" t="s">
        <v>4422</v>
      </c>
      <c r="I1611" s="12" t="s">
        <v>27</v>
      </c>
      <c r="J1611" s="12" t="s">
        <v>47</v>
      </c>
      <c r="K1611" s="12" t="s">
        <v>48</v>
      </c>
      <c r="L1611" s="13">
        <v>43.02</v>
      </c>
      <c r="M1611" s="13">
        <v>30</v>
      </c>
      <c r="N1611" s="13">
        <v>1.4339999999999999</v>
      </c>
      <c r="O1611" s="13">
        <v>87</v>
      </c>
      <c r="P1611" s="13" t="s">
        <v>30</v>
      </c>
      <c r="Q1611" s="13">
        <v>0</v>
      </c>
      <c r="R1611" s="15">
        <v>3742.7400000000002</v>
      </c>
      <c r="S1611" s="15">
        <v>38</v>
      </c>
      <c r="T1611" s="15">
        <v>1634.7600000000002</v>
      </c>
      <c r="U1611" s="15">
        <v>2107.98</v>
      </c>
      <c r="V1611" s="15">
        <v>2107.98</v>
      </c>
      <c r="W1611" s="15"/>
      <c r="X1611" s="15">
        <v>1591.74</v>
      </c>
      <c r="Y1611" s="16">
        <v>43.020000000000209</v>
      </c>
      <c r="Z1611" s="67" t="s">
        <v>41</v>
      </c>
      <c r="AA1611" s="12" t="s">
        <v>78</v>
      </c>
    </row>
    <row r="1612" spans="1:27" x14ac:dyDescent="0.25">
      <c r="A1612" s="10">
        <v>45682</v>
      </c>
      <c r="B1612" s="11" t="s">
        <v>3555</v>
      </c>
      <c r="C1612" s="11" t="s">
        <v>3556</v>
      </c>
      <c r="D1612" s="11" t="s">
        <v>26</v>
      </c>
      <c r="E1612" s="11" t="s">
        <v>75</v>
      </c>
      <c r="F1612" s="11" t="s">
        <v>26</v>
      </c>
      <c r="G1612" s="11">
        <v>42030</v>
      </c>
      <c r="H1612" s="12" t="s">
        <v>565</v>
      </c>
      <c r="I1612" s="12" t="s">
        <v>55</v>
      </c>
      <c r="J1612" s="12" t="s">
        <v>55</v>
      </c>
      <c r="K1612" s="12" t="s">
        <v>56</v>
      </c>
      <c r="L1612" s="13">
        <v>42.4</v>
      </c>
      <c r="M1612" s="13">
        <v>25</v>
      </c>
      <c r="N1612" s="13">
        <v>1.696</v>
      </c>
      <c r="O1612" s="13"/>
      <c r="P1612" s="13">
        <v>24</v>
      </c>
      <c r="Q1612" s="13">
        <v>0</v>
      </c>
      <c r="R1612" s="14">
        <v>600</v>
      </c>
      <c r="S1612" s="15">
        <v>0</v>
      </c>
      <c r="T1612" s="15">
        <v>0</v>
      </c>
      <c r="U1612" s="15">
        <v>600</v>
      </c>
      <c r="V1612" s="15">
        <v>0</v>
      </c>
      <c r="W1612" s="15">
        <v>600</v>
      </c>
      <c r="X1612" s="15">
        <v>0</v>
      </c>
      <c r="Y1612" s="16">
        <v>0</v>
      </c>
      <c r="Z1612" s="67" t="s">
        <v>26</v>
      </c>
      <c r="AA1612" s="12" t="s">
        <v>31</v>
      </c>
    </row>
    <row r="1613" spans="1:27" x14ac:dyDescent="0.25">
      <c r="A1613" s="10">
        <v>45682</v>
      </c>
      <c r="B1613" s="11" t="s">
        <v>3557</v>
      </c>
      <c r="C1613" s="11" t="s">
        <v>3558</v>
      </c>
      <c r="D1613" s="11" t="s">
        <v>26</v>
      </c>
      <c r="E1613" s="11" t="s">
        <v>240</v>
      </c>
      <c r="F1613" s="11" t="s">
        <v>26</v>
      </c>
      <c r="G1613" s="11" t="s">
        <v>26</v>
      </c>
      <c r="H1613" s="12" t="s">
        <v>4422</v>
      </c>
      <c r="I1613" s="12" t="s">
        <v>27</v>
      </c>
      <c r="J1613" s="12" t="s">
        <v>33</v>
      </c>
      <c r="K1613" s="12" t="s">
        <v>34</v>
      </c>
      <c r="L1613" s="13">
        <v>42.86</v>
      </c>
      <c r="M1613" s="13">
        <v>29</v>
      </c>
      <c r="N1613" s="13">
        <v>1.477931034482759</v>
      </c>
      <c r="O1613" s="13">
        <v>85</v>
      </c>
      <c r="P1613" s="13" t="s">
        <v>30</v>
      </c>
      <c r="Q1613" s="13">
        <v>0</v>
      </c>
      <c r="R1613" s="14">
        <v>3643.1</v>
      </c>
      <c r="S1613" s="15">
        <v>38</v>
      </c>
      <c r="T1613" s="15">
        <v>1628.68</v>
      </c>
      <c r="U1613" s="15">
        <v>2014.4199999999998</v>
      </c>
      <c r="V1613" s="15">
        <v>2014.4199999999998</v>
      </c>
      <c r="W1613" s="15">
        <v>0</v>
      </c>
      <c r="X1613" s="15">
        <v>1585.82</v>
      </c>
      <c r="Y1613" s="16">
        <v>42.860000000000127</v>
      </c>
      <c r="Z1613" s="67" t="s">
        <v>41</v>
      </c>
      <c r="AA1613" s="12" t="s">
        <v>78</v>
      </c>
    </row>
    <row r="1614" spans="1:27" x14ac:dyDescent="0.25">
      <c r="A1614" s="10">
        <v>45682</v>
      </c>
      <c r="B1614" s="11" t="s">
        <v>3559</v>
      </c>
      <c r="C1614" s="11" t="s">
        <v>3560</v>
      </c>
      <c r="D1614" s="11" t="s">
        <v>26</v>
      </c>
      <c r="E1614" s="11" t="s">
        <v>40</v>
      </c>
      <c r="F1614" s="11" t="s">
        <v>26</v>
      </c>
      <c r="G1614" s="11">
        <v>3713</v>
      </c>
      <c r="H1614" s="12" t="s">
        <v>41</v>
      </c>
      <c r="I1614" s="12" t="s">
        <v>55</v>
      </c>
      <c r="J1614" s="12" t="s">
        <v>55</v>
      </c>
      <c r="K1614" s="12" t="s">
        <v>56</v>
      </c>
      <c r="L1614" s="13">
        <v>38.840000000000003</v>
      </c>
      <c r="M1614" s="13">
        <v>25</v>
      </c>
      <c r="N1614" s="13">
        <v>1.5536000000000001</v>
      </c>
      <c r="O1614" s="13" t="s">
        <v>30</v>
      </c>
      <c r="P1614" s="13">
        <v>24</v>
      </c>
      <c r="Q1614" s="13">
        <v>0</v>
      </c>
      <c r="R1614" s="15">
        <v>600</v>
      </c>
      <c r="S1614" s="15">
        <v>0</v>
      </c>
      <c r="T1614" s="15">
        <v>0</v>
      </c>
      <c r="U1614" s="15">
        <v>600</v>
      </c>
      <c r="V1614" s="15">
        <v>0</v>
      </c>
      <c r="W1614" s="15">
        <v>600</v>
      </c>
      <c r="X1614" s="15">
        <v>0</v>
      </c>
      <c r="Y1614" s="16">
        <v>0</v>
      </c>
      <c r="Z1614" s="67" t="s">
        <v>26</v>
      </c>
      <c r="AA1614" s="12" t="s">
        <v>31</v>
      </c>
    </row>
    <row r="1615" spans="1:27" x14ac:dyDescent="0.25">
      <c r="A1615" s="10">
        <v>45682</v>
      </c>
      <c r="B1615" s="11" t="s">
        <v>3561</v>
      </c>
      <c r="C1615" s="11" t="s">
        <v>3562</v>
      </c>
      <c r="D1615" s="11" t="s">
        <v>26</v>
      </c>
      <c r="E1615" s="11" t="s">
        <v>60</v>
      </c>
      <c r="F1615" s="11" t="s">
        <v>26</v>
      </c>
      <c r="G1615" s="11" t="s">
        <v>35</v>
      </c>
      <c r="H1615" s="12" t="s">
        <v>36</v>
      </c>
      <c r="I1615" s="12" t="s">
        <v>27</v>
      </c>
      <c r="J1615" s="12" t="s">
        <v>33</v>
      </c>
      <c r="K1615" s="12" t="s">
        <v>34</v>
      </c>
      <c r="L1615" s="13">
        <v>8.44</v>
      </c>
      <c r="M1615" s="13">
        <v>5</v>
      </c>
      <c r="N1615" s="13">
        <v>1.6879999999999999</v>
      </c>
      <c r="O1615" s="13">
        <v>50</v>
      </c>
      <c r="P1615" s="13" t="s">
        <v>30</v>
      </c>
      <c r="Q1615" s="13">
        <v>0</v>
      </c>
      <c r="R1615" s="14">
        <v>422</v>
      </c>
      <c r="S1615" s="15">
        <v>0</v>
      </c>
      <c r="T1615" s="15">
        <v>0</v>
      </c>
      <c r="U1615" s="15">
        <v>422</v>
      </c>
      <c r="V1615" s="15">
        <v>0</v>
      </c>
      <c r="W1615" s="15">
        <v>422</v>
      </c>
      <c r="X1615" s="15">
        <v>0</v>
      </c>
      <c r="Y1615" s="16">
        <v>0</v>
      </c>
      <c r="Z1615" s="67" t="s">
        <v>26</v>
      </c>
      <c r="AA1615" s="12" t="s">
        <v>31</v>
      </c>
    </row>
    <row r="1616" spans="1:27" x14ac:dyDescent="0.25">
      <c r="A1616" s="10">
        <v>45682</v>
      </c>
      <c r="B1616" s="11" t="s">
        <v>3563</v>
      </c>
      <c r="C1616" s="11" t="s">
        <v>3564</v>
      </c>
      <c r="D1616" s="11" t="s">
        <v>26</v>
      </c>
      <c r="E1616" s="11" t="s">
        <v>2109</v>
      </c>
      <c r="F1616" s="11" t="s">
        <v>26</v>
      </c>
      <c r="G1616" s="11" t="s">
        <v>26</v>
      </c>
      <c r="H1616" s="12" t="s">
        <v>4422</v>
      </c>
      <c r="I1616" s="12" t="s">
        <v>27</v>
      </c>
      <c r="J1616" s="12" t="s">
        <v>33</v>
      </c>
      <c r="K1616" s="12" t="s">
        <v>34</v>
      </c>
      <c r="L1616" s="13">
        <v>43.82</v>
      </c>
      <c r="M1616" s="13">
        <v>30</v>
      </c>
      <c r="N1616" s="13">
        <v>1.460666666666667</v>
      </c>
      <c r="O1616" s="13">
        <v>85</v>
      </c>
      <c r="P1616" s="13" t="s">
        <v>30</v>
      </c>
      <c r="Q1616" s="13">
        <v>0</v>
      </c>
      <c r="R1616" s="14">
        <v>3724.7</v>
      </c>
      <c r="S1616" s="15">
        <v>38</v>
      </c>
      <c r="T1616" s="15">
        <v>1665.16</v>
      </c>
      <c r="U1616" s="15">
        <v>2059.54</v>
      </c>
      <c r="V1616" s="15">
        <v>2059.54</v>
      </c>
      <c r="W1616" s="15">
        <v>0</v>
      </c>
      <c r="X1616" s="15">
        <v>1577.52</v>
      </c>
      <c r="Y1616" s="16">
        <v>87.6400000000001</v>
      </c>
      <c r="Z1616" s="67" t="s">
        <v>140</v>
      </c>
      <c r="AA1616" s="12" t="s">
        <v>78</v>
      </c>
    </row>
    <row r="1617" spans="1:27" x14ac:dyDescent="0.25">
      <c r="A1617" s="10">
        <v>45682</v>
      </c>
      <c r="B1617" s="11" t="s">
        <v>3565</v>
      </c>
      <c r="C1617" s="11" t="s">
        <v>3566</v>
      </c>
      <c r="D1617" s="11" t="s">
        <v>26</v>
      </c>
      <c r="E1617" s="11" t="s">
        <v>520</v>
      </c>
      <c r="F1617" s="11" t="s">
        <v>26</v>
      </c>
      <c r="G1617" s="11" t="s">
        <v>26</v>
      </c>
      <c r="H1617" s="12" t="s">
        <v>4422</v>
      </c>
      <c r="I1617" s="12" t="s">
        <v>27</v>
      </c>
      <c r="J1617" s="12" t="s">
        <v>33</v>
      </c>
      <c r="K1617" s="12" t="s">
        <v>34</v>
      </c>
      <c r="L1617" s="13">
        <v>43.64</v>
      </c>
      <c r="M1617" s="13">
        <v>30</v>
      </c>
      <c r="N1617" s="13">
        <v>1.454666666666667</v>
      </c>
      <c r="O1617" s="13">
        <v>85</v>
      </c>
      <c r="P1617" s="13" t="s">
        <v>30</v>
      </c>
      <c r="Q1617" s="13">
        <v>0</v>
      </c>
      <c r="R1617" s="14">
        <v>3709.4</v>
      </c>
      <c r="S1617" s="15">
        <v>38</v>
      </c>
      <c r="T1617" s="15">
        <v>1658.32</v>
      </c>
      <c r="U1617" s="15">
        <v>2051.08</v>
      </c>
      <c r="V1617" s="15">
        <v>2051.08</v>
      </c>
      <c r="W1617" s="15">
        <v>0</v>
      </c>
      <c r="X1617" s="15">
        <v>1571.04</v>
      </c>
      <c r="Y1617" s="16">
        <v>87.279999999999973</v>
      </c>
      <c r="Z1617" s="67" t="s">
        <v>140</v>
      </c>
      <c r="AA1617" s="12" t="s">
        <v>78</v>
      </c>
    </row>
    <row r="1618" spans="1:27" x14ac:dyDescent="0.25">
      <c r="A1618" s="10">
        <v>45682</v>
      </c>
      <c r="B1618" s="11" t="s">
        <v>3567</v>
      </c>
      <c r="C1618" s="11" t="s">
        <v>3568</v>
      </c>
      <c r="D1618" s="11" t="s">
        <v>26</v>
      </c>
      <c r="E1618" s="11" t="s">
        <v>589</v>
      </c>
      <c r="F1618" s="11" t="s">
        <v>26</v>
      </c>
      <c r="G1618" s="11">
        <v>4596</v>
      </c>
      <c r="H1618" s="12" t="s">
        <v>4423</v>
      </c>
      <c r="I1618" s="12" t="s">
        <v>27</v>
      </c>
      <c r="J1618" s="12" t="s">
        <v>42</v>
      </c>
      <c r="K1618" s="12" t="s">
        <v>43</v>
      </c>
      <c r="L1618" s="13">
        <v>40.94</v>
      </c>
      <c r="M1618" s="13">
        <v>25</v>
      </c>
      <c r="N1618" s="13">
        <v>1.6375999999999999</v>
      </c>
      <c r="O1618" s="13">
        <v>42</v>
      </c>
      <c r="P1618" s="13" t="s">
        <v>30</v>
      </c>
      <c r="Q1618" s="13">
        <v>0</v>
      </c>
      <c r="R1618" s="14">
        <v>1719.48</v>
      </c>
      <c r="S1618" s="15">
        <v>0</v>
      </c>
      <c r="T1618" s="15">
        <v>0</v>
      </c>
      <c r="U1618" s="15">
        <v>1719.48</v>
      </c>
      <c r="V1618" s="15">
        <v>1719.48</v>
      </c>
      <c r="W1618" s="15">
        <v>0</v>
      </c>
      <c r="X1618" s="16">
        <v>0</v>
      </c>
      <c r="Y1618" s="16">
        <v>0</v>
      </c>
      <c r="Z1618" s="67" t="s">
        <v>26</v>
      </c>
      <c r="AA1618" s="12" t="s">
        <v>31</v>
      </c>
    </row>
    <row r="1619" spans="1:27" x14ac:dyDescent="0.25">
      <c r="A1619" s="10">
        <v>45682</v>
      </c>
      <c r="B1619" s="11" t="s">
        <v>3569</v>
      </c>
      <c r="C1619" s="11" t="s">
        <v>3570</v>
      </c>
      <c r="D1619" s="11" t="s">
        <v>26</v>
      </c>
      <c r="E1619" s="11" t="s">
        <v>61</v>
      </c>
      <c r="F1619" s="11" t="s">
        <v>26</v>
      </c>
      <c r="G1619" s="11" t="s">
        <v>35</v>
      </c>
      <c r="H1619" s="12" t="s">
        <v>36</v>
      </c>
      <c r="I1619" s="12" t="s">
        <v>27</v>
      </c>
      <c r="J1619" s="12" t="s">
        <v>42</v>
      </c>
      <c r="K1619" s="12" t="s">
        <v>43</v>
      </c>
      <c r="L1619" s="13">
        <v>9.8800000000000008</v>
      </c>
      <c r="M1619" s="13">
        <v>6</v>
      </c>
      <c r="N1619" s="13">
        <v>1.6466666666666669</v>
      </c>
      <c r="O1619" s="13">
        <v>45</v>
      </c>
      <c r="P1619" s="13" t="s">
        <v>30</v>
      </c>
      <c r="Q1619" s="13">
        <v>0</v>
      </c>
      <c r="R1619" s="14">
        <v>444.6</v>
      </c>
      <c r="S1619" s="15">
        <v>0</v>
      </c>
      <c r="T1619" s="15">
        <v>0</v>
      </c>
      <c r="U1619" s="15">
        <v>444.6</v>
      </c>
      <c r="V1619" s="15">
        <v>0</v>
      </c>
      <c r="W1619" s="15">
        <v>444.6</v>
      </c>
      <c r="X1619" s="16">
        <v>0</v>
      </c>
      <c r="Y1619" s="16">
        <v>0</v>
      </c>
      <c r="Z1619" s="67" t="s">
        <v>26</v>
      </c>
      <c r="AA1619" s="12" t="s">
        <v>31</v>
      </c>
    </row>
    <row r="1620" spans="1:27" x14ac:dyDescent="0.25">
      <c r="A1620" s="10">
        <v>45682</v>
      </c>
      <c r="B1620" s="11" t="s">
        <v>690</v>
      </c>
      <c r="C1620" s="11" t="s">
        <v>3571</v>
      </c>
      <c r="D1620" s="11" t="s">
        <v>26</v>
      </c>
      <c r="E1620" s="11" t="s">
        <v>63</v>
      </c>
      <c r="F1620" s="11" t="s">
        <v>26</v>
      </c>
      <c r="G1620" s="11">
        <v>10170</v>
      </c>
      <c r="H1620" s="12" t="s">
        <v>140</v>
      </c>
      <c r="I1620" s="12" t="s">
        <v>27</v>
      </c>
      <c r="J1620" s="12" t="s">
        <v>33</v>
      </c>
      <c r="K1620" s="12" t="s">
        <v>34</v>
      </c>
      <c r="L1620" s="13">
        <v>42.2</v>
      </c>
      <c r="M1620" s="13">
        <v>29</v>
      </c>
      <c r="N1620" s="13">
        <v>1.455172413793103</v>
      </c>
      <c r="O1620" s="13">
        <v>40</v>
      </c>
      <c r="P1620" s="13"/>
      <c r="Q1620" s="13">
        <v>0</v>
      </c>
      <c r="R1620" s="15">
        <v>1688</v>
      </c>
      <c r="S1620" s="15">
        <v>0</v>
      </c>
      <c r="T1620" s="15">
        <v>0</v>
      </c>
      <c r="U1620" s="15">
        <v>1688</v>
      </c>
      <c r="V1620" s="15">
        <v>0</v>
      </c>
      <c r="W1620" s="15">
        <v>1688</v>
      </c>
      <c r="X1620" s="15">
        <v>0</v>
      </c>
      <c r="Y1620" s="16">
        <v>0</v>
      </c>
      <c r="Z1620" s="67" t="s">
        <v>26</v>
      </c>
      <c r="AA1620" s="12" t="s">
        <v>31</v>
      </c>
    </row>
    <row r="1621" spans="1:27" x14ac:dyDescent="0.25">
      <c r="A1621" s="10">
        <v>45682</v>
      </c>
      <c r="B1621" s="11" t="s">
        <v>3572</v>
      </c>
      <c r="C1621" s="11" t="s">
        <v>3573</v>
      </c>
      <c r="D1621" s="11" t="s">
        <v>26</v>
      </c>
      <c r="E1621" s="11" t="s">
        <v>593</v>
      </c>
      <c r="F1621" s="11" t="s">
        <v>26</v>
      </c>
      <c r="G1621" s="11">
        <v>44303</v>
      </c>
      <c r="H1621" s="12" t="s">
        <v>4423</v>
      </c>
      <c r="I1621" s="12" t="s">
        <v>27</v>
      </c>
      <c r="J1621" s="12" t="s">
        <v>33</v>
      </c>
      <c r="K1621" s="12" t="s">
        <v>34</v>
      </c>
      <c r="L1621" s="13">
        <v>34.18</v>
      </c>
      <c r="M1621" s="13">
        <v>25</v>
      </c>
      <c r="N1621" s="13">
        <v>1.3672</v>
      </c>
      <c r="O1621" s="13">
        <v>45</v>
      </c>
      <c r="P1621" s="13" t="s">
        <v>30</v>
      </c>
      <c r="Q1621" s="13">
        <v>0</v>
      </c>
      <c r="R1621" s="15">
        <v>1538.1</v>
      </c>
      <c r="S1621" s="15">
        <v>0</v>
      </c>
      <c r="T1621" s="15">
        <v>0</v>
      </c>
      <c r="U1621" s="15">
        <v>1538.1</v>
      </c>
      <c r="V1621" s="15">
        <v>1538.1</v>
      </c>
      <c r="W1621" s="15">
        <v>0</v>
      </c>
      <c r="X1621" s="15">
        <v>0</v>
      </c>
      <c r="Y1621" s="16">
        <v>0</v>
      </c>
      <c r="Z1621" s="67" t="s">
        <v>26</v>
      </c>
      <c r="AA1621" s="12" t="s">
        <v>31</v>
      </c>
    </row>
    <row r="1622" spans="1:27" x14ac:dyDescent="0.25">
      <c r="A1622" s="10">
        <v>45682</v>
      </c>
      <c r="B1622" s="11" t="s">
        <v>3574</v>
      </c>
      <c r="C1622" s="11" t="s">
        <v>3575</v>
      </c>
      <c r="D1622" s="11" t="s">
        <v>26</v>
      </c>
      <c r="E1622" s="11" t="s">
        <v>90</v>
      </c>
      <c r="F1622" s="11" t="s">
        <v>26</v>
      </c>
      <c r="G1622" s="11">
        <v>60864</v>
      </c>
      <c r="H1622" s="12" t="s">
        <v>4423</v>
      </c>
      <c r="I1622" s="12" t="s">
        <v>27</v>
      </c>
      <c r="J1622" s="12" t="s">
        <v>42</v>
      </c>
      <c r="K1622" s="12" t="s">
        <v>43</v>
      </c>
      <c r="L1622" s="13">
        <v>40.96</v>
      </c>
      <c r="M1622" s="13">
        <v>25</v>
      </c>
      <c r="N1622" s="13">
        <v>1.6384000000000001</v>
      </c>
      <c r="O1622" s="13">
        <v>42</v>
      </c>
      <c r="P1622" s="13" t="s">
        <v>30</v>
      </c>
      <c r="Q1622" s="13">
        <v>0</v>
      </c>
      <c r="R1622" s="14">
        <v>1720.32</v>
      </c>
      <c r="S1622" s="15">
        <v>0</v>
      </c>
      <c r="T1622" s="15">
        <v>0</v>
      </c>
      <c r="U1622" s="15">
        <v>1720.32</v>
      </c>
      <c r="V1622" s="15">
        <v>1720.32</v>
      </c>
      <c r="W1622" s="15">
        <v>0</v>
      </c>
      <c r="X1622" s="15">
        <v>0</v>
      </c>
      <c r="Y1622" s="16">
        <v>0</v>
      </c>
      <c r="Z1622" s="67" t="s">
        <v>26</v>
      </c>
      <c r="AA1622" s="12" t="s">
        <v>31</v>
      </c>
    </row>
    <row r="1623" spans="1:27" x14ac:dyDescent="0.25">
      <c r="A1623" s="10">
        <v>45682</v>
      </c>
      <c r="B1623" s="11" t="s">
        <v>3576</v>
      </c>
      <c r="C1623" s="11" t="s">
        <v>3577</v>
      </c>
      <c r="D1623" s="11" t="s">
        <v>26</v>
      </c>
      <c r="E1623" s="11" t="s">
        <v>230</v>
      </c>
      <c r="F1623" s="11" t="s">
        <v>26</v>
      </c>
      <c r="G1623" s="11" t="s">
        <v>26</v>
      </c>
      <c r="H1623" s="12" t="s">
        <v>4422</v>
      </c>
      <c r="I1623" s="12" t="s">
        <v>27</v>
      </c>
      <c r="J1623" s="12" t="s">
        <v>33</v>
      </c>
      <c r="K1623" s="12" t="s">
        <v>34</v>
      </c>
      <c r="L1623" s="13">
        <v>42.74</v>
      </c>
      <c r="M1623" s="13">
        <v>29</v>
      </c>
      <c r="N1623" s="13">
        <v>1.4737931034482761</v>
      </c>
      <c r="O1623" s="13">
        <v>85</v>
      </c>
      <c r="P1623" s="13" t="s">
        <v>30</v>
      </c>
      <c r="Q1623" s="13">
        <v>0</v>
      </c>
      <c r="R1623" s="14">
        <v>3632.9</v>
      </c>
      <c r="S1623" s="15">
        <v>38</v>
      </c>
      <c r="T1623" s="15">
        <v>1624.1200000000001</v>
      </c>
      <c r="U1623" s="15">
        <v>2008.78</v>
      </c>
      <c r="V1623" s="15">
        <v>2008.78</v>
      </c>
      <c r="W1623" s="15">
        <v>0</v>
      </c>
      <c r="X1623" s="15">
        <v>1538.64</v>
      </c>
      <c r="Y1623" s="16">
        <v>85.480000000000018</v>
      </c>
      <c r="Z1623" s="67" t="s">
        <v>565</v>
      </c>
      <c r="AA1623" s="12" t="s">
        <v>78</v>
      </c>
    </row>
    <row r="1624" spans="1:27" x14ac:dyDescent="0.25">
      <c r="A1624" s="10">
        <v>45682</v>
      </c>
      <c r="B1624" s="11" t="s">
        <v>685</v>
      </c>
      <c r="C1624" s="11" t="s">
        <v>3578</v>
      </c>
      <c r="D1624" s="11" t="s">
        <v>26</v>
      </c>
      <c r="E1624" s="11" t="s">
        <v>77</v>
      </c>
      <c r="F1624" s="11" t="s">
        <v>26</v>
      </c>
      <c r="G1624" s="11" t="s">
        <v>185</v>
      </c>
      <c r="H1624" s="12" t="s">
        <v>4449</v>
      </c>
      <c r="I1624" s="12" t="s">
        <v>55</v>
      </c>
      <c r="J1624" s="12" t="s">
        <v>55</v>
      </c>
      <c r="K1624" s="12" t="s">
        <v>56</v>
      </c>
      <c r="L1624" s="13">
        <v>38</v>
      </c>
      <c r="M1624" s="13">
        <v>25</v>
      </c>
      <c r="N1624" s="13">
        <v>1.52</v>
      </c>
      <c r="O1624" s="13">
        <v>15</v>
      </c>
      <c r="P1624" s="13" t="s">
        <v>30</v>
      </c>
      <c r="Q1624" s="13">
        <v>0</v>
      </c>
      <c r="R1624" s="15">
        <v>570</v>
      </c>
      <c r="S1624" s="15">
        <v>0</v>
      </c>
      <c r="T1624" s="15">
        <v>0</v>
      </c>
      <c r="U1624" s="15">
        <v>570</v>
      </c>
      <c r="V1624" s="15">
        <v>570</v>
      </c>
      <c r="W1624" s="15">
        <v>0</v>
      </c>
      <c r="X1624" s="15">
        <v>0</v>
      </c>
      <c r="Y1624" s="16">
        <v>0</v>
      </c>
      <c r="Z1624" s="67" t="s">
        <v>26</v>
      </c>
      <c r="AA1624" s="12" t="s">
        <v>31</v>
      </c>
    </row>
    <row r="1625" spans="1:27" x14ac:dyDescent="0.25">
      <c r="A1625" s="10">
        <v>45682</v>
      </c>
      <c r="B1625" s="11" t="s">
        <v>3579</v>
      </c>
      <c r="C1625" s="11" t="s">
        <v>3580</v>
      </c>
      <c r="D1625" s="11" t="s">
        <v>26</v>
      </c>
      <c r="E1625" s="11" t="s">
        <v>59</v>
      </c>
      <c r="F1625" s="11" t="s">
        <v>26</v>
      </c>
      <c r="G1625" s="11">
        <v>112355</v>
      </c>
      <c r="H1625" s="12" t="s">
        <v>4446</v>
      </c>
      <c r="I1625" s="12" t="s">
        <v>27</v>
      </c>
      <c r="J1625" s="12" t="s">
        <v>33</v>
      </c>
      <c r="K1625" s="12" t="s">
        <v>34</v>
      </c>
      <c r="L1625" s="13">
        <v>35.119999999999997</v>
      </c>
      <c r="M1625" s="13">
        <v>25</v>
      </c>
      <c r="N1625" s="13">
        <v>1.4048</v>
      </c>
      <c r="O1625" s="13">
        <v>44</v>
      </c>
      <c r="P1625" s="13" t="s">
        <v>30</v>
      </c>
      <c r="Q1625" s="13">
        <v>0</v>
      </c>
      <c r="R1625" s="14">
        <v>1545.28</v>
      </c>
      <c r="S1625" s="15">
        <v>0</v>
      </c>
      <c r="T1625" s="15">
        <v>0</v>
      </c>
      <c r="U1625" s="15">
        <v>1545.28</v>
      </c>
      <c r="V1625" s="15">
        <v>1545.28</v>
      </c>
      <c r="W1625" s="15">
        <v>0</v>
      </c>
      <c r="X1625" s="15">
        <v>0</v>
      </c>
      <c r="Y1625" s="16">
        <v>0</v>
      </c>
      <c r="Z1625" s="67" t="s">
        <v>26</v>
      </c>
      <c r="AA1625" s="12" t="s">
        <v>31</v>
      </c>
    </row>
    <row r="1626" spans="1:27" x14ac:dyDescent="0.25">
      <c r="A1626" s="10">
        <v>45682</v>
      </c>
      <c r="B1626" s="11" t="s">
        <v>3581</v>
      </c>
      <c r="C1626" s="11" t="s">
        <v>3582</v>
      </c>
      <c r="D1626" s="11" t="s">
        <v>26</v>
      </c>
      <c r="E1626" s="11" t="s">
        <v>570</v>
      </c>
      <c r="F1626" s="11" t="s">
        <v>26</v>
      </c>
      <c r="G1626" s="11">
        <v>10336</v>
      </c>
      <c r="H1626" s="12" t="s">
        <v>140</v>
      </c>
      <c r="I1626" s="12" t="s">
        <v>27</v>
      </c>
      <c r="J1626" s="12" t="s">
        <v>47</v>
      </c>
      <c r="K1626" s="12" t="s">
        <v>48</v>
      </c>
      <c r="L1626" s="13">
        <v>42.28</v>
      </c>
      <c r="M1626" s="13">
        <v>29</v>
      </c>
      <c r="N1626" s="13">
        <v>1.457931034482759</v>
      </c>
      <c r="O1626" s="13">
        <v>40</v>
      </c>
      <c r="P1626" s="13"/>
      <c r="Q1626" s="13">
        <v>0</v>
      </c>
      <c r="R1626" s="14">
        <v>1691.2</v>
      </c>
      <c r="S1626" s="15">
        <v>0</v>
      </c>
      <c r="T1626" s="15">
        <v>0</v>
      </c>
      <c r="U1626" s="15">
        <v>1691.2</v>
      </c>
      <c r="V1626" s="15">
        <v>0</v>
      </c>
      <c r="W1626" s="15">
        <v>1691.2</v>
      </c>
      <c r="X1626" s="15">
        <v>0</v>
      </c>
      <c r="Y1626" s="16">
        <v>0</v>
      </c>
      <c r="Z1626" s="67" t="s">
        <v>26</v>
      </c>
      <c r="AA1626" s="12" t="s">
        <v>31</v>
      </c>
    </row>
    <row r="1627" spans="1:27" x14ac:dyDescent="0.25">
      <c r="A1627" s="10">
        <v>45682</v>
      </c>
      <c r="B1627" s="11" t="s">
        <v>347</v>
      </c>
      <c r="C1627" s="11" t="s">
        <v>3583</v>
      </c>
      <c r="D1627" s="11" t="s">
        <v>26</v>
      </c>
      <c r="E1627" s="11" t="s">
        <v>69</v>
      </c>
      <c r="F1627" s="11" t="s">
        <v>26</v>
      </c>
      <c r="G1627" s="11">
        <v>4699</v>
      </c>
      <c r="H1627" s="12" t="s">
        <v>70</v>
      </c>
      <c r="I1627" s="12" t="s">
        <v>27</v>
      </c>
      <c r="J1627" s="12" t="s">
        <v>33</v>
      </c>
      <c r="K1627" s="12" t="s">
        <v>34</v>
      </c>
      <c r="L1627" s="13">
        <v>38.76</v>
      </c>
      <c r="M1627" s="13">
        <v>25</v>
      </c>
      <c r="N1627" s="13">
        <v>1.5504</v>
      </c>
      <c r="O1627" s="13" t="s">
        <v>30</v>
      </c>
      <c r="P1627" s="13">
        <v>60</v>
      </c>
      <c r="Q1627" s="13">
        <v>0</v>
      </c>
      <c r="R1627" s="15">
        <v>1500</v>
      </c>
      <c r="S1627" s="15">
        <v>0</v>
      </c>
      <c r="T1627" s="15">
        <v>0</v>
      </c>
      <c r="U1627" s="15">
        <v>1500</v>
      </c>
      <c r="V1627" s="15">
        <v>0</v>
      </c>
      <c r="W1627" s="15">
        <v>1500</v>
      </c>
      <c r="X1627" s="15">
        <v>0</v>
      </c>
      <c r="Y1627" s="16">
        <v>0</v>
      </c>
      <c r="Z1627" s="67" t="s">
        <v>26</v>
      </c>
      <c r="AA1627" s="12" t="s">
        <v>31</v>
      </c>
    </row>
    <row r="1628" spans="1:27" x14ac:dyDescent="0.25">
      <c r="A1628" s="10">
        <v>45682</v>
      </c>
      <c r="B1628" s="11" t="s">
        <v>3584</v>
      </c>
      <c r="C1628" s="11" t="s">
        <v>3585</v>
      </c>
      <c r="D1628" s="11" t="s">
        <v>26</v>
      </c>
      <c r="E1628" s="11" t="s">
        <v>3586</v>
      </c>
      <c r="F1628" s="11" t="s">
        <v>26</v>
      </c>
      <c r="G1628" s="11" t="s">
        <v>35</v>
      </c>
      <c r="H1628" s="12" t="s">
        <v>36</v>
      </c>
      <c r="I1628" s="12" t="s">
        <v>27</v>
      </c>
      <c r="J1628" s="12" t="s">
        <v>42</v>
      </c>
      <c r="K1628" s="12" t="s">
        <v>43</v>
      </c>
      <c r="L1628" s="13">
        <v>11.44</v>
      </c>
      <c r="M1628" s="13">
        <v>7</v>
      </c>
      <c r="N1628" s="13">
        <v>1.6342857142857139</v>
      </c>
      <c r="O1628" s="13">
        <v>45</v>
      </c>
      <c r="P1628" s="13" t="s">
        <v>30</v>
      </c>
      <c r="Q1628" s="13">
        <v>0</v>
      </c>
      <c r="R1628" s="14">
        <v>514.79999999999995</v>
      </c>
      <c r="S1628" s="15">
        <v>0</v>
      </c>
      <c r="T1628" s="15">
        <v>0</v>
      </c>
      <c r="U1628" s="15">
        <v>514.79999999999995</v>
      </c>
      <c r="V1628" s="15">
        <v>0</v>
      </c>
      <c r="W1628" s="15">
        <v>514.79999999999995</v>
      </c>
      <c r="X1628" s="15">
        <v>0</v>
      </c>
      <c r="Y1628" s="16">
        <v>0</v>
      </c>
      <c r="Z1628" s="67" t="s">
        <v>26</v>
      </c>
      <c r="AA1628" s="12" t="s">
        <v>31</v>
      </c>
    </row>
    <row r="1629" spans="1:27" x14ac:dyDescent="0.25">
      <c r="A1629" s="10">
        <v>45682</v>
      </c>
      <c r="B1629" s="11" t="s">
        <v>399</v>
      </c>
      <c r="C1629" s="11" t="s">
        <v>3587</v>
      </c>
      <c r="D1629" s="11" t="s">
        <v>26</v>
      </c>
      <c r="E1629" s="11" t="s">
        <v>1200</v>
      </c>
      <c r="F1629" s="11" t="s">
        <v>26</v>
      </c>
      <c r="G1629" s="11">
        <v>556</v>
      </c>
      <c r="H1629" s="12" t="s">
        <v>163</v>
      </c>
      <c r="I1629" s="12" t="s">
        <v>55</v>
      </c>
      <c r="J1629" s="12" t="s">
        <v>55</v>
      </c>
      <c r="K1629" s="12" t="s">
        <v>56</v>
      </c>
      <c r="L1629" s="13">
        <v>39.72</v>
      </c>
      <c r="M1629" s="13">
        <v>25</v>
      </c>
      <c r="N1629" s="13">
        <v>1.5888</v>
      </c>
      <c r="O1629" s="13" t="s">
        <v>30</v>
      </c>
      <c r="P1629" s="13">
        <v>22</v>
      </c>
      <c r="Q1629" s="13">
        <v>0</v>
      </c>
      <c r="R1629" s="14">
        <v>550</v>
      </c>
      <c r="S1629" s="15">
        <v>0</v>
      </c>
      <c r="T1629" s="15">
        <v>0</v>
      </c>
      <c r="U1629" s="15">
        <v>550</v>
      </c>
      <c r="V1629" s="15">
        <v>0</v>
      </c>
      <c r="W1629" s="15">
        <v>550</v>
      </c>
      <c r="X1629" s="15">
        <v>0</v>
      </c>
      <c r="Y1629" s="16">
        <v>0</v>
      </c>
      <c r="Z1629" s="67" t="s">
        <v>26</v>
      </c>
      <c r="AA1629" s="12" t="s">
        <v>31</v>
      </c>
    </row>
    <row r="1630" spans="1:27" x14ac:dyDescent="0.25">
      <c r="A1630" s="10">
        <v>45682</v>
      </c>
      <c r="B1630" s="11" t="s">
        <v>307</v>
      </c>
      <c r="C1630" s="11" t="s">
        <v>3588</v>
      </c>
      <c r="D1630" s="11" t="s">
        <v>26</v>
      </c>
      <c r="E1630" s="11" t="s">
        <v>81</v>
      </c>
      <c r="F1630" s="11" t="s">
        <v>26</v>
      </c>
      <c r="G1630" s="11">
        <v>1207</v>
      </c>
      <c r="H1630" s="12" t="s">
        <v>141</v>
      </c>
      <c r="I1630" s="12" t="s">
        <v>27</v>
      </c>
      <c r="J1630" s="12" t="s">
        <v>33</v>
      </c>
      <c r="K1630" s="12" t="s">
        <v>34</v>
      </c>
      <c r="L1630" s="13">
        <v>41.48</v>
      </c>
      <c r="M1630" s="13">
        <v>28</v>
      </c>
      <c r="N1630" s="13">
        <v>1.4814285714285711</v>
      </c>
      <c r="O1630" s="13">
        <v>40</v>
      </c>
      <c r="P1630" s="13" t="s">
        <v>30</v>
      </c>
      <c r="Q1630" s="13">
        <v>0</v>
      </c>
      <c r="R1630" s="14">
        <v>1659.1999999999998</v>
      </c>
      <c r="S1630" s="15">
        <v>0</v>
      </c>
      <c r="T1630" s="15">
        <v>0</v>
      </c>
      <c r="U1630" s="15">
        <v>1659.1999999999998</v>
      </c>
      <c r="V1630" s="15">
        <v>0</v>
      </c>
      <c r="W1630" s="15">
        <v>1659.1999999999998</v>
      </c>
      <c r="X1630" s="15">
        <v>0</v>
      </c>
      <c r="Y1630" s="16">
        <v>0</v>
      </c>
      <c r="Z1630" s="67" t="s">
        <v>26</v>
      </c>
      <c r="AA1630" s="12" t="s">
        <v>31</v>
      </c>
    </row>
    <row r="1631" spans="1:27" x14ac:dyDescent="0.25">
      <c r="A1631" s="10">
        <v>45682</v>
      </c>
      <c r="B1631" s="11" t="s">
        <v>2776</v>
      </c>
      <c r="C1631" s="11" t="s">
        <v>3589</v>
      </c>
      <c r="D1631" s="11" t="s">
        <v>26</v>
      </c>
      <c r="E1631" s="11" t="s">
        <v>50</v>
      </c>
      <c r="F1631" s="11" t="s">
        <v>26</v>
      </c>
      <c r="G1631" s="11">
        <v>907</v>
      </c>
      <c r="H1631" s="12" t="s">
        <v>163</v>
      </c>
      <c r="I1631" s="12" t="s">
        <v>55</v>
      </c>
      <c r="J1631" s="12" t="s">
        <v>55</v>
      </c>
      <c r="K1631" s="12" t="s">
        <v>56</v>
      </c>
      <c r="L1631" s="13">
        <v>42.42</v>
      </c>
      <c r="M1631" s="13">
        <v>25</v>
      </c>
      <c r="N1631" s="13">
        <v>1.6968000000000001</v>
      </c>
      <c r="O1631" s="13" t="s">
        <v>30</v>
      </c>
      <c r="P1631" s="13">
        <v>22</v>
      </c>
      <c r="Q1631" s="13">
        <v>0</v>
      </c>
      <c r="R1631" s="14">
        <v>550</v>
      </c>
      <c r="S1631" s="15">
        <v>0</v>
      </c>
      <c r="T1631" s="15">
        <v>0</v>
      </c>
      <c r="U1631" s="15">
        <v>550</v>
      </c>
      <c r="V1631" s="15">
        <v>0</v>
      </c>
      <c r="W1631" s="15">
        <v>550</v>
      </c>
      <c r="X1631" s="15">
        <v>0</v>
      </c>
      <c r="Y1631" s="16">
        <v>0</v>
      </c>
      <c r="Z1631" s="67" t="s">
        <v>26</v>
      </c>
      <c r="AA1631" s="12" t="s">
        <v>31</v>
      </c>
    </row>
    <row r="1632" spans="1:27" x14ac:dyDescent="0.25">
      <c r="A1632" s="10">
        <v>45682</v>
      </c>
      <c r="B1632" s="11" t="s">
        <v>3590</v>
      </c>
      <c r="C1632" s="11" t="s">
        <v>3591</v>
      </c>
      <c r="D1632" s="11" t="s">
        <v>26</v>
      </c>
      <c r="E1632" s="11" t="s">
        <v>80</v>
      </c>
      <c r="F1632" s="11" t="s">
        <v>26</v>
      </c>
      <c r="G1632" s="11" t="s">
        <v>26</v>
      </c>
      <c r="H1632" s="12" t="s">
        <v>4422</v>
      </c>
      <c r="I1632" s="12" t="s">
        <v>27</v>
      </c>
      <c r="J1632" s="12" t="s">
        <v>47</v>
      </c>
      <c r="K1632" s="12" t="s">
        <v>48</v>
      </c>
      <c r="L1632" s="13">
        <v>41.48</v>
      </c>
      <c r="M1632" s="13">
        <v>28</v>
      </c>
      <c r="N1632" s="13">
        <v>1.4814285714285711</v>
      </c>
      <c r="O1632" s="13">
        <v>87</v>
      </c>
      <c r="P1632" s="13" t="s">
        <v>30</v>
      </c>
      <c r="Q1632" s="13">
        <v>0</v>
      </c>
      <c r="R1632" s="14">
        <v>3608.7599999999998</v>
      </c>
      <c r="S1632" s="15">
        <v>38</v>
      </c>
      <c r="T1632" s="15">
        <v>1576.2399999999998</v>
      </c>
      <c r="U1632" s="15">
        <v>2032.52</v>
      </c>
      <c r="V1632" s="15">
        <v>2032.52</v>
      </c>
      <c r="W1632" s="15"/>
      <c r="X1632" s="15">
        <v>1493.28</v>
      </c>
      <c r="Y1632" s="16">
        <v>82.959999999999809</v>
      </c>
      <c r="Z1632" s="67" t="s">
        <v>140</v>
      </c>
      <c r="AA1632" s="12" t="s">
        <v>78</v>
      </c>
    </row>
    <row r="1633" spans="1:27" x14ac:dyDescent="0.25">
      <c r="A1633" s="10">
        <v>45682</v>
      </c>
      <c r="B1633" s="11" t="s">
        <v>1105</v>
      </c>
      <c r="C1633" s="11" t="s">
        <v>3592</v>
      </c>
      <c r="D1633" s="11" t="s">
        <v>26</v>
      </c>
      <c r="E1633" s="11" t="s">
        <v>77</v>
      </c>
      <c r="F1633" s="11" t="s">
        <v>26</v>
      </c>
      <c r="G1633" s="11" t="s">
        <v>185</v>
      </c>
      <c r="H1633" s="12" t="s">
        <v>4449</v>
      </c>
      <c r="I1633" s="12" t="s">
        <v>55</v>
      </c>
      <c r="J1633" s="12" t="s">
        <v>55</v>
      </c>
      <c r="K1633" s="12" t="s">
        <v>56</v>
      </c>
      <c r="L1633" s="13">
        <v>39.24</v>
      </c>
      <c r="M1633" s="13">
        <v>25</v>
      </c>
      <c r="N1633" s="13">
        <v>1.5696000000000001</v>
      </c>
      <c r="O1633" s="13">
        <v>15</v>
      </c>
      <c r="P1633" s="13" t="s">
        <v>30</v>
      </c>
      <c r="Q1633" s="13">
        <v>0</v>
      </c>
      <c r="R1633" s="14">
        <v>588.6</v>
      </c>
      <c r="S1633" s="15">
        <v>0</v>
      </c>
      <c r="T1633" s="15">
        <v>0</v>
      </c>
      <c r="U1633" s="15">
        <v>588.6</v>
      </c>
      <c r="V1633" s="15">
        <v>588.6</v>
      </c>
      <c r="W1633" s="15">
        <v>0</v>
      </c>
      <c r="X1633" s="15">
        <v>0</v>
      </c>
      <c r="Y1633" s="16">
        <v>0</v>
      </c>
      <c r="Z1633" s="67" t="s">
        <v>26</v>
      </c>
      <c r="AA1633" s="12" t="s">
        <v>31</v>
      </c>
    </row>
    <row r="1634" spans="1:27" x14ac:dyDescent="0.25">
      <c r="A1634" s="10">
        <v>45682</v>
      </c>
      <c r="B1634" s="11" t="s">
        <v>3593</v>
      </c>
      <c r="C1634" s="11" t="s">
        <v>3594</v>
      </c>
      <c r="D1634" s="11" t="s">
        <v>26</v>
      </c>
      <c r="E1634" s="11" t="s">
        <v>322</v>
      </c>
      <c r="F1634" s="11" t="s">
        <v>26</v>
      </c>
      <c r="G1634" s="11">
        <v>112363</v>
      </c>
      <c r="H1634" s="12" t="s">
        <v>4446</v>
      </c>
      <c r="I1634" s="12" t="s">
        <v>27</v>
      </c>
      <c r="J1634" s="12" t="s">
        <v>33</v>
      </c>
      <c r="K1634" s="12" t="s">
        <v>34</v>
      </c>
      <c r="L1634" s="13">
        <v>35.68</v>
      </c>
      <c r="M1634" s="13">
        <v>25</v>
      </c>
      <c r="N1634" s="13">
        <v>1.4272</v>
      </c>
      <c r="O1634" s="13">
        <v>44</v>
      </c>
      <c r="P1634" s="13" t="s">
        <v>30</v>
      </c>
      <c r="Q1634" s="13">
        <v>0</v>
      </c>
      <c r="R1634" s="15">
        <v>1569.92</v>
      </c>
      <c r="S1634" s="15">
        <v>0</v>
      </c>
      <c r="T1634" s="15">
        <v>0</v>
      </c>
      <c r="U1634" s="15">
        <v>1569.92</v>
      </c>
      <c r="V1634" s="15">
        <v>1569.92</v>
      </c>
      <c r="W1634" s="15">
        <v>0</v>
      </c>
      <c r="X1634" s="15">
        <v>0</v>
      </c>
      <c r="Y1634" s="16">
        <v>0</v>
      </c>
      <c r="Z1634" s="67" t="s">
        <v>26</v>
      </c>
      <c r="AA1634" s="12" t="s">
        <v>31</v>
      </c>
    </row>
    <row r="1635" spans="1:27" x14ac:dyDescent="0.25">
      <c r="A1635" s="10">
        <v>45682</v>
      </c>
      <c r="B1635" s="11" t="s">
        <v>249</v>
      </c>
      <c r="C1635" s="11" t="s">
        <v>3595</v>
      </c>
      <c r="D1635" s="11" t="s">
        <v>26</v>
      </c>
      <c r="E1635" s="11" t="s">
        <v>539</v>
      </c>
      <c r="F1635" s="11" t="s">
        <v>26</v>
      </c>
      <c r="G1635" s="11">
        <v>3827</v>
      </c>
      <c r="H1635" s="12" t="s">
        <v>41</v>
      </c>
      <c r="I1635" s="12" t="s">
        <v>55</v>
      </c>
      <c r="J1635" s="12" t="s">
        <v>55</v>
      </c>
      <c r="K1635" s="12" t="s">
        <v>56</v>
      </c>
      <c r="L1635" s="13">
        <v>37.56</v>
      </c>
      <c r="M1635" s="13">
        <v>25</v>
      </c>
      <c r="N1635" s="13">
        <v>1.5024</v>
      </c>
      <c r="O1635" s="13" t="s">
        <v>30</v>
      </c>
      <c r="P1635" s="13">
        <v>24</v>
      </c>
      <c r="Q1635" s="13">
        <v>0</v>
      </c>
      <c r="R1635" s="14">
        <v>600</v>
      </c>
      <c r="S1635" s="15">
        <v>0</v>
      </c>
      <c r="T1635" s="15">
        <v>0</v>
      </c>
      <c r="U1635" s="15">
        <v>600</v>
      </c>
      <c r="V1635" s="15">
        <v>0</v>
      </c>
      <c r="W1635" s="15">
        <v>600</v>
      </c>
      <c r="X1635" s="15">
        <v>0</v>
      </c>
      <c r="Y1635" s="16">
        <v>0</v>
      </c>
      <c r="Z1635" s="67" t="s">
        <v>26</v>
      </c>
      <c r="AA1635" s="12" t="s">
        <v>31</v>
      </c>
    </row>
    <row r="1636" spans="1:27" x14ac:dyDescent="0.25">
      <c r="A1636" s="10">
        <v>45682</v>
      </c>
      <c r="B1636" s="11" t="s">
        <v>419</v>
      </c>
      <c r="C1636" s="11" t="s">
        <v>3596</v>
      </c>
      <c r="D1636" s="11" t="s">
        <v>26</v>
      </c>
      <c r="E1636" s="11" t="s">
        <v>552</v>
      </c>
      <c r="F1636" s="11" t="s">
        <v>26</v>
      </c>
      <c r="G1636" s="11">
        <v>69131</v>
      </c>
      <c r="H1636" s="12" t="s">
        <v>4423</v>
      </c>
      <c r="I1636" s="12" t="s">
        <v>27</v>
      </c>
      <c r="J1636" s="12" t="s">
        <v>33</v>
      </c>
      <c r="K1636" s="12" t="s">
        <v>34</v>
      </c>
      <c r="L1636" s="13">
        <v>34.06</v>
      </c>
      <c r="M1636" s="13">
        <v>25</v>
      </c>
      <c r="N1636" s="13">
        <v>1.3624000000000001</v>
      </c>
      <c r="O1636" s="13">
        <v>45</v>
      </c>
      <c r="P1636" s="13" t="s">
        <v>30</v>
      </c>
      <c r="Q1636" s="13">
        <v>0</v>
      </c>
      <c r="R1636" s="14">
        <v>1532.7</v>
      </c>
      <c r="S1636" s="15">
        <v>0</v>
      </c>
      <c r="T1636" s="15">
        <v>0</v>
      </c>
      <c r="U1636" s="15">
        <v>1532.7</v>
      </c>
      <c r="V1636" s="15">
        <v>1532.7</v>
      </c>
      <c r="W1636" s="15">
        <v>0</v>
      </c>
      <c r="X1636" s="15">
        <v>0</v>
      </c>
      <c r="Y1636" s="16">
        <v>0</v>
      </c>
      <c r="Z1636" s="67" t="s">
        <v>26</v>
      </c>
      <c r="AA1636" s="12" t="s">
        <v>31</v>
      </c>
    </row>
    <row r="1637" spans="1:27" x14ac:dyDescent="0.25">
      <c r="A1637" s="10">
        <v>45682</v>
      </c>
      <c r="B1637" s="11" t="s">
        <v>333</v>
      </c>
      <c r="C1637" s="11" t="s">
        <v>3597</v>
      </c>
      <c r="D1637" s="11" t="s">
        <v>26</v>
      </c>
      <c r="E1637" s="11" t="s">
        <v>480</v>
      </c>
      <c r="F1637" s="11" t="s">
        <v>26</v>
      </c>
      <c r="G1637" s="11">
        <v>74950</v>
      </c>
      <c r="H1637" s="12" t="s">
        <v>4448</v>
      </c>
      <c r="I1637" s="12" t="s">
        <v>55</v>
      </c>
      <c r="J1637" s="12" t="s">
        <v>55</v>
      </c>
      <c r="K1637" s="12" t="s">
        <v>56</v>
      </c>
      <c r="L1637" s="13">
        <v>40.840000000000003</v>
      </c>
      <c r="M1637" s="13">
        <v>25</v>
      </c>
      <c r="N1637" s="13">
        <v>1.6335999999999999</v>
      </c>
      <c r="O1637" s="13">
        <v>15</v>
      </c>
      <c r="P1637" s="13" t="s">
        <v>30</v>
      </c>
      <c r="Q1637" s="13">
        <v>0</v>
      </c>
      <c r="R1637" s="14">
        <v>612.6</v>
      </c>
      <c r="S1637" s="15">
        <v>0</v>
      </c>
      <c r="T1637" s="15">
        <v>0</v>
      </c>
      <c r="U1637" s="15">
        <v>612.6</v>
      </c>
      <c r="V1637" s="15">
        <v>459.45000000000005</v>
      </c>
      <c r="W1637" s="15">
        <v>153.14999999999998</v>
      </c>
      <c r="X1637" s="15">
        <v>0</v>
      </c>
      <c r="Y1637" s="16">
        <v>0</v>
      </c>
      <c r="Z1637" s="67" t="s">
        <v>26</v>
      </c>
      <c r="AA1637" s="12" t="s">
        <v>31</v>
      </c>
    </row>
    <row r="1638" spans="1:27" x14ac:dyDescent="0.25">
      <c r="A1638" s="10">
        <v>45682</v>
      </c>
      <c r="B1638" s="11" t="s">
        <v>343</v>
      </c>
      <c r="C1638" s="11" t="s">
        <v>3598</v>
      </c>
      <c r="D1638" s="11" t="s">
        <v>26</v>
      </c>
      <c r="E1638" s="11" t="s">
        <v>74</v>
      </c>
      <c r="F1638" s="11" t="s">
        <v>26</v>
      </c>
      <c r="G1638" s="11" t="s">
        <v>26</v>
      </c>
      <c r="H1638" s="12" t="s">
        <v>4422</v>
      </c>
      <c r="I1638" s="12" t="s">
        <v>27</v>
      </c>
      <c r="J1638" s="12" t="s">
        <v>42</v>
      </c>
      <c r="K1638" s="12" t="s">
        <v>43</v>
      </c>
      <c r="L1638" s="13">
        <v>45.8</v>
      </c>
      <c r="M1638" s="13">
        <v>28</v>
      </c>
      <c r="N1638" s="13">
        <v>1.6357142857142859</v>
      </c>
      <c r="O1638" s="13">
        <v>83</v>
      </c>
      <c r="P1638" s="13" t="s">
        <v>30</v>
      </c>
      <c r="Q1638" s="13">
        <v>0</v>
      </c>
      <c r="R1638" s="14">
        <v>3801.3999999999996</v>
      </c>
      <c r="S1638" s="15">
        <v>38</v>
      </c>
      <c r="T1638" s="15">
        <v>1740.3999999999999</v>
      </c>
      <c r="U1638" s="15">
        <v>2061</v>
      </c>
      <c r="V1638" s="15">
        <v>2061</v>
      </c>
      <c r="W1638" s="15"/>
      <c r="X1638" s="15">
        <v>1648.8</v>
      </c>
      <c r="Y1638" s="16">
        <v>91.599999999999909</v>
      </c>
      <c r="Z1638" s="67" t="s">
        <v>70</v>
      </c>
      <c r="AA1638" s="12" t="s">
        <v>78</v>
      </c>
    </row>
    <row r="1639" spans="1:27" x14ac:dyDescent="0.25">
      <c r="A1639" s="10">
        <v>45682</v>
      </c>
      <c r="B1639" s="11" t="s">
        <v>3599</v>
      </c>
      <c r="C1639" s="11" t="s">
        <v>3600</v>
      </c>
      <c r="D1639" s="11" t="s">
        <v>26</v>
      </c>
      <c r="E1639" s="11" t="s">
        <v>519</v>
      </c>
      <c r="F1639" s="11" t="s">
        <v>26</v>
      </c>
      <c r="G1639" s="11">
        <v>21763</v>
      </c>
      <c r="H1639" s="12" t="s">
        <v>4448</v>
      </c>
      <c r="I1639" s="12" t="s">
        <v>55</v>
      </c>
      <c r="J1639" s="12" t="s">
        <v>55</v>
      </c>
      <c r="K1639" s="12" t="s">
        <v>56</v>
      </c>
      <c r="L1639" s="13">
        <v>39.24</v>
      </c>
      <c r="M1639" s="13">
        <v>25</v>
      </c>
      <c r="N1639" s="13">
        <v>1.5696000000000001</v>
      </c>
      <c r="O1639" s="13">
        <v>15</v>
      </c>
      <c r="P1639" s="13" t="s">
        <v>30</v>
      </c>
      <c r="Q1639" s="13">
        <v>0</v>
      </c>
      <c r="R1639" s="14">
        <v>588.6</v>
      </c>
      <c r="S1639" s="15">
        <v>0</v>
      </c>
      <c r="T1639" s="15">
        <v>0</v>
      </c>
      <c r="U1639" s="15">
        <v>588.6</v>
      </c>
      <c r="V1639" s="15">
        <v>441.45000000000005</v>
      </c>
      <c r="W1639" s="15">
        <v>147.14999999999998</v>
      </c>
      <c r="X1639" s="15">
        <v>0</v>
      </c>
      <c r="Y1639" s="16">
        <v>0</v>
      </c>
      <c r="Z1639" s="67" t="s">
        <v>26</v>
      </c>
      <c r="AA1639" s="12" t="s">
        <v>31</v>
      </c>
    </row>
    <row r="1640" spans="1:27" x14ac:dyDescent="0.25">
      <c r="A1640" s="10">
        <v>45682</v>
      </c>
      <c r="B1640" s="11" t="s">
        <v>650</v>
      </c>
      <c r="C1640" s="11" t="s">
        <v>3601</v>
      </c>
      <c r="D1640" s="11" t="s">
        <v>26</v>
      </c>
      <c r="E1640" s="11" t="s">
        <v>67</v>
      </c>
      <c r="F1640" s="11" t="s">
        <v>26</v>
      </c>
      <c r="G1640" s="11">
        <v>1619</v>
      </c>
      <c r="H1640" s="12" t="s">
        <v>66</v>
      </c>
      <c r="I1640" s="12" t="s">
        <v>37</v>
      </c>
      <c r="J1640" s="12" t="s">
        <v>1909</v>
      </c>
      <c r="K1640" s="12" t="s">
        <v>82</v>
      </c>
      <c r="L1640" s="13">
        <v>38.18</v>
      </c>
      <c r="M1640" s="13">
        <v>25</v>
      </c>
      <c r="N1640" s="13">
        <v>1.5271999999999999</v>
      </c>
      <c r="O1640" s="13" t="s">
        <v>30</v>
      </c>
      <c r="P1640" s="13">
        <v>54</v>
      </c>
      <c r="Q1640" s="13">
        <v>0</v>
      </c>
      <c r="R1640" s="14">
        <v>1350</v>
      </c>
      <c r="S1640" s="15">
        <v>0</v>
      </c>
      <c r="T1640" s="15">
        <v>0</v>
      </c>
      <c r="U1640" s="15">
        <v>1350</v>
      </c>
      <c r="V1640" s="15">
        <v>1350</v>
      </c>
      <c r="W1640" s="15">
        <v>0</v>
      </c>
      <c r="X1640" s="15">
        <v>0</v>
      </c>
      <c r="Y1640" s="16">
        <v>0</v>
      </c>
      <c r="Z1640" s="67" t="s">
        <v>26</v>
      </c>
      <c r="AA1640" s="12" t="s">
        <v>31</v>
      </c>
    </row>
    <row r="1641" spans="1:27" x14ac:dyDescent="0.25">
      <c r="A1641" s="10">
        <v>45682</v>
      </c>
      <c r="B1641" s="11" t="s">
        <v>3602</v>
      </c>
      <c r="C1641" s="11" t="s">
        <v>3603</v>
      </c>
      <c r="D1641" s="11" t="s">
        <v>26</v>
      </c>
      <c r="E1641" s="11" t="s">
        <v>65</v>
      </c>
      <c r="F1641" s="11" t="s">
        <v>26</v>
      </c>
      <c r="G1641" s="11">
        <v>1593</v>
      </c>
      <c r="H1641" s="12" t="s">
        <v>66</v>
      </c>
      <c r="I1641" s="12" t="s">
        <v>37</v>
      </c>
      <c r="J1641" s="12" t="s">
        <v>1909</v>
      </c>
      <c r="K1641" s="12" t="s">
        <v>82</v>
      </c>
      <c r="L1641" s="13">
        <v>39.619999999999997</v>
      </c>
      <c r="M1641" s="13">
        <v>25</v>
      </c>
      <c r="N1641" s="13">
        <v>1.5848</v>
      </c>
      <c r="O1641" s="13" t="s">
        <v>30</v>
      </c>
      <c r="P1641" s="13">
        <v>54</v>
      </c>
      <c r="Q1641" s="13">
        <v>0</v>
      </c>
      <c r="R1641" s="15">
        <v>1350</v>
      </c>
      <c r="S1641" s="15">
        <v>0</v>
      </c>
      <c r="T1641" s="15">
        <v>0</v>
      </c>
      <c r="U1641" s="15">
        <v>1350</v>
      </c>
      <c r="V1641" s="15">
        <v>1350</v>
      </c>
      <c r="W1641" s="15">
        <v>0</v>
      </c>
      <c r="X1641" s="15">
        <v>0</v>
      </c>
      <c r="Y1641" s="16">
        <v>0</v>
      </c>
      <c r="Z1641" s="67" t="s">
        <v>26</v>
      </c>
      <c r="AA1641" s="12" t="s">
        <v>31</v>
      </c>
    </row>
    <row r="1642" spans="1:27" x14ac:dyDescent="0.25">
      <c r="A1642" s="10">
        <v>45682</v>
      </c>
      <c r="B1642" s="11" t="s">
        <v>3604</v>
      </c>
      <c r="C1642" s="11" t="s">
        <v>3605</v>
      </c>
      <c r="D1642" s="11" t="s">
        <v>26</v>
      </c>
      <c r="E1642" s="11" t="s">
        <v>69</v>
      </c>
      <c r="F1642" s="11" t="s">
        <v>26</v>
      </c>
      <c r="G1642" s="11" t="s">
        <v>26</v>
      </c>
      <c r="H1642" s="12" t="s">
        <v>4422</v>
      </c>
      <c r="I1642" s="12" t="s">
        <v>27</v>
      </c>
      <c r="J1642" s="12" t="s">
        <v>47</v>
      </c>
      <c r="K1642" s="12" t="s">
        <v>48</v>
      </c>
      <c r="L1642" s="13">
        <v>42.1</v>
      </c>
      <c r="M1642" s="13">
        <v>29</v>
      </c>
      <c r="N1642" s="13">
        <v>1.4517241379310351</v>
      </c>
      <c r="O1642" s="13">
        <v>87</v>
      </c>
      <c r="P1642" s="13" t="s">
        <v>30</v>
      </c>
      <c r="Q1642" s="13">
        <v>0</v>
      </c>
      <c r="R1642" s="14">
        <v>3662.7000000000003</v>
      </c>
      <c r="S1642" s="15">
        <v>38</v>
      </c>
      <c r="T1642" s="15">
        <v>1599.8</v>
      </c>
      <c r="U1642" s="15">
        <v>2062.9000000000005</v>
      </c>
      <c r="V1642" s="15">
        <v>2062.9000000000005</v>
      </c>
      <c r="W1642" s="15"/>
      <c r="X1642" s="15">
        <v>1515.6000000000001</v>
      </c>
      <c r="Y1642" s="16">
        <v>84.199999999999818</v>
      </c>
      <c r="Z1642" s="67" t="s">
        <v>70</v>
      </c>
      <c r="AA1642" s="12" t="s">
        <v>78</v>
      </c>
    </row>
    <row r="1643" spans="1:27" x14ac:dyDescent="0.25">
      <c r="A1643" s="10">
        <v>45682</v>
      </c>
      <c r="B1643" s="11" t="s">
        <v>3606</v>
      </c>
      <c r="C1643" s="11" t="s">
        <v>3607</v>
      </c>
      <c r="D1643" s="11" t="s">
        <v>26</v>
      </c>
      <c r="E1643" s="11" t="s">
        <v>553</v>
      </c>
      <c r="F1643" s="11" t="s">
        <v>26</v>
      </c>
      <c r="G1643" s="11">
        <v>4658</v>
      </c>
      <c r="H1643" s="12" t="s">
        <v>4423</v>
      </c>
      <c r="I1643" s="12" t="s">
        <v>27</v>
      </c>
      <c r="J1643" s="12" t="s">
        <v>42</v>
      </c>
      <c r="K1643" s="12" t="s">
        <v>43</v>
      </c>
      <c r="L1643" s="13">
        <v>39.24</v>
      </c>
      <c r="M1643" s="13">
        <v>25</v>
      </c>
      <c r="N1643" s="13">
        <v>1.5696000000000001</v>
      </c>
      <c r="O1643" s="13">
        <v>42</v>
      </c>
      <c r="P1643" s="13" t="s">
        <v>30</v>
      </c>
      <c r="Q1643" s="13">
        <v>0</v>
      </c>
      <c r="R1643" s="14">
        <v>1648.0800000000002</v>
      </c>
      <c r="S1643" s="15">
        <v>0</v>
      </c>
      <c r="T1643" s="15">
        <v>0</v>
      </c>
      <c r="U1643" s="15">
        <v>1648.0800000000002</v>
      </c>
      <c r="V1643" s="15">
        <v>1648.0800000000002</v>
      </c>
      <c r="W1643" s="15">
        <v>0</v>
      </c>
      <c r="X1643" s="15">
        <v>0</v>
      </c>
      <c r="Y1643" s="16">
        <v>0</v>
      </c>
      <c r="Z1643" s="67" t="s">
        <v>26</v>
      </c>
      <c r="AA1643" s="12" t="s">
        <v>31</v>
      </c>
    </row>
    <row r="1644" spans="1:27" x14ac:dyDescent="0.25">
      <c r="A1644" s="10">
        <v>45682</v>
      </c>
      <c r="B1644" s="11" t="s">
        <v>117</v>
      </c>
      <c r="C1644" s="11" t="s">
        <v>3608</v>
      </c>
      <c r="D1644" s="11" t="s">
        <v>26</v>
      </c>
      <c r="E1644" s="11" t="s">
        <v>658</v>
      </c>
      <c r="F1644" s="11" t="s">
        <v>26</v>
      </c>
      <c r="G1644" s="11">
        <v>861</v>
      </c>
      <c r="H1644" s="12" t="s">
        <v>141</v>
      </c>
      <c r="I1644" s="12" t="s">
        <v>55</v>
      </c>
      <c r="J1644" s="12" t="s">
        <v>55</v>
      </c>
      <c r="K1644" s="12" t="s">
        <v>56</v>
      </c>
      <c r="L1644" s="13">
        <v>39.82</v>
      </c>
      <c r="M1644" s="13">
        <v>25</v>
      </c>
      <c r="N1644" s="13">
        <v>1.5928</v>
      </c>
      <c r="O1644" s="13">
        <v>15</v>
      </c>
      <c r="P1644" s="13" t="s">
        <v>30</v>
      </c>
      <c r="Q1644" s="13">
        <v>0</v>
      </c>
      <c r="R1644" s="14">
        <v>597.29999999999995</v>
      </c>
      <c r="S1644" s="15">
        <v>0</v>
      </c>
      <c r="T1644" s="15">
        <v>0</v>
      </c>
      <c r="U1644" s="15">
        <v>597.29999999999995</v>
      </c>
      <c r="V1644" s="15">
        <v>0</v>
      </c>
      <c r="W1644" s="15">
        <v>597.29999999999995</v>
      </c>
      <c r="X1644" s="15">
        <v>0</v>
      </c>
      <c r="Y1644" s="16">
        <v>0</v>
      </c>
      <c r="Z1644" s="67" t="s">
        <v>26</v>
      </c>
      <c r="AA1644" s="12" t="s">
        <v>31</v>
      </c>
    </row>
    <row r="1645" spans="1:27" x14ac:dyDescent="0.25">
      <c r="A1645" s="10">
        <v>45682</v>
      </c>
      <c r="B1645" s="11" t="s">
        <v>3609</v>
      </c>
      <c r="C1645" s="11" t="s">
        <v>3610</v>
      </c>
      <c r="D1645" s="11" t="s">
        <v>26</v>
      </c>
      <c r="E1645" s="11" t="s">
        <v>84</v>
      </c>
      <c r="F1645" s="11" t="s">
        <v>26</v>
      </c>
      <c r="G1645" s="11">
        <v>44363</v>
      </c>
      <c r="H1645" s="12" t="s">
        <v>4423</v>
      </c>
      <c r="I1645" s="12" t="s">
        <v>27</v>
      </c>
      <c r="J1645" s="12" t="s">
        <v>33</v>
      </c>
      <c r="K1645" s="12" t="s">
        <v>34</v>
      </c>
      <c r="L1645" s="13">
        <v>33.74</v>
      </c>
      <c r="M1645" s="13">
        <v>25</v>
      </c>
      <c r="N1645" s="13">
        <v>1.3495999999999999</v>
      </c>
      <c r="O1645" s="13">
        <v>45</v>
      </c>
      <c r="P1645" s="13" t="s">
        <v>30</v>
      </c>
      <c r="Q1645" s="13">
        <v>0</v>
      </c>
      <c r="R1645" s="14">
        <v>1518.3000000000002</v>
      </c>
      <c r="S1645" s="15">
        <v>0</v>
      </c>
      <c r="T1645" s="15">
        <v>0</v>
      </c>
      <c r="U1645" s="15">
        <v>1518.3000000000002</v>
      </c>
      <c r="V1645" s="15">
        <v>1518.3000000000002</v>
      </c>
      <c r="W1645" s="15">
        <v>0</v>
      </c>
      <c r="X1645" s="15">
        <v>0</v>
      </c>
      <c r="Y1645" s="16">
        <v>0</v>
      </c>
      <c r="Z1645" s="67" t="s">
        <v>26</v>
      </c>
      <c r="AA1645" s="12" t="s">
        <v>31</v>
      </c>
    </row>
    <row r="1646" spans="1:27" x14ac:dyDescent="0.25">
      <c r="A1646" s="10">
        <v>45682</v>
      </c>
      <c r="B1646" s="11" t="s">
        <v>3611</v>
      </c>
      <c r="C1646" s="11" t="s">
        <v>3612</v>
      </c>
      <c r="D1646" s="11" t="s">
        <v>26</v>
      </c>
      <c r="E1646" s="11" t="s">
        <v>40</v>
      </c>
      <c r="F1646" s="11" t="s">
        <v>26</v>
      </c>
      <c r="G1646" s="11">
        <v>3714</v>
      </c>
      <c r="H1646" s="12" t="s">
        <v>41</v>
      </c>
      <c r="I1646" s="12" t="s">
        <v>37</v>
      </c>
      <c r="J1646" s="12" t="s">
        <v>85</v>
      </c>
      <c r="K1646" s="12" t="s">
        <v>86</v>
      </c>
      <c r="L1646" s="13">
        <v>37.28</v>
      </c>
      <c r="M1646" s="13">
        <v>25</v>
      </c>
      <c r="N1646" s="13">
        <v>1.4912000000000001</v>
      </c>
      <c r="O1646" s="13" t="s">
        <v>30</v>
      </c>
      <c r="P1646" s="13">
        <v>43.5</v>
      </c>
      <c r="Q1646" s="13">
        <v>0</v>
      </c>
      <c r="R1646" s="14">
        <v>1087.5</v>
      </c>
      <c r="S1646" s="15">
        <v>0</v>
      </c>
      <c r="T1646" s="15">
        <v>0</v>
      </c>
      <c r="U1646" s="15">
        <v>1087.5</v>
      </c>
      <c r="V1646" s="15">
        <v>0</v>
      </c>
      <c r="W1646" s="15">
        <v>1087.5</v>
      </c>
      <c r="X1646" s="15">
        <v>0</v>
      </c>
      <c r="Y1646" s="16">
        <v>0</v>
      </c>
      <c r="Z1646" s="67" t="s">
        <v>26</v>
      </c>
      <c r="AA1646" s="12" t="s">
        <v>31</v>
      </c>
    </row>
    <row r="1647" spans="1:27" x14ac:dyDescent="0.25">
      <c r="A1647" s="10">
        <v>45682</v>
      </c>
      <c r="B1647" s="11" t="s">
        <v>747</v>
      </c>
      <c r="C1647" s="11" t="s">
        <v>3613</v>
      </c>
      <c r="D1647" s="11" t="s">
        <v>26</v>
      </c>
      <c r="E1647" s="11" t="s">
        <v>501</v>
      </c>
      <c r="F1647" s="11" t="s">
        <v>26</v>
      </c>
      <c r="G1647" s="11">
        <v>813</v>
      </c>
      <c r="H1647" s="12" t="s">
        <v>141</v>
      </c>
      <c r="I1647" s="12" t="s">
        <v>27</v>
      </c>
      <c r="J1647" s="12" t="s">
        <v>33</v>
      </c>
      <c r="K1647" s="12" t="s">
        <v>34</v>
      </c>
      <c r="L1647" s="13">
        <v>42.28</v>
      </c>
      <c r="M1647" s="13">
        <v>29</v>
      </c>
      <c r="N1647" s="13">
        <v>1.457931034482759</v>
      </c>
      <c r="O1647" s="13">
        <v>40</v>
      </c>
      <c r="P1647" s="13" t="s">
        <v>30</v>
      </c>
      <c r="Q1647" s="13">
        <v>0</v>
      </c>
      <c r="R1647" s="15">
        <v>1691.2</v>
      </c>
      <c r="S1647" s="15">
        <v>0</v>
      </c>
      <c r="T1647" s="15">
        <v>0</v>
      </c>
      <c r="U1647" s="15">
        <v>1691.2</v>
      </c>
      <c r="V1647" s="15">
        <v>0</v>
      </c>
      <c r="W1647" s="15">
        <v>1691.2</v>
      </c>
      <c r="X1647" s="15">
        <v>0</v>
      </c>
      <c r="Y1647" s="16">
        <v>0</v>
      </c>
      <c r="Z1647" s="67" t="s">
        <v>26</v>
      </c>
      <c r="AA1647" s="12" t="s">
        <v>31</v>
      </c>
    </row>
    <row r="1648" spans="1:27" x14ac:dyDescent="0.25">
      <c r="A1648" s="10">
        <v>45682</v>
      </c>
      <c r="B1648" s="11" t="s">
        <v>2988</v>
      </c>
      <c r="C1648" s="11" t="s">
        <v>3614</v>
      </c>
      <c r="D1648" s="11" t="s">
        <v>26</v>
      </c>
      <c r="E1648" s="11" t="s">
        <v>605</v>
      </c>
      <c r="F1648" s="11" t="s">
        <v>26</v>
      </c>
      <c r="G1648" s="11">
        <v>1059</v>
      </c>
      <c r="H1648" s="12" t="s">
        <v>141</v>
      </c>
      <c r="I1648" s="12" t="s">
        <v>55</v>
      </c>
      <c r="J1648" s="12" t="s">
        <v>55</v>
      </c>
      <c r="K1648" s="12" t="s">
        <v>56</v>
      </c>
      <c r="L1648" s="13">
        <v>39.22</v>
      </c>
      <c r="M1648" s="13">
        <v>25</v>
      </c>
      <c r="N1648" s="13">
        <v>1.5688</v>
      </c>
      <c r="O1648" s="13">
        <v>15</v>
      </c>
      <c r="P1648" s="13" t="s">
        <v>30</v>
      </c>
      <c r="Q1648" s="13">
        <v>0</v>
      </c>
      <c r="R1648" s="15">
        <v>588.29999999999995</v>
      </c>
      <c r="S1648" s="15">
        <v>0</v>
      </c>
      <c r="T1648" s="15">
        <v>0</v>
      </c>
      <c r="U1648" s="15">
        <v>588.29999999999995</v>
      </c>
      <c r="V1648" s="15">
        <v>0</v>
      </c>
      <c r="W1648" s="15">
        <v>588.29999999999995</v>
      </c>
      <c r="X1648" s="15">
        <v>0</v>
      </c>
      <c r="Y1648" s="16">
        <v>0</v>
      </c>
      <c r="Z1648" s="67" t="s">
        <v>26</v>
      </c>
      <c r="AA1648" s="12" t="s">
        <v>31</v>
      </c>
    </row>
    <row r="1649" spans="1:27" x14ac:dyDescent="0.25">
      <c r="A1649" s="10">
        <v>45682</v>
      </c>
      <c r="B1649" s="11" t="s">
        <v>330</v>
      </c>
      <c r="C1649" s="11" t="s">
        <v>3615</v>
      </c>
      <c r="D1649" s="11" t="s">
        <v>26</v>
      </c>
      <c r="E1649" s="11" t="s">
        <v>435</v>
      </c>
      <c r="F1649" s="11" t="s">
        <v>26</v>
      </c>
      <c r="G1649" s="11">
        <v>3518</v>
      </c>
      <c r="H1649" s="12" t="s">
        <v>41</v>
      </c>
      <c r="I1649" s="12" t="s">
        <v>37</v>
      </c>
      <c r="J1649" s="12" t="s">
        <v>85</v>
      </c>
      <c r="K1649" s="12" t="s">
        <v>86</v>
      </c>
      <c r="L1649" s="13">
        <v>37.86</v>
      </c>
      <c r="M1649" s="13">
        <v>25</v>
      </c>
      <c r="N1649" s="13">
        <v>1.5144</v>
      </c>
      <c r="O1649" s="13" t="s">
        <v>30</v>
      </c>
      <c r="P1649" s="13">
        <v>43.5</v>
      </c>
      <c r="Q1649" s="13">
        <v>0</v>
      </c>
      <c r="R1649" s="14">
        <v>1087.5</v>
      </c>
      <c r="S1649" s="15">
        <v>0</v>
      </c>
      <c r="T1649" s="15">
        <v>0</v>
      </c>
      <c r="U1649" s="15">
        <v>1087.5</v>
      </c>
      <c r="V1649" s="15">
        <v>0</v>
      </c>
      <c r="W1649" s="15">
        <v>1087.5</v>
      </c>
      <c r="X1649" s="16">
        <v>0</v>
      </c>
      <c r="Y1649" s="16">
        <v>0</v>
      </c>
      <c r="Z1649" s="67" t="s">
        <v>26</v>
      </c>
      <c r="AA1649" s="12" t="s">
        <v>31</v>
      </c>
    </row>
    <row r="1650" spans="1:27" x14ac:dyDescent="0.25">
      <c r="A1650" s="10">
        <v>45682</v>
      </c>
      <c r="B1650" s="11" t="s">
        <v>640</v>
      </c>
      <c r="C1650" s="11" t="s">
        <v>3616</v>
      </c>
      <c r="D1650" s="11" t="s">
        <v>26</v>
      </c>
      <c r="E1650" s="11" t="s">
        <v>505</v>
      </c>
      <c r="F1650" s="11" t="s">
        <v>26</v>
      </c>
      <c r="G1650" s="11">
        <v>1257</v>
      </c>
      <c r="H1650" s="12" t="s">
        <v>141</v>
      </c>
      <c r="I1650" s="12" t="s">
        <v>27</v>
      </c>
      <c r="J1650" s="12" t="s">
        <v>33</v>
      </c>
      <c r="K1650" s="12" t="s">
        <v>34</v>
      </c>
      <c r="L1650" s="13">
        <v>35.68</v>
      </c>
      <c r="M1650" s="13">
        <v>25</v>
      </c>
      <c r="N1650" s="13">
        <v>1.4272</v>
      </c>
      <c r="O1650" s="13">
        <v>40</v>
      </c>
      <c r="P1650" s="13" t="s">
        <v>30</v>
      </c>
      <c r="Q1650" s="13">
        <v>0</v>
      </c>
      <c r="R1650" s="14">
        <v>1427.2</v>
      </c>
      <c r="S1650" s="15">
        <v>0</v>
      </c>
      <c r="T1650" s="15">
        <v>0</v>
      </c>
      <c r="U1650" s="15">
        <v>1427.2</v>
      </c>
      <c r="V1650" s="15">
        <v>0</v>
      </c>
      <c r="W1650" s="15">
        <v>1427.2</v>
      </c>
      <c r="X1650" s="15">
        <v>0</v>
      </c>
      <c r="Y1650" s="16">
        <v>0</v>
      </c>
      <c r="Z1650" s="67" t="s">
        <v>26</v>
      </c>
      <c r="AA1650" s="12" t="s">
        <v>31</v>
      </c>
    </row>
    <row r="1651" spans="1:27" x14ac:dyDescent="0.25">
      <c r="A1651" s="10">
        <v>45682</v>
      </c>
      <c r="B1651" s="11" t="s">
        <v>388</v>
      </c>
      <c r="C1651" s="11" t="s">
        <v>3617</v>
      </c>
      <c r="D1651" s="11" t="s">
        <v>26</v>
      </c>
      <c r="E1651" s="11" t="s">
        <v>230</v>
      </c>
      <c r="F1651" s="11" t="s">
        <v>26</v>
      </c>
      <c r="G1651" s="11" t="s">
        <v>26</v>
      </c>
      <c r="H1651" s="12" t="s">
        <v>4422</v>
      </c>
      <c r="I1651" s="12" t="s">
        <v>27</v>
      </c>
      <c r="J1651" s="12" t="s">
        <v>42</v>
      </c>
      <c r="K1651" s="12" t="s">
        <v>43</v>
      </c>
      <c r="L1651" s="13">
        <v>42.02</v>
      </c>
      <c r="M1651" s="13">
        <v>25</v>
      </c>
      <c r="N1651" s="13">
        <v>1.6808000000000001</v>
      </c>
      <c r="O1651" s="13">
        <v>83</v>
      </c>
      <c r="P1651" s="13" t="s">
        <v>30</v>
      </c>
      <c r="Q1651" s="13">
        <v>0</v>
      </c>
      <c r="R1651" s="14">
        <v>3487.6600000000003</v>
      </c>
      <c r="S1651" s="15">
        <v>38</v>
      </c>
      <c r="T1651" s="15">
        <v>1596.7600000000002</v>
      </c>
      <c r="U1651" s="15">
        <v>1890.9</v>
      </c>
      <c r="V1651" s="15">
        <v>1890.9</v>
      </c>
      <c r="W1651" s="15"/>
      <c r="X1651" s="15">
        <v>1512.72</v>
      </c>
      <c r="Y1651" s="16">
        <v>84.040000000000191</v>
      </c>
      <c r="Z1651" s="67" t="s">
        <v>565</v>
      </c>
      <c r="AA1651" s="12" t="s">
        <v>78</v>
      </c>
    </row>
    <row r="1652" spans="1:27" x14ac:dyDescent="0.25">
      <c r="A1652" s="10">
        <v>45682</v>
      </c>
      <c r="B1652" s="11" t="s">
        <v>3618</v>
      </c>
      <c r="C1652" s="11" t="s">
        <v>3619</v>
      </c>
      <c r="D1652" s="11" t="s">
        <v>26</v>
      </c>
      <c r="E1652" s="11" t="s">
        <v>485</v>
      </c>
      <c r="F1652" s="11" t="s">
        <v>26</v>
      </c>
      <c r="G1652" s="11">
        <v>72145</v>
      </c>
      <c r="H1652" s="12" t="s">
        <v>4448</v>
      </c>
      <c r="I1652" s="12" t="s">
        <v>55</v>
      </c>
      <c r="J1652" s="12" t="s">
        <v>55</v>
      </c>
      <c r="K1652" s="12" t="s">
        <v>56</v>
      </c>
      <c r="L1652" s="13">
        <v>38.56</v>
      </c>
      <c r="M1652" s="13">
        <v>25</v>
      </c>
      <c r="N1652" s="13">
        <v>1.5424</v>
      </c>
      <c r="O1652" s="13">
        <v>15</v>
      </c>
      <c r="P1652" s="13" t="s">
        <v>30</v>
      </c>
      <c r="Q1652" s="13">
        <v>0</v>
      </c>
      <c r="R1652" s="14">
        <v>578.40000000000009</v>
      </c>
      <c r="S1652" s="15">
        <v>0</v>
      </c>
      <c r="T1652" s="15">
        <v>0</v>
      </c>
      <c r="U1652" s="15">
        <v>578.40000000000009</v>
      </c>
      <c r="V1652" s="15">
        <v>433.80000000000007</v>
      </c>
      <c r="W1652" s="15">
        <v>144.60000000000002</v>
      </c>
      <c r="X1652" s="16">
        <v>0</v>
      </c>
      <c r="Y1652" s="16">
        <v>0</v>
      </c>
      <c r="Z1652" s="67" t="s">
        <v>26</v>
      </c>
      <c r="AA1652" s="12" t="s">
        <v>31</v>
      </c>
    </row>
    <row r="1653" spans="1:27" x14ac:dyDescent="0.25">
      <c r="A1653" s="10">
        <v>45682</v>
      </c>
      <c r="B1653" s="11" t="s">
        <v>3620</v>
      </c>
      <c r="C1653" s="11" t="s">
        <v>3621</v>
      </c>
      <c r="D1653" s="11" t="s">
        <v>26</v>
      </c>
      <c r="E1653" s="11" t="s">
        <v>487</v>
      </c>
      <c r="F1653" s="11" t="s">
        <v>26</v>
      </c>
      <c r="G1653" s="11">
        <v>5706</v>
      </c>
      <c r="H1653" s="12" t="s">
        <v>4448</v>
      </c>
      <c r="I1653" s="12" t="s">
        <v>55</v>
      </c>
      <c r="J1653" s="12" t="s">
        <v>55</v>
      </c>
      <c r="K1653" s="12" t="s">
        <v>56</v>
      </c>
      <c r="L1653" s="13">
        <v>41.04</v>
      </c>
      <c r="M1653" s="13">
        <v>25</v>
      </c>
      <c r="N1653" s="13">
        <v>1.6415999999999999</v>
      </c>
      <c r="O1653" s="13">
        <v>15</v>
      </c>
      <c r="P1653" s="13" t="s">
        <v>30</v>
      </c>
      <c r="Q1653" s="13">
        <v>0</v>
      </c>
      <c r="R1653" s="14">
        <v>615.6</v>
      </c>
      <c r="S1653" s="15">
        <v>0</v>
      </c>
      <c r="T1653" s="15">
        <v>0</v>
      </c>
      <c r="U1653" s="15">
        <v>615.6</v>
      </c>
      <c r="V1653" s="15">
        <v>461.70000000000005</v>
      </c>
      <c r="W1653" s="15">
        <v>153.89999999999998</v>
      </c>
      <c r="X1653" s="15">
        <v>0</v>
      </c>
      <c r="Y1653" s="16">
        <v>0</v>
      </c>
      <c r="Z1653" s="67" t="s">
        <v>26</v>
      </c>
      <c r="AA1653" s="12" t="s">
        <v>31</v>
      </c>
    </row>
    <row r="1654" spans="1:27" x14ac:dyDescent="0.25">
      <c r="A1654" s="10">
        <v>45682</v>
      </c>
      <c r="B1654" s="11" t="s">
        <v>1757</v>
      </c>
      <c r="C1654" s="11" t="s">
        <v>3622</v>
      </c>
      <c r="D1654" s="11" t="s">
        <v>26</v>
      </c>
      <c r="E1654" s="11" t="s">
        <v>246</v>
      </c>
      <c r="F1654" s="11" t="s">
        <v>26</v>
      </c>
      <c r="G1654" s="11" t="s">
        <v>26</v>
      </c>
      <c r="H1654" s="12" t="s">
        <v>4422</v>
      </c>
      <c r="I1654" s="12" t="s">
        <v>27</v>
      </c>
      <c r="J1654" s="12" t="s">
        <v>42</v>
      </c>
      <c r="K1654" s="12" t="s">
        <v>43</v>
      </c>
      <c r="L1654" s="13">
        <v>44.52</v>
      </c>
      <c r="M1654" s="13">
        <v>25</v>
      </c>
      <c r="N1654" s="13">
        <v>1.7807999999999999</v>
      </c>
      <c r="O1654" s="13">
        <v>83</v>
      </c>
      <c r="P1654" s="13" t="s">
        <v>30</v>
      </c>
      <c r="Q1654" s="13">
        <v>0</v>
      </c>
      <c r="R1654" s="14">
        <v>3695.1600000000003</v>
      </c>
      <c r="S1654" s="15">
        <v>38</v>
      </c>
      <c r="T1654" s="15">
        <v>1691.7600000000002</v>
      </c>
      <c r="U1654" s="15">
        <v>2003.4</v>
      </c>
      <c r="V1654" s="15">
        <v>2003.4</v>
      </c>
      <c r="W1654" s="15"/>
      <c r="X1654" s="15">
        <v>1647.24</v>
      </c>
      <c r="Y1654" s="16">
        <v>44.520000000000209</v>
      </c>
      <c r="Z1654" s="67" t="s">
        <v>41</v>
      </c>
      <c r="AA1654" s="12" t="s">
        <v>78</v>
      </c>
    </row>
    <row r="1655" spans="1:27" x14ac:dyDescent="0.25">
      <c r="A1655" s="10">
        <v>45682</v>
      </c>
      <c r="B1655" s="11" t="s">
        <v>3623</v>
      </c>
      <c r="C1655" s="11" t="s">
        <v>3624</v>
      </c>
      <c r="D1655" s="11" t="s">
        <v>26</v>
      </c>
      <c r="E1655" s="11" t="s">
        <v>483</v>
      </c>
      <c r="F1655" s="11" t="s">
        <v>26</v>
      </c>
      <c r="G1655" s="11">
        <v>3555</v>
      </c>
      <c r="H1655" s="12" t="s">
        <v>41</v>
      </c>
      <c r="I1655" s="12" t="s">
        <v>55</v>
      </c>
      <c r="J1655" s="12" t="s">
        <v>55</v>
      </c>
      <c r="K1655" s="12" t="s">
        <v>56</v>
      </c>
      <c r="L1655" s="13">
        <v>39.5</v>
      </c>
      <c r="M1655" s="13">
        <v>25</v>
      </c>
      <c r="N1655" s="13">
        <v>1.58</v>
      </c>
      <c r="O1655" s="13" t="s">
        <v>30</v>
      </c>
      <c r="P1655" s="13">
        <v>24</v>
      </c>
      <c r="Q1655" s="13">
        <v>0</v>
      </c>
      <c r="R1655" s="14">
        <v>600</v>
      </c>
      <c r="S1655" s="15">
        <v>0</v>
      </c>
      <c r="T1655" s="15">
        <v>0</v>
      </c>
      <c r="U1655" s="15">
        <v>600</v>
      </c>
      <c r="V1655" s="15">
        <v>0</v>
      </c>
      <c r="W1655" s="15">
        <v>600</v>
      </c>
      <c r="X1655" s="15">
        <v>0</v>
      </c>
      <c r="Y1655" s="16">
        <v>0</v>
      </c>
      <c r="Z1655" s="67" t="s">
        <v>26</v>
      </c>
      <c r="AA1655" s="12" t="s">
        <v>31</v>
      </c>
    </row>
    <row r="1656" spans="1:27" x14ac:dyDescent="0.25">
      <c r="A1656" s="10">
        <v>45682</v>
      </c>
      <c r="B1656" s="11" t="s">
        <v>626</v>
      </c>
      <c r="C1656" s="11" t="s">
        <v>3625</v>
      </c>
      <c r="D1656" s="11" t="s">
        <v>26</v>
      </c>
      <c r="E1656" s="11" t="s">
        <v>240</v>
      </c>
      <c r="F1656" s="11" t="s">
        <v>26</v>
      </c>
      <c r="G1656" s="11" t="s">
        <v>26</v>
      </c>
      <c r="H1656" s="12" t="s">
        <v>4422</v>
      </c>
      <c r="I1656" s="12" t="s">
        <v>27</v>
      </c>
      <c r="J1656" s="12" t="s">
        <v>42</v>
      </c>
      <c r="K1656" s="12" t="s">
        <v>43</v>
      </c>
      <c r="L1656" s="13">
        <v>44.44</v>
      </c>
      <c r="M1656" s="13">
        <v>25</v>
      </c>
      <c r="N1656" s="13">
        <v>1.7776000000000001</v>
      </c>
      <c r="O1656" s="13">
        <v>83</v>
      </c>
      <c r="P1656" s="13" t="s">
        <v>30</v>
      </c>
      <c r="Q1656" s="13">
        <v>0</v>
      </c>
      <c r="R1656" s="14">
        <v>3688.52</v>
      </c>
      <c r="S1656" s="15">
        <v>38</v>
      </c>
      <c r="T1656" s="15">
        <v>1688.7199999999998</v>
      </c>
      <c r="U1656" s="15">
        <v>1999.8000000000002</v>
      </c>
      <c r="V1656" s="15">
        <v>1999.8000000000002</v>
      </c>
      <c r="W1656" s="15"/>
      <c r="X1656" s="15">
        <v>1644.28</v>
      </c>
      <c r="Y1656" s="16">
        <v>44.439999999999827</v>
      </c>
      <c r="Z1656" s="67" t="s">
        <v>41</v>
      </c>
      <c r="AA1656" s="12" t="s">
        <v>78</v>
      </c>
    </row>
    <row r="1657" spans="1:27" x14ac:dyDescent="0.25">
      <c r="A1657" s="10">
        <v>45682</v>
      </c>
      <c r="B1657" s="11" t="s">
        <v>3626</v>
      </c>
      <c r="C1657" s="11" t="s">
        <v>3627</v>
      </c>
      <c r="D1657" s="11" t="s">
        <v>26</v>
      </c>
      <c r="E1657" s="11" t="s">
        <v>574</v>
      </c>
      <c r="F1657" s="11" t="s">
        <v>26</v>
      </c>
      <c r="G1657" s="11">
        <v>779</v>
      </c>
      <c r="H1657" s="12" t="s">
        <v>141</v>
      </c>
      <c r="I1657" s="12" t="s">
        <v>27</v>
      </c>
      <c r="J1657" s="12" t="s">
        <v>47</v>
      </c>
      <c r="K1657" s="12" t="s">
        <v>48</v>
      </c>
      <c r="L1657" s="13">
        <v>40.22</v>
      </c>
      <c r="M1657" s="13">
        <v>28</v>
      </c>
      <c r="N1657" s="13">
        <v>1.4364285714285709</v>
      </c>
      <c r="O1657" s="13">
        <v>40</v>
      </c>
      <c r="P1657" s="13" t="s">
        <v>30</v>
      </c>
      <c r="Q1657" s="13">
        <v>0</v>
      </c>
      <c r="R1657" s="14">
        <v>1608.8</v>
      </c>
      <c r="S1657" s="15">
        <v>0</v>
      </c>
      <c r="T1657" s="15">
        <v>0</v>
      </c>
      <c r="U1657" s="15">
        <v>1608.8</v>
      </c>
      <c r="V1657" s="15">
        <v>0</v>
      </c>
      <c r="W1657" s="15">
        <v>1608.8</v>
      </c>
      <c r="X1657" s="15">
        <v>0</v>
      </c>
      <c r="Y1657" s="16">
        <v>0</v>
      </c>
      <c r="Z1657" s="67" t="s">
        <v>26</v>
      </c>
      <c r="AA1657" s="12" t="s">
        <v>31</v>
      </c>
    </row>
    <row r="1658" spans="1:27" x14ac:dyDescent="0.25">
      <c r="A1658" s="10">
        <v>45682</v>
      </c>
      <c r="B1658" s="11" t="s">
        <v>121</v>
      </c>
      <c r="C1658" s="11" t="s">
        <v>3628</v>
      </c>
      <c r="D1658" s="11" t="s">
        <v>26</v>
      </c>
      <c r="E1658" s="11" t="s">
        <v>89</v>
      </c>
      <c r="F1658" s="11" t="s">
        <v>26</v>
      </c>
      <c r="G1658" s="11">
        <v>60461</v>
      </c>
      <c r="H1658" s="12" t="s">
        <v>4423</v>
      </c>
      <c r="I1658" s="12" t="s">
        <v>27</v>
      </c>
      <c r="J1658" s="12" t="s">
        <v>42</v>
      </c>
      <c r="K1658" s="12" t="s">
        <v>43</v>
      </c>
      <c r="L1658" s="13">
        <v>37.659999999999997</v>
      </c>
      <c r="M1658" s="13">
        <v>25</v>
      </c>
      <c r="N1658" s="13">
        <v>1.5064</v>
      </c>
      <c r="O1658" s="13">
        <v>42</v>
      </c>
      <c r="P1658" s="13" t="s">
        <v>30</v>
      </c>
      <c r="Q1658" s="13">
        <v>0</v>
      </c>
      <c r="R1658" s="14">
        <v>1581.7199999999998</v>
      </c>
      <c r="S1658" s="15">
        <v>0</v>
      </c>
      <c r="T1658" s="15">
        <v>0</v>
      </c>
      <c r="U1658" s="15">
        <v>1581.7199999999998</v>
      </c>
      <c r="V1658" s="15">
        <v>1581.7199999999998</v>
      </c>
      <c r="W1658" s="15">
        <v>0</v>
      </c>
      <c r="X1658" s="15">
        <v>0</v>
      </c>
      <c r="Y1658" s="16">
        <v>0</v>
      </c>
      <c r="Z1658" s="67" t="s">
        <v>26</v>
      </c>
      <c r="AA1658" s="12" t="s">
        <v>31</v>
      </c>
    </row>
    <row r="1659" spans="1:27" x14ac:dyDescent="0.25">
      <c r="A1659" s="10">
        <v>45682</v>
      </c>
      <c r="B1659" s="11" t="s">
        <v>3629</v>
      </c>
      <c r="C1659" s="11" t="s">
        <v>3630</v>
      </c>
      <c r="D1659" s="11" t="s">
        <v>26</v>
      </c>
      <c r="E1659" s="11" t="s">
        <v>593</v>
      </c>
      <c r="F1659" s="11" t="s">
        <v>26</v>
      </c>
      <c r="G1659" s="11">
        <v>44304</v>
      </c>
      <c r="H1659" s="12" t="s">
        <v>4423</v>
      </c>
      <c r="I1659" s="12" t="s">
        <v>27</v>
      </c>
      <c r="J1659" s="12" t="s">
        <v>33</v>
      </c>
      <c r="K1659" s="12" t="s">
        <v>34</v>
      </c>
      <c r="L1659" s="13">
        <v>34.54</v>
      </c>
      <c r="M1659" s="13">
        <v>25</v>
      </c>
      <c r="N1659" s="13">
        <v>1.3815999999999999</v>
      </c>
      <c r="O1659" s="13">
        <v>45</v>
      </c>
      <c r="P1659" s="13" t="s">
        <v>30</v>
      </c>
      <c r="Q1659" s="13">
        <v>0</v>
      </c>
      <c r="R1659" s="14">
        <v>1554.3</v>
      </c>
      <c r="S1659" s="15">
        <v>0</v>
      </c>
      <c r="T1659" s="15">
        <v>0</v>
      </c>
      <c r="U1659" s="15">
        <v>1554.3</v>
      </c>
      <c r="V1659" s="15">
        <v>1554.3</v>
      </c>
      <c r="W1659" s="15">
        <v>0</v>
      </c>
      <c r="X1659" s="15">
        <v>0</v>
      </c>
      <c r="Y1659" s="16">
        <v>0</v>
      </c>
      <c r="Z1659" s="67" t="s">
        <v>26</v>
      </c>
      <c r="AA1659" s="12" t="s">
        <v>31</v>
      </c>
    </row>
    <row r="1660" spans="1:27" x14ac:dyDescent="0.25">
      <c r="A1660" s="10">
        <v>45682</v>
      </c>
      <c r="B1660" s="11" t="s">
        <v>706</v>
      </c>
      <c r="C1660" s="11" t="s">
        <v>3631</v>
      </c>
      <c r="D1660" s="11" t="s">
        <v>26</v>
      </c>
      <c r="E1660" s="11" t="s">
        <v>551</v>
      </c>
      <c r="F1660" s="11" t="s">
        <v>26</v>
      </c>
      <c r="G1660" s="11" t="s">
        <v>35</v>
      </c>
      <c r="H1660" s="12" t="s">
        <v>36</v>
      </c>
      <c r="I1660" s="12" t="s">
        <v>55</v>
      </c>
      <c r="J1660" s="12" t="s">
        <v>55</v>
      </c>
      <c r="K1660" s="12" t="s">
        <v>56</v>
      </c>
      <c r="L1660" s="13">
        <v>34.700000000000003</v>
      </c>
      <c r="M1660" s="13">
        <v>25</v>
      </c>
      <c r="N1660" s="13">
        <v>1.3879999999999999</v>
      </c>
      <c r="O1660" s="13">
        <v>20</v>
      </c>
      <c r="P1660" s="13" t="s">
        <v>30</v>
      </c>
      <c r="Q1660" s="14">
        <v>0</v>
      </c>
      <c r="R1660" s="15">
        <v>694</v>
      </c>
      <c r="S1660" s="15">
        <v>0</v>
      </c>
      <c r="T1660" s="15">
        <v>0</v>
      </c>
      <c r="U1660" s="15">
        <v>694</v>
      </c>
      <c r="V1660" s="15">
        <v>0</v>
      </c>
      <c r="W1660" s="15">
        <v>694</v>
      </c>
      <c r="X1660" s="15">
        <v>0</v>
      </c>
      <c r="Y1660" s="16">
        <v>0</v>
      </c>
      <c r="Z1660" s="67" t="s">
        <v>26</v>
      </c>
      <c r="AA1660" s="12" t="s">
        <v>31</v>
      </c>
    </row>
    <row r="1661" spans="1:27" x14ac:dyDescent="0.25">
      <c r="A1661" s="10">
        <v>45682</v>
      </c>
      <c r="B1661" s="11" t="s">
        <v>3632</v>
      </c>
      <c r="C1661" s="11" t="s">
        <v>3633</v>
      </c>
      <c r="D1661" s="11" t="s">
        <v>26</v>
      </c>
      <c r="E1661" s="11" t="s">
        <v>60</v>
      </c>
      <c r="F1661" s="11" t="s">
        <v>26</v>
      </c>
      <c r="G1661" s="11" t="s">
        <v>35</v>
      </c>
      <c r="H1661" s="12" t="s">
        <v>36</v>
      </c>
      <c r="I1661" s="12" t="s">
        <v>27</v>
      </c>
      <c r="J1661" s="12" t="s">
        <v>47</v>
      </c>
      <c r="K1661" s="12" t="s">
        <v>48</v>
      </c>
      <c r="L1661" s="13">
        <v>4.18</v>
      </c>
      <c r="M1661" s="13">
        <v>3</v>
      </c>
      <c r="N1661" s="13">
        <v>1.3933333333333331</v>
      </c>
      <c r="O1661" s="13">
        <v>50</v>
      </c>
      <c r="P1661" s="13" t="s">
        <v>30</v>
      </c>
      <c r="Q1661" s="13">
        <v>0</v>
      </c>
      <c r="R1661" s="15">
        <v>209</v>
      </c>
      <c r="S1661" s="15">
        <v>0</v>
      </c>
      <c r="T1661" s="15">
        <v>0</v>
      </c>
      <c r="U1661" s="15">
        <v>209</v>
      </c>
      <c r="V1661" s="15">
        <v>0</v>
      </c>
      <c r="W1661" s="15">
        <v>209</v>
      </c>
      <c r="X1661" s="15">
        <v>0</v>
      </c>
      <c r="Y1661" s="16">
        <v>0</v>
      </c>
      <c r="Z1661" s="67" t="s">
        <v>26</v>
      </c>
      <c r="AA1661" s="12" t="s">
        <v>31</v>
      </c>
    </row>
    <row r="1662" spans="1:27" x14ac:dyDescent="0.25">
      <c r="A1662" s="10">
        <v>45682</v>
      </c>
      <c r="B1662" s="11" t="s">
        <v>3634</v>
      </c>
      <c r="C1662" s="11" t="s">
        <v>3635</v>
      </c>
      <c r="D1662" s="11" t="s">
        <v>26</v>
      </c>
      <c r="E1662" s="11" t="s">
        <v>80</v>
      </c>
      <c r="F1662" s="11" t="s">
        <v>26</v>
      </c>
      <c r="G1662" s="11">
        <v>10656</v>
      </c>
      <c r="H1662" s="12" t="s">
        <v>140</v>
      </c>
      <c r="I1662" s="12" t="s">
        <v>27</v>
      </c>
      <c r="J1662" s="12" t="s">
        <v>42</v>
      </c>
      <c r="K1662" s="12" t="s">
        <v>43</v>
      </c>
      <c r="L1662" s="13">
        <v>44.44</v>
      </c>
      <c r="M1662" s="13">
        <v>25</v>
      </c>
      <c r="N1662" s="13">
        <v>1.7776000000000001</v>
      </c>
      <c r="O1662" s="13">
        <v>35</v>
      </c>
      <c r="P1662" s="13"/>
      <c r="Q1662" s="13">
        <v>0</v>
      </c>
      <c r="R1662" s="14">
        <v>1555.3999999999999</v>
      </c>
      <c r="S1662" s="15">
        <v>0</v>
      </c>
      <c r="T1662" s="15">
        <v>0</v>
      </c>
      <c r="U1662" s="15">
        <v>1555.3999999999999</v>
      </c>
      <c r="V1662" s="15">
        <v>0</v>
      </c>
      <c r="W1662" s="15">
        <v>1555.3999999999999</v>
      </c>
      <c r="X1662" s="15">
        <v>0</v>
      </c>
      <c r="Y1662" s="16">
        <v>0</v>
      </c>
      <c r="Z1662" s="67" t="s">
        <v>26</v>
      </c>
      <c r="AA1662" s="12" t="s">
        <v>31</v>
      </c>
    </row>
    <row r="1663" spans="1:27" x14ac:dyDescent="0.25">
      <c r="A1663" s="10">
        <v>45682</v>
      </c>
      <c r="B1663" s="11" t="s">
        <v>668</v>
      </c>
      <c r="C1663" s="11" t="s">
        <v>3636</v>
      </c>
      <c r="D1663" s="11" t="s">
        <v>26</v>
      </c>
      <c r="E1663" s="11" t="s">
        <v>3637</v>
      </c>
      <c r="F1663" s="11" t="s">
        <v>26</v>
      </c>
      <c r="G1663" s="11" t="s">
        <v>35</v>
      </c>
      <c r="H1663" s="12" t="s">
        <v>36</v>
      </c>
      <c r="I1663" s="12" t="s">
        <v>27</v>
      </c>
      <c r="J1663" s="12" t="s">
        <v>42</v>
      </c>
      <c r="K1663" s="12" t="s">
        <v>43</v>
      </c>
      <c r="L1663" s="13">
        <v>8.74</v>
      </c>
      <c r="M1663" s="13">
        <v>6</v>
      </c>
      <c r="N1663" s="13">
        <v>1.456666666666667</v>
      </c>
      <c r="O1663" s="13">
        <v>45</v>
      </c>
      <c r="P1663" s="13" t="s">
        <v>30</v>
      </c>
      <c r="Q1663" s="14">
        <v>0</v>
      </c>
      <c r="R1663" s="15">
        <v>393.3</v>
      </c>
      <c r="S1663" s="15">
        <v>0</v>
      </c>
      <c r="T1663" s="15">
        <v>0</v>
      </c>
      <c r="U1663" s="15">
        <v>393.3</v>
      </c>
      <c r="V1663" s="15">
        <v>0</v>
      </c>
      <c r="W1663" s="15">
        <v>393.3</v>
      </c>
      <c r="X1663" s="15">
        <v>0</v>
      </c>
      <c r="Y1663" s="16">
        <v>0</v>
      </c>
      <c r="Z1663" s="67" t="s">
        <v>26</v>
      </c>
      <c r="AA1663" s="12" t="s">
        <v>31</v>
      </c>
    </row>
    <row r="1664" spans="1:27" x14ac:dyDescent="0.25">
      <c r="A1664" s="10">
        <v>45682</v>
      </c>
      <c r="B1664" s="11" t="s">
        <v>2792</v>
      </c>
      <c r="C1664" s="11" t="s">
        <v>3638</v>
      </c>
      <c r="D1664" s="11" t="s">
        <v>26</v>
      </c>
      <c r="E1664" s="11" t="s">
        <v>50</v>
      </c>
      <c r="F1664" s="11" t="s">
        <v>26</v>
      </c>
      <c r="G1664" s="11">
        <v>908</v>
      </c>
      <c r="H1664" s="12" t="s">
        <v>163</v>
      </c>
      <c r="I1664" s="12" t="s">
        <v>27</v>
      </c>
      <c r="J1664" s="12" t="s">
        <v>42</v>
      </c>
      <c r="K1664" s="12" t="s">
        <v>43</v>
      </c>
      <c r="L1664" s="13">
        <v>42.5</v>
      </c>
      <c r="M1664" s="13">
        <v>25</v>
      </c>
      <c r="N1664" s="13">
        <v>1.7</v>
      </c>
      <c r="O1664" s="13" t="s">
        <v>30</v>
      </c>
      <c r="P1664" s="13">
        <v>56</v>
      </c>
      <c r="Q1664" s="13">
        <v>0</v>
      </c>
      <c r="R1664" s="15">
        <v>1400</v>
      </c>
      <c r="S1664" s="15">
        <v>0</v>
      </c>
      <c r="T1664" s="15">
        <v>0</v>
      </c>
      <c r="U1664" s="15">
        <v>1400</v>
      </c>
      <c r="V1664" s="15">
        <v>0</v>
      </c>
      <c r="W1664" s="15">
        <v>1400</v>
      </c>
      <c r="X1664" s="15">
        <v>0</v>
      </c>
      <c r="Y1664" s="16">
        <v>0</v>
      </c>
      <c r="Z1664" s="67" t="s">
        <v>26</v>
      </c>
      <c r="AA1664" s="12" t="s">
        <v>31</v>
      </c>
    </row>
    <row r="1665" spans="1:27" x14ac:dyDescent="0.25">
      <c r="A1665" s="10">
        <v>45682</v>
      </c>
      <c r="B1665" s="11" t="s">
        <v>3639</v>
      </c>
      <c r="C1665" s="11" t="s">
        <v>3640</v>
      </c>
      <c r="D1665" s="11" t="s">
        <v>26</v>
      </c>
      <c r="E1665" s="11" t="s">
        <v>604</v>
      </c>
      <c r="F1665" s="11" t="s">
        <v>26</v>
      </c>
      <c r="G1665" s="11">
        <v>1115</v>
      </c>
      <c r="H1665" s="12" t="s">
        <v>141</v>
      </c>
      <c r="I1665" s="12" t="s">
        <v>37</v>
      </c>
      <c r="J1665" s="12" t="s">
        <v>599</v>
      </c>
      <c r="K1665" s="12" t="s">
        <v>82</v>
      </c>
      <c r="L1665" s="13">
        <v>39.08</v>
      </c>
      <c r="M1665" s="13">
        <v>25</v>
      </c>
      <c r="N1665" s="13">
        <v>1.5631999999999999</v>
      </c>
      <c r="O1665" s="13">
        <v>29</v>
      </c>
      <c r="P1665" s="13" t="s">
        <v>30</v>
      </c>
      <c r="Q1665" s="13">
        <v>0</v>
      </c>
      <c r="R1665" s="14">
        <v>1133.32</v>
      </c>
      <c r="S1665" s="15">
        <v>0</v>
      </c>
      <c r="T1665" s="15">
        <v>0</v>
      </c>
      <c r="U1665" s="15">
        <v>1133.32</v>
      </c>
      <c r="V1665" s="15">
        <v>0</v>
      </c>
      <c r="W1665" s="15">
        <v>1133.32</v>
      </c>
      <c r="X1665" s="15">
        <v>0</v>
      </c>
      <c r="Y1665" s="16">
        <v>0</v>
      </c>
      <c r="Z1665" s="67" t="s">
        <v>26</v>
      </c>
      <c r="AA1665" s="12" t="s">
        <v>31</v>
      </c>
    </row>
    <row r="1666" spans="1:27" x14ac:dyDescent="0.25">
      <c r="A1666" s="10">
        <v>45682</v>
      </c>
      <c r="B1666" s="11" t="s">
        <v>3641</v>
      </c>
      <c r="C1666" s="11" t="s">
        <v>3642</v>
      </c>
      <c r="D1666" s="11" t="s">
        <v>26</v>
      </c>
      <c r="E1666" s="11" t="s">
        <v>570</v>
      </c>
      <c r="F1666" s="11" t="s">
        <v>26</v>
      </c>
      <c r="G1666" s="11">
        <v>10337</v>
      </c>
      <c r="H1666" s="12" t="s">
        <v>140</v>
      </c>
      <c r="I1666" s="12" t="s">
        <v>27</v>
      </c>
      <c r="J1666" s="12" t="s">
        <v>42</v>
      </c>
      <c r="K1666" s="12" t="s">
        <v>43</v>
      </c>
      <c r="L1666" s="13">
        <v>42.94</v>
      </c>
      <c r="M1666" s="13">
        <v>25</v>
      </c>
      <c r="N1666" s="13">
        <v>1.7176</v>
      </c>
      <c r="O1666" s="13">
        <v>35</v>
      </c>
      <c r="P1666" s="13"/>
      <c r="Q1666" s="13">
        <v>0</v>
      </c>
      <c r="R1666" s="14">
        <v>1502.8999999999999</v>
      </c>
      <c r="S1666" s="15">
        <v>0</v>
      </c>
      <c r="T1666" s="15">
        <v>0</v>
      </c>
      <c r="U1666" s="15">
        <v>1502.8999999999999</v>
      </c>
      <c r="V1666" s="15">
        <v>0</v>
      </c>
      <c r="W1666" s="15">
        <v>1502.8999999999999</v>
      </c>
      <c r="X1666" s="15">
        <v>0</v>
      </c>
      <c r="Y1666" s="16">
        <v>0</v>
      </c>
      <c r="Z1666" s="67" t="s">
        <v>26</v>
      </c>
      <c r="AA1666" s="12" t="s">
        <v>31</v>
      </c>
    </row>
    <row r="1667" spans="1:27" x14ac:dyDescent="0.25">
      <c r="A1667" s="10">
        <v>45682</v>
      </c>
      <c r="B1667" s="11" t="s">
        <v>3643</v>
      </c>
      <c r="C1667" s="11" t="s">
        <v>3644</v>
      </c>
      <c r="D1667" s="11" t="s">
        <v>26</v>
      </c>
      <c r="E1667" s="11" t="s">
        <v>1651</v>
      </c>
      <c r="F1667" s="11" t="s">
        <v>26</v>
      </c>
      <c r="G1667" s="11">
        <v>42031</v>
      </c>
      <c r="H1667" s="12" t="s">
        <v>565</v>
      </c>
      <c r="I1667" s="12" t="s">
        <v>55</v>
      </c>
      <c r="J1667" s="12" t="s">
        <v>55</v>
      </c>
      <c r="K1667" s="12" t="s">
        <v>56</v>
      </c>
      <c r="L1667" s="13">
        <v>32.74</v>
      </c>
      <c r="M1667" s="13">
        <v>20</v>
      </c>
      <c r="N1667" s="13">
        <v>1.637</v>
      </c>
      <c r="O1667" s="13"/>
      <c r="P1667" s="13">
        <v>24</v>
      </c>
      <c r="Q1667" s="13">
        <v>0</v>
      </c>
      <c r="R1667" s="14">
        <v>480</v>
      </c>
      <c r="S1667" s="15">
        <v>0</v>
      </c>
      <c r="T1667" s="15">
        <v>0</v>
      </c>
      <c r="U1667" s="15">
        <v>480</v>
      </c>
      <c r="V1667" s="15">
        <v>0</v>
      </c>
      <c r="W1667" s="15">
        <v>480</v>
      </c>
      <c r="X1667" s="15">
        <v>0</v>
      </c>
      <c r="Y1667" s="16">
        <v>0</v>
      </c>
      <c r="Z1667" s="67" t="s">
        <v>26</v>
      </c>
      <c r="AA1667" s="12" t="s">
        <v>31</v>
      </c>
    </row>
    <row r="1668" spans="1:27" x14ac:dyDescent="0.25">
      <c r="A1668" s="10">
        <v>45682</v>
      </c>
      <c r="B1668" s="11" t="s">
        <v>1806</v>
      </c>
      <c r="C1668" s="11" t="s">
        <v>3645</v>
      </c>
      <c r="D1668" s="11" t="s">
        <v>26</v>
      </c>
      <c r="E1668" s="11" t="s">
        <v>74</v>
      </c>
      <c r="F1668" s="11" t="s">
        <v>26</v>
      </c>
      <c r="G1668" s="11">
        <v>1323</v>
      </c>
      <c r="H1668" s="12" t="s">
        <v>70</v>
      </c>
      <c r="I1668" s="12" t="s">
        <v>27</v>
      </c>
      <c r="J1668" s="12" t="s">
        <v>42</v>
      </c>
      <c r="K1668" s="12" t="s">
        <v>43</v>
      </c>
      <c r="L1668" s="13">
        <v>41.12</v>
      </c>
      <c r="M1668" s="13">
        <v>25</v>
      </c>
      <c r="N1668" s="13">
        <v>1.6448</v>
      </c>
      <c r="O1668" s="13" t="s">
        <v>30</v>
      </c>
      <c r="P1668" s="13">
        <v>64</v>
      </c>
      <c r="Q1668" s="13">
        <v>0</v>
      </c>
      <c r="R1668" s="15">
        <v>1600</v>
      </c>
      <c r="S1668" s="15">
        <v>0</v>
      </c>
      <c r="T1668" s="15">
        <v>0</v>
      </c>
      <c r="U1668" s="15">
        <v>1600</v>
      </c>
      <c r="V1668" s="15">
        <v>0</v>
      </c>
      <c r="W1668" s="15">
        <v>1600</v>
      </c>
      <c r="X1668" s="15">
        <v>0</v>
      </c>
      <c r="Y1668" s="16">
        <v>0</v>
      </c>
      <c r="Z1668" s="67" t="s">
        <v>26</v>
      </c>
      <c r="AA1668" s="12" t="s">
        <v>31</v>
      </c>
    </row>
    <row r="1669" spans="1:27" x14ac:dyDescent="0.25">
      <c r="A1669" s="10">
        <v>45682</v>
      </c>
      <c r="B1669" s="11" t="s">
        <v>332</v>
      </c>
      <c r="C1669" s="11" t="s">
        <v>3646</v>
      </c>
      <c r="D1669" s="11" t="s">
        <v>26</v>
      </c>
      <c r="E1669" s="11" t="s">
        <v>1200</v>
      </c>
      <c r="F1669" s="11" t="s">
        <v>26</v>
      </c>
      <c r="G1669" s="11">
        <v>2557</v>
      </c>
      <c r="H1669" s="12" t="s">
        <v>163</v>
      </c>
      <c r="I1669" s="12" t="s">
        <v>27</v>
      </c>
      <c r="J1669" s="12" t="s">
        <v>33</v>
      </c>
      <c r="K1669" s="12" t="s">
        <v>34</v>
      </c>
      <c r="L1669" s="13">
        <v>38.700000000000003</v>
      </c>
      <c r="M1669" s="13">
        <v>25</v>
      </c>
      <c r="N1669" s="13">
        <v>1.548</v>
      </c>
      <c r="O1669" s="13" t="s">
        <v>30</v>
      </c>
      <c r="P1669" s="13">
        <v>58</v>
      </c>
      <c r="Q1669" s="13">
        <v>0</v>
      </c>
      <c r="R1669" s="14">
        <v>1450</v>
      </c>
      <c r="S1669" s="15">
        <v>0</v>
      </c>
      <c r="T1669" s="15">
        <v>0</v>
      </c>
      <c r="U1669" s="15">
        <v>1450</v>
      </c>
      <c r="V1669" s="15">
        <v>0</v>
      </c>
      <c r="W1669" s="15">
        <v>1450</v>
      </c>
      <c r="X1669" s="15">
        <v>0</v>
      </c>
      <c r="Y1669" s="16">
        <v>0</v>
      </c>
      <c r="Z1669" s="67" t="s">
        <v>26</v>
      </c>
      <c r="AA1669" s="12" t="s">
        <v>31</v>
      </c>
    </row>
    <row r="1670" spans="1:27" x14ac:dyDescent="0.25">
      <c r="A1670" s="10">
        <v>45682</v>
      </c>
      <c r="B1670" s="11" t="s">
        <v>680</v>
      </c>
      <c r="C1670" s="11" t="s">
        <v>3647</v>
      </c>
      <c r="D1670" s="11" t="s">
        <v>26</v>
      </c>
      <c r="E1670" s="11" t="s">
        <v>552</v>
      </c>
      <c r="F1670" s="11" t="s">
        <v>26</v>
      </c>
      <c r="G1670" s="11">
        <v>69132</v>
      </c>
      <c r="H1670" s="12" t="s">
        <v>4423</v>
      </c>
      <c r="I1670" s="12" t="s">
        <v>27</v>
      </c>
      <c r="J1670" s="12" t="s">
        <v>42</v>
      </c>
      <c r="K1670" s="12" t="s">
        <v>43</v>
      </c>
      <c r="L1670" s="13">
        <v>34.799999999999997</v>
      </c>
      <c r="M1670" s="13">
        <v>25</v>
      </c>
      <c r="N1670" s="13">
        <v>1.3919999999999999</v>
      </c>
      <c r="O1670" s="13">
        <v>42</v>
      </c>
      <c r="P1670" s="13" t="s">
        <v>30</v>
      </c>
      <c r="Q1670" s="13">
        <v>0</v>
      </c>
      <c r="R1670" s="14">
        <v>1461.6</v>
      </c>
      <c r="S1670" s="15">
        <v>0</v>
      </c>
      <c r="T1670" s="15">
        <v>0</v>
      </c>
      <c r="U1670" s="15">
        <v>1461.6</v>
      </c>
      <c r="V1670" s="15">
        <v>1461.6</v>
      </c>
      <c r="W1670" s="15">
        <v>0</v>
      </c>
      <c r="X1670" s="15">
        <v>0</v>
      </c>
      <c r="Y1670" s="16">
        <v>0</v>
      </c>
      <c r="Z1670" s="67" t="s">
        <v>26</v>
      </c>
      <c r="AA1670" s="12" t="s">
        <v>31</v>
      </c>
    </row>
    <row r="1671" spans="1:27" x14ac:dyDescent="0.25">
      <c r="A1671" s="10">
        <v>45682</v>
      </c>
      <c r="B1671" s="11" t="s">
        <v>3648</v>
      </c>
      <c r="C1671" s="11" t="s">
        <v>3649</v>
      </c>
      <c r="D1671" s="11" t="s">
        <v>26</v>
      </c>
      <c r="E1671" s="11" t="s">
        <v>179</v>
      </c>
      <c r="F1671" s="11" t="s">
        <v>26</v>
      </c>
      <c r="G1671" s="11">
        <v>57748</v>
      </c>
      <c r="H1671" s="12" t="s">
        <v>4423</v>
      </c>
      <c r="I1671" s="12" t="s">
        <v>27</v>
      </c>
      <c r="J1671" s="12" t="s">
        <v>33</v>
      </c>
      <c r="K1671" s="12" t="s">
        <v>34</v>
      </c>
      <c r="L1671" s="13">
        <v>35.58</v>
      </c>
      <c r="M1671" s="13">
        <v>25</v>
      </c>
      <c r="N1671" s="13">
        <v>1.4232</v>
      </c>
      <c r="O1671" s="13">
        <v>45</v>
      </c>
      <c r="P1671" s="13" t="s">
        <v>30</v>
      </c>
      <c r="Q1671" s="14">
        <v>0</v>
      </c>
      <c r="R1671" s="15">
        <v>1601.1</v>
      </c>
      <c r="S1671" s="15">
        <v>0</v>
      </c>
      <c r="T1671" s="15">
        <v>0</v>
      </c>
      <c r="U1671" s="15">
        <v>1601.1</v>
      </c>
      <c r="V1671" s="15">
        <v>1601.1</v>
      </c>
      <c r="W1671" s="15">
        <v>0</v>
      </c>
      <c r="X1671" s="15">
        <v>0</v>
      </c>
      <c r="Y1671" s="16">
        <v>0</v>
      </c>
      <c r="Z1671" s="67" t="s">
        <v>26</v>
      </c>
      <c r="AA1671" s="12" t="s">
        <v>31</v>
      </c>
    </row>
    <row r="1672" spans="1:27" x14ac:dyDescent="0.25">
      <c r="A1672" s="10">
        <v>45682</v>
      </c>
      <c r="B1672" s="11" t="s">
        <v>428</v>
      </c>
      <c r="C1672" s="11" t="s">
        <v>3650</v>
      </c>
      <c r="D1672" s="11" t="s">
        <v>26</v>
      </c>
      <c r="E1672" s="11" t="s">
        <v>57</v>
      </c>
      <c r="F1672" s="11" t="s">
        <v>26</v>
      </c>
      <c r="G1672" s="11">
        <v>3653</v>
      </c>
      <c r="H1672" s="12" t="s">
        <v>41</v>
      </c>
      <c r="I1672" s="12" t="s">
        <v>37</v>
      </c>
      <c r="J1672" s="12" t="s">
        <v>228</v>
      </c>
      <c r="K1672" s="12" t="s">
        <v>38</v>
      </c>
      <c r="L1672" s="13">
        <v>39.6</v>
      </c>
      <c r="M1672" s="13">
        <v>24</v>
      </c>
      <c r="N1672" s="13">
        <v>1.65</v>
      </c>
      <c r="O1672" s="13" t="s">
        <v>30</v>
      </c>
      <c r="P1672" s="13">
        <v>43.5</v>
      </c>
      <c r="Q1672" s="13">
        <v>0</v>
      </c>
      <c r="R1672" s="14">
        <v>1044</v>
      </c>
      <c r="S1672" s="15">
        <v>0</v>
      </c>
      <c r="T1672" s="15">
        <v>0</v>
      </c>
      <c r="U1672" s="15">
        <v>1044</v>
      </c>
      <c r="V1672" s="15">
        <v>0</v>
      </c>
      <c r="W1672" s="15">
        <v>1044</v>
      </c>
      <c r="X1672" s="15">
        <v>0</v>
      </c>
      <c r="Y1672" s="16">
        <v>0</v>
      </c>
      <c r="Z1672" s="67" t="s">
        <v>26</v>
      </c>
      <c r="AA1672" s="12" t="s">
        <v>31</v>
      </c>
    </row>
    <row r="1673" spans="1:27" x14ac:dyDescent="0.25">
      <c r="A1673" s="10">
        <v>45682</v>
      </c>
      <c r="B1673" s="11" t="s">
        <v>630</v>
      </c>
      <c r="C1673" s="11" t="s">
        <v>3651</v>
      </c>
      <c r="D1673" s="11" t="s">
        <v>26</v>
      </c>
      <c r="E1673" s="11" t="s">
        <v>53</v>
      </c>
      <c r="F1673" s="11" t="s">
        <v>26</v>
      </c>
      <c r="G1673" s="11">
        <v>3771</v>
      </c>
      <c r="H1673" s="12" t="s">
        <v>41</v>
      </c>
      <c r="I1673" s="12" t="s">
        <v>37</v>
      </c>
      <c r="J1673" s="12" t="s">
        <v>228</v>
      </c>
      <c r="K1673" s="12" t="s">
        <v>38</v>
      </c>
      <c r="L1673" s="13">
        <v>40.159999999999997</v>
      </c>
      <c r="M1673" s="13">
        <v>25</v>
      </c>
      <c r="N1673" s="13">
        <v>1.6064000000000001</v>
      </c>
      <c r="O1673" s="13" t="s">
        <v>30</v>
      </c>
      <c r="P1673" s="13">
        <v>43.5</v>
      </c>
      <c r="Q1673" s="13">
        <v>0</v>
      </c>
      <c r="R1673" s="15">
        <v>1087.5</v>
      </c>
      <c r="S1673" s="15">
        <v>0</v>
      </c>
      <c r="T1673" s="15">
        <v>0</v>
      </c>
      <c r="U1673" s="15">
        <v>1087.5</v>
      </c>
      <c r="V1673" s="15">
        <v>0</v>
      </c>
      <c r="W1673" s="15">
        <v>1087.5</v>
      </c>
      <c r="X1673" s="15">
        <v>0</v>
      </c>
      <c r="Y1673" s="16">
        <v>0</v>
      </c>
      <c r="Z1673" s="67" t="s">
        <v>26</v>
      </c>
      <c r="AA1673" s="12" t="s">
        <v>31</v>
      </c>
    </row>
    <row r="1674" spans="1:27" x14ac:dyDescent="0.25">
      <c r="A1674" s="10">
        <v>45682</v>
      </c>
      <c r="B1674" s="11" t="s">
        <v>111</v>
      </c>
      <c r="C1674" s="11" t="s">
        <v>3652</v>
      </c>
      <c r="D1674" s="11" t="s">
        <v>26</v>
      </c>
      <c r="E1674" s="11" t="s">
        <v>654</v>
      </c>
      <c r="F1674" s="11" t="s">
        <v>26</v>
      </c>
      <c r="G1674" s="11">
        <v>2812</v>
      </c>
      <c r="H1674" s="12" t="s">
        <v>41</v>
      </c>
      <c r="I1674" s="12" t="s">
        <v>55</v>
      </c>
      <c r="J1674" s="12" t="s">
        <v>55</v>
      </c>
      <c r="K1674" s="12" t="s">
        <v>56</v>
      </c>
      <c r="L1674" s="13">
        <v>32.74</v>
      </c>
      <c r="M1674" s="13">
        <v>20</v>
      </c>
      <c r="N1674" s="13">
        <v>1.637</v>
      </c>
      <c r="O1674" s="13" t="s">
        <v>30</v>
      </c>
      <c r="P1674" s="13">
        <v>24</v>
      </c>
      <c r="Q1674" s="13">
        <v>0</v>
      </c>
      <c r="R1674" s="14">
        <v>480</v>
      </c>
      <c r="S1674" s="15">
        <v>0</v>
      </c>
      <c r="T1674" s="15">
        <v>0</v>
      </c>
      <c r="U1674" s="15">
        <v>480</v>
      </c>
      <c r="V1674" s="15">
        <v>0</v>
      </c>
      <c r="W1674" s="15">
        <v>480</v>
      </c>
      <c r="X1674" s="15">
        <v>0</v>
      </c>
      <c r="Y1674" s="16">
        <v>0</v>
      </c>
      <c r="Z1674" s="67" t="s">
        <v>26</v>
      </c>
      <c r="AA1674" s="12" t="s">
        <v>31</v>
      </c>
    </row>
    <row r="1675" spans="1:27" x14ac:dyDescent="0.25">
      <c r="A1675" s="10">
        <v>45682</v>
      </c>
      <c r="B1675" s="11" t="s">
        <v>3653</v>
      </c>
      <c r="C1675" s="11" t="s">
        <v>3654</v>
      </c>
      <c r="D1675" s="11" t="s">
        <v>26</v>
      </c>
      <c r="E1675" s="11" t="s">
        <v>75</v>
      </c>
      <c r="F1675" s="11" t="s">
        <v>26</v>
      </c>
      <c r="G1675" s="11">
        <v>42032</v>
      </c>
      <c r="H1675" s="12" t="s">
        <v>565</v>
      </c>
      <c r="I1675" s="12" t="s">
        <v>55</v>
      </c>
      <c r="J1675" s="12" t="s">
        <v>55</v>
      </c>
      <c r="K1675" s="12" t="s">
        <v>56</v>
      </c>
      <c r="L1675" s="13">
        <v>41.02</v>
      </c>
      <c r="M1675" s="13">
        <v>25</v>
      </c>
      <c r="N1675" s="13">
        <v>1.6408</v>
      </c>
      <c r="O1675" s="13"/>
      <c r="P1675" s="13">
        <v>24</v>
      </c>
      <c r="Q1675" s="13">
        <v>0</v>
      </c>
      <c r="R1675" s="15">
        <v>600</v>
      </c>
      <c r="S1675" s="15">
        <v>0</v>
      </c>
      <c r="T1675" s="15">
        <v>0</v>
      </c>
      <c r="U1675" s="15">
        <v>600</v>
      </c>
      <c r="V1675" s="15">
        <v>0</v>
      </c>
      <c r="W1675" s="15">
        <v>600</v>
      </c>
      <c r="X1675" s="15">
        <v>0</v>
      </c>
      <c r="Y1675" s="16">
        <v>0</v>
      </c>
      <c r="Z1675" s="67" t="s">
        <v>26</v>
      </c>
      <c r="AA1675" s="12" t="s">
        <v>31</v>
      </c>
    </row>
    <row r="1676" spans="1:27" x14ac:dyDescent="0.25">
      <c r="A1676" s="10">
        <v>45682</v>
      </c>
      <c r="B1676" s="11" t="s">
        <v>3655</v>
      </c>
      <c r="C1676" s="11" t="s">
        <v>3656</v>
      </c>
      <c r="D1676" s="11" t="s">
        <v>26</v>
      </c>
      <c r="E1676" s="11" t="s">
        <v>230</v>
      </c>
      <c r="F1676" s="11" t="s">
        <v>26</v>
      </c>
      <c r="G1676" s="11" t="s">
        <v>26</v>
      </c>
      <c r="H1676" s="12" t="s">
        <v>4422</v>
      </c>
      <c r="I1676" s="12" t="s">
        <v>27</v>
      </c>
      <c r="J1676" s="12" t="s">
        <v>47</v>
      </c>
      <c r="K1676" s="12" t="s">
        <v>48</v>
      </c>
      <c r="L1676" s="13">
        <v>42.64</v>
      </c>
      <c r="M1676" s="13">
        <v>29</v>
      </c>
      <c r="N1676" s="13">
        <v>1.470344827586207</v>
      </c>
      <c r="O1676" s="13">
        <v>87</v>
      </c>
      <c r="P1676" s="13" t="s">
        <v>30</v>
      </c>
      <c r="Q1676" s="13">
        <v>0</v>
      </c>
      <c r="R1676" s="15">
        <v>3709.68</v>
      </c>
      <c r="S1676" s="15">
        <v>38</v>
      </c>
      <c r="T1676" s="15">
        <v>1620.32</v>
      </c>
      <c r="U1676" s="15">
        <v>2089.3599999999997</v>
      </c>
      <c r="V1676" s="15">
        <v>2089.3599999999997</v>
      </c>
      <c r="W1676" s="15"/>
      <c r="X1676" s="15">
        <v>1535.04</v>
      </c>
      <c r="Y1676" s="16">
        <v>85.279999999999973</v>
      </c>
      <c r="Z1676" s="67" t="s">
        <v>565</v>
      </c>
      <c r="AA1676" s="12" t="s">
        <v>78</v>
      </c>
    </row>
    <row r="1677" spans="1:27" x14ac:dyDescent="0.25">
      <c r="A1677" s="10">
        <v>45682</v>
      </c>
      <c r="B1677" s="11" t="s">
        <v>2448</v>
      </c>
      <c r="C1677" s="11" t="s">
        <v>3657</v>
      </c>
      <c r="D1677" s="11" t="s">
        <v>26</v>
      </c>
      <c r="E1677" s="11" t="s">
        <v>559</v>
      </c>
      <c r="F1677" s="11" t="s">
        <v>26</v>
      </c>
      <c r="G1677" s="11">
        <v>2569</v>
      </c>
      <c r="H1677" s="12" t="s">
        <v>41</v>
      </c>
      <c r="I1677" s="12" t="s">
        <v>55</v>
      </c>
      <c r="J1677" s="12" t="s">
        <v>55</v>
      </c>
      <c r="K1677" s="12" t="s">
        <v>56</v>
      </c>
      <c r="L1677" s="13">
        <v>32.200000000000003</v>
      </c>
      <c r="M1677" s="13">
        <v>20</v>
      </c>
      <c r="N1677" s="13">
        <v>1.61</v>
      </c>
      <c r="O1677" s="13" t="s">
        <v>30</v>
      </c>
      <c r="P1677" s="13">
        <v>24</v>
      </c>
      <c r="Q1677" s="13">
        <v>0</v>
      </c>
      <c r="R1677" s="14">
        <v>480</v>
      </c>
      <c r="S1677" s="15">
        <v>0</v>
      </c>
      <c r="T1677" s="15">
        <v>0</v>
      </c>
      <c r="U1677" s="15">
        <v>480</v>
      </c>
      <c r="V1677" s="15">
        <v>0</v>
      </c>
      <c r="W1677" s="15">
        <v>480</v>
      </c>
      <c r="X1677" s="15">
        <v>0</v>
      </c>
      <c r="Y1677" s="16">
        <v>0</v>
      </c>
      <c r="Z1677" s="67" t="s">
        <v>26</v>
      </c>
      <c r="AA1677" s="12" t="s">
        <v>31</v>
      </c>
    </row>
    <row r="1678" spans="1:27" x14ac:dyDescent="0.25">
      <c r="A1678" s="10">
        <v>45682</v>
      </c>
      <c r="B1678" s="11" t="s">
        <v>3658</v>
      </c>
      <c r="C1678" s="11" t="s">
        <v>3659</v>
      </c>
      <c r="D1678" s="11" t="s">
        <v>26</v>
      </c>
      <c r="E1678" s="11" t="s">
        <v>60</v>
      </c>
      <c r="F1678" s="11" t="s">
        <v>26</v>
      </c>
      <c r="G1678" s="11" t="s">
        <v>35</v>
      </c>
      <c r="H1678" s="12" t="s">
        <v>36</v>
      </c>
      <c r="I1678" s="12" t="s">
        <v>27</v>
      </c>
      <c r="J1678" s="12" t="s">
        <v>42</v>
      </c>
      <c r="K1678" s="12" t="s">
        <v>43</v>
      </c>
      <c r="L1678" s="13">
        <v>9.74</v>
      </c>
      <c r="M1678" s="13">
        <v>6</v>
      </c>
      <c r="N1678" s="13">
        <v>1.6233333333333331</v>
      </c>
      <c r="O1678" s="13">
        <v>45</v>
      </c>
      <c r="P1678" s="13" t="s">
        <v>30</v>
      </c>
      <c r="Q1678" s="13">
        <v>0</v>
      </c>
      <c r="R1678" s="14">
        <v>438.3</v>
      </c>
      <c r="S1678" s="15">
        <v>0</v>
      </c>
      <c r="T1678" s="15">
        <v>0</v>
      </c>
      <c r="U1678" s="15">
        <v>438.3</v>
      </c>
      <c r="V1678" s="15">
        <v>0</v>
      </c>
      <c r="W1678" s="15">
        <v>438.3</v>
      </c>
      <c r="X1678" s="15">
        <v>0</v>
      </c>
      <c r="Y1678" s="16">
        <v>0</v>
      </c>
      <c r="Z1678" s="67" t="s">
        <v>26</v>
      </c>
      <c r="AA1678" s="12" t="s">
        <v>31</v>
      </c>
    </row>
    <row r="1679" spans="1:27" x14ac:dyDescent="0.25">
      <c r="A1679" s="10">
        <v>45682</v>
      </c>
      <c r="B1679" s="11" t="s">
        <v>3660</v>
      </c>
      <c r="C1679" s="11" t="s">
        <v>3661</v>
      </c>
      <c r="D1679" s="11" t="s">
        <v>26</v>
      </c>
      <c r="E1679" s="11" t="s">
        <v>74</v>
      </c>
      <c r="F1679" s="11" t="s">
        <v>26</v>
      </c>
      <c r="G1679" s="11">
        <v>1324</v>
      </c>
      <c r="H1679" s="12" t="s">
        <v>70</v>
      </c>
      <c r="I1679" s="12" t="s">
        <v>27</v>
      </c>
      <c r="J1679" s="12" t="s">
        <v>33</v>
      </c>
      <c r="K1679" s="12" t="s">
        <v>34</v>
      </c>
      <c r="L1679" s="13">
        <v>37.659999999999997</v>
      </c>
      <c r="M1679" s="13">
        <v>25</v>
      </c>
      <c r="N1679" s="13">
        <v>1.5064</v>
      </c>
      <c r="O1679" s="13" t="s">
        <v>30</v>
      </c>
      <c r="P1679" s="13">
        <v>60</v>
      </c>
      <c r="Q1679" s="13">
        <v>0</v>
      </c>
      <c r="R1679" s="15">
        <v>1500</v>
      </c>
      <c r="S1679" s="15">
        <v>0</v>
      </c>
      <c r="T1679" s="15">
        <v>0</v>
      </c>
      <c r="U1679" s="15">
        <v>1500</v>
      </c>
      <c r="V1679" s="15">
        <v>0</v>
      </c>
      <c r="W1679" s="15">
        <v>1500</v>
      </c>
      <c r="X1679" s="15">
        <v>0</v>
      </c>
      <c r="Y1679" s="16">
        <v>0</v>
      </c>
      <c r="Z1679" s="67" t="s">
        <v>26</v>
      </c>
      <c r="AA1679" s="12" t="s">
        <v>31</v>
      </c>
    </row>
    <row r="1680" spans="1:27" x14ac:dyDescent="0.25">
      <c r="A1680" s="10">
        <v>45682</v>
      </c>
      <c r="B1680" s="11" t="s">
        <v>3365</v>
      </c>
      <c r="C1680" s="11" t="s">
        <v>3662</v>
      </c>
      <c r="D1680" s="11" t="s">
        <v>26</v>
      </c>
      <c r="E1680" s="11" t="s">
        <v>435</v>
      </c>
      <c r="F1680" s="11" t="s">
        <v>26</v>
      </c>
      <c r="G1680" s="11">
        <v>3519</v>
      </c>
      <c r="H1680" s="12" t="s">
        <v>41</v>
      </c>
      <c r="I1680" s="12" t="s">
        <v>55</v>
      </c>
      <c r="J1680" s="12" t="s">
        <v>55</v>
      </c>
      <c r="K1680" s="12" t="s">
        <v>56</v>
      </c>
      <c r="L1680" s="13">
        <v>39.94</v>
      </c>
      <c r="M1680" s="13">
        <v>24</v>
      </c>
      <c r="N1680" s="13">
        <v>1.664166666666667</v>
      </c>
      <c r="O1680" s="13" t="s">
        <v>30</v>
      </c>
      <c r="P1680" s="13">
        <v>24</v>
      </c>
      <c r="Q1680" s="13">
        <v>0</v>
      </c>
      <c r="R1680" s="14">
        <v>576</v>
      </c>
      <c r="S1680" s="15">
        <v>0</v>
      </c>
      <c r="T1680" s="15">
        <v>0</v>
      </c>
      <c r="U1680" s="15">
        <v>576</v>
      </c>
      <c r="V1680" s="15">
        <v>0</v>
      </c>
      <c r="W1680" s="15">
        <v>576</v>
      </c>
      <c r="X1680" s="15">
        <v>0</v>
      </c>
      <c r="Y1680" s="16">
        <v>0</v>
      </c>
      <c r="Z1680" s="67" t="s">
        <v>26</v>
      </c>
      <c r="AA1680" s="12" t="s">
        <v>31</v>
      </c>
    </row>
    <row r="1681" spans="1:27" x14ac:dyDescent="0.25">
      <c r="A1681" s="10">
        <v>45682</v>
      </c>
      <c r="B1681" s="11" t="s">
        <v>3663</v>
      </c>
      <c r="C1681" s="11" t="s">
        <v>3664</v>
      </c>
      <c r="D1681" s="11" t="s">
        <v>26</v>
      </c>
      <c r="E1681" s="11" t="s">
        <v>40</v>
      </c>
      <c r="F1681" s="11" t="s">
        <v>26</v>
      </c>
      <c r="G1681" s="11">
        <v>3715</v>
      </c>
      <c r="H1681" s="12" t="s">
        <v>41</v>
      </c>
      <c r="I1681" s="12" t="s">
        <v>55</v>
      </c>
      <c r="J1681" s="12" t="s">
        <v>55</v>
      </c>
      <c r="K1681" s="12" t="s">
        <v>56</v>
      </c>
      <c r="L1681" s="13">
        <v>38.659999999999997</v>
      </c>
      <c r="M1681" s="13">
        <v>23</v>
      </c>
      <c r="N1681" s="13">
        <v>1.6808695652173911</v>
      </c>
      <c r="O1681" s="13" t="s">
        <v>30</v>
      </c>
      <c r="P1681" s="13">
        <v>24</v>
      </c>
      <c r="Q1681" s="13">
        <v>0</v>
      </c>
      <c r="R1681" s="14">
        <v>552</v>
      </c>
      <c r="S1681" s="15">
        <v>0</v>
      </c>
      <c r="T1681" s="15">
        <v>0</v>
      </c>
      <c r="U1681" s="15">
        <v>552</v>
      </c>
      <c r="V1681" s="15">
        <v>0</v>
      </c>
      <c r="W1681" s="15">
        <v>552</v>
      </c>
      <c r="X1681" s="15">
        <v>0</v>
      </c>
      <c r="Y1681" s="16">
        <v>0</v>
      </c>
      <c r="Z1681" s="67" t="s">
        <v>26</v>
      </c>
      <c r="AA1681" s="12" t="s">
        <v>31</v>
      </c>
    </row>
    <row r="1682" spans="1:27" x14ac:dyDescent="0.25">
      <c r="A1682" s="10">
        <v>45682</v>
      </c>
      <c r="B1682" s="11" t="s">
        <v>376</v>
      </c>
      <c r="C1682" s="11" t="s">
        <v>3665</v>
      </c>
      <c r="D1682" s="11" t="s">
        <v>26</v>
      </c>
      <c r="E1682" s="11" t="s">
        <v>99</v>
      </c>
      <c r="F1682" s="11" t="s">
        <v>26</v>
      </c>
      <c r="G1682" s="11">
        <v>3107</v>
      </c>
      <c r="H1682" s="12" t="s">
        <v>4423</v>
      </c>
      <c r="I1682" s="12" t="s">
        <v>27</v>
      </c>
      <c r="J1682" s="12" t="s">
        <v>47</v>
      </c>
      <c r="K1682" s="12" t="s">
        <v>48</v>
      </c>
      <c r="L1682" s="13">
        <v>35.479999999999997</v>
      </c>
      <c r="M1682" s="13">
        <v>25</v>
      </c>
      <c r="N1682" s="13">
        <v>1.4192</v>
      </c>
      <c r="O1682" s="13">
        <v>46</v>
      </c>
      <c r="P1682" s="13" t="s">
        <v>30</v>
      </c>
      <c r="Q1682" s="13">
        <v>0</v>
      </c>
      <c r="R1682" s="14">
        <v>1632.08</v>
      </c>
      <c r="S1682" s="15">
        <v>0</v>
      </c>
      <c r="T1682" s="15">
        <v>0</v>
      </c>
      <c r="U1682" s="15">
        <v>1632.08</v>
      </c>
      <c r="V1682" s="15">
        <v>1632.08</v>
      </c>
      <c r="W1682" s="15">
        <v>0</v>
      </c>
      <c r="X1682" s="16">
        <v>0</v>
      </c>
      <c r="Y1682" s="16">
        <v>0</v>
      </c>
      <c r="Z1682" s="67" t="s">
        <v>26</v>
      </c>
      <c r="AA1682" s="12" t="s">
        <v>31</v>
      </c>
    </row>
    <row r="1683" spans="1:27" x14ac:dyDescent="0.25">
      <c r="A1683" s="10">
        <v>45682</v>
      </c>
      <c r="B1683" s="11" t="s">
        <v>2506</v>
      </c>
      <c r="C1683" s="11" t="s">
        <v>3666</v>
      </c>
      <c r="D1683" s="11" t="s">
        <v>26</v>
      </c>
      <c r="E1683" s="11" t="s">
        <v>69</v>
      </c>
      <c r="F1683" s="11" t="s">
        <v>26</v>
      </c>
      <c r="G1683" s="11">
        <v>4700</v>
      </c>
      <c r="H1683" s="12" t="s">
        <v>70</v>
      </c>
      <c r="I1683" s="12" t="s">
        <v>27</v>
      </c>
      <c r="J1683" s="12" t="s">
        <v>42</v>
      </c>
      <c r="K1683" s="12" t="s">
        <v>43</v>
      </c>
      <c r="L1683" s="13">
        <v>43.6</v>
      </c>
      <c r="M1683" s="13">
        <v>25</v>
      </c>
      <c r="N1683" s="13">
        <v>1.744</v>
      </c>
      <c r="O1683" s="13" t="s">
        <v>30</v>
      </c>
      <c r="P1683" s="13">
        <v>64</v>
      </c>
      <c r="Q1683" s="13">
        <v>0</v>
      </c>
      <c r="R1683" s="14">
        <v>1600</v>
      </c>
      <c r="S1683" s="15">
        <v>0</v>
      </c>
      <c r="T1683" s="15">
        <v>0</v>
      </c>
      <c r="U1683" s="15">
        <v>1600</v>
      </c>
      <c r="V1683" s="15">
        <v>0</v>
      </c>
      <c r="W1683" s="15">
        <v>1600</v>
      </c>
      <c r="X1683" s="15">
        <v>0</v>
      </c>
      <c r="Y1683" s="16">
        <v>0</v>
      </c>
      <c r="Z1683" s="67" t="s">
        <v>26</v>
      </c>
      <c r="AA1683" s="12" t="s">
        <v>31</v>
      </c>
    </row>
    <row r="1684" spans="1:27" x14ac:dyDescent="0.25">
      <c r="A1684" s="10">
        <v>45682</v>
      </c>
      <c r="B1684" s="11" t="s">
        <v>3667</v>
      </c>
      <c r="C1684" s="11" t="s">
        <v>3668</v>
      </c>
      <c r="D1684" s="11" t="s">
        <v>26</v>
      </c>
      <c r="E1684" s="11" t="s">
        <v>60</v>
      </c>
      <c r="F1684" s="11" t="s">
        <v>26</v>
      </c>
      <c r="G1684" s="11" t="s">
        <v>35</v>
      </c>
      <c r="H1684" s="12" t="s">
        <v>36</v>
      </c>
      <c r="I1684" s="12" t="s">
        <v>27</v>
      </c>
      <c r="J1684" s="12" t="s">
        <v>33</v>
      </c>
      <c r="K1684" s="12" t="s">
        <v>34</v>
      </c>
      <c r="L1684" s="13">
        <v>5.4</v>
      </c>
      <c r="M1684" s="13">
        <v>4</v>
      </c>
      <c r="N1684" s="13">
        <v>1.35</v>
      </c>
      <c r="O1684" s="13">
        <v>50</v>
      </c>
      <c r="P1684" s="13" t="s">
        <v>30</v>
      </c>
      <c r="Q1684" s="14">
        <v>0</v>
      </c>
      <c r="R1684" s="15">
        <v>270</v>
      </c>
      <c r="S1684" s="15">
        <v>0</v>
      </c>
      <c r="T1684" s="15">
        <v>0</v>
      </c>
      <c r="U1684" s="15">
        <v>270</v>
      </c>
      <c r="V1684" s="15">
        <v>0</v>
      </c>
      <c r="W1684" s="15">
        <v>270</v>
      </c>
      <c r="X1684" s="15">
        <v>0</v>
      </c>
      <c r="Y1684" s="16">
        <v>0</v>
      </c>
      <c r="Z1684" s="67" t="s">
        <v>26</v>
      </c>
      <c r="AA1684" s="12" t="s">
        <v>31</v>
      </c>
    </row>
    <row r="1685" spans="1:27" x14ac:dyDescent="0.25">
      <c r="A1685" s="10">
        <v>45682</v>
      </c>
      <c r="B1685" s="11" t="s">
        <v>395</v>
      </c>
      <c r="C1685" s="11" t="s">
        <v>3669</v>
      </c>
      <c r="D1685" s="11" t="s">
        <v>26</v>
      </c>
      <c r="E1685" s="11" t="s">
        <v>495</v>
      </c>
      <c r="F1685" s="11" t="s">
        <v>26</v>
      </c>
      <c r="G1685" s="11">
        <v>21543</v>
      </c>
      <c r="H1685" s="12" t="s">
        <v>4448</v>
      </c>
      <c r="I1685" s="12" t="s">
        <v>27</v>
      </c>
      <c r="J1685" s="12" t="s">
        <v>42</v>
      </c>
      <c r="K1685" s="12" t="s">
        <v>43</v>
      </c>
      <c r="L1685" s="13">
        <v>43.8</v>
      </c>
      <c r="M1685" s="13">
        <v>25</v>
      </c>
      <c r="N1685" s="13">
        <v>1.752</v>
      </c>
      <c r="O1685" s="13">
        <v>42.5</v>
      </c>
      <c r="P1685" s="13" t="s">
        <v>30</v>
      </c>
      <c r="Q1685" s="13">
        <v>0</v>
      </c>
      <c r="R1685" s="14">
        <v>1861.4999999999998</v>
      </c>
      <c r="S1685" s="15">
        <v>0</v>
      </c>
      <c r="T1685" s="15">
        <v>0</v>
      </c>
      <c r="U1685" s="15">
        <v>1861.4999999999998</v>
      </c>
      <c r="V1685" s="15">
        <v>1396.1249999999998</v>
      </c>
      <c r="W1685" s="15">
        <v>465.375</v>
      </c>
      <c r="X1685" s="15">
        <v>0</v>
      </c>
      <c r="Y1685" s="16">
        <v>0</v>
      </c>
      <c r="Z1685" s="67" t="s">
        <v>26</v>
      </c>
      <c r="AA1685" s="12" t="s">
        <v>31</v>
      </c>
    </row>
    <row r="1686" spans="1:27" x14ac:dyDescent="0.25">
      <c r="A1686" s="10">
        <v>45682</v>
      </c>
      <c r="B1686" s="11" t="s">
        <v>381</v>
      </c>
      <c r="C1686" s="11" t="s">
        <v>3670</v>
      </c>
      <c r="D1686" s="11" t="s">
        <v>26</v>
      </c>
      <c r="E1686" s="11" t="s">
        <v>567</v>
      </c>
      <c r="F1686" s="11" t="s">
        <v>26</v>
      </c>
      <c r="G1686" s="11">
        <v>112296</v>
      </c>
      <c r="H1686" s="12" t="s">
        <v>4446</v>
      </c>
      <c r="I1686" s="12" t="s">
        <v>27</v>
      </c>
      <c r="J1686" s="12" t="s">
        <v>47</v>
      </c>
      <c r="K1686" s="12" t="s">
        <v>48</v>
      </c>
      <c r="L1686" s="13">
        <v>36.64</v>
      </c>
      <c r="M1686" s="13">
        <v>25</v>
      </c>
      <c r="N1686" s="13">
        <v>1.4656</v>
      </c>
      <c r="O1686" s="13">
        <v>44</v>
      </c>
      <c r="P1686" s="13" t="s">
        <v>30</v>
      </c>
      <c r="Q1686" s="13">
        <v>0</v>
      </c>
      <c r="R1686" s="15">
        <v>1612.16</v>
      </c>
      <c r="S1686" s="15">
        <v>0</v>
      </c>
      <c r="T1686" s="15">
        <v>0</v>
      </c>
      <c r="U1686" s="15">
        <v>1612.16</v>
      </c>
      <c r="V1686" s="15">
        <v>1612.16</v>
      </c>
      <c r="W1686" s="15">
        <v>0</v>
      </c>
      <c r="X1686" s="15">
        <v>0</v>
      </c>
      <c r="Y1686" s="16">
        <v>0</v>
      </c>
      <c r="Z1686" s="67" t="s">
        <v>26</v>
      </c>
      <c r="AA1686" s="12" t="s">
        <v>31</v>
      </c>
    </row>
    <row r="1687" spans="1:27" x14ac:dyDescent="0.25">
      <c r="A1687" s="10">
        <v>45682</v>
      </c>
      <c r="B1687" s="11" t="s">
        <v>730</v>
      </c>
      <c r="C1687" s="11" t="s">
        <v>3671</v>
      </c>
      <c r="D1687" s="11" t="s">
        <v>26</v>
      </c>
      <c r="E1687" s="11" t="s">
        <v>483</v>
      </c>
      <c r="F1687" s="11" t="s">
        <v>26</v>
      </c>
      <c r="G1687" s="11">
        <v>3557</v>
      </c>
      <c r="H1687" s="12" t="s">
        <v>41</v>
      </c>
      <c r="I1687" s="12" t="s">
        <v>55</v>
      </c>
      <c r="J1687" s="12" t="s">
        <v>55</v>
      </c>
      <c r="K1687" s="12" t="s">
        <v>56</v>
      </c>
      <c r="L1687" s="13">
        <v>37.28</v>
      </c>
      <c r="M1687" s="13">
        <v>22</v>
      </c>
      <c r="N1687" s="13">
        <v>1.694545454545455</v>
      </c>
      <c r="O1687" s="13" t="s">
        <v>30</v>
      </c>
      <c r="P1687" s="13">
        <v>24</v>
      </c>
      <c r="Q1687" s="13">
        <v>0</v>
      </c>
      <c r="R1687" s="14">
        <v>528</v>
      </c>
      <c r="S1687" s="15">
        <v>0</v>
      </c>
      <c r="T1687" s="15">
        <v>0</v>
      </c>
      <c r="U1687" s="15">
        <v>528</v>
      </c>
      <c r="V1687" s="15">
        <v>0</v>
      </c>
      <c r="W1687" s="15">
        <v>528</v>
      </c>
      <c r="X1687" s="15">
        <v>0</v>
      </c>
      <c r="Y1687" s="16">
        <v>0</v>
      </c>
      <c r="Z1687" s="67" t="s">
        <v>26</v>
      </c>
      <c r="AA1687" s="12" t="s">
        <v>31</v>
      </c>
    </row>
    <row r="1688" spans="1:27" x14ac:dyDescent="0.25">
      <c r="A1688" s="10">
        <v>45684</v>
      </c>
      <c r="B1688" s="11" t="s">
        <v>290</v>
      </c>
      <c r="C1688" s="11" t="s">
        <v>3672</v>
      </c>
      <c r="D1688" s="11" t="s">
        <v>26</v>
      </c>
      <c r="E1688" s="11" t="s">
        <v>496</v>
      </c>
      <c r="F1688" s="11" t="s">
        <v>26</v>
      </c>
      <c r="G1688" s="11">
        <v>22913</v>
      </c>
      <c r="H1688" s="12" t="s">
        <v>4448</v>
      </c>
      <c r="I1688" s="12" t="s">
        <v>27</v>
      </c>
      <c r="J1688" s="12" t="s">
        <v>47</v>
      </c>
      <c r="K1688" s="12" t="s">
        <v>48</v>
      </c>
      <c r="L1688" s="13">
        <v>39.18</v>
      </c>
      <c r="M1688" s="13">
        <v>27</v>
      </c>
      <c r="N1688" s="13">
        <v>1.451111111111111</v>
      </c>
      <c r="O1688" s="13">
        <v>46.66</v>
      </c>
      <c r="P1688" s="13" t="s">
        <v>30</v>
      </c>
      <c r="Q1688" s="13">
        <v>0</v>
      </c>
      <c r="R1688" s="14">
        <v>1828.1387999999999</v>
      </c>
      <c r="S1688" s="15">
        <v>0</v>
      </c>
      <c r="T1688" s="15">
        <v>0</v>
      </c>
      <c r="U1688" s="15">
        <v>1828.1387999999999</v>
      </c>
      <c r="V1688" s="15">
        <v>1371.1041</v>
      </c>
      <c r="W1688" s="15">
        <v>457.03469999999993</v>
      </c>
      <c r="X1688" s="15">
        <v>0</v>
      </c>
      <c r="Y1688" s="16">
        <v>0</v>
      </c>
      <c r="Z1688" s="67" t="s">
        <v>26</v>
      </c>
      <c r="AA1688" s="12" t="s">
        <v>31</v>
      </c>
    </row>
    <row r="1689" spans="1:27" x14ac:dyDescent="0.25">
      <c r="A1689" s="10">
        <v>45684</v>
      </c>
      <c r="B1689" s="11" t="s">
        <v>3673</v>
      </c>
      <c r="C1689" s="11" t="s">
        <v>3674</v>
      </c>
      <c r="D1689" s="11" t="s">
        <v>26</v>
      </c>
      <c r="E1689" s="11" t="s">
        <v>100</v>
      </c>
      <c r="F1689" s="11" t="s">
        <v>26</v>
      </c>
      <c r="G1689" s="11">
        <v>21734</v>
      </c>
      <c r="H1689" s="12" t="s">
        <v>4448</v>
      </c>
      <c r="I1689" s="12" t="s">
        <v>27</v>
      </c>
      <c r="J1689" s="12" t="s">
        <v>33</v>
      </c>
      <c r="K1689" s="12" t="s">
        <v>34</v>
      </c>
      <c r="L1689" s="13">
        <v>36.880000000000003</v>
      </c>
      <c r="M1689" s="13">
        <v>25</v>
      </c>
      <c r="N1689" s="13">
        <v>1.4752000000000001</v>
      </c>
      <c r="O1689" s="13">
        <v>45.33</v>
      </c>
      <c r="P1689" s="13" t="s">
        <v>30</v>
      </c>
      <c r="Q1689" s="13">
        <v>0</v>
      </c>
      <c r="R1689" s="15">
        <v>1671.7704000000001</v>
      </c>
      <c r="S1689" s="15">
        <v>0</v>
      </c>
      <c r="T1689" s="15">
        <v>0</v>
      </c>
      <c r="U1689" s="15">
        <v>1671.7704000000001</v>
      </c>
      <c r="V1689" s="15">
        <v>1253.8278</v>
      </c>
      <c r="W1689" s="15">
        <v>417.94260000000008</v>
      </c>
      <c r="X1689" s="15">
        <v>0</v>
      </c>
      <c r="Y1689" s="16">
        <v>0</v>
      </c>
      <c r="Z1689" s="67" t="s">
        <v>26</v>
      </c>
      <c r="AA1689" s="12" t="s">
        <v>31</v>
      </c>
    </row>
    <row r="1690" spans="1:27" x14ac:dyDescent="0.25">
      <c r="A1690" s="10">
        <v>45684</v>
      </c>
      <c r="B1690" s="11" t="s">
        <v>186</v>
      </c>
      <c r="C1690" s="11" t="s">
        <v>3675</v>
      </c>
      <c r="D1690" s="11" t="s">
        <v>26</v>
      </c>
      <c r="E1690" s="11" t="s">
        <v>53</v>
      </c>
      <c r="F1690" s="11" t="s">
        <v>26</v>
      </c>
      <c r="G1690" s="11" t="s">
        <v>26</v>
      </c>
      <c r="H1690" s="12" t="s">
        <v>4422</v>
      </c>
      <c r="I1690" s="12" t="s">
        <v>27</v>
      </c>
      <c r="J1690" s="12" t="s">
        <v>47</v>
      </c>
      <c r="K1690" s="12" t="s">
        <v>48</v>
      </c>
      <c r="L1690" s="13">
        <v>45.56</v>
      </c>
      <c r="M1690" s="13">
        <v>31</v>
      </c>
      <c r="N1690" s="13">
        <v>1.469677419354839</v>
      </c>
      <c r="O1690" s="13">
        <v>87</v>
      </c>
      <c r="P1690" s="13" t="s">
        <v>30</v>
      </c>
      <c r="Q1690" s="13">
        <v>0</v>
      </c>
      <c r="R1690" s="14">
        <v>3963.7200000000003</v>
      </c>
      <c r="S1690" s="15">
        <v>38</v>
      </c>
      <c r="T1690" s="15">
        <v>1731.2800000000002</v>
      </c>
      <c r="U1690" s="15">
        <v>2232.44</v>
      </c>
      <c r="V1690" s="15">
        <v>2232.44</v>
      </c>
      <c r="W1690" s="15"/>
      <c r="X1690" s="15">
        <v>1685.72</v>
      </c>
      <c r="Y1690" s="16">
        <v>45.560000000000173</v>
      </c>
      <c r="Z1690" s="67" t="s">
        <v>41</v>
      </c>
      <c r="AA1690" s="12" t="s">
        <v>78</v>
      </c>
    </row>
    <row r="1691" spans="1:27" x14ac:dyDescent="0.25">
      <c r="A1691" s="10">
        <v>45684</v>
      </c>
      <c r="B1691" s="11" t="s">
        <v>3676</v>
      </c>
      <c r="C1691" s="11" t="s">
        <v>3677</v>
      </c>
      <c r="D1691" s="11" t="s">
        <v>26</v>
      </c>
      <c r="E1691" s="11" t="s">
        <v>479</v>
      </c>
      <c r="F1691" s="11" t="s">
        <v>26</v>
      </c>
      <c r="G1691" s="11">
        <v>76347</v>
      </c>
      <c r="H1691" s="12" t="s">
        <v>4448</v>
      </c>
      <c r="I1691" s="12" t="s">
        <v>27</v>
      </c>
      <c r="J1691" s="12" t="s">
        <v>33</v>
      </c>
      <c r="K1691" s="12" t="s">
        <v>34</v>
      </c>
      <c r="L1691" s="13">
        <v>42.74</v>
      </c>
      <c r="M1691" s="13">
        <v>29</v>
      </c>
      <c r="N1691" s="13">
        <v>1.4737931034482761</v>
      </c>
      <c r="O1691" s="13">
        <v>45.33</v>
      </c>
      <c r="P1691" s="13" t="s">
        <v>30</v>
      </c>
      <c r="Q1691" s="13">
        <v>0</v>
      </c>
      <c r="R1691" s="15">
        <v>1937.4041999999999</v>
      </c>
      <c r="S1691" s="15">
        <v>0</v>
      </c>
      <c r="T1691" s="15">
        <v>0</v>
      </c>
      <c r="U1691" s="15">
        <v>1937.4041999999999</v>
      </c>
      <c r="V1691" s="15">
        <v>1453.05315</v>
      </c>
      <c r="W1691" s="15">
        <v>484.35104999999999</v>
      </c>
      <c r="X1691" s="15">
        <v>0</v>
      </c>
      <c r="Y1691" s="16">
        <v>0</v>
      </c>
      <c r="Z1691" s="67" t="s">
        <v>26</v>
      </c>
      <c r="AA1691" s="12" t="s">
        <v>31</v>
      </c>
    </row>
    <row r="1692" spans="1:27" x14ac:dyDescent="0.25">
      <c r="A1692" s="10">
        <v>45684</v>
      </c>
      <c r="B1692" s="11" t="s">
        <v>672</v>
      </c>
      <c r="C1692" s="11" t="s">
        <v>3678</v>
      </c>
      <c r="D1692" s="11" t="s">
        <v>26</v>
      </c>
      <c r="E1692" s="11" t="s">
        <v>184</v>
      </c>
      <c r="F1692" s="11" t="s">
        <v>26</v>
      </c>
      <c r="G1692" s="11" t="s">
        <v>26</v>
      </c>
      <c r="H1692" s="12" t="s">
        <v>4422</v>
      </c>
      <c r="I1692" s="12" t="s">
        <v>27</v>
      </c>
      <c r="J1692" s="12" t="s">
        <v>47</v>
      </c>
      <c r="K1692" s="12" t="s">
        <v>48</v>
      </c>
      <c r="L1692" s="13">
        <v>42</v>
      </c>
      <c r="M1692" s="13">
        <v>28</v>
      </c>
      <c r="N1692" s="13">
        <v>1.5</v>
      </c>
      <c r="O1692" s="13">
        <v>87</v>
      </c>
      <c r="P1692" s="13" t="s">
        <v>30</v>
      </c>
      <c r="Q1692" s="13">
        <v>0</v>
      </c>
      <c r="R1692" s="15">
        <v>3654</v>
      </c>
      <c r="S1692" s="15">
        <v>38</v>
      </c>
      <c r="T1692" s="15">
        <v>1596</v>
      </c>
      <c r="U1692" s="15">
        <v>2058</v>
      </c>
      <c r="V1692" s="15">
        <v>2058</v>
      </c>
      <c r="W1692" s="15"/>
      <c r="X1692" s="15">
        <v>1512</v>
      </c>
      <c r="Y1692" s="16">
        <v>84</v>
      </c>
      <c r="Z1692" s="67" t="s">
        <v>141</v>
      </c>
      <c r="AA1692" s="12" t="s">
        <v>78</v>
      </c>
    </row>
    <row r="1693" spans="1:27" x14ac:dyDescent="0.25">
      <c r="A1693" s="10">
        <v>45684</v>
      </c>
      <c r="B1693" s="11" t="s">
        <v>2983</v>
      </c>
      <c r="C1693" s="11" t="s">
        <v>3679</v>
      </c>
      <c r="D1693" s="11" t="s">
        <v>26</v>
      </c>
      <c r="E1693" s="11" t="s">
        <v>322</v>
      </c>
      <c r="F1693" s="11" t="s">
        <v>26</v>
      </c>
      <c r="G1693" s="11">
        <v>112367</v>
      </c>
      <c r="H1693" s="12" t="s">
        <v>4446</v>
      </c>
      <c r="I1693" s="12" t="s">
        <v>27</v>
      </c>
      <c r="J1693" s="12" t="s">
        <v>33</v>
      </c>
      <c r="K1693" s="12" t="s">
        <v>34</v>
      </c>
      <c r="L1693" s="13">
        <v>37.299999999999997</v>
      </c>
      <c r="M1693" s="13">
        <v>25</v>
      </c>
      <c r="N1693" s="13">
        <v>1.492</v>
      </c>
      <c r="O1693" s="13">
        <v>44</v>
      </c>
      <c r="P1693" s="13" t="s">
        <v>30</v>
      </c>
      <c r="Q1693" s="13">
        <v>0</v>
      </c>
      <c r="R1693" s="14">
        <v>1641.1999999999998</v>
      </c>
      <c r="S1693" s="15">
        <v>0</v>
      </c>
      <c r="T1693" s="15">
        <v>0</v>
      </c>
      <c r="U1693" s="15">
        <v>1641.1999999999998</v>
      </c>
      <c r="V1693" s="15">
        <v>1641.1999999999998</v>
      </c>
      <c r="W1693" s="15">
        <v>0</v>
      </c>
      <c r="X1693" s="15">
        <v>0</v>
      </c>
      <c r="Y1693" s="16">
        <v>0</v>
      </c>
      <c r="Z1693" s="67" t="s">
        <v>26</v>
      </c>
      <c r="AA1693" s="12" t="s">
        <v>31</v>
      </c>
    </row>
    <row r="1694" spans="1:27" x14ac:dyDescent="0.25">
      <c r="A1694" s="10">
        <v>45684</v>
      </c>
      <c r="B1694" s="11" t="s">
        <v>3680</v>
      </c>
      <c r="C1694" s="11" t="s">
        <v>3681</v>
      </c>
      <c r="D1694" s="11" t="s">
        <v>26</v>
      </c>
      <c r="E1694" s="11" t="s">
        <v>81</v>
      </c>
      <c r="F1694" s="11" t="s">
        <v>26</v>
      </c>
      <c r="G1694" s="11" t="s">
        <v>26</v>
      </c>
      <c r="H1694" s="12" t="s">
        <v>4422</v>
      </c>
      <c r="I1694" s="12" t="s">
        <v>27</v>
      </c>
      <c r="J1694" s="12" t="s">
        <v>42</v>
      </c>
      <c r="K1694" s="12" t="s">
        <v>43</v>
      </c>
      <c r="L1694" s="13">
        <v>42.72</v>
      </c>
      <c r="M1694" s="13">
        <v>25</v>
      </c>
      <c r="N1694" s="13">
        <v>1.7088000000000001</v>
      </c>
      <c r="O1694" s="13">
        <v>83</v>
      </c>
      <c r="P1694" s="13" t="s">
        <v>30</v>
      </c>
      <c r="Q1694" s="13">
        <v>0</v>
      </c>
      <c r="R1694" s="14">
        <v>3545.7599999999998</v>
      </c>
      <c r="S1694" s="15">
        <v>38</v>
      </c>
      <c r="T1694" s="15">
        <v>1623.36</v>
      </c>
      <c r="U1694" s="15">
        <v>1922.3999999999999</v>
      </c>
      <c r="V1694" s="15">
        <v>1922.3999999999999</v>
      </c>
      <c r="W1694" s="15"/>
      <c r="X1694" s="15">
        <v>1537.92</v>
      </c>
      <c r="Y1694" s="16">
        <v>85.439999999999827</v>
      </c>
      <c r="Z1694" s="67" t="s">
        <v>141</v>
      </c>
      <c r="AA1694" s="12" t="s">
        <v>78</v>
      </c>
    </row>
    <row r="1695" spans="1:27" x14ac:dyDescent="0.25">
      <c r="A1695" s="10">
        <v>45684</v>
      </c>
      <c r="B1695" s="11" t="s">
        <v>3682</v>
      </c>
      <c r="C1695" s="11" t="s">
        <v>3683</v>
      </c>
      <c r="D1695" s="11" t="s">
        <v>26</v>
      </c>
      <c r="E1695" s="11" t="s">
        <v>501</v>
      </c>
      <c r="F1695" s="11" t="s">
        <v>26</v>
      </c>
      <c r="G1695" s="11" t="s">
        <v>26</v>
      </c>
      <c r="H1695" s="12" t="s">
        <v>4422</v>
      </c>
      <c r="I1695" s="12" t="s">
        <v>27</v>
      </c>
      <c r="J1695" s="12" t="s">
        <v>33</v>
      </c>
      <c r="K1695" s="12" t="s">
        <v>34</v>
      </c>
      <c r="L1695" s="13">
        <v>44.08</v>
      </c>
      <c r="M1695" s="13">
        <v>30</v>
      </c>
      <c r="N1695" s="13">
        <v>1.4693333333333329</v>
      </c>
      <c r="O1695" s="13">
        <v>85</v>
      </c>
      <c r="P1695" s="13" t="s">
        <v>30</v>
      </c>
      <c r="Q1695" s="13">
        <v>0</v>
      </c>
      <c r="R1695" s="14">
        <v>3746.7999999999997</v>
      </c>
      <c r="S1695" s="15">
        <v>38</v>
      </c>
      <c r="T1695" s="15">
        <v>1675.04</v>
      </c>
      <c r="U1695" s="15">
        <v>2071.7599999999998</v>
      </c>
      <c r="V1695" s="15">
        <v>2071.7599999999998</v>
      </c>
      <c r="W1695" s="15">
        <v>0</v>
      </c>
      <c r="X1695" s="15">
        <v>1586.8799999999999</v>
      </c>
      <c r="Y1695" s="16">
        <v>88.160000000000082</v>
      </c>
      <c r="Z1695" s="67" t="s">
        <v>141</v>
      </c>
      <c r="AA1695" s="12" t="s">
        <v>78</v>
      </c>
    </row>
    <row r="1696" spans="1:27" x14ac:dyDescent="0.25">
      <c r="A1696" s="10">
        <v>45684</v>
      </c>
      <c r="B1696" s="11" t="s">
        <v>3684</v>
      </c>
      <c r="C1696" s="11" t="s">
        <v>3685</v>
      </c>
      <c r="D1696" s="11" t="s">
        <v>26</v>
      </c>
      <c r="E1696" s="11" t="s">
        <v>489</v>
      </c>
      <c r="F1696" s="11" t="s">
        <v>26</v>
      </c>
      <c r="G1696" s="11">
        <v>77487</v>
      </c>
      <c r="H1696" s="12" t="s">
        <v>4448</v>
      </c>
      <c r="I1696" s="12" t="s">
        <v>55</v>
      </c>
      <c r="J1696" s="12" t="s">
        <v>55</v>
      </c>
      <c r="K1696" s="12" t="s">
        <v>56</v>
      </c>
      <c r="L1696" s="13">
        <v>39.36</v>
      </c>
      <c r="M1696" s="13">
        <v>25</v>
      </c>
      <c r="N1696" s="13">
        <v>1.5744</v>
      </c>
      <c r="O1696" s="13">
        <v>15</v>
      </c>
      <c r="P1696" s="13" t="s">
        <v>30</v>
      </c>
      <c r="Q1696" s="13">
        <v>0</v>
      </c>
      <c r="R1696" s="15">
        <v>590.4</v>
      </c>
      <c r="S1696" s="15">
        <v>0</v>
      </c>
      <c r="T1696" s="15">
        <v>0</v>
      </c>
      <c r="U1696" s="15">
        <v>590.4</v>
      </c>
      <c r="V1696" s="15">
        <v>442.79999999999995</v>
      </c>
      <c r="W1696" s="15">
        <v>147.60000000000002</v>
      </c>
      <c r="X1696" s="15">
        <v>0</v>
      </c>
      <c r="Y1696" s="16">
        <v>0</v>
      </c>
      <c r="Z1696" s="67" t="s">
        <v>26</v>
      </c>
      <c r="AA1696" s="12" t="s">
        <v>31</v>
      </c>
    </row>
    <row r="1697" spans="1:27" x14ac:dyDescent="0.25">
      <c r="A1697" s="10">
        <v>45684</v>
      </c>
      <c r="B1697" s="11" t="s">
        <v>3686</v>
      </c>
      <c r="C1697" s="11" t="s">
        <v>3687</v>
      </c>
      <c r="D1697" s="11" t="s">
        <v>26</v>
      </c>
      <c r="E1697" s="11" t="s">
        <v>605</v>
      </c>
      <c r="F1697" s="11" t="s">
        <v>26</v>
      </c>
      <c r="G1697" s="11" t="s">
        <v>26</v>
      </c>
      <c r="H1697" s="12" t="s">
        <v>4422</v>
      </c>
      <c r="I1697" s="12" t="s">
        <v>27</v>
      </c>
      <c r="J1697" s="12" t="s">
        <v>33</v>
      </c>
      <c r="K1697" s="12" t="s">
        <v>34</v>
      </c>
      <c r="L1697" s="13">
        <v>39.58</v>
      </c>
      <c r="M1697" s="13">
        <v>27</v>
      </c>
      <c r="N1697" s="13">
        <v>1.4659259259259261</v>
      </c>
      <c r="O1697" s="13">
        <v>85</v>
      </c>
      <c r="P1697" s="13" t="s">
        <v>30</v>
      </c>
      <c r="Q1697" s="13">
        <v>0</v>
      </c>
      <c r="R1697" s="14">
        <v>3364.2999999999997</v>
      </c>
      <c r="S1697" s="15">
        <v>38</v>
      </c>
      <c r="T1697" s="15">
        <v>1504.04</v>
      </c>
      <c r="U1697" s="15">
        <v>1860.2599999999998</v>
      </c>
      <c r="V1697" s="15">
        <v>1860.2599999999998</v>
      </c>
      <c r="W1697" s="15">
        <v>0</v>
      </c>
      <c r="X1697" s="15">
        <v>1424.8799999999999</v>
      </c>
      <c r="Y1697" s="16">
        <v>79.160000000000082</v>
      </c>
      <c r="Z1697" s="67" t="s">
        <v>141</v>
      </c>
      <c r="AA1697" s="12" t="s">
        <v>78</v>
      </c>
    </row>
    <row r="1698" spans="1:27" x14ac:dyDescent="0.25">
      <c r="A1698" s="10">
        <v>45684</v>
      </c>
      <c r="B1698" s="11" t="s">
        <v>2627</v>
      </c>
      <c r="C1698" s="11" t="s">
        <v>3688</v>
      </c>
      <c r="D1698" s="11" t="s">
        <v>26</v>
      </c>
      <c r="E1698" s="11" t="s">
        <v>44</v>
      </c>
      <c r="F1698" s="11" t="s">
        <v>26</v>
      </c>
      <c r="G1698" s="11">
        <v>1578</v>
      </c>
      <c r="H1698" s="12" t="s">
        <v>45</v>
      </c>
      <c r="I1698" s="12" t="s">
        <v>27</v>
      </c>
      <c r="J1698" s="12" t="s">
        <v>42</v>
      </c>
      <c r="K1698" s="12" t="s">
        <v>43</v>
      </c>
      <c r="L1698" s="13">
        <v>43.66</v>
      </c>
      <c r="M1698" s="13">
        <v>25</v>
      </c>
      <c r="N1698" s="13">
        <v>1.7464</v>
      </c>
      <c r="O1698" s="13" t="s">
        <v>30</v>
      </c>
      <c r="P1698" s="13">
        <v>62</v>
      </c>
      <c r="Q1698" s="13">
        <v>0</v>
      </c>
      <c r="R1698" s="14">
        <v>1550</v>
      </c>
      <c r="S1698" s="15">
        <v>0</v>
      </c>
      <c r="T1698" s="15">
        <v>0</v>
      </c>
      <c r="U1698" s="15">
        <v>1550</v>
      </c>
      <c r="V1698" s="15">
        <v>0</v>
      </c>
      <c r="W1698" s="15">
        <v>1550</v>
      </c>
      <c r="X1698" s="15">
        <v>0</v>
      </c>
      <c r="Y1698" s="16">
        <v>0</v>
      </c>
      <c r="Z1698" s="67" t="s">
        <v>26</v>
      </c>
      <c r="AA1698" s="12" t="s">
        <v>31</v>
      </c>
    </row>
    <row r="1699" spans="1:27" x14ac:dyDescent="0.25">
      <c r="A1699" s="10">
        <v>45684</v>
      </c>
      <c r="B1699" s="11" t="s">
        <v>3689</v>
      </c>
      <c r="C1699" s="11" t="s">
        <v>3690</v>
      </c>
      <c r="D1699" s="11" t="s">
        <v>26</v>
      </c>
      <c r="E1699" s="11" t="s">
        <v>552</v>
      </c>
      <c r="F1699" s="11" t="s">
        <v>26</v>
      </c>
      <c r="G1699" s="11">
        <v>69133</v>
      </c>
      <c r="H1699" s="12" t="s">
        <v>4423</v>
      </c>
      <c r="I1699" s="12" t="s">
        <v>27</v>
      </c>
      <c r="J1699" s="12" t="s">
        <v>33</v>
      </c>
      <c r="K1699" s="12" t="s">
        <v>34</v>
      </c>
      <c r="L1699" s="13">
        <v>34.64</v>
      </c>
      <c r="M1699" s="13">
        <v>25</v>
      </c>
      <c r="N1699" s="13">
        <v>1.3855999999999999</v>
      </c>
      <c r="O1699" s="13">
        <v>45</v>
      </c>
      <c r="P1699" s="13" t="s">
        <v>30</v>
      </c>
      <c r="Q1699" s="13">
        <v>0</v>
      </c>
      <c r="R1699" s="15">
        <v>1558.8</v>
      </c>
      <c r="S1699" s="15">
        <v>0</v>
      </c>
      <c r="T1699" s="15">
        <v>0</v>
      </c>
      <c r="U1699" s="15">
        <v>1558.8</v>
      </c>
      <c r="V1699" s="15">
        <v>1558.8</v>
      </c>
      <c r="W1699" s="15">
        <v>0</v>
      </c>
      <c r="X1699" s="15">
        <v>0</v>
      </c>
      <c r="Y1699" s="16">
        <v>0</v>
      </c>
      <c r="Z1699" s="67" t="s">
        <v>26</v>
      </c>
      <c r="AA1699" s="12" t="s">
        <v>31</v>
      </c>
    </row>
    <row r="1700" spans="1:27" x14ac:dyDescent="0.25">
      <c r="A1700" s="10">
        <v>45684</v>
      </c>
      <c r="B1700" s="11" t="s">
        <v>3691</v>
      </c>
      <c r="C1700" s="11" t="s">
        <v>3692</v>
      </c>
      <c r="D1700" s="11" t="s">
        <v>26</v>
      </c>
      <c r="E1700" s="11" t="s">
        <v>2109</v>
      </c>
      <c r="F1700" s="11" t="s">
        <v>26</v>
      </c>
      <c r="G1700" s="11">
        <v>10608</v>
      </c>
      <c r="H1700" s="12" t="s">
        <v>140</v>
      </c>
      <c r="I1700" s="12" t="s">
        <v>27</v>
      </c>
      <c r="J1700" s="12" t="s">
        <v>42</v>
      </c>
      <c r="K1700" s="12" t="s">
        <v>43</v>
      </c>
      <c r="L1700" s="13">
        <v>45.44</v>
      </c>
      <c r="M1700" s="13">
        <v>28</v>
      </c>
      <c r="N1700" s="13">
        <v>1.622857142857143</v>
      </c>
      <c r="O1700" s="13">
        <v>35</v>
      </c>
      <c r="P1700" s="13"/>
      <c r="Q1700" s="13">
        <v>0</v>
      </c>
      <c r="R1700" s="14">
        <v>1590.3999999999999</v>
      </c>
      <c r="S1700" s="15">
        <v>0</v>
      </c>
      <c r="T1700" s="15">
        <v>0</v>
      </c>
      <c r="U1700" s="15">
        <v>1590.3999999999999</v>
      </c>
      <c r="V1700" s="15">
        <v>0</v>
      </c>
      <c r="W1700" s="15">
        <v>1590.3999999999999</v>
      </c>
      <c r="X1700" s="15">
        <v>0</v>
      </c>
      <c r="Y1700" s="16">
        <v>0</v>
      </c>
      <c r="Z1700" s="67" t="s">
        <v>26</v>
      </c>
      <c r="AA1700" s="12" t="s">
        <v>31</v>
      </c>
    </row>
    <row r="1701" spans="1:27" x14ac:dyDescent="0.25">
      <c r="A1701" s="10">
        <v>45684</v>
      </c>
      <c r="B1701" s="11" t="s">
        <v>3693</v>
      </c>
      <c r="C1701" s="11" t="s">
        <v>3694</v>
      </c>
      <c r="D1701" s="11" t="s">
        <v>26</v>
      </c>
      <c r="E1701" s="11" t="s">
        <v>49</v>
      </c>
      <c r="F1701" s="11" t="s">
        <v>26</v>
      </c>
      <c r="G1701" s="11">
        <v>1574</v>
      </c>
      <c r="H1701" s="12" t="s">
        <v>45</v>
      </c>
      <c r="I1701" s="12" t="s">
        <v>27</v>
      </c>
      <c r="J1701" s="12" t="s">
        <v>42</v>
      </c>
      <c r="K1701" s="12" t="s">
        <v>43</v>
      </c>
      <c r="L1701" s="13">
        <v>43.56</v>
      </c>
      <c r="M1701" s="13">
        <v>25</v>
      </c>
      <c r="N1701" s="13">
        <v>1.7423999999999999</v>
      </c>
      <c r="O1701" s="13" t="s">
        <v>30</v>
      </c>
      <c r="P1701" s="13">
        <v>62</v>
      </c>
      <c r="Q1701" s="13">
        <v>0</v>
      </c>
      <c r="R1701" s="14">
        <v>1550</v>
      </c>
      <c r="S1701" s="15">
        <v>0</v>
      </c>
      <c r="T1701" s="15">
        <v>0</v>
      </c>
      <c r="U1701" s="15">
        <v>1550</v>
      </c>
      <c r="V1701" s="15">
        <v>0</v>
      </c>
      <c r="W1701" s="15">
        <v>1550</v>
      </c>
      <c r="X1701" s="15">
        <v>0</v>
      </c>
      <c r="Y1701" s="16">
        <v>0</v>
      </c>
      <c r="Z1701" s="67" t="s">
        <v>26</v>
      </c>
      <c r="AA1701" s="12" t="s">
        <v>31</v>
      </c>
    </row>
    <row r="1702" spans="1:27" x14ac:dyDescent="0.25">
      <c r="A1702" s="10">
        <v>45684</v>
      </c>
      <c r="B1702" s="11" t="s">
        <v>615</v>
      </c>
      <c r="C1702" s="11" t="s">
        <v>3695</v>
      </c>
      <c r="D1702" s="11" t="s">
        <v>26</v>
      </c>
      <c r="E1702" s="11" t="s">
        <v>483</v>
      </c>
      <c r="F1702" s="11" t="s">
        <v>26</v>
      </c>
      <c r="G1702" s="11">
        <v>3559</v>
      </c>
      <c r="H1702" s="12" t="s">
        <v>41</v>
      </c>
      <c r="I1702" s="12" t="s">
        <v>55</v>
      </c>
      <c r="J1702" s="12" t="s">
        <v>55</v>
      </c>
      <c r="K1702" s="12" t="s">
        <v>56</v>
      </c>
      <c r="L1702" s="13">
        <v>38.4</v>
      </c>
      <c r="M1702" s="13">
        <v>25</v>
      </c>
      <c r="N1702" s="13">
        <v>1.536</v>
      </c>
      <c r="O1702" s="13" t="s">
        <v>30</v>
      </c>
      <c r="P1702" s="13">
        <v>24</v>
      </c>
      <c r="Q1702" s="13">
        <v>0</v>
      </c>
      <c r="R1702" s="14">
        <v>600</v>
      </c>
      <c r="S1702" s="15">
        <v>0</v>
      </c>
      <c r="T1702" s="15">
        <v>0</v>
      </c>
      <c r="U1702" s="15">
        <v>600</v>
      </c>
      <c r="V1702" s="15">
        <v>0</v>
      </c>
      <c r="W1702" s="15">
        <v>600</v>
      </c>
      <c r="X1702" s="15">
        <v>0</v>
      </c>
      <c r="Y1702" s="16">
        <v>0</v>
      </c>
      <c r="Z1702" s="67" t="s">
        <v>26</v>
      </c>
      <c r="AA1702" s="12" t="s">
        <v>31</v>
      </c>
    </row>
    <row r="1703" spans="1:27" x14ac:dyDescent="0.25">
      <c r="A1703" s="10">
        <v>45684</v>
      </c>
      <c r="B1703" s="11" t="s">
        <v>3696</v>
      </c>
      <c r="C1703" s="11" t="s">
        <v>3697</v>
      </c>
      <c r="D1703" s="11" t="s">
        <v>26</v>
      </c>
      <c r="E1703" s="11" t="s">
        <v>654</v>
      </c>
      <c r="F1703" s="11" t="s">
        <v>26</v>
      </c>
      <c r="G1703" s="11">
        <v>2814</v>
      </c>
      <c r="H1703" s="12" t="s">
        <v>41</v>
      </c>
      <c r="I1703" s="12" t="s">
        <v>55</v>
      </c>
      <c r="J1703" s="12" t="s">
        <v>55</v>
      </c>
      <c r="K1703" s="12" t="s">
        <v>56</v>
      </c>
      <c r="L1703" s="13">
        <v>33.26</v>
      </c>
      <c r="M1703" s="13">
        <v>20</v>
      </c>
      <c r="N1703" s="13">
        <v>1.663</v>
      </c>
      <c r="O1703" s="13" t="s">
        <v>30</v>
      </c>
      <c r="P1703" s="13">
        <v>24</v>
      </c>
      <c r="Q1703" s="13">
        <v>0</v>
      </c>
      <c r="R1703" s="14">
        <v>480</v>
      </c>
      <c r="S1703" s="15">
        <v>0</v>
      </c>
      <c r="T1703" s="15">
        <v>0</v>
      </c>
      <c r="U1703" s="15">
        <v>480</v>
      </c>
      <c r="V1703" s="15">
        <v>0</v>
      </c>
      <c r="W1703" s="15">
        <v>480</v>
      </c>
      <c r="X1703" s="15">
        <v>0</v>
      </c>
      <c r="Y1703" s="16">
        <v>0</v>
      </c>
      <c r="Z1703" s="67" t="s">
        <v>26</v>
      </c>
      <c r="AA1703" s="12" t="s">
        <v>31</v>
      </c>
    </row>
    <row r="1704" spans="1:27" x14ac:dyDescent="0.25">
      <c r="A1704" s="10">
        <v>45684</v>
      </c>
      <c r="B1704" s="11" t="s">
        <v>3698</v>
      </c>
      <c r="C1704" s="11" t="s">
        <v>3699</v>
      </c>
      <c r="D1704" s="11" t="s">
        <v>26</v>
      </c>
      <c r="E1704" s="11" t="s">
        <v>246</v>
      </c>
      <c r="F1704" s="11" t="s">
        <v>26</v>
      </c>
      <c r="G1704" s="11" t="s">
        <v>26</v>
      </c>
      <c r="H1704" s="12" t="s">
        <v>4422</v>
      </c>
      <c r="I1704" s="12" t="s">
        <v>27</v>
      </c>
      <c r="J1704" s="12" t="s">
        <v>33</v>
      </c>
      <c r="K1704" s="12" t="s">
        <v>34</v>
      </c>
      <c r="L1704" s="13">
        <v>44.54</v>
      </c>
      <c r="M1704" s="13">
        <v>30</v>
      </c>
      <c r="N1704" s="13">
        <v>1.484666666666667</v>
      </c>
      <c r="O1704" s="13">
        <v>85</v>
      </c>
      <c r="P1704" s="13" t="s">
        <v>30</v>
      </c>
      <c r="Q1704" s="13">
        <v>0</v>
      </c>
      <c r="R1704" s="15">
        <v>3785.9</v>
      </c>
      <c r="S1704" s="15">
        <v>38</v>
      </c>
      <c r="T1704" s="15">
        <v>1692.52</v>
      </c>
      <c r="U1704" s="15">
        <v>2093.38</v>
      </c>
      <c r="V1704" s="15">
        <v>2093.38</v>
      </c>
      <c r="W1704" s="15">
        <v>0</v>
      </c>
      <c r="X1704" s="15">
        <v>1647.98</v>
      </c>
      <c r="Y1704" s="16">
        <v>44.539999999999964</v>
      </c>
      <c r="Z1704" s="67" t="s">
        <v>41</v>
      </c>
      <c r="AA1704" s="12" t="s">
        <v>78</v>
      </c>
    </row>
    <row r="1705" spans="1:27" x14ac:dyDescent="0.25">
      <c r="A1705" s="10">
        <v>45684</v>
      </c>
      <c r="B1705" s="11" t="s">
        <v>3700</v>
      </c>
      <c r="C1705" s="11" t="s">
        <v>3701</v>
      </c>
      <c r="D1705" s="11" t="s">
        <v>26</v>
      </c>
      <c r="E1705" s="11" t="s">
        <v>490</v>
      </c>
      <c r="F1705" s="11" t="s">
        <v>26</v>
      </c>
      <c r="G1705" s="11">
        <v>22102</v>
      </c>
      <c r="H1705" s="12" t="s">
        <v>4448</v>
      </c>
      <c r="I1705" s="12" t="s">
        <v>55</v>
      </c>
      <c r="J1705" s="12" t="s">
        <v>55</v>
      </c>
      <c r="K1705" s="12" t="s">
        <v>56</v>
      </c>
      <c r="L1705" s="13">
        <v>40.700000000000003</v>
      </c>
      <c r="M1705" s="13">
        <v>25</v>
      </c>
      <c r="N1705" s="13">
        <v>1.6279999999999999</v>
      </c>
      <c r="O1705" s="13">
        <v>15</v>
      </c>
      <c r="P1705" s="13" t="s">
        <v>30</v>
      </c>
      <c r="Q1705" s="13">
        <v>0</v>
      </c>
      <c r="R1705" s="15">
        <v>610.5</v>
      </c>
      <c r="S1705" s="15">
        <v>0</v>
      </c>
      <c r="T1705" s="15">
        <v>0</v>
      </c>
      <c r="U1705" s="15">
        <v>610.5</v>
      </c>
      <c r="V1705" s="15">
        <v>457.875</v>
      </c>
      <c r="W1705" s="15">
        <v>152.625</v>
      </c>
      <c r="X1705" s="15">
        <v>0</v>
      </c>
      <c r="Y1705" s="16">
        <v>0</v>
      </c>
      <c r="Z1705" s="67" t="s">
        <v>26</v>
      </c>
      <c r="AA1705" s="12" t="s">
        <v>31</v>
      </c>
    </row>
    <row r="1706" spans="1:27" x14ac:dyDescent="0.25">
      <c r="A1706" s="10">
        <v>45684</v>
      </c>
      <c r="B1706" s="11" t="s">
        <v>2319</v>
      </c>
      <c r="C1706" s="11" t="s">
        <v>3702</v>
      </c>
      <c r="D1706" s="11" t="s">
        <v>26</v>
      </c>
      <c r="E1706" s="11" t="s">
        <v>539</v>
      </c>
      <c r="F1706" s="11" t="s">
        <v>26</v>
      </c>
      <c r="G1706" s="11" t="s">
        <v>26</v>
      </c>
      <c r="H1706" s="12" t="s">
        <v>4422</v>
      </c>
      <c r="I1706" s="12" t="s">
        <v>27</v>
      </c>
      <c r="J1706" s="12" t="s">
        <v>42</v>
      </c>
      <c r="K1706" s="12" t="s">
        <v>43</v>
      </c>
      <c r="L1706" s="13">
        <v>43.82</v>
      </c>
      <c r="M1706" s="13">
        <v>25</v>
      </c>
      <c r="N1706" s="13">
        <v>1.7527999999999999</v>
      </c>
      <c r="O1706" s="13">
        <v>83</v>
      </c>
      <c r="P1706" s="13" t="s">
        <v>30</v>
      </c>
      <c r="Q1706" s="13">
        <v>0</v>
      </c>
      <c r="R1706" s="14">
        <v>3637.06</v>
      </c>
      <c r="S1706" s="15">
        <v>38</v>
      </c>
      <c r="T1706" s="15">
        <v>1665.16</v>
      </c>
      <c r="U1706" s="15">
        <v>1971.8999999999999</v>
      </c>
      <c r="V1706" s="15">
        <v>1971.8999999999999</v>
      </c>
      <c r="W1706" s="15"/>
      <c r="X1706" s="15">
        <v>1621.34</v>
      </c>
      <c r="Y1706" s="16">
        <v>43.820000000000164</v>
      </c>
      <c r="Z1706" s="67" t="s">
        <v>41</v>
      </c>
      <c r="AA1706" s="12" t="s">
        <v>78</v>
      </c>
    </row>
    <row r="1707" spans="1:27" x14ac:dyDescent="0.25">
      <c r="A1707" s="10">
        <v>45684</v>
      </c>
      <c r="B1707" s="11" t="s">
        <v>3703</v>
      </c>
      <c r="C1707" s="11" t="s">
        <v>3704</v>
      </c>
      <c r="D1707" s="11" t="s">
        <v>26</v>
      </c>
      <c r="E1707" s="11" t="s">
        <v>435</v>
      </c>
      <c r="F1707" s="11" t="s">
        <v>26</v>
      </c>
      <c r="G1707" s="11">
        <v>3521</v>
      </c>
      <c r="H1707" s="12" t="s">
        <v>41</v>
      </c>
      <c r="I1707" s="12" t="s">
        <v>55</v>
      </c>
      <c r="J1707" s="12" t="s">
        <v>55</v>
      </c>
      <c r="K1707" s="12" t="s">
        <v>56</v>
      </c>
      <c r="L1707" s="13">
        <v>39.26</v>
      </c>
      <c r="M1707" s="13">
        <v>25</v>
      </c>
      <c r="N1707" s="13">
        <v>1.5704</v>
      </c>
      <c r="O1707" s="13" t="s">
        <v>30</v>
      </c>
      <c r="P1707" s="13">
        <v>24</v>
      </c>
      <c r="Q1707" s="13">
        <v>0</v>
      </c>
      <c r="R1707" s="14">
        <v>600</v>
      </c>
      <c r="S1707" s="15">
        <v>0</v>
      </c>
      <c r="T1707" s="15">
        <v>0</v>
      </c>
      <c r="U1707" s="15">
        <v>600</v>
      </c>
      <c r="V1707" s="15">
        <v>0</v>
      </c>
      <c r="W1707" s="15">
        <v>600</v>
      </c>
      <c r="X1707" s="15">
        <v>0</v>
      </c>
      <c r="Y1707" s="16">
        <v>0</v>
      </c>
      <c r="Z1707" s="67" t="s">
        <v>26</v>
      </c>
      <c r="AA1707" s="12" t="s">
        <v>31</v>
      </c>
    </row>
    <row r="1708" spans="1:27" x14ac:dyDescent="0.25">
      <c r="A1708" s="10">
        <v>45684</v>
      </c>
      <c r="B1708" s="11" t="s">
        <v>3705</v>
      </c>
      <c r="C1708" s="11" t="s">
        <v>3706</v>
      </c>
      <c r="D1708" s="11" t="s">
        <v>26</v>
      </c>
      <c r="E1708" s="11" t="s">
        <v>604</v>
      </c>
      <c r="F1708" s="11" t="s">
        <v>26</v>
      </c>
      <c r="G1708" s="11" t="s">
        <v>26</v>
      </c>
      <c r="H1708" s="12" t="s">
        <v>4422</v>
      </c>
      <c r="I1708" s="12" t="s">
        <v>27</v>
      </c>
      <c r="J1708" s="12" t="s">
        <v>42</v>
      </c>
      <c r="K1708" s="12" t="s">
        <v>43</v>
      </c>
      <c r="L1708" s="13">
        <v>45.28</v>
      </c>
      <c r="M1708" s="13">
        <v>28</v>
      </c>
      <c r="N1708" s="13">
        <v>1.617142857142857</v>
      </c>
      <c r="O1708" s="13">
        <v>83</v>
      </c>
      <c r="P1708" s="13" t="s">
        <v>30</v>
      </c>
      <c r="Q1708" s="13">
        <v>0</v>
      </c>
      <c r="R1708" s="14">
        <v>3758.2400000000002</v>
      </c>
      <c r="S1708" s="15">
        <v>38</v>
      </c>
      <c r="T1708" s="15">
        <v>1720.64</v>
      </c>
      <c r="U1708" s="15">
        <v>2037.6000000000001</v>
      </c>
      <c r="V1708" s="15">
        <v>2037.6000000000001</v>
      </c>
      <c r="W1708" s="15"/>
      <c r="X1708" s="15">
        <v>1630.08</v>
      </c>
      <c r="Y1708" s="16">
        <v>90.560000000000173</v>
      </c>
      <c r="Z1708" s="67" t="s">
        <v>141</v>
      </c>
      <c r="AA1708" s="12" t="s">
        <v>78</v>
      </c>
    </row>
    <row r="1709" spans="1:27" x14ac:dyDescent="0.25">
      <c r="A1709" s="10">
        <v>45684</v>
      </c>
      <c r="B1709" s="11" t="s">
        <v>359</v>
      </c>
      <c r="C1709" s="11" t="s">
        <v>3707</v>
      </c>
      <c r="D1709" s="11" t="s">
        <v>26</v>
      </c>
      <c r="E1709" s="11" t="s">
        <v>231</v>
      </c>
      <c r="F1709" s="11" t="s">
        <v>26</v>
      </c>
      <c r="G1709" s="11">
        <v>22957</v>
      </c>
      <c r="H1709" s="12" t="s">
        <v>4448</v>
      </c>
      <c r="I1709" s="12" t="s">
        <v>55</v>
      </c>
      <c r="J1709" s="12" t="s">
        <v>55</v>
      </c>
      <c r="K1709" s="12" t="s">
        <v>56</v>
      </c>
      <c r="L1709" s="13">
        <v>38.18</v>
      </c>
      <c r="M1709" s="13">
        <v>25</v>
      </c>
      <c r="N1709" s="13">
        <v>1.5271999999999999</v>
      </c>
      <c r="O1709" s="13">
        <v>15</v>
      </c>
      <c r="P1709" s="13" t="s">
        <v>30</v>
      </c>
      <c r="Q1709" s="13">
        <v>0</v>
      </c>
      <c r="R1709" s="14">
        <v>572.70000000000005</v>
      </c>
      <c r="S1709" s="15">
        <v>0</v>
      </c>
      <c r="T1709" s="15">
        <v>0</v>
      </c>
      <c r="U1709" s="15">
        <v>572.70000000000005</v>
      </c>
      <c r="V1709" s="15">
        <v>429.52500000000003</v>
      </c>
      <c r="W1709" s="15">
        <v>143.17500000000001</v>
      </c>
      <c r="X1709" s="15">
        <v>0</v>
      </c>
      <c r="Y1709" s="16">
        <v>0</v>
      </c>
      <c r="Z1709" s="67" t="s">
        <v>26</v>
      </c>
      <c r="AA1709" s="12" t="s">
        <v>31</v>
      </c>
    </row>
    <row r="1710" spans="1:27" x14ac:dyDescent="0.25">
      <c r="A1710" s="10">
        <v>45684</v>
      </c>
      <c r="B1710" s="11" t="s">
        <v>3708</v>
      </c>
      <c r="C1710" s="11" t="s">
        <v>3709</v>
      </c>
      <c r="D1710" s="11" t="s">
        <v>26</v>
      </c>
      <c r="E1710" s="11" t="s">
        <v>520</v>
      </c>
      <c r="F1710" s="11" t="s">
        <v>26</v>
      </c>
      <c r="G1710" s="11">
        <v>4380</v>
      </c>
      <c r="H1710" s="12" t="s">
        <v>140</v>
      </c>
      <c r="I1710" s="12" t="s">
        <v>27</v>
      </c>
      <c r="J1710" s="12" t="s">
        <v>42</v>
      </c>
      <c r="K1710" s="12" t="s">
        <v>43</v>
      </c>
      <c r="L1710" s="13">
        <v>42.72</v>
      </c>
      <c r="M1710" s="13">
        <v>25</v>
      </c>
      <c r="N1710" s="13">
        <v>1.7088000000000001</v>
      </c>
      <c r="O1710" s="13">
        <v>35</v>
      </c>
      <c r="P1710" s="13"/>
      <c r="Q1710" s="13">
        <v>0</v>
      </c>
      <c r="R1710" s="14">
        <v>1495.2</v>
      </c>
      <c r="S1710" s="15">
        <v>0</v>
      </c>
      <c r="T1710" s="15">
        <v>0</v>
      </c>
      <c r="U1710" s="15">
        <v>1495.2</v>
      </c>
      <c r="V1710" s="15">
        <v>0</v>
      </c>
      <c r="W1710" s="15">
        <v>1495.2</v>
      </c>
      <c r="X1710" s="15">
        <v>0</v>
      </c>
      <c r="Y1710" s="16">
        <v>0</v>
      </c>
      <c r="Z1710" s="67" t="s">
        <v>26</v>
      </c>
      <c r="AA1710" s="12" t="s">
        <v>31</v>
      </c>
    </row>
    <row r="1711" spans="1:27" x14ac:dyDescent="0.25">
      <c r="A1711" s="10">
        <v>45684</v>
      </c>
      <c r="B1711" s="11" t="s">
        <v>254</v>
      </c>
      <c r="C1711" s="11" t="s">
        <v>3710</v>
      </c>
      <c r="D1711" s="11" t="s">
        <v>26</v>
      </c>
      <c r="E1711" s="11" t="s">
        <v>40</v>
      </c>
      <c r="F1711" s="11" t="s">
        <v>26</v>
      </c>
      <c r="G1711" s="11">
        <v>3716</v>
      </c>
      <c r="H1711" s="12" t="s">
        <v>41</v>
      </c>
      <c r="I1711" s="12" t="s">
        <v>55</v>
      </c>
      <c r="J1711" s="12" t="s">
        <v>55</v>
      </c>
      <c r="K1711" s="12" t="s">
        <v>56</v>
      </c>
      <c r="L1711" s="13">
        <v>38.28</v>
      </c>
      <c r="M1711" s="13">
        <v>25</v>
      </c>
      <c r="N1711" s="13">
        <v>1.5311999999999999</v>
      </c>
      <c r="O1711" s="13" t="s">
        <v>30</v>
      </c>
      <c r="P1711" s="13">
        <v>24</v>
      </c>
      <c r="Q1711" s="13">
        <v>0</v>
      </c>
      <c r="R1711" s="15">
        <v>600</v>
      </c>
      <c r="S1711" s="15">
        <v>0</v>
      </c>
      <c r="T1711" s="15">
        <v>0</v>
      </c>
      <c r="U1711" s="15">
        <v>600</v>
      </c>
      <c r="V1711" s="15">
        <v>0</v>
      </c>
      <c r="W1711" s="15">
        <v>600</v>
      </c>
      <c r="X1711" s="15">
        <v>0</v>
      </c>
      <c r="Y1711" s="16">
        <v>0</v>
      </c>
      <c r="Z1711" s="67" t="s">
        <v>26</v>
      </c>
      <c r="AA1711" s="12" t="s">
        <v>31</v>
      </c>
    </row>
    <row r="1712" spans="1:27" x14ac:dyDescent="0.25">
      <c r="A1712" s="10">
        <v>45684</v>
      </c>
      <c r="B1712" s="11" t="s">
        <v>3711</v>
      </c>
      <c r="C1712" s="11" t="s">
        <v>3712</v>
      </c>
      <c r="D1712" s="11" t="s">
        <v>26</v>
      </c>
      <c r="E1712" s="11" t="s">
        <v>240</v>
      </c>
      <c r="F1712" s="11" t="s">
        <v>26</v>
      </c>
      <c r="G1712" s="11" t="s">
        <v>26</v>
      </c>
      <c r="H1712" s="12" t="s">
        <v>146</v>
      </c>
      <c r="I1712" s="12" t="s">
        <v>27</v>
      </c>
      <c r="J1712" s="12" t="s">
        <v>42</v>
      </c>
      <c r="K1712" s="12" t="s">
        <v>43</v>
      </c>
      <c r="L1712" s="13">
        <v>45.2</v>
      </c>
      <c r="M1712" s="13">
        <v>25</v>
      </c>
      <c r="N1712" s="13">
        <v>1.8080000000000001</v>
      </c>
      <c r="O1712" s="13">
        <v>91</v>
      </c>
      <c r="P1712" s="13" t="s">
        <v>30</v>
      </c>
      <c r="Q1712" s="13">
        <v>0</v>
      </c>
      <c r="R1712" s="14">
        <v>4113.2</v>
      </c>
      <c r="S1712" s="15">
        <v>40</v>
      </c>
      <c r="T1712" s="15">
        <v>1808</v>
      </c>
      <c r="U1712" s="15">
        <v>2305.1999999999998</v>
      </c>
      <c r="V1712" s="15">
        <v>2305.1999999999998</v>
      </c>
      <c r="W1712" s="15">
        <v>0</v>
      </c>
      <c r="X1712" s="15">
        <v>1672.4</v>
      </c>
      <c r="Y1712" s="16">
        <v>135.59999999999991</v>
      </c>
      <c r="Z1712" s="67" t="s">
        <v>41</v>
      </c>
      <c r="AA1712" s="12" t="s">
        <v>79</v>
      </c>
    </row>
    <row r="1713" spans="1:27" x14ac:dyDescent="0.25">
      <c r="A1713" s="10">
        <v>45684</v>
      </c>
      <c r="B1713" s="11" t="s">
        <v>3713</v>
      </c>
      <c r="C1713" s="11" t="s">
        <v>3714</v>
      </c>
      <c r="D1713" s="11" t="s">
        <v>26</v>
      </c>
      <c r="E1713" s="11" t="s">
        <v>701</v>
      </c>
      <c r="F1713" s="11" t="s">
        <v>26</v>
      </c>
      <c r="G1713" s="11">
        <v>2603</v>
      </c>
      <c r="H1713" s="12" t="s">
        <v>41</v>
      </c>
      <c r="I1713" s="12" t="s">
        <v>55</v>
      </c>
      <c r="J1713" s="12" t="s">
        <v>55</v>
      </c>
      <c r="K1713" s="12" t="s">
        <v>56</v>
      </c>
      <c r="L1713" s="13">
        <v>31.8</v>
      </c>
      <c r="M1713" s="13">
        <v>20</v>
      </c>
      <c r="N1713" s="13">
        <v>1.59</v>
      </c>
      <c r="O1713" s="13" t="s">
        <v>30</v>
      </c>
      <c r="P1713" s="13">
        <v>24</v>
      </c>
      <c r="Q1713" s="13">
        <v>0</v>
      </c>
      <c r="R1713" s="15">
        <v>480</v>
      </c>
      <c r="S1713" s="15">
        <v>0</v>
      </c>
      <c r="T1713" s="15">
        <v>0</v>
      </c>
      <c r="U1713" s="15">
        <v>480</v>
      </c>
      <c r="V1713" s="15">
        <v>0</v>
      </c>
      <c r="W1713" s="15">
        <v>480</v>
      </c>
      <c r="X1713" s="15">
        <v>0</v>
      </c>
      <c r="Y1713" s="16">
        <v>0</v>
      </c>
      <c r="Z1713" s="67" t="s">
        <v>26</v>
      </c>
      <c r="AA1713" s="12" t="s">
        <v>31</v>
      </c>
    </row>
    <row r="1714" spans="1:27" x14ac:dyDescent="0.25">
      <c r="A1714" s="10">
        <v>45684</v>
      </c>
      <c r="B1714" s="11" t="s">
        <v>3715</v>
      </c>
      <c r="C1714" s="11" t="s">
        <v>3716</v>
      </c>
      <c r="D1714" s="11" t="s">
        <v>26</v>
      </c>
      <c r="E1714" s="11" t="s">
        <v>1200</v>
      </c>
      <c r="F1714" s="11" t="s">
        <v>26</v>
      </c>
      <c r="G1714" s="11">
        <v>2558</v>
      </c>
      <c r="H1714" s="12" t="s">
        <v>163</v>
      </c>
      <c r="I1714" s="12" t="s">
        <v>27</v>
      </c>
      <c r="J1714" s="12" t="s">
        <v>33</v>
      </c>
      <c r="K1714" s="12" t="s">
        <v>34</v>
      </c>
      <c r="L1714" s="13">
        <v>38.44</v>
      </c>
      <c r="M1714" s="13">
        <v>25</v>
      </c>
      <c r="N1714" s="13">
        <v>1.5376000000000001</v>
      </c>
      <c r="O1714" s="13" t="s">
        <v>30</v>
      </c>
      <c r="P1714" s="13">
        <v>58</v>
      </c>
      <c r="Q1714" s="13">
        <v>0</v>
      </c>
      <c r="R1714" s="14">
        <v>1450</v>
      </c>
      <c r="S1714" s="15">
        <v>0</v>
      </c>
      <c r="T1714" s="15">
        <v>0</v>
      </c>
      <c r="U1714" s="15">
        <v>1450</v>
      </c>
      <c r="V1714" s="15">
        <v>0</v>
      </c>
      <c r="W1714" s="15">
        <v>1450</v>
      </c>
      <c r="X1714" s="15">
        <v>0</v>
      </c>
      <c r="Y1714" s="16">
        <v>0</v>
      </c>
      <c r="Z1714" s="67" t="s">
        <v>26</v>
      </c>
      <c r="AA1714" s="12" t="s">
        <v>31</v>
      </c>
    </row>
    <row r="1715" spans="1:27" x14ac:dyDescent="0.25">
      <c r="A1715" s="10">
        <v>45684</v>
      </c>
      <c r="B1715" s="11" t="s">
        <v>3717</v>
      </c>
      <c r="C1715" s="11" t="s">
        <v>3718</v>
      </c>
      <c r="D1715" s="11" t="s">
        <v>26</v>
      </c>
      <c r="E1715" s="11" t="s">
        <v>569</v>
      </c>
      <c r="F1715" s="11" t="s">
        <v>26</v>
      </c>
      <c r="G1715" s="11">
        <v>112184</v>
      </c>
      <c r="H1715" s="12" t="s">
        <v>4446</v>
      </c>
      <c r="I1715" s="12" t="s">
        <v>27</v>
      </c>
      <c r="J1715" s="12" t="s">
        <v>42</v>
      </c>
      <c r="K1715" s="12" t="s">
        <v>43</v>
      </c>
      <c r="L1715" s="13">
        <v>40.5</v>
      </c>
      <c r="M1715" s="13">
        <v>25</v>
      </c>
      <c r="N1715" s="13">
        <v>1.62</v>
      </c>
      <c r="O1715" s="13">
        <v>42</v>
      </c>
      <c r="P1715" s="13" t="s">
        <v>30</v>
      </c>
      <c r="Q1715" s="13">
        <v>0</v>
      </c>
      <c r="R1715" s="15">
        <v>1701</v>
      </c>
      <c r="S1715" s="15">
        <v>0</v>
      </c>
      <c r="T1715" s="15">
        <v>0</v>
      </c>
      <c r="U1715" s="15">
        <v>1701</v>
      </c>
      <c r="V1715" s="15">
        <v>1701</v>
      </c>
      <c r="W1715" s="15">
        <v>0</v>
      </c>
      <c r="X1715" s="15">
        <v>0</v>
      </c>
      <c r="Y1715" s="16">
        <v>0</v>
      </c>
      <c r="Z1715" s="67" t="s">
        <v>26</v>
      </c>
      <c r="AA1715" s="12" t="s">
        <v>31</v>
      </c>
    </row>
    <row r="1716" spans="1:27" x14ac:dyDescent="0.25">
      <c r="A1716" s="10">
        <v>45684</v>
      </c>
      <c r="B1716" s="11" t="s">
        <v>250</v>
      </c>
      <c r="C1716" s="11" t="s">
        <v>3719</v>
      </c>
      <c r="D1716" s="11" t="s">
        <v>26</v>
      </c>
      <c r="E1716" s="11" t="s">
        <v>57</v>
      </c>
      <c r="F1716" s="11" t="s">
        <v>26</v>
      </c>
      <c r="G1716" s="11">
        <v>3655</v>
      </c>
      <c r="H1716" s="12" t="s">
        <v>41</v>
      </c>
      <c r="I1716" s="12" t="s">
        <v>55</v>
      </c>
      <c r="J1716" s="12" t="s">
        <v>55</v>
      </c>
      <c r="K1716" s="12" t="s">
        <v>56</v>
      </c>
      <c r="L1716" s="13">
        <v>39.5</v>
      </c>
      <c r="M1716" s="13">
        <v>25</v>
      </c>
      <c r="N1716" s="13">
        <v>1.58</v>
      </c>
      <c r="O1716" s="13" t="s">
        <v>30</v>
      </c>
      <c r="P1716" s="13">
        <v>24</v>
      </c>
      <c r="Q1716" s="13">
        <v>0</v>
      </c>
      <c r="R1716" s="14">
        <v>600</v>
      </c>
      <c r="S1716" s="15">
        <v>0</v>
      </c>
      <c r="T1716" s="15">
        <v>0</v>
      </c>
      <c r="U1716" s="15">
        <v>600</v>
      </c>
      <c r="V1716" s="15">
        <v>0</v>
      </c>
      <c r="W1716" s="15">
        <v>600</v>
      </c>
      <c r="X1716" s="15">
        <v>0</v>
      </c>
      <c r="Y1716" s="16">
        <v>0</v>
      </c>
      <c r="Z1716" s="67" t="s">
        <v>26</v>
      </c>
      <c r="AA1716" s="12" t="s">
        <v>31</v>
      </c>
    </row>
    <row r="1717" spans="1:27" x14ac:dyDescent="0.25">
      <c r="A1717" s="10">
        <v>45684</v>
      </c>
      <c r="B1717" s="11" t="s">
        <v>277</v>
      </c>
      <c r="C1717" s="11" t="s">
        <v>3720</v>
      </c>
      <c r="D1717" s="11" t="s">
        <v>26</v>
      </c>
      <c r="E1717" s="11" t="s">
        <v>105</v>
      </c>
      <c r="F1717" s="11" t="s">
        <v>26</v>
      </c>
      <c r="G1717" s="11">
        <v>2604</v>
      </c>
      <c r="H1717" s="12" t="s">
        <v>41</v>
      </c>
      <c r="I1717" s="12" t="s">
        <v>55</v>
      </c>
      <c r="J1717" s="12" t="s">
        <v>55</v>
      </c>
      <c r="K1717" s="12" t="s">
        <v>56</v>
      </c>
      <c r="L1717" s="13">
        <v>32.26</v>
      </c>
      <c r="M1717" s="13">
        <v>20</v>
      </c>
      <c r="N1717" s="13">
        <v>1.613</v>
      </c>
      <c r="O1717" s="13" t="s">
        <v>30</v>
      </c>
      <c r="P1717" s="13">
        <v>24</v>
      </c>
      <c r="Q1717" s="13">
        <v>0</v>
      </c>
      <c r="R1717" s="14">
        <v>480</v>
      </c>
      <c r="S1717" s="15">
        <v>0</v>
      </c>
      <c r="T1717" s="15">
        <v>0</v>
      </c>
      <c r="U1717" s="15">
        <v>480</v>
      </c>
      <c r="V1717" s="15">
        <v>0</v>
      </c>
      <c r="W1717" s="15">
        <v>480</v>
      </c>
      <c r="X1717" s="15">
        <v>0</v>
      </c>
      <c r="Y1717" s="16">
        <v>0</v>
      </c>
      <c r="Z1717" s="67" t="s">
        <v>26</v>
      </c>
      <c r="AA1717" s="12" t="s">
        <v>31</v>
      </c>
    </row>
    <row r="1718" spans="1:27" x14ac:dyDescent="0.25">
      <c r="A1718" s="10">
        <v>45684</v>
      </c>
      <c r="B1718" s="11" t="s">
        <v>3721</v>
      </c>
      <c r="C1718" s="11" t="s">
        <v>3722</v>
      </c>
      <c r="D1718" s="11" t="s">
        <v>26</v>
      </c>
      <c r="E1718" s="11" t="s">
        <v>237</v>
      </c>
      <c r="F1718" s="11" t="s">
        <v>26</v>
      </c>
      <c r="G1718" s="11">
        <v>61863</v>
      </c>
      <c r="H1718" s="12" t="s">
        <v>4423</v>
      </c>
      <c r="I1718" s="12" t="s">
        <v>27</v>
      </c>
      <c r="J1718" s="12" t="s">
        <v>42</v>
      </c>
      <c r="K1718" s="12" t="s">
        <v>43</v>
      </c>
      <c r="L1718" s="13">
        <v>40.56</v>
      </c>
      <c r="M1718" s="13">
        <v>25</v>
      </c>
      <c r="N1718" s="13">
        <v>1.6224000000000001</v>
      </c>
      <c r="O1718" s="13">
        <v>42</v>
      </c>
      <c r="P1718" s="13" t="s">
        <v>30</v>
      </c>
      <c r="Q1718" s="13">
        <v>0</v>
      </c>
      <c r="R1718" s="14">
        <v>1703.52</v>
      </c>
      <c r="S1718" s="15">
        <v>0</v>
      </c>
      <c r="T1718" s="15">
        <v>0</v>
      </c>
      <c r="U1718" s="15">
        <v>1703.52</v>
      </c>
      <c r="V1718" s="15">
        <v>1703.52</v>
      </c>
      <c r="W1718" s="15">
        <v>0</v>
      </c>
      <c r="X1718" s="15">
        <v>0</v>
      </c>
      <c r="Y1718" s="16">
        <v>0</v>
      </c>
      <c r="Z1718" s="67" t="s">
        <v>26</v>
      </c>
      <c r="AA1718" s="12" t="s">
        <v>31</v>
      </c>
    </row>
    <row r="1719" spans="1:27" x14ac:dyDescent="0.25">
      <c r="A1719" s="10">
        <v>45684</v>
      </c>
      <c r="B1719" s="11" t="s">
        <v>3723</v>
      </c>
      <c r="C1719" s="11" t="s">
        <v>3724</v>
      </c>
      <c r="D1719" s="11" t="s">
        <v>26</v>
      </c>
      <c r="E1719" s="11" t="s">
        <v>91</v>
      </c>
      <c r="F1719" s="11" t="s">
        <v>26</v>
      </c>
      <c r="G1719" s="11">
        <v>2461</v>
      </c>
      <c r="H1719" s="12" t="s">
        <v>41</v>
      </c>
      <c r="I1719" s="12" t="s">
        <v>55</v>
      </c>
      <c r="J1719" s="12" t="s">
        <v>55</v>
      </c>
      <c r="K1719" s="12" t="s">
        <v>56</v>
      </c>
      <c r="L1719" s="13">
        <v>32.58</v>
      </c>
      <c r="M1719" s="13">
        <v>20</v>
      </c>
      <c r="N1719" s="13">
        <v>1.629</v>
      </c>
      <c r="O1719" s="13" t="s">
        <v>30</v>
      </c>
      <c r="P1719" s="13">
        <v>24</v>
      </c>
      <c r="Q1719" s="13">
        <v>0</v>
      </c>
      <c r="R1719" s="14">
        <v>480</v>
      </c>
      <c r="S1719" s="15">
        <v>0</v>
      </c>
      <c r="T1719" s="15">
        <v>0</v>
      </c>
      <c r="U1719" s="15">
        <v>480</v>
      </c>
      <c r="V1719" s="15">
        <v>0</v>
      </c>
      <c r="W1719" s="15">
        <v>480</v>
      </c>
      <c r="X1719" s="15">
        <v>0</v>
      </c>
      <c r="Y1719" s="16">
        <v>0</v>
      </c>
      <c r="Z1719" s="67" t="s">
        <v>26</v>
      </c>
      <c r="AA1719" s="12" t="s">
        <v>31</v>
      </c>
    </row>
    <row r="1720" spans="1:27" x14ac:dyDescent="0.25">
      <c r="A1720" s="10">
        <v>45684</v>
      </c>
      <c r="B1720" s="11" t="s">
        <v>631</v>
      </c>
      <c r="C1720" s="11" t="s">
        <v>3725</v>
      </c>
      <c r="D1720" s="11" t="s">
        <v>26</v>
      </c>
      <c r="E1720" s="11" t="s">
        <v>68</v>
      </c>
      <c r="F1720" s="11" t="s">
        <v>26</v>
      </c>
      <c r="G1720" s="11">
        <v>1542</v>
      </c>
      <c r="H1720" s="12" t="s">
        <v>45</v>
      </c>
      <c r="I1720" s="12" t="s">
        <v>27</v>
      </c>
      <c r="J1720" s="12" t="s">
        <v>42</v>
      </c>
      <c r="K1720" s="12" t="s">
        <v>43</v>
      </c>
      <c r="L1720" s="13">
        <v>43.64</v>
      </c>
      <c r="M1720" s="13">
        <v>25</v>
      </c>
      <c r="N1720" s="13">
        <v>1.7456</v>
      </c>
      <c r="O1720" s="13" t="s">
        <v>30</v>
      </c>
      <c r="P1720" s="13">
        <v>62</v>
      </c>
      <c r="Q1720" s="13">
        <v>0</v>
      </c>
      <c r="R1720" s="15">
        <v>1550</v>
      </c>
      <c r="S1720" s="15">
        <v>0</v>
      </c>
      <c r="T1720" s="15">
        <v>0</v>
      </c>
      <c r="U1720" s="15">
        <v>1550</v>
      </c>
      <c r="V1720" s="15">
        <v>0</v>
      </c>
      <c r="W1720" s="15">
        <v>1550</v>
      </c>
      <c r="X1720" s="15">
        <v>0</v>
      </c>
      <c r="Y1720" s="16">
        <v>0</v>
      </c>
      <c r="Z1720" s="67" t="s">
        <v>26</v>
      </c>
      <c r="AA1720" s="12" t="s">
        <v>31</v>
      </c>
    </row>
    <row r="1721" spans="1:27" x14ac:dyDescent="0.25">
      <c r="A1721" s="10">
        <v>45684</v>
      </c>
      <c r="B1721" s="11" t="s">
        <v>3726</v>
      </c>
      <c r="C1721" s="11" t="s">
        <v>3727</v>
      </c>
      <c r="D1721" s="11" t="s">
        <v>26</v>
      </c>
      <c r="E1721" s="11" t="s">
        <v>183</v>
      </c>
      <c r="F1721" s="11" t="s">
        <v>26</v>
      </c>
      <c r="G1721" s="11">
        <v>4679</v>
      </c>
      <c r="H1721" s="12" t="s">
        <v>41</v>
      </c>
      <c r="I1721" s="12" t="s">
        <v>55</v>
      </c>
      <c r="J1721" s="12" t="s">
        <v>55</v>
      </c>
      <c r="K1721" s="12" t="s">
        <v>56</v>
      </c>
      <c r="L1721" s="13">
        <v>30.94</v>
      </c>
      <c r="M1721" s="13">
        <v>20</v>
      </c>
      <c r="N1721" s="13">
        <v>1.5469999999999999</v>
      </c>
      <c r="O1721" s="13" t="s">
        <v>30</v>
      </c>
      <c r="P1721" s="13">
        <v>24</v>
      </c>
      <c r="Q1721" s="13">
        <v>0</v>
      </c>
      <c r="R1721" s="15">
        <v>480</v>
      </c>
      <c r="S1721" s="15">
        <v>0</v>
      </c>
      <c r="T1721" s="15">
        <v>0</v>
      </c>
      <c r="U1721" s="15">
        <v>480</v>
      </c>
      <c r="V1721" s="15">
        <v>0</v>
      </c>
      <c r="W1721" s="15">
        <v>480</v>
      </c>
      <c r="X1721" s="15">
        <v>0</v>
      </c>
      <c r="Y1721" s="16">
        <v>0</v>
      </c>
      <c r="Z1721" s="67" t="s">
        <v>26</v>
      </c>
      <c r="AA1721" s="12" t="s">
        <v>31</v>
      </c>
    </row>
    <row r="1722" spans="1:27" x14ac:dyDescent="0.25">
      <c r="A1722" s="10">
        <v>45684</v>
      </c>
      <c r="B1722" s="11" t="s">
        <v>3660</v>
      </c>
      <c r="C1722" s="11" t="s">
        <v>3728</v>
      </c>
      <c r="D1722" s="11" t="s">
        <v>26</v>
      </c>
      <c r="E1722" s="11" t="s">
        <v>77</v>
      </c>
      <c r="F1722" s="11" t="s">
        <v>26</v>
      </c>
      <c r="G1722" s="11" t="s">
        <v>185</v>
      </c>
      <c r="H1722" s="12" t="s">
        <v>4449</v>
      </c>
      <c r="I1722" s="12" t="s">
        <v>55</v>
      </c>
      <c r="J1722" s="12" t="s">
        <v>55</v>
      </c>
      <c r="K1722" s="12" t="s">
        <v>56</v>
      </c>
      <c r="L1722" s="13">
        <v>38.479999999999997</v>
      </c>
      <c r="M1722" s="13">
        <v>25</v>
      </c>
      <c r="N1722" s="13">
        <v>1.5391999999999999</v>
      </c>
      <c r="O1722" s="13">
        <v>15</v>
      </c>
      <c r="P1722" s="13" t="s">
        <v>30</v>
      </c>
      <c r="Q1722" s="13">
        <v>0</v>
      </c>
      <c r="R1722" s="15">
        <v>577.19999999999993</v>
      </c>
      <c r="S1722" s="15">
        <v>0</v>
      </c>
      <c r="T1722" s="15">
        <v>0</v>
      </c>
      <c r="U1722" s="15">
        <v>577.19999999999993</v>
      </c>
      <c r="V1722" s="15">
        <v>577.19999999999993</v>
      </c>
      <c r="W1722" s="15">
        <v>0</v>
      </c>
      <c r="X1722" s="15">
        <v>0</v>
      </c>
      <c r="Y1722" s="16">
        <v>0</v>
      </c>
      <c r="Z1722" s="67" t="s">
        <v>26</v>
      </c>
      <c r="AA1722" s="12" t="s">
        <v>31</v>
      </c>
    </row>
    <row r="1723" spans="1:27" x14ac:dyDescent="0.25">
      <c r="A1723" s="10">
        <v>45684</v>
      </c>
      <c r="B1723" s="11" t="s">
        <v>3729</v>
      </c>
      <c r="C1723" s="11" t="s">
        <v>3730</v>
      </c>
      <c r="D1723" s="11" t="s">
        <v>26</v>
      </c>
      <c r="E1723" s="11" t="s">
        <v>80</v>
      </c>
      <c r="F1723" s="11" t="s">
        <v>26</v>
      </c>
      <c r="G1723" s="11">
        <v>10658</v>
      </c>
      <c r="H1723" s="12" t="s">
        <v>140</v>
      </c>
      <c r="I1723" s="12" t="s">
        <v>27</v>
      </c>
      <c r="J1723" s="12" t="s">
        <v>47</v>
      </c>
      <c r="K1723" s="12" t="s">
        <v>48</v>
      </c>
      <c r="L1723" s="13">
        <v>41.94</v>
      </c>
      <c r="M1723" s="13">
        <v>28</v>
      </c>
      <c r="N1723" s="13">
        <v>1.497857142857143</v>
      </c>
      <c r="O1723" s="13">
        <v>40</v>
      </c>
      <c r="P1723" s="13"/>
      <c r="Q1723" s="13">
        <v>0</v>
      </c>
      <c r="R1723" s="14">
        <v>1677.6</v>
      </c>
      <c r="S1723" s="15">
        <v>0</v>
      </c>
      <c r="T1723" s="15">
        <v>0</v>
      </c>
      <c r="U1723" s="15">
        <v>1677.6</v>
      </c>
      <c r="V1723" s="15">
        <v>0</v>
      </c>
      <c r="W1723" s="15">
        <v>1677.6</v>
      </c>
      <c r="X1723" s="16">
        <v>0</v>
      </c>
      <c r="Y1723" s="16">
        <v>0</v>
      </c>
      <c r="Z1723" s="67" t="s">
        <v>26</v>
      </c>
      <c r="AA1723" s="12" t="s">
        <v>31</v>
      </c>
    </row>
    <row r="1724" spans="1:27" x14ac:dyDescent="0.25">
      <c r="A1724" s="10">
        <v>45684</v>
      </c>
      <c r="B1724" s="11" t="s">
        <v>174</v>
      </c>
      <c r="C1724" s="11" t="s">
        <v>3731</v>
      </c>
      <c r="D1724" s="11" t="s">
        <v>26</v>
      </c>
      <c r="E1724" s="11" t="s">
        <v>230</v>
      </c>
      <c r="F1724" s="11" t="s">
        <v>26</v>
      </c>
      <c r="G1724" s="11">
        <v>23147</v>
      </c>
      <c r="H1724" s="12" t="s">
        <v>565</v>
      </c>
      <c r="I1724" s="12" t="s">
        <v>27</v>
      </c>
      <c r="J1724" s="12" t="s">
        <v>33</v>
      </c>
      <c r="K1724" s="12" t="s">
        <v>34</v>
      </c>
      <c r="L1724" s="13">
        <v>42.02</v>
      </c>
      <c r="M1724" s="13">
        <v>28</v>
      </c>
      <c r="N1724" s="13">
        <v>1.5007142857142859</v>
      </c>
      <c r="O1724" s="13"/>
      <c r="P1724" s="13">
        <v>60</v>
      </c>
      <c r="Q1724" s="13">
        <v>0</v>
      </c>
      <c r="R1724" s="14">
        <v>1680</v>
      </c>
      <c r="S1724" s="15">
        <v>0</v>
      </c>
      <c r="T1724" s="15">
        <v>0</v>
      </c>
      <c r="U1724" s="15">
        <v>1680</v>
      </c>
      <c r="V1724" s="15">
        <v>0</v>
      </c>
      <c r="W1724" s="15">
        <v>1680</v>
      </c>
      <c r="X1724" s="16">
        <v>0</v>
      </c>
      <c r="Y1724" s="16">
        <v>0</v>
      </c>
      <c r="Z1724" s="67" t="s">
        <v>26</v>
      </c>
      <c r="AA1724" s="12" t="s">
        <v>31</v>
      </c>
    </row>
    <row r="1725" spans="1:27" x14ac:dyDescent="0.25">
      <c r="A1725" s="10">
        <v>45684</v>
      </c>
      <c r="B1725" s="11" t="s">
        <v>333</v>
      </c>
      <c r="C1725" s="11" t="s">
        <v>3732</v>
      </c>
      <c r="D1725" s="11" t="s">
        <v>26</v>
      </c>
      <c r="E1725" s="11" t="s">
        <v>59</v>
      </c>
      <c r="F1725" s="11" t="s">
        <v>26</v>
      </c>
      <c r="G1725" s="11">
        <v>112368</v>
      </c>
      <c r="H1725" s="12" t="s">
        <v>4446</v>
      </c>
      <c r="I1725" s="12" t="s">
        <v>27</v>
      </c>
      <c r="J1725" s="12" t="s">
        <v>33</v>
      </c>
      <c r="K1725" s="12" t="s">
        <v>34</v>
      </c>
      <c r="L1725" s="13">
        <v>35.08</v>
      </c>
      <c r="M1725" s="13">
        <v>25</v>
      </c>
      <c r="N1725" s="13">
        <v>1.4032</v>
      </c>
      <c r="O1725" s="13">
        <v>44</v>
      </c>
      <c r="P1725" s="13" t="s">
        <v>30</v>
      </c>
      <c r="Q1725" s="13">
        <v>0</v>
      </c>
      <c r="R1725" s="14">
        <v>1543.52</v>
      </c>
      <c r="S1725" s="15">
        <v>0</v>
      </c>
      <c r="T1725" s="15">
        <v>0</v>
      </c>
      <c r="U1725" s="15">
        <v>1543.52</v>
      </c>
      <c r="V1725" s="15">
        <v>1543.52</v>
      </c>
      <c r="W1725" s="15">
        <v>0</v>
      </c>
      <c r="X1725" s="16">
        <v>0</v>
      </c>
      <c r="Y1725" s="16">
        <v>0</v>
      </c>
      <c r="Z1725" s="67" t="s">
        <v>26</v>
      </c>
      <c r="AA1725" s="12" t="s">
        <v>31</v>
      </c>
    </row>
    <row r="1726" spans="1:27" x14ac:dyDescent="0.25">
      <c r="A1726" s="10">
        <v>45684</v>
      </c>
      <c r="B1726" s="11" t="s">
        <v>318</v>
      </c>
      <c r="C1726" s="11" t="s">
        <v>3733</v>
      </c>
      <c r="D1726" s="11" t="s">
        <v>26</v>
      </c>
      <c r="E1726" s="11" t="s">
        <v>50</v>
      </c>
      <c r="F1726" s="11" t="s">
        <v>26</v>
      </c>
      <c r="G1726" s="11">
        <v>909</v>
      </c>
      <c r="H1726" s="12" t="s">
        <v>163</v>
      </c>
      <c r="I1726" s="12" t="s">
        <v>27</v>
      </c>
      <c r="J1726" s="12" t="s">
        <v>33</v>
      </c>
      <c r="K1726" s="12" t="s">
        <v>34</v>
      </c>
      <c r="L1726" s="13">
        <v>36.94</v>
      </c>
      <c r="M1726" s="13">
        <v>25</v>
      </c>
      <c r="N1726" s="13">
        <v>1.4776</v>
      </c>
      <c r="O1726" s="13" t="s">
        <v>30</v>
      </c>
      <c r="P1726" s="13">
        <v>58</v>
      </c>
      <c r="Q1726" s="13">
        <v>0</v>
      </c>
      <c r="R1726" s="14">
        <v>1450</v>
      </c>
      <c r="S1726" s="15">
        <v>0</v>
      </c>
      <c r="T1726" s="15">
        <v>0</v>
      </c>
      <c r="U1726" s="15">
        <v>1450</v>
      </c>
      <c r="V1726" s="15">
        <v>0</v>
      </c>
      <c r="W1726" s="15">
        <v>1450</v>
      </c>
      <c r="X1726" s="15">
        <v>0</v>
      </c>
      <c r="Y1726" s="16">
        <v>0</v>
      </c>
      <c r="Z1726" s="67" t="s">
        <v>26</v>
      </c>
      <c r="AA1726" s="12" t="s">
        <v>31</v>
      </c>
    </row>
    <row r="1727" spans="1:27" x14ac:dyDescent="0.25">
      <c r="A1727" s="10">
        <v>45684</v>
      </c>
      <c r="B1727" s="11" t="s">
        <v>3734</v>
      </c>
      <c r="C1727" s="11" t="s">
        <v>3735</v>
      </c>
      <c r="D1727" s="11" t="s">
        <v>26</v>
      </c>
      <c r="E1727" s="11" t="s">
        <v>552</v>
      </c>
      <c r="F1727" s="11" t="s">
        <v>26</v>
      </c>
      <c r="G1727" s="11">
        <v>69134</v>
      </c>
      <c r="H1727" s="12" t="s">
        <v>4423</v>
      </c>
      <c r="I1727" s="12" t="s">
        <v>27</v>
      </c>
      <c r="J1727" s="12" t="s">
        <v>33</v>
      </c>
      <c r="K1727" s="12" t="s">
        <v>34</v>
      </c>
      <c r="L1727" s="13">
        <v>34.26</v>
      </c>
      <c r="M1727" s="13">
        <v>25</v>
      </c>
      <c r="N1727" s="13">
        <v>1.3704000000000001</v>
      </c>
      <c r="O1727" s="13">
        <v>45</v>
      </c>
      <c r="P1727" s="13" t="s">
        <v>30</v>
      </c>
      <c r="Q1727" s="13">
        <v>0</v>
      </c>
      <c r="R1727" s="14">
        <v>1541.6999999999998</v>
      </c>
      <c r="S1727" s="15">
        <v>0</v>
      </c>
      <c r="T1727" s="15">
        <v>0</v>
      </c>
      <c r="U1727" s="15">
        <v>1541.6999999999998</v>
      </c>
      <c r="V1727" s="15">
        <v>1541.6999999999998</v>
      </c>
      <c r="W1727" s="15">
        <v>0</v>
      </c>
      <c r="X1727" s="15">
        <v>0</v>
      </c>
      <c r="Y1727" s="16">
        <v>0</v>
      </c>
      <c r="Z1727" s="67" t="s">
        <v>26</v>
      </c>
      <c r="AA1727" s="12" t="s">
        <v>31</v>
      </c>
    </row>
    <row r="1728" spans="1:27" x14ac:dyDescent="0.25">
      <c r="A1728" s="10">
        <v>45684</v>
      </c>
      <c r="B1728" s="11" t="s">
        <v>3502</v>
      </c>
      <c r="C1728" s="11" t="s">
        <v>3736</v>
      </c>
      <c r="D1728" s="11" t="s">
        <v>26</v>
      </c>
      <c r="E1728" s="11" t="s">
        <v>77</v>
      </c>
      <c r="F1728" s="11" t="s">
        <v>26</v>
      </c>
      <c r="G1728" s="11">
        <v>2401</v>
      </c>
      <c r="H1728" s="12" t="s">
        <v>4449</v>
      </c>
      <c r="I1728" s="12" t="s">
        <v>55</v>
      </c>
      <c r="J1728" s="12" t="s">
        <v>55</v>
      </c>
      <c r="K1728" s="12" t="s">
        <v>56</v>
      </c>
      <c r="L1728" s="13">
        <v>39.18</v>
      </c>
      <c r="M1728" s="13">
        <v>25</v>
      </c>
      <c r="N1728" s="13">
        <v>1.5671999999999999</v>
      </c>
      <c r="O1728" s="13">
        <v>15</v>
      </c>
      <c r="P1728" s="13" t="s">
        <v>30</v>
      </c>
      <c r="Q1728" s="13">
        <v>0</v>
      </c>
      <c r="R1728" s="15">
        <v>587.70000000000005</v>
      </c>
      <c r="S1728" s="15">
        <v>0</v>
      </c>
      <c r="T1728" s="15">
        <v>0</v>
      </c>
      <c r="U1728" s="15">
        <v>587.70000000000005</v>
      </c>
      <c r="V1728" s="15">
        <v>587.70000000000005</v>
      </c>
      <c r="W1728" s="15">
        <v>0</v>
      </c>
      <c r="X1728" s="15">
        <v>0</v>
      </c>
      <c r="Y1728" s="16">
        <v>0</v>
      </c>
      <c r="Z1728" s="67" t="s">
        <v>26</v>
      </c>
      <c r="AA1728" s="12" t="s">
        <v>31</v>
      </c>
    </row>
    <row r="1729" spans="1:27" x14ac:dyDescent="0.25">
      <c r="A1729" s="10">
        <v>45684</v>
      </c>
      <c r="B1729" s="11" t="s">
        <v>3737</v>
      </c>
      <c r="C1729" s="11" t="s">
        <v>3738</v>
      </c>
      <c r="D1729" s="11" t="s">
        <v>26</v>
      </c>
      <c r="E1729" s="11" t="s">
        <v>179</v>
      </c>
      <c r="F1729" s="11" t="s">
        <v>26</v>
      </c>
      <c r="G1729" s="11">
        <v>57750</v>
      </c>
      <c r="H1729" s="12" t="s">
        <v>4423</v>
      </c>
      <c r="I1729" s="12" t="s">
        <v>27</v>
      </c>
      <c r="J1729" s="12" t="s">
        <v>33</v>
      </c>
      <c r="K1729" s="12" t="s">
        <v>34</v>
      </c>
      <c r="L1729" s="13">
        <v>34.880000000000003</v>
      </c>
      <c r="M1729" s="13">
        <v>25</v>
      </c>
      <c r="N1729" s="13">
        <v>1.3952</v>
      </c>
      <c r="O1729" s="13">
        <v>45</v>
      </c>
      <c r="P1729" s="13" t="s">
        <v>30</v>
      </c>
      <c r="Q1729" s="13">
        <v>0</v>
      </c>
      <c r="R1729" s="14">
        <v>1569.6000000000001</v>
      </c>
      <c r="S1729" s="15">
        <v>0</v>
      </c>
      <c r="T1729" s="15">
        <v>0</v>
      </c>
      <c r="U1729" s="15">
        <v>1569.6000000000001</v>
      </c>
      <c r="V1729" s="15">
        <v>1569.6000000000001</v>
      </c>
      <c r="W1729" s="15">
        <v>0</v>
      </c>
      <c r="X1729" s="15">
        <v>0</v>
      </c>
      <c r="Y1729" s="16">
        <v>0</v>
      </c>
      <c r="Z1729" s="67" t="s">
        <v>26</v>
      </c>
      <c r="AA1729" s="12" t="s">
        <v>31</v>
      </c>
    </row>
    <row r="1730" spans="1:27" x14ac:dyDescent="0.25">
      <c r="A1730" s="10">
        <v>45684</v>
      </c>
      <c r="B1730" s="11" t="s">
        <v>119</v>
      </c>
      <c r="C1730" s="11" t="s">
        <v>3739</v>
      </c>
      <c r="D1730" s="11" t="s">
        <v>26</v>
      </c>
      <c r="E1730" s="11" t="s">
        <v>483</v>
      </c>
      <c r="F1730" s="11" t="s">
        <v>26</v>
      </c>
      <c r="G1730" s="11">
        <v>3561</v>
      </c>
      <c r="H1730" s="12" t="s">
        <v>41</v>
      </c>
      <c r="I1730" s="12" t="s">
        <v>27</v>
      </c>
      <c r="J1730" s="12" t="s">
        <v>42</v>
      </c>
      <c r="K1730" s="12" t="s">
        <v>43</v>
      </c>
      <c r="L1730" s="13">
        <v>42.1</v>
      </c>
      <c r="M1730" s="13">
        <v>25</v>
      </c>
      <c r="N1730" s="13">
        <v>1.6839999999999999</v>
      </c>
      <c r="O1730" s="13" t="s">
        <v>30</v>
      </c>
      <c r="P1730" s="13">
        <v>64</v>
      </c>
      <c r="Q1730" s="13">
        <v>0</v>
      </c>
      <c r="R1730" s="14">
        <v>1600</v>
      </c>
      <c r="S1730" s="15">
        <v>0</v>
      </c>
      <c r="T1730" s="15">
        <v>0</v>
      </c>
      <c r="U1730" s="15">
        <v>1600</v>
      </c>
      <c r="V1730" s="15">
        <v>0</v>
      </c>
      <c r="W1730" s="15">
        <v>1600</v>
      </c>
      <c r="X1730" s="15">
        <v>0</v>
      </c>
      <c r="Y1730" s="16">
        <v>0</v>
      </c>
      <c r="Z1730" s="67" t="s">
        <v>26</v>
      </c>
      <c r="AA1730" s="12" t="s">
        <v>31</v>
      </c>
    </row>
    <row r="1731" spans="1:27" x14ac:dyDescent="0.25">
      <c r="A1731" s="10">
        <v>45684</v>
      </c>
      <c r="B1731" s="11" t="s">
        <v>3740</v>
      </c>
      <c r="C1731" s="11" t="s">
        <v>3741</v>
      </c>
      <c r="D1731" s="11" t="s">
        <v>26</v>
      </c>
      <c r="E1731" s="11" t="s">
        <v>81</v>
      </c>
      <c r="F1731" s="11" t="s">
        <v>26</v>
      </c>
      <c r="G1731" s="11" t="s">
        <v>26</v>
      </c>
      <c r="H1731" s="12" t="s">
        <v>4422</v>
      </c>
      <c r="I1731" s="12" t="s">
        <v>27</v>
      </c>
      <c r="J1731" s="12" t="s">
        <v>47</v>
      </c>
      <c r="K1731" s="12" t="s">
        <v>48</v>
      </c>
      <c r="L1731" s="13">
        <v>42.72</v>
      </c>
      <c r="M1731" s="13">
        <v>29</v>
      </c>
      <c r="N1731" s="13">
        <v>1.473103448275862</v>
      </c>
      <c r="O1731" s="13">
        <v>87</v>
      </c>
      <c r="P1731" s="13" t="s">
        <v>30</v>
      </c>
      <c r="Q1731" s="13">
        <v>0</v>
      </c>
      <c r="R1731" s="14">
        <v>3716.64</v>
      </c>
      <c r="S1731" s="15">
        <v>38</v>
      </c>
      <c r="T1731" s="15">
        <v>1623.36</v>
      </c>
      <c r="U1731" s="15">
        <v>2093.2799999999997</v>
      </c>
      <c r="V1731" s="15">
        <v>2093.2799999999997</v>
      </c>
      <c r="W1731" s="15"/>
      <c r="X1731" s="15">
        <v>1537.92</v>
      </c>
      <c r="Y1731" s="16">
        <v>85.439999999999827</v>
      </c>
      <c r="Z1731" s="67" t="s">
        <v>141</v>
      </c>
      <c r="AA1731" s="12" t="s">
        <v>78</v>
      </c>
    </row>
    <row r="1732" spans="1:27" x14ac:dyDescent="0.25">
      <c r="A1732" s="10">
        <v>45684</v>
      </c>
      <c r="B1732" s="11" t="s">
        <v>3742</v>
      </c>
      <c r="C1732" s="11" t="s">
        <v>3743</v>
      </c>
      <c r="D1732" s="11" t="s">
        <v>26</v>
      </c>
      <c r="E1732" s="11" t="s">
        <v>597</v>
      </c>
      <c r="F1732" s="11" t="s">
        <v>26</v>
      </c>
      <c r="G1732" s="11">
        <v>3772</v>
      </c>
      <c r="H1732" s="12" t="s">
        <v>41</v>
      </c>
      <c r="I1732" s="12" t="s">
        <v>55</v>
      </c>
      <c r="J1732" s="12" t="s">
        <v>55</v>
      </c>
      <c r="K1732" s="12" t="s">
        <v>56</v>
      </c>
      <c r="L1732" s="13">
        <v>31.92</v>
      </c>
      <c r="M1732" s="13">
        <v>20</v>
      </c>
      <c r="N1732" s="13">
        <v>1.5960000000000001</v>
      </c>
      <c r="O1732" s="13" t="s">
        <v>30</v>
      </c>
      <c r="P1732" s="13">
        <v>24</v>
      </c>
      <c r="Q1732" s="13">
        <v>0</v>
      </c>
      <c r="R1732" s="14">
        <v>480</v>
      </c>
      <c r="S1732" s="15">
        <v>0</v>
      </c>
      <c r="T1732" s="15">
        <v>0</v>
      </c>
      <c r="U1732" s="15">
        <v>480</v>
      </c>
      <c r="V1732" s="15">
        <v>0</v>
      </c>
      <c r="W1732" s="15">
        <v>480</v>
      </c>
      <c r="X1732" s="15">
        <v>0</v>
      </c>
      <c r="Y1732" s="16">
        <v>0</v>
      </c>
      <c r="Z1732" s="67" t="s">
        <v>26</v>
      </c>
      <c r="AA1732" s="12" t="s">
        <v>31</v>
      </c>
    </row>
    <row r="1733" spans="1:27" x14ac:dyDescent="0.25">
      <c r="A1733" s="10">
        <v>45684</v>
      </c>
      <c r="B1733" s="11" t="s">
        <v>3744</v>
      </c>
      <c r="C1733" s="11" t="s">
        <v>3745</v>
      </c>
      <c r="D1733" s="11" t="s">
        <v>26</v>
      </c>
      <c r="E1733" s="11" t="s">
        <v>605</v>
      </c>
      <c r="F1733" s="11" t="s">
        <v>26</v>
      </c>
      <c r="G1733" s="11" t="s">
        <v>26</v>
      </c>
      <c r="H1733" s="12" t="s">
        <v>4422</v>
      </c>
      <c r="I1733" s="12" t="s">
        <v>27</v>
      </c>
      <c r="J1733" s="12" t="s">
        <v>42</v>
      </c>
      <c r="K1733" s="12" t="s">
        <v>43</v>
      </c>
      <c r="L1733" s="13">
        <v>45.24</v>
      </c>
      <c r="M1733" s="13">
        <v>28</v>
      </c>
      <c r="N1733" s="13">
        <v>1.6157142857142861</v>
      </c>
      <c r="O1733" s="13">
        <v>83</v>
      </c>
      <c r="P1733" s="13" t="s">
        <v>30</v>
      </c>
      <c r="Q1733" s="13">
        <v>0</v>
      </c>
      <c r="R1733" s="15">
        <v>3754.92</v>
      </c>
      <c r="S1733" s="15">
        <v>38</v>
      </c>
      <c r="T1733" s="15">
        <v>1719.1200000000001</v>
      </c>
      <c r="U1733" s="15">
        <v>2035.8</v>
      </c>
      <c r="V1733" s="15">
        <v>2035.8</v>
      </c>
      <c r="W1733" s="15"/>
      <c r="X1733" s="15">
        <v>1628.64</v>
      </c>
      <c r="Y1733" s="16">
        <v>90.480000000000018</v>
      </c>
      <c r="Z1733" s="67" t="s">
        <v>141</v>
      </c>
      <c r="AA1733" s="12" t="s">
        <v>78</v>
      </c>
    </row>
    <row r="1734" spans="1:27" x14ac:dyDescent="0.25">
      <c r="A1734" s="10">
        <v>45684</v>
      </c>
      <c r="B1734" s="11" t="s">
        <v>3746</v>
      </c>
      <c r="C1734" s="11" t="s">
        <v>3747</v>
      </c>
      <c r="D1734" s="11" t="s">
        <v>26</v>
      </c>
      <c r="E1734" s="11" t="s">
        <v>246</v>
      </c>
      <c r="F1734" s="11" t="s">
        <v>26</v>
      </c>
      <c r="G1734" s="11">
        <v>2970</v>
      </c>
      <c r="H1734" s="12" t="s">
        <v>41</v>
      </c>
      <c r="I1734" s="12" t="s">
        <v>55</v>
      </c>
      <c r="J1734" s="12" t="s">
        <v>55</v>
      </c>
      <c r="K1734" s="12" t="s">
        <v>56</v>
      </c>
      <c r="L1734" s="13">
        <v>39.1</v>
      </c>
      <c r="M1734" s="13">
        <v>25</v>
      </c>
      <c r="N1734" s="13">
        <v>1.5640000000000001</v>
      </c>
      <c r="O1734" s="13" t="s">
        <v>30</v>
      </c>
      <c r="P1734" s="13">
        <v>24</v>
      </c>
      <c r="Q1734" s="13">
        <v>0</v>
      </c>
      <c r="R1734" s="14">
        <v>600</v>
      </c>
      <c r="S1734" s="15">
        <v>0</v>
      </c>
      <c r="T1734" s="15">
        <v>0</v>
      </c>
      <c r="U1734" s="15">
        <v>600</v>
      </c>
      <c r="V1734" s="15">
        <v>0</v>
      </c>
      <c r="W1734" s="15">
        <v>600</v>
      </c>
      <c r="X1734" s="15">
        <v>0</v>
      </c>
      <c r="Y1734" s="16">
        <v>0</v>
      </c>
      <c r="Z1734" s="67" t="s">
        <v>26</v>
      </c>
      <c r="AA1734" s="12" t="s">
        <v>31</v>
      </c>
    </row>
    <row r="1735" spans="1:27" x14ac:dyDescent="0.25">
      <c r="A1735" s="10">
        <v>45684</v>
      </c>
      <c r="B1735" s="11" t="s">
        <v>102</v>
      </c>
      <c r="C1735" s="11" t="s">
        <v>3748</v>
      </c>
      <c r="D1735" s="11" t="s">
        <v>26</v>
      </c>
      <c r="E1735" s="11" t="s">
        <v>539</v>
      </c>
      <c r="F1735" s="11" t="s">
        <v>26</v>
      </c>
      <c r="G1735" s="11">
        <v>3830</v>
      </c>
      <c r="H1735" s="12" t="s">
        <v>41</v>
      </c>
      <c r="I1735" s="12" t="s">
        <v>55</v>
      </c>
      <c r="J1735" s="12" t="s">
        <v>55</v>
      </c>
      <c r="K1735" s="12" t="s">
        <v>56</v>
      </c>
      <c r="L1735" s="13">
        <v>40.18</v>
      </c>
      <c r="M1735" s="13">
        <v>25</v>
      </c>
      <c r="N1735" s="13">
        <v>1.6072</v>
      </c>
      <c r="O1735" s="13" t="s">
        <v>30</v>
      </c>
      <c r="P1735" s="13">
        <v>24</v>
      </c>
      <c r="Q1735" s="13">
        <v>0</v>
      </c>
      <c r="R1735" s="14">
        <v>600</v>
      </c>
      <c r="S1735" s="15">
        <v>0</v>
      </c>
      <c r="T1735" s="15">
        <v>0</v>
      </c>
      <c r="U1735" s="15">
        <v>600</v>
      </c>
      <c r="V1735" s="15">
        <v>0</v>
      </c>
      <c r="W1735" s="15">
        <v>600</v>
      </c>
      <c r="X1735" s="15">
        <v>0</v>
      </c>
      <c r="Y1735" s="16">
        <v>0</v>
      </c>
      <c r="Z1735" s="67" t="s">
        <v>26</v>
      </c>
      <c r="AA1735" s="12" t="s">
        <v>31</v>
      </c>
    </row>
    <row r="1736" spans="1:27" x14ac:dyDescent="0.25">
      <c r="A1736" s="10">
        <v>45684</v>
      </c>
      <c r="B1736" s="11" t="s">
        <v>129</v>
      </c>
      <c r="C1736" s="11" t="s">
        <v>3749</v>
      </c>
      <c r="D1736" s="11" t="s">
        <v>26</v>
      </c>
      <c r="E1736" s="11" t="s">
        <v>69</v>
      </c>
      <c r="F1736" s="11" t="s">
        <v>26</v>
      </c>
      <c r="G1736" s="11">
        <v>2101</v>
      </c>
      <c r="H1736" s="12" t="s">
        <v>70</v>
      </c>
      <c r="I1736" s="12" t="s">
        <v>27</v>
      </c>
      <c r="J1736" s="12" t="s">
        <v>33</v>
      </c>
      <c r="K1736" s="12" t="s">
        <v>34</v>
      </c>
      <c r="L1736" s="13">
        <v>37.68</v>
      </c>
      <c r="M1736" s="13">
        <v>25</v>
      </c>
      <c r="N1736" s="13">
        <v>1.5072000000000001</v>
      </c>
      <c r="O1736" s="13" t="s">
        <v>30</v>
      </c>
      <c r="P1736" s="13">
        <v>60</v>
      </c>
      <c r="Q1736" s="13">
        <v>0</v>
      </c>
      <c r="R1736" s="15">
        <v>1500</v>
      </c>
      <c r="S1736" s="15">
        <v>0</v>
      </c>
      <c r="T1736" s="15">
        <v>0</v>
      </c>
      <c r="U1736" s="15">
        <v>1500</v>
      </c>
      <c r="V1736" s="15">
        <v>0</v>
      </c>
      <c r="W1736" s="15">
        <v>1500</v>
      </c>
      <c r="X1736" s="15">
        <v>0</v>
      </c>
      <c r="Y1736" s="16">
        <v>0</v>
      </c>
      <c r="Z1736" s="67" t="s">
        <v>26</v>
      </c>
      <c r="AA1736" s="12" t="s">
        <v>31</v>
      </c>
    </row>
    <row r="1737" spans="1:27" x14ac:dyDescent="0.25">
      <c r="A1737" s="10">
        <v>45684</v>
      </c>
      <c r="B1737" s="11" t="s">
        <v>3750</v>
      </c>
      <c r="C1737" s="11" t="s">
        <v>3751</v>
      </c>
      <c r="D1737" s="11" t="s">
        <v>26</v>
      </c>
      <c r="E1737" s="11" t="s">
        <v>61</v>
      </c>
      <c r="F1737" s="11" t="s">
        <v>26</v>
      </c>
      <c r="G1737" s="11" t="s">
        <v>35</v>
      </c>
      <c r="H1737" s="12" t="s">
        <v>36</v>
      </c>
      <c r="I1737" s="12" t="s">
        <v>27</v>
      </c>
      <c r="J1737" s="12" t="s">
        <v>42</v>
      </c>
      <c r="K1737" s="12" t="s">
        <v>43</v>
      </c>
      <c r="L1737" s="13">
        <v>10.18</v>
      </c>
      <c r="M1737" s="13">
        <v>6</v>
      </c>
      <c r="N1737" s="13">
        <v>1.696666666666667</v>
      </c>
      <c r="O1737" s="13">
        <v>45</v>
      </c>
      <c r="P1737" s="13" t="s">
        <v>30</v>
      </c>
      <c r="Q1737" s="13">
        <v>0</v>
      </c>
      <c r="R1737" s="14">
        <v>458.09999999999997</v>
      </c>
      <c r="S1737" s="15">
        <v>0</v>
      </c>
      <c r="T1737" s="15">
        <v>0</v>
      </c>
      <c r="U1737" s="15">
        <v>458.09999999999997</v>
      </c>
      <c r="V1737" s="15">
        <v>0</v>
      </c>
      <c r="W1737" s="15">
        <v>458.09999999999997</v>
      </c>
      <c r="X1737" s="15">
        <v>0</v>
      </c>
      <c r="Y1737" s="16">
        <v>0</v>
      </c>
      <c r="Z1737" s="67" t="s">
        <v>26</v>
      </c>
      <c r="AA1737" s="12" t="s">
        <v>31</v>
      </c>
    </row>
    <row r="1738" spans="1:27" x14ac:dyDescent="0.25">
      <c r="A1738" s="10">
        <v>45684</v>
      </c>
      <c r="B1738" s="11" t="s">
        <v>410</v>
      </c>
      <c r="C1738" s="11" t="s">
        <v>3752</v>
      </c>
      <c r="D1738" s="11" t="s">
        <v>26</v>
      </c>
      <c r="E1738" s="11" t="s">
        <v>435</v>
      </c>
      <c r="F1738" s="11" t="s">
        <v>26</v>
      </c>
      <c r="G1738" s="11">
        <v>3523</v>
      </c>
      <c r="H1738" s="12" t="s">
        <v>41</v>
      </c>
      <c r="I1738" s="12" t="s">
        <v>55</v>
      </c>
      <c r="J1738" s="12" t="s">
        <v>55</v>
      </c>
      <c r="K1738" s="12" t="s">
        <v>56</v>
      </c>
      <c r="L1738" s="13">
        <v>39.26</v>
      </c>
      <c r="M1738" s="13">
        <v>25</v>
      </c>
      <c r="N1738" s="13">
        <v>1.5704</v>
      </c>
      <c r="O1738" s="13" t="s">
        <v>30</v>
      </c>
      <c r="P1738" s="13">
        <v>24</v>
      </c>
      <c r="Q1738" s="13">
        <v>0</v>
      </c>
      <c r="R1738" s="14">
        <v>600</v>
      </c>
      <c r="S1738" s="15">
        <v>0</v>
      </c>
      <c r="T1738" s="15">
        <v>0</v>
      </c>
      <c r="U1738" s="15">
        <v>600</v>
      </c>
      <c r="V1738" s="15">
        <v>0</v>
      </c>
      <c r="W1738" s="15">
        <v>600</v>
      </c>
      <c r="X1738" s="15">
        <v>0</v>
      </c>
      <c r="Y1738" s="16">
        <v>0</v>
      </c>
      <c r="Z1738" s="67" t="s">
        <v>26</v>
      </c>
      <c r="AA1738" s="12" t="s">
        <v>31</v>
      </c>
    </row>
    <row r="1739" spans="1:27" x14ac:dyDescent="0.25">
      <c r="A1739" s="10">
        <v>45684</v>
      </c>
      <c r="B1739" s="11" t="s">
        <v>1099</v>
      </c>
      <c r="C1739" s="11" t="s">
        <v>3753</v>
      </c>
      <c r="D1739" s="11" t="s">
        <v>26</v>
      </c>
      <c r="E1739" s="11" t="s">
        <v>701</v>
      </c>
      <c r="F1739" s="11" t="s">
        <v>26</v>
      </c>
      <c r="G1739" s="11">
        <v>2606</v>
      </c>
      <c r="H1739" s="12" t="s">
        <v>41</v>
      </c>
      <c r="I1739" s="12" t="s">
        <v>55</v>
      </c>
      <c r="J1739" s="12" t="s">
        <v>55</v>
      </c>
      <c r="K1739" s="12" t="s">
        <v>56</v>
      </c>
      <c r="L1739" s="13">
        <v>31.84</v>
      </c>
      <c r="M1739" s="13">
        <v>20</v>
      </c>
      <c r="N1739" s="13">
        <v>1.5920000000000001</v>
      </c>
      <c r="O1739" s="13" t="s">
        <v>30</v>
      </c>
      <c r="P1739" s="13">
        <v>24</v>
      </c>
      <c r="Q1739" s="13">
        <v>0</v>
      </c>
      <c r="R1739" s="14">
        <v>480</v>
      </c>
      <c r="S1739" s="15">
        <v>0</v>
      </c>
      <c r="T1739" s="15">
        <v>0</v>
      </c>
      <c r="U1739" s="15">
        <v>480</v>
      </c>
      <c r="V1739" s="15">
        <v>0</v>
      </c>
      <c r="W1739" s="15">
        <v>480</v>
      </c>
      <c r="X1739" s="15">
        <v>0</v>
      </c>
      <c r="Y1739" s="16">
        <v>0</v>
      </c>
      <c r="Z1739" s="67" t="s">
        <v>26</v>
      </c>
      <c r="AA1739" s="12" t="s">
        <v>31</v>
      </c>
    </row>
    <row r="1740" spans="1:27" x14ac:dyDescent="0.25">
      <c r="A1740" s="10">
        <v>45684</v>
      </c>
      <c r="B1740" s="11" t="s">
        <v>2226</v>
      </c>
      <c r="C1740" s="11" t="s">
        <v>3754</v>
      </c>
      <c r="D1740" s="11" t="s">
        <v>26</v>
      </c>
      <c r="E1740" s="11" t="s">
        <v>240</v>
      </c>
      <c r="F1740" s="11" t="s">
        <v>26</v>
      </c>
      <c r="G1740" s="11">
        <v>2940</v>
      </c>
      <c r="H1740" s="12" t="s">
        <v>41</v>
      </c>
      <c r="I1740" s="12" t="s">
        <v>27</v>
      </c>
      <c r="J1740" s="12" t="s">
        <v>33</v>
      </c>
      <c r="K1740" s="12" t="s">
        <v>34</v>
      </c>
      <c r="L1740" s="13">
        <v>38.68</v>
      </c>
      <c r="M1740" s="13">
        <v>25</v>
      </c>
      <c r="N1740" s="13">
        <v>1.5471999999999999</v>
      </c>
      <c r="O1740" s="13" t="s">
        <v>30</v>
      </c>
      <c r="P1740" s="13">
        <v>60</v>
      </c>
      <c r="Q1740" s="13">
        <v>0</v>
      </c>
      <c r="R1740" s="14">
        <v>1500</v>
      </c>
      <c r="S1740" s="15">
        <v>0</v>
      </c>
      <c r="T1740" s="15">
        <v>0</v>
      </c>
      <c r="U1740" s="15">
        <v>1500</v>
      </c>
      <c r="V1740" s="15">
        <v>0</v>
      </c>
      <c r="W1740" s="15">
        <v>1500</v>
      </c>
      <c r="X1740" s="15">
        <v>0</v>
      </c>
      <c r="Y1740" s="16">
        <v>0</v>
      </c>
      <c r="Z1740" s="67" t="s">
        <v>26</v>
      </c>
      <c r="AA1740" s="12" t="s">
        <v>31</v>
      </c>
    </row>
    <row r="1741" spans="1:27" x14ac:dyDescent="0.25">
      <c r="A1741" s="10">
        <v>45684</v>
      </c>
      <c r="B1741" s="11" t="s">
        <v>234</v>
      </c>
      <c r="C1741" s="11" t="s">
        <v>3755</v>
      </c>
      <c r="D1741" s="11" t="s">
        <v>26</v>
      </c>
      <c r="E1741" s="11" t="s">
        <v>91</v>
      </c>
      <c r="F1741" s="11" t="s">
        <v>26</v>
      </c>
      <c r="G1741" s="11">
        <v>2462</v>
      </c>
      <c r="H1741" s="12" t="s">
        <v>41</v>
      </c>
      <c r="I1741" s="12" t="s">
        <v>55</v>
      </c>
      <c r="J1741" s="12" t="s">
        <v>55</v>
      </c>
      <c r="K1741" s="12" t="s">
        <v>56</v>
      </c>
      <c r="L1741" s="13">
        <v>33.72</v>
      </c>
      <c r="M1741" s="13">
        <v>20</v>
      </c>
      <c r="N1741" s="13">
        <v>1.6859999999999999</v>
      </c>
      <c r="O1741" s="13" t="s">
        <v>30</v>
      </c>
      <c r="P1741" s="13">
        <v>24</v>
      </c>
      <c r="Q1741" s="13">
        <v>0</v>
      </c>
      <c r="R1741" s="14">
        <v>480</v>
      </c>
      <c r="S1741" s="15">
        <v>0</v>
      </c>
      <c r="T1741" s="15">
        <v>0</v>
      </c>
      <c r="U1741" s="15">
        <v>480</v>
      </c>
      <c r="V1741" s="15">
        <v>0</v>
      </c>
      <c r="W1741" s="15">
        <v>480</v>
      </c>
      <c r="X1741" s="15">
        <v>0</v>
      </c>
      <c r="Y1741" s="16">
        <v>0</v>
      </c>
      <c r="Z1741" s="67" t="s">
        <v>26</v>
      </c>
      <c r="AA1741" s="12" t="s">
        <v>31</v>
      </c>
    </row>
    <row r="1742" spans="1:27" x14ac:dyDescent="0.25">
      <c r="A1742" s="10">
        <v>45684</v>
      </c>
      <c r="B1742" s="11" t="s">
        <v>3756</v>
      </c>
      <c r="C1742" s="11" t="s">
        <v>3757</v>
      </c>
      <c r="D1742" s="11" t="s">
        <v>26</v>
      </c>
      <c r="E1742" s="11" t="s">
        <v>227</v>
      </c>
      <c r="F1742" s="11" t="s">
        <v>26</v>
      </c>
      <c r="G1742" s="11">
        <v>2559</v>
      </c>
      <c r="H1742" s="12" t="s">
        <v>163</v>
      </c>
      <c r="I1742" s="12" t="s">
        <v>27</v>
      </c>
      <c r="J1742" s="12" t="s">
        <v>42</v>
      </c>
      <c r="K1742" s="12" t="s">
        <v>43</v>
      </c>
      <c r="L1742" s="13">
        <v>44.18</v>
      </c>
      <c r="M1742" s="13">
        <v>25</v>
      </c>
      <c r="N1742" s="13">
        <v>1.7672000000000001</v>
      </c>
      <c r="O1742" s="13" t="s">
        <v>30</v>
      </c>
      <c r="P1742" s="13">
        <v>56</v>
      </c>
      <c r="Q1742" s="13">
        <v>0</v>
      </c>
      <c r="R1742" s="14">
        <v>1400</v>
      </c>
      <c r="S1742" s="15">
        <v>0</v>
      </c>
      <c r="T1742" s="15">
        <v>0</v>
      </c>
      <c r="U1742" s="15">
        <v>1400</v>
      </c>
      <c r="V1742" s="15">
        <v>0</v>
      </c>
      <c r="W1742" s="15">
        <v>1400</v>
      </c>
      <c r="X1742" s="15">
        <v>0</v>
      </c>
      <c r="Y1742" s="16">
        <v>0</v>
      </c>
      <c r="Z1742" s="67" t="s">
        <v>26</v>
      </c>
      <c r="AA1742" s="12" t="s">
        <v>31</v>
      </c>
    </row>
    <row r="1743" spans="1:27" x14ac:dyDescent="0.25">
      <c r="A1743" s="10">
        <v>45684</v>
      </c>
      <c r="B1743" s="11" t="s">
        <v>3758</v>
      </c>
      <c r="C1743" s="11" t="s">
        <v>3759</v>
      </c>
      <c r="D1743" s="11" t="s">
        <v>26</v>
      </c>
      <c r="E1743" s="11" t="s">
        <v>53</v>
      </c>
      <c r="F1743" s="11" t="s">
        <v>26</v>
      </c>
      <c r="G1743" s="11" t="s">
        <v>26</v>
      </c>
      <c r="H1743" s="12" t="s">
        <v>4422</v>
      </c>
      <c r="I1743" s="12" t="s">
        <v>27</v>
      </c>
      <c r="J1743" s="12" t="s">
        <v>47</v>
      </c>
      <c r="K1743" s="12" t="s">
        <v>48</v>
      </c>
      <c r="L1743" s="13">
        <v>43.34</v>
      </c>
      <c r="M1743" s="13">
        <v>30</v>
      </c>
      <c r="N1743" s="13">
        <v>1.444666666666667</v>
      </c>
      <c r="O1743" s="13">
        <v>87</v>
      </c>
      <c r="P1743" s="13" t="s">
        <v>30</v>
      </c>
      <c r="Q1743" s="13">
        <v>0</v>
      </c>
      <c r="R1743" s="14">
        <v>3770.5800000000004</v>
      </c>
      <c r="S1743" s="15">
        <v>38</v>
      </c>
      <c r="T1743" s="15">
        <v>1646.92</v>
      </c>
      <c r="U1743" s="15">
        <v>2123.6600000000003</v>
      </c>
      <c r="V1743" s="15">
        <v>2123.6600000000003</v>
      </c>
      <c r="W1743" s="15"/>
      <c r="X1743" s="15">
        <v>1603.5800000000002</v>
      </c>
      <c r="Y1743" s="16">
        <v>43.339999999999918</v>
      </c>
      <c r="Z1743" s="67" t="s">
        <v>41</v>
      </c>
      <c r="AA1743" s="12" t="s">
        <v>78</v>
      </c>
    </row>
    <row r="1744" spans="1:27" x14ac:dyDescent="0.25">
      <c r="A1744" s="10">
        <v>45684</v>
      </c>
      <c r="B1744" s="11" t="s">
        <v>632</v>
      </c>
      <c r="C1744" s="11" t="s">
        <v>3760</v>
      </c>
      <c r="D1744" s="11" t="s">
        <v>26</v>
      </c>
      <c r="E1744" s="11" t="s">
        <v>525</v>
      </c>
      <c r="F1744" s="11" t="s">
        <v>26</v>
      </c>
      <c r="G1744" s="11">
        <v>26333</v>
      </c>
      <c r="H1744" s="12" t="s">
        <v>4448</v>
      </c>
      <c r="I1744" s="12" t="s">
        <v>55</v>
      </c>
      <c r="J1744" s="12" t="s">
        <v>55</v>
      </c>
      <c r="K1744" s="12" t="s">
        <v>56</v>
      </c>
      <c r="L1744" s="13">
        <v>39.72</v>
      </c>
      <c r="M1744" s="13">
        <v>25</v>
      </c>
      <c r="N1744" s="13">
        <v>1.5888</v>
      </c>
      <c r="O1744" s="13">
        <v>15</v>
      </c>
      <c r="P1744" s="13" t="s">
        <v>30</v>
      </c>
      <c r="Q1744" s="13">
        <v>0</v>
      </c>
      <c r="R1744" s="14">
        <v>595.79999999999995</v>
      </c>
      <c r="S1744" s="15">
        <v>0</v>
      </c>
      <c r="T1744" s="15">
        <v>0</v>
      </c>
      <c r="U1744" s="15">
        <v>595.79999999999995</v>
      </c>
      <c r="V1744" s="15">
        <v>446.84999999999997</v>
      </c>
      <c r="W1744" s="15">
        <v>148.94999999999999</v>
      </c>
      <c r="X1744" s="15">
        <v>0</v>
      </c>
      <c r="Y1744" s="16">
        <v>0</v>
      </c>
      <c r="Z1744" s="67" t="s">
        <v>26</v>
      </c>
      <c r="AA1744" s="12" t="s">
        <v>31</v>
      </c>
    </row>
    <row r="1745" spans="1:27" x14ac:dyDescent="0.25">
      <c r="A1745" s="10">
        <v>45684</v>
      </c>
      <c r="B1745" s="11" t="s">
        <v>3761</v>
      </c>
      <c r="C1745" s="11" t="s">
        <v>3762</v>
      </c>
      <c r="D1745" s="11" t="s">
        <v>26</v>
      </c>
      <c r="E1745" s="11" t="s">
        <v>105</v>
      </c>
      <c r="F1745" s="11" t="s">
        <v>26</v>
      </c>
      <c r="G1745" s="11">
        <v>2605</v>
      </c>
      <c r="H1745" s="12" t="s">
        <v>41</v>
      </c>
      <c r="I1745" s="12" t="s">
        <v>55</v>
      </c>
      <c r="J1745" s="12" t="s">
        <v>55</v>
      </c>
      <c r="K1745" s="12" t="s">
        <v>56</v>
      </c>
      <c r="L1745" s="13">
        <v>31.9</v>
      </c>
      <c r="M1745" s="13">
        <v>20</v>
      </c>
      <c r="N1745" s="13">
        <v>1.595</v>
      </c>
      <c r="O1745" s="13" t="s">
        <v>30</v>
      </c>
      <c r="P1745" s="13">
        <v>24</v>
      </c>
      <c r="Q1745" s="13">
        <v>0</v>
      </c>
      <c r="R1745" s="14">
        <v>480</v>
      </c>
      <c r="S1745" s="15">
        <v>0</v>
      </c>
      <c r="T1745" s="15">
        <v>0</v>
      </c>
      <c r="U1745" s="15">
        <v>480</v>
      </c>
      <c r="V1745" s="15">
        <v>0</v>
      </c>
      <c r="W1745" s="15">
        <v>480</v>
      </c>
      <c r="X1745" s="15">
        <v>0</v>
      </c>
      <c r="Y1745" s="16">
        <v>0</v>
      </c>
      <c r="Z1745" s="67" t="s">
        <v>26</v>
      </c>
      <c r="AA1745" s="12" t="s">
        <v>31</v>
      </c>
    </row>
    <row r="1746" spans="1:27" x14ac:dyDescent="0.25">
      <c r="A1746" s="10">
        <v>45684</v>
      </c>
      <c r="B1746" s="11" t="s">
        <v>362</v>
      </c>
      <c r="C1746" s="11" t="s">
        <v>3763</v>
      </c>
      <c r="D1746" s="11" t="s">
        <v>26</v>
      </c>
      <c r="E1746" s="11" t="s">
        <v>57</v>
      </c>
      <c r="F1746" s="11" t="s">
        <v>26</v>
      </c>
      <c r="G1746" s="11">
        <v>3657</v>
      </c>
      <c r="H1746" s="12" t="s">
        <v>41</v>
      </c>
      <c r="I1746" s="12" t="s">
        <v>27</v>
      </c>
      <c r="J1746" s="12" t="s">
        <v>42</v>
      </c>
      <c r="K1746" s="12" t="s">
        <v>43</v>
      </c>
      <c r="L1746" s="13">
        <v>43.78</v>
      </c>
      <c r="M1746" s="13">
        <v>25</v>
      </c>
      <c r="N1746" s="13">
        <v>1.7512000000000001</v>
      </c>
      <c r="O1746" s="13" t="s">
        <v>30</v>
      </c>
      <c r="P1746" s="13">
        <v>64</v>
      </c>
      <c r="Q1746" s="13">
        <v>0</v>
      </c>
      <c r="R1746" s="14">
        <v>1600</v>
      </c>
      <c r="S1746" s="15">
        <v>0</v>
      </c>
      <c r="T1746" s="15">
        <v>0</v>
      </c>
      <c r="U1746" s="15">
        <v>1600</v>
      </c>
      <c r="V1746" s="15">
        <v>0</v>
      </c>
      <c r="W1746" s="15">
        <v>1600</v>
      </c>
      <c r="X1746" s="15">
        <v>0</v>
      </c>
      <c r="Y1746" s="16">
        <v>0</v>
      </c>
      <c r="Z1746" s="67" t="s">
        <v>26</v>
      </c>
      <c r="AA1746" s="12" t="s">
        <v>31</v>
      </c>
    </row>
    <row r="1747" spans="1:27" x14ac:dyDescent="0.25">
      <c r="A1747" s="10">
        <v>45684</v>
      </c>
      <c r="B1747" s="11" t="s">
        <v>3764</v>
      </c>
      <c r="C1747" s="11" t="s">
        <v>3765</v>
      </c>
      <c r="D1747" s="11" t="s">
        <v>26</v>
      </c>
      <c r="E1747" s="11" t="s">
        <v>589</v>
      </c>
      <c r="F1747" s="11" t="s">
        <v>26</v>
      </c>
      <c r="G1747" s="11">
        <v>4597</v>
      </c>
      <c r="H1747" s="12" t="s">
        <v>4423</v>
      </c>
      <c r="I1747" s="12" t="s">
        <v>27</v>
      </c>
      <c r="J1747" s="12" t="s">
        <v>33</v>
      </c>
      <c r="K1747" s="12" t="s">
        <v>34</v>
      </c>
      <c r="L1747" s="13">
        <v>35.04</v>
      </c>
      <c r="M1747" s="13">
        <v>25</v>
      </c>
      <c r="N1747" s="13">
        <v>1.4016</v>
      </c>
      <c r="O1747" s="13">
        <v>45</v>
      </c>
      <c r="P1747" s="13" t="s">
        <v>30</v>
      </c>
      <c r="Q1747" s="13">
        <v>0</v>
      </c>
      <c r="R1747" s="14">
        <v>1576.8</v>
      </c>
      <c r="S1747" s="15">
        <v>0</v>
      </c>
      <c r="T1747" s="15">
        <v>0</v>
      </c>
      <c r="U1747" s="15">
        <v>1576.8</v>
      </c>
      <c r="V1747" s="15">
        <v>1576.8</v>
      </c>
      <c r="W1747" s="15">
        <v>0</v>
      </c>
      <c r="X1747" s="15">
        <v>0</v>
      </c>
      <c r="Y1747" s="16">
        <v>0</v>
      </c>
      <c r="Z1747" s="67" t="s">
        <v>26</v>
      </c>
      <c r="AA1747" s="12" t="s">
        <v>31</v>
      </c>
    </row>
    <row r="1748" spans="1:27" x14ac:dyDescent="0.25">
      <c r="A1748" s="10">
        <v>45684</v>
      </c>
      <c r="B1748" s="11" t="s">
        <v>279</v>
      </c>
      <c r="C1748" s="11" t="s">
        <v>3766</v>
      </c>
      <c r="D1748" s="11" t="s">
        <v>26</v>
      </c>
      <c r="E1748" s="11" t="s">
        <v>72</v>
      </c>
      <c r="F1748" s="11" t="s">
        <v>26</v>
      </c>
      <c r="G1748" s="11" t="s">
        <v>35</v>
      </c>
      <c r="H1748" s="12" t="s">
        <v>36</v>
      </c>
      <c r="I1748" s="12" t="s">
        <v>27</v>
      </c>
      <c r="J1748" s="12" t="s">
        <v>42</v>
      </c>
      <c r="K1748" s="12" t="s">
        <v>43</v>
      </c>
      <c r="L1748" s="13">
        <v>15.44</v>
      </c>
      <c r="M1748" s="13">
        <v>10</v>
      </c>
      <c r="N1748" s="13">
        <v>1.544</v>
      </c>
      <c r="O1748" s="13">
        <v>45</v>
      </c>
      <c r="P1748" s="13" t="s">
        <v>30</v>
      </c>
      <c r="Q1748" s="13">
        <v>0</v>
      </c>
      <c r="R1748" s="14">
        <v>694.8</v>
      </c>
      <c r="S1748" s="15">
        <v>0</v>
      </c>
      <c r="T1748" s="15">
        <v>0</v>
      </c>
      <c r="U1748" s="15">
        <v>694.8</v>
      </c>
      <c r="V1748" s="15">
        <v>0</v>
      </c>
      <c r="W1748" s="15">
        <v>694.8</v>
      </c>
      <c r="X1748" s="15">
        <v>0</v>
      </c>
      <c r="Y1748" s="16">
        <v>0</v>
      </c>
      <c r="Z1748" s="67" t="s">
        <v>26</v>
      </c>
      <c r="AA1748" s="12" t="s">
        <v>31</v>
      </c>
    </row>
    <row r="1749" spans="1:27" x14ac:dyDescent="0.25">
      <c r="A1749" s="10">
        <v>45684</v>
      </c>
      <c r="B1749" s="11" t="s">
        <v>455</v>
      </c>
      <c r="C1749" s="11" t="s">
        <v>3767</v>
      </c>
      <c r="D1749" s="11" t="s">
        <v>26</v>
      </c>
      <c r="E1749" s="11" t="s">
        <v>77</v>
      </c>
      <c r="F1749" s="11" t="s">
        <v>26</v>
      </c>
      <c r="G1749" s="11">
        <v>2402</v>
      </c>
      <c r="H1749" s="12" t="s">
        <v>4449</v>
      </c>
      <c r="I1749" s="12" t="s">
        <v>55</v>
      </c>
      <c r="J1749" s="12" t="s">
        <v>55</v>
      </c>
      <c r="K1749" s="12" t="s">
        <v>56</v>
      </c>
      <c r="L1749" s="13">
        <v>36.82</v>
      </c>
      <c r="M1749" s="13">
        <v>25</v>
      </c>
      <c r="N1749" s="13">
        <v>1.4728000000000001</v>
      </c>
      <c r="O1749" s="13">
        <v>15</v>
      </c>
      <c r="P1749" s="13" t="s">
        <v>30</v>
      </c>
      <c r="Q1749" s="13">
        <v>0</v>
      </c>
      <c r="R1749" s="14">
        <v>552.29999999999995</v>
      </c>
      <c r="S1749" s="15">
        <v>0</v>
      </c>
      <c r="T1749" s="15">
        <v>0</v>
      </c>
      <c r="U1749" s="15">
        <v>552.29999999999995</v>
      </c>
      <c r="V1749" s="15">
        <v>552.29999999999995</v>
      </c>
      <c r="W1749" s="15">
        <v>0</v>
      </c>
      <c r="X1749" s="15">
        <v>0</v>
      </c>
      <c r="Y1749" s="16">
        <v>0</v>
      </c>
      <c r="Z1749" s="67" t="s">
        <v>26</v>
      </c>
      <c r="AA1749" s="12" t="s">
        <v>31</v>
      </c>
    </row>
    <row r="1750" spans="1:27" x14ac:dyDescent="0.25">
      <c r="A1750" s="10">
        <v>45684</v>
      </c>
      <c r="B1750" s="11" t="s">
        <v>3768</v>
      </c>
      <c r="C1750" s="11" t="s">
        <v>3769</v>
      </c>
      <c r="D1750" s="11" t="s">
        <v>26</v>
      </c>
      <c r="E1750" s="11" t="s">
        <v>54</v>
      </c>
      <c r="F1750" s="11" t="s">
        <v>26</v>
      </c>
      <c r="G1750" s="11">
        <v>112149</v>
      </c>
      <c r="H1750" s="12" t="s">
        <v>4446</v>
      </c>
      <c r="I1750" s="12" t="s">
        <v>27</v>
      </c>
      <c r="J1750" s="12" t="s">
        <v>33</v>
      </c>
      <c r="K1750" s="12" t="s">
        <v>34</v>
      </c>
      <c r="L1750" s="13">
        <v>35.18</v>
      </c>
      <c r="M1750" s="13">
        <v>25</v>
      </c>
      <c r="N1750" s="13">
        <v>1.4072</v>
      </c>
      <c r="O1750" s="13">
        <v>44</v>
      </c>
      <c r="P1750" s="13" t="s">
        <v>30</v>
      </c>
      <c r="Q1750" s="13">
        <v>0</v>
      </c>
      <c r="R1750" s="14">
        <v>1547.92</v>
      </c>
      <c r="S1750" s="15">
        <v>0</v>
      </c>
      <c r="T1750" s="15">
        <v>0</v>
      </c>
      <c r="U1750" s="15">
        <v>1547.92</v>
      </c>
      <c r="V1750" s="15">
        <v>1547.92</v>
      </c>
      <c r="W1750" s="15">
        <v>0</v>
      </c>
      <c r="X1750" s="15">
        <v>0</v>
      </c>
      <c r="Y1750" s="16">
        <v>0</v>
      </c>
      <c r="Z1750" s="67" t="s">
        <v>26</v>
      </c>
      <c r="AA1750" s="12" t="s">
        <v>31</v>
      </c>
    </row>
    <row r="1751" spans="1:27" x14ac:dyDescent="0.25">
      <c r="A1751" s="10">
        <v>45684</v>
      </c>
      <c r="B1751" s="11" t="s">
        <v>3584</v>
      </c>
      <c r="C1751" s="11" t="s">
        <v>3770</v>
      </c>
      <c r="D1751" s="11" t="s">
        <v>26</v>
      </c>
      <c r="E1751" s="11" t="s">
        <v>80</v>
      </c>
      <c r="F1751" s="11" t="s">
        <v>26</v>
      </c>
      <c r="G1751" s="11">
        <v>10659</v>
      </c>
      <c r="H1751" s="12" t="s">
        <v>140</v>
      </c>
      <c r="I1751" s="12" t="s">
        <v>27</v>
      </c>
      <c r="J1751" s="12" t="s">
        <v>42</v>
      </c>
      <c r="K1751" s="12" t="s">
        <v>43</v>
      </c>
      <c r="L1751" s="13">
        <v>44.16</v>
      </c>
      <c r="M1751" s="13">
        <v>25</v>
      </c>
      <c r="N1751" s="13">
        <v>1.7664</v>
      </c>
      <c r="O1751" s="13">
        <v>35</v>
      </c>
      <c r="P1751" s="13"/>
      <c r="Q1751" s="13">
        <v>0</v>
      </c>
      <c r="R1751" s="14">
        <v>1545.6</v>
      </c>
      <c r="S1751" s="15">
        <v>0</v>
      </c>
      <c r="T1751" s="15">
        <v>0</v>
      </c>
      <c r="U1751" s="15">
        <v>1545.6</v>
      </c>
      <c r="V1751" s="15">
        <v>0</v>
      </c>
      <c r="W1751" s="15">
        <v>1545.6</v>
      </c>
      <c r="X1751" s="15">
        <v>0</v>
      </c>
      <c r="Y1751" s="16">
        <v>0</v>
      </c>
      <c r="Z1751" s="67" t="s">
        <v>26</v>
      </c>
      <c r="AA1751" s="12" t="s">
        <v>31</v>
      </c>
    </row>
    <row r="1752" spans="1:27" x14ac:dyDescent="0.25">
      <c r="A1752" s="10">
        <v>45684</v>
      </c>
      <c r="B1752" s="11" t="s">
        <v>639</v>
      </c>
      <c r="C1752" s="11" t="s">
        <v>3771</v>
      </c>
      <c r="D1752" s="11" t="s">
        <v>26</v>
      </c>
      <c r="E1752" s="11" t="s">
        <v>1200</v>
      </c>
      <c r="F1752" s="11" t="s">
        <v>26</v>
      </c>
      <c r="G1752" s="11">
        <v>2563</v>
      </c>
      <c r="H1752" s="12" t="s">
        <v>163</v>
      </c>
      <c r="I1752" s="12" t="s">
        <v>27</v>
      </c>
      <c r="J1752" s="12" t="s">
        <v>47</v>
      </c>
      <c r="K1752" s="12" t="s">
        <v>48</v>
      </c>
      <c r="L1752" s="13">
        <v>37.86</v>
      </c>
      <c r="M1752" s="13">
        <v>25</v>
      </c>
      <c r="N1752" s="13">
        <v>1.5144</v>
      </c>
      <c r="O1752" s="13" t="s">
        <v>30</v>
      </c>
      <c r="P1752" s="13">
        <v>58</v>
      </c>
      <c r="Q1752" s="13">
        <v>0</v>
      </c>
      <c r="R1752" s="14">
        <v>1450</v>
      </c>
      <c r="S1752" s="15">
        <v>0</v>
      </c>
      <c r="T1752" s="15">
        <v>0</v>
      </c>
      <c r="U1752" s="15">
        <v>1450</v>
      </c>
      <c r="V1752" s="15">
        <v>0</v>
      </c>
      <c r="W1752" s="15">
        <v>1450</v>
      </c>
      <c r="X1752" s="15">
        <v>0</v>
      </c>
      <c r="Y1752" s="16">
        <v>0</v>
      </c>
      <c r="Z1752" s="67" t="s">
        <v>26</v>
      </c>
      <c r="AA1752" s="12" t="s">
        <v>31</v>
      </c>
    </row>
    <row r="1753" spans="1:27" x14ac:dyDescent="0.25">
      <c r="A1753" s="10">
        <v>45684</v>
      </c>
      <c r="B1753" s="11" t="s">
        <v>354</v>
      </c>
      <c r="C1753" s="11" t="s">
        <v>3772</v>
      </c>
      <c r="D1753" s="11" t="s">
        <v>26</v>
      </c>
      <c r="E1753" s="11" t="s">
        <v>575</v>
      </c>
      <c r="F1753" s="11" t="s">
        <v>26</v>
      </c>
      <c r="G1753" s="11">
        <v>112091</v>
      </c>
      <c r="H1753" s="12" t="s">
        <v>4446</v>
      </c>
      <c r="I1753" s="12" t="s">
        <v>27</v>
      </c>
      <c r="J1753" s="12" t="s">
        <v>33</v>
      </c>
      <c r="K1753" s="12" t="s">
        <v>34</v>
      </c>
      <c r="L1753" s="13">
        <v>36.56</v>
      </c>
      <c r="M1753" s="13">
        <v>25</v>
      </c>
      <c r="N1753" s="13">
        <v>1.4623999999999999</v>
      </c>
      <c r="O1753" s="13">
        <v>44</v>
      </c>
      <c r="P1753" s="13" t="s">
        <v>30</v>
      </c>
      <c r="Q1753" s="13">
        <v>0</v>
      </c>
      <c r="R1753" s="14">
        <v>1608.64</v>
      </c>
      <c r="S1753" s="15">
        <v>0</v>
      </c>
      <c r="T1753" s="15">
        <v>0</v>
      </c>
      <c r="U1753" s="15">
        <v>1608.64</v>
      </c>
      <c r="V1753" s="15">
        <v>1608.64</v>
      </c>
      <c r="W1753" s="15">
        <v>0</v>
      </c>
      <c r="X1753" s="15">
        <v>0</v>
      </c>
      <c r="Y1753" s="16">
        <v>0</v>
      </c>
      <c r="Z1753" s="67" t="s">
        <v>26</v>
      </c>
      <c r="AA1753" s="12" t="s">
        <v>31</v>
      </c>
    </row>
    <row r="1754" spans="1:27" x14ac:dyDescent="0.25">
      <c r="A1754" s="10">
        <v>45684</v>
      </c>
      <c r="B1754" s="11" t="s">
        <v>361</v>
      </c>
      <c r="C1754" s="11" t="s">
        <v>3773</v>
      </c>
      <c r="D1754" s="11" t="s">
        <v>26</v>
      </c>
      <c r="E1754" s="11" t="s">
        <v>69</v>
      </c>
      <c r="F1754" s="11" t="s">
        <v>26</v>
      </c>
      <c r="G1754" s="11">
        <v>2102</v>
      </c>
      <c r="H1754" s="12" t="s">
        <v>70</v>
      </c>
      <c r="I1754" s="12" t="s">
        <v>27</v>
      </c>
      <c r="J1754" s="12" t="s">
        <v>42</v>
      </c>
      <c r="K1754" s="12" t="s">
        <v>43</v>
      </c>
      <c r="L1754" s="13">
        <v>44</v>
      </c>
      <c r="M1754" s="13">
        <v>25</v>
      </c>
      <c r="N1754" s="13">
        <v>1.76</v>
      </c>
      <c r="O1754" s="13" t="s">
        <v>30</v>
      </c>
      <c r="P1754" s="13">
        <v>64</v>
      </c>
      <c r="Q1754" s="13">
        <v>0</v>
      </c>
      <c r="R1754" s="14">
        <v>1600</v>
      </c>
      <c r="S1754" s="15">
        <v>0</v>
      </c>
      <c r="T1754" s="15">
        <v>0</v>
      </c>
      <c r="U1754" s="15">
        <v>1600</v>
      </c>
      <c r="V1754" s="15">
        <v>0</v>
      </c>
      <c r="W1754" s="15">
        <v>1600</v>
      </c>
      <c r="X1754" s="16">
        <v>0</v>
      </c>
      <c r="Y1754" s="16">
        <v>0</v>
      </c>
      <c r="Z1754" s="67" t="s">
        <v>26</v>
      </c>
      <c r="AA1754" s="12" t="s">
        <v>31</v>
      </c>
    </row>
    <row r="1755" spans="1:27" x14ac:dyDescent="0.25">
      <c r="A1755" s="10">
        <v>45684</v>
      </c>
      <c r="B1755" s="11" t="s">
        <v>3774</v>
      </c>
      <c r="C1755" s="11" t="s">
        <v>3775</v>
      </c>
      <c r="D1755" s="11" t="s">
        <v>26</v>
      </c>
      <c r="E1755" s="11" t="s">
        <v>482</v>
      </c>
      <c r="F1755" s="11" t="s">
        <v>26</v>
      </c>
      <c r="G1755" s="11">
        <v>74898</v>
      </c>
      <c r="H1755" s="12" t="s">
        <v>4448</v>
      </c>
      <c r="I1755" s="12" t="s">
        <v>55</v>
      </c>
      <c r="J1755" s="12" t="s">
        <v>55</v>
      </c>
      <c r="K1755" s="12" t="s">
        <v>56</v>
      </c>
      <c r="L1755" s="13">
        <v>38.1</v>
      </c>
      <c r="M1755" s="13">
        <v>25</v>
      </c>
      <c r="N1755" s="13">
        <v>1.524</v>
      </c>
      <c r="O1755" s="13">
        <v>15</v>
      </c>
      <c r="P1755" s="13" t="s">
        <v>30</v>
      </c>
      <c r="Q1755" s="13">
        <v>0</v>
      </c>
      <c r="R1755" s="15">
        <v>571.5</v>
      </c>
      <c r="S1755" s="15">
        <v>0</v>
      </c>
      <c r="T1755" s="15">
        <v>0</v>
      </c>
      <c r="U1755" s="15">
        <v>571.5</v>
      </c>
      <c r="V1755" s="15">
        <v>428.625</v>
      </c>
      <c r="W1755" s="15">
        <v>142.875</v>
      </c>
      <c r="X1755" s="15">
        <v>0</v>
      </c>
      <c r="Y1755" s="16">
        <v>0</v>
      </c>
      <c r="Z1755" s="67" t="s">
        <v>26</v>
      </c>
      <c r="AA1755" s="12" t="s">
        <v>31</v>
      </c>
    </row>
    <row r="1756" spans="1:27" x14ac:dyDescent="0.25">
      <c r="A1756" s="10">
        <v>45684</v>
      </c>
      <c r="B1756" s="11" t="s">
        <v>3776</v>
      </c>
      <c r="C1756" s="11" t="s">
        <v>3777</v>
      </c>
      <c r="D1756" s="11" t="s">
        <v>26</v>
      </c>
      <c r="E1756" s="11" t="s">
        <v>231</v>
      </c>
      <c r="F1756" s="11" t="s">
        <v>26</v>
      </c>
      <c r="G1756" s="11">
        <v>22958</v>
      </c>
      <c r="H1756" s="12" t="s">
        <v>4448</v>
      </c>
      <c r="I1756" s="12" t="s">
        <v>55</v>
      </c>
      <c r="J1756" s="12" t="s">
        <v>55</v>
      </c>
      <c r="K1756" s="12" t="s">
        <v>56</v>
      </c>
      <c r="L1756" s="13">
        <v>36.659999999999997</v>
      </c>
      <c r="M1756" s="13">
        <v>25</v>
      </c>
      <c r="N1756" s="13">
        <v>1.4663999999999999</v>
      </c>
      <c r="O1756" s="13">
        <v>15</v>
      </c>
      <c r="P1756" s="13" t="s">
        <v>30</v>
      </c>
      <c r="Q1756" s="13">
        <v>0</v>
      </c>
      <c r="R1756" s="14">
        <v>549.9</v>
      </c>
      <c r="S1756" s="15">
        <v>0</v>
      </c>
      <c r="T1756" s="15">
        <v>0</v>
      </c>
      <c r="U1756" s="15">
        <v>549.9</v>
      </c>
      <c r="V1756" s="15">
        <v>412.42499999999995</v>
      </c>
      <c r="W1756" s="15">
        <v>137.47500000000002</v>
      </c>
      <c r="X1756" s="15">
        <v>0</v>
      </c>
      <c r="Y1756" s="16">
        <v>0</v>
      </c>
      <c r="Z1756" s="67" t="s">
        <v>26</v>
      </c>
      <c r="AA1756" s="12" t="s">
        <v>31</v>
      </c>
    </row>
    <row r="1757" spans="1:27" x14ac:dyDescent="0.25">
      <c r="A1757" s="10">
        <v>45684</v>
      </c>
      <c r="B1757" s="11" t="s">
        <v>3778</v>
      </c>
      <c r="C1757" s="11" t="s">
        <v>3779</v>
      </c>
      <c r="D1757" s="11" t="s">
        <v>26</v>
      </c>
      <c r="E1757" s="11" t="s">
        <v>527</v>
      </c>
      <c r="F1757" s="11" t="s">
        <v>26</v>
      </c>
      <c r="G1757" s="11">
        <v>2562</v>
      </c>
      <c r="H1757" s="12" t="s">
        <v>163</v>
      </c>
      <c r="I1757" s="12" t="s">
        <v>27</v>
      </c>
      <c r="J1757" s="12" t="s">
        <v>33</v>
      </c>
      <c r="K1757" s="12" t="s">
        <v>34</v>
      </c>
      <c r="L1757" s="13">
        <v>37.68</v>
      </c>
      <c r="M1757" s="13">
        <v>25</v>
      </c>
      <c r="N1757" s="13">
        <v>1.5072000000000001</v>
      </c>
      <c r="O1757" s="13" t="s">
        <v>30</v>
      </c>
      <c r="P1757" s="13">
        <v>58</v>
      </c>
      <c r="Q1757" s="13">
        <v>0</v>
      </c>
      <c r="R1757" s="14">
        <v>1450</v>
      </c>
      <c r="S1757" s="15">
        <v>0</v>
      </c>
      <c r="T1757" s="15">
        <v>0</v>
      </c>
      <c r="U1757" s="15">
        <v>1450</v>
      </c>
      <c r="V1757" s="15">
        <v>0</v>
      </c>
      <c r="W1757" s="15">
        <v>1450</v>
      </c>
      <c r="X1757" s="15">
        <v>0</v>
      </c>
      <c r="Y1757" s="16">
        <v>0</v>
      </c>
      <c r="Z1757" s="67" t="s">
        <v>26</v>
      </c>
      <c r="AA1757" s="12" t="s">
        <v>31</v>
      </c>
    </row>
    <row r="1758" spans="1:27" x14ac:dyDescent="0.25">
      <c r="A1758" s="10">
        <v>45684</v>
      </c>
      <c r="B1758" s="11" t="s">
        <v>734</v>
      </c>
      <c r="C1758" s="11" t="s">
        <v>3780</v>
      </c>
      <c r="D1758" s="11" t="s">
        <v>26</v>
      </c>
      <c r="E1758" s="11" t="s">
        <v>77</v>
      </c>
      <c r="F1758" s="11" t="s">
        <v>26</v>
      </c>
      <c r="G1758" s="11">
        <v>2403</v>
      </c>
      <c r="H1758" s="12" t="s">
        <v>4449</v>
      </c>
      <c r="I1758" s="12" t="s">
        <v>55</v>
      </c>
      <c r="J1758" s="12" t="s">
        <v>55</v>
      </c>
      <c r="K1758" s="12" t="s">
        <v>56</v>
      </c>
      <c r="L1758" s="13">
        <v>39.14</v>
      </c>
      <c r="M1758" s="13">
        <v>25</v>
      </c>
      <c r="N1758" s="13">
        <v>1.5656000000000001</v>
      </c>
      <c r="O1758" s="13">
        <v>15</v>
      </c>
      <c r="P1758" s="13" t="s">
        <v>30</v>
      </c>
      <c r="Q1758" s="13">
        <v>0</v>
      </c>
      <c r="R1758" s="14">
        <v>587.1</v>
      </c>
      <c r="S1758" s="15">
        <v>0</v>
      </c>
      <c r="T1758" s="15">
        <v>0</v>
      </c>
      <c r="U1758" s="15">
        <v>587.1</v>
      </c>
      <c r="V1758" s="15">
        <v>587.1</v>
      </c>
      <c r="W1758" s="15">
        <v>0</v>
      </c>
      <c r="X1758" s="15">
        <v>0</v>
      </c>
      <c r="Y1758" s="16">
        <v>0</v>
      </c>
      <c r="Z1758" s="67" t="s">
        <v>26</v>
      </c>
      <c r="AA1758" s="12" t="s">
        <v>31</v>
      </c>
    </row>
    <row r="1759" spans="1:27" x14ac:dyDescent="0.25">
      <c r="A1759" s="10">
        <v>45684</v>
      </c>
      <c r="B1759" s="11" t="s">
        <v>3781</v>
      </c>
      <c r="C1759" s="11" t="s">
        <v>3782</v>
      </c>
      <c r="D1759" s="11" t="s">
        <v>26</v>
      </c>
      <c r="E1759" s="11" t="s">
        <v>552</v>
      </c>
      <c r="F1759" s="11" t="s">
        <v>26</v>
      </c>
      <c r="G1759" s="11">
        <v>69135</v>
      </c>
      <c r="H1759" s="12" t="s">
        <v>4423</v>
      </c>
      <c r="I1759" s="12" t="s">
        <v>27</v>
      </c>
      <c r="J1759" s="12" t="s">
        <v>33</v>
      </c>
      <c r="K1759" s="12" t="s">
        <v>34</v>
      </c>
      <c r="L1759" s="13">
        <v>34.200000000000003</v>
      </c>
      <c r="M1759" s="13">
        <v>25</v>
      </c>
      <c r="N1759" s="13">
        <v>1.3680000000000001</v>
      </c>
      <c r="O1759" s="13">
        <v>45</v>
      </c>
      <c r="P1759" s="13" t="s">
        <v>30</v>
      </c>
      <c r="Q1759" s="13">
        <v>0</v>
      </c>
      <c r="R1759" s="14">
        <v>1539.0000000000002</v>
      </c>
      <c r="S1759" s="15">
        <v>0</v>
      </c>
      <c r="T1759" s="15">
        <v>0</v>
      </c>
      <c r="U1759" s="15">
        <v>1539.0000000000002</v>
      </c>
      <c r="V1759" s="15">
        <v>1539.0000000000002</v>
      </c>
      <c r="W1759" s="15">
        <v>0</v>
      </c>
      <c r="X1759" s="15">
        <v>0</v>
      </c>
      <c r="Y1759" s="16">
        <v>0</v>
      </c>
      <c r="Z1759" s="67" t="s">
        <v>26</v>
      </c>
      <c r="AA1759" s="12" t="s">
        <v>31</v>
      </c>
    </row>
    <row r="1760" spans="1:27" x14ac:dyDescent="0.25">
      <c r="A1760" s="10">
        <v>45684</v>
      </c>
      <c r="B1760" s="11" t="s">
        <v>611</v>
      </c>
      <c r="C1760" s="11" t="s">
        <v>3783</v>
      </c>
      <c r="D1760" s="11" t="s">
        <v>26</v>
      </c>
      <c r="E1760" s="11" t="s">
        <v>443</v>
      </c>
      <c r="F1760" s="11" t="s">
        <v>26</v>
      </c>
      <c r="G1760" s="11">
        <v>20675</v>
      </c>
      <c r="H1760" s="12" t="s">
        <v>4448</v>
      </c>
      <c r="I1760" s="12" t="s">
        <v>27</v>
      </c>
      <c r="J1760" s="12" t="s">
        <v>47</v>
      </c>
      <c r="K1760" s="12" t="s">
        <v>48</v>
      </c>
      <c r="L1760" s="13">
        <v>43.22</v>
      </c>
      <c r="M1760" s="13">
        <v>30</v>
      </c>
      <c r="N1760" s="13">
        <v>1.440666666666667</v>
      </c>
      <c r="O1760" s="13">
        <v>46.66</v>
      </c>
      <c r="P1760" s="13" t="s">
        <v>30</v>
      </c>
      <c r="Q1760" s="13">
        <v>0</v>
      </c>
      <c r="R1760" s="14">
        <v>2016.6451999999997</v>
      </c>
      <c r="S1760" s="15">
        <v>0</v>
      </c>
      <c r="T1760" s="15">
        <v>0</v>
      </c>
      <c r="U1760" s="15">
        <v>2016.6451999999997</v>
      </c>
      <c r="V1760" s="15">
        <v>1512.4838999999997</v>
      </c>
      <c r="W1760" s="15">
        <v>504.16129999999998</v>
      </c>
      <c r="X1760" s="15">
        <v>0</v>
      </c>
      <c r="Y1760" s="16">
        <v>0</v>
      </c>
      <c r="Z1760" s="67" t="s">
        <v>26</v>
      </c>
      <c r="AA1760" s="12" t="s">
        <v>31</v>
      </c>
    </row>
    <row r="1761" spans="1:27" x14ac:dyDescent="0.25">
      <c r="A1761" s="10">
        <v>45684</v>
      </c>
      <c r="B1761" s="11" t="s">
        <v>1579</v>
      </c>
      <c r="C1761" s="11" t="s">
        <v>3784</v>
      </c>
      <c r="D1761" s="11" t="s">
        <v>26</v>
      </c>
      <c r="E1761" s="11" t="s">
        <v>483</v>
      </c>
      <c r="F1761" s="11" t="s">
        <v>26</v>
      </c>
      <c r="G1761" s="11" t="s">
        <v>26</v>
      </c>
      <c r="H1761" s="12" t="s">
        <v>146</v>
      </c>
      <c r="I1761" s="12" t="s">
        <v>27</v>
      </c>
      <c r="J1761" s="12" t="s">
        <v>33</v>
      </c>
      <c r="K1761" s="12" t="s">
        <v>34</v>
      </c>
      <c r="L1761" s="13">
        <v>44.04</v>
      </c>
      <c r="M1761" s="13">
        <v>31</v>
      </c>
      <c r="N1761" s="13">
        <v>1.420645161290323</v>
      </c>
      <c r="O1761" s="13">
        <v>91</v>
      </c>
      <c r="P1761" s="13" t="s">
        <v>30</v>
      </c>
      <c r="Q1761" s="13">
        <v>0</v>
      </c>
      <c r="R1761" s="14">
        <v>4007.64</v>
      </c>
      <c r="S1761" s="15">
        <v>40</v>
      </c>
      <c r="T1761" s="15">
        <v>1761.6</v>
      </c>
      <c r="U1761" s="15">
        <v>2246.04</v>
      </c>
      <c r="V1761" s="15">
        <v>2246.04</v>
      </c>
      <c r="W1761" s="15">
        <v>0</v>
      </c>
      <c r="X1761" s="15">
        <v>1629.48</v>
      </c>
      <c r="Y1761" s="16">
        <v>132.11999999999989</v>
      </c>
      <c r="Z1761" s="67" t="s">
        <v>41</v>
      </c>
      <c r="AA1761" s="12" t="s">
        <v>79</v>
      </c>
    </row>
    <row r="1762" spans="1:27" x14ac:dyDescent="0.25">
      <c r="A1762" s="10">
        <v>45684</v>
      </c>
      <c r="B1762" s="11" t="s">
        <v>708</v>
      </c>
      <c r="C1762" s="11" t="s">
        <v>3785</v>
      </c>
      <c r="D1762" s="11" t="s">
        <v>26</v>
      </c>
      <c r="E1762" s="11" t="s">
        <v>3786</v>
      </c>
      <c r="F1762" s="11" t="s">
        <v>26</v>
      </c>
      <c r="G1762" s="11">
        <v>24325</v>
      </c>
      <c r="H1762" s="12" t="s">
        <v>4448</v>
      </c>
      <c r="I1762" s="12" t="s">
        <v>55</v>
      </c>
      <c r="J1762" s="12" t="s">
        <v>55</v>
      </c>
      <c r="K1762" s="12" t="s">
        <v>56</v>
      </c>
      <c r="L1762" s="13">
        <v>38.6</v>
      </c>
      <c r="M1762" s="13">
        <v>25</v>
      </c>
      <c r="N1762" s="13">
        <v>1.544</v>
      </c>
      <c r="O1762" s="13">
        <v>15</v>
      </c>
      <c r="P1762" s="13" t="s">
        <v>30</v>
      </c>
      <c r="Q1762" s="13">
        <v>0</v>
      </c>
      <c r="R1762" s="14">
        <v>579</v>
      </c>
      <c r="S1762" s="15">
        <v>0</v>
      </c>
      <c r="T1762" s="15">
        <v>0</v>
      </c>
      <c r="U1762" s="15">
        <v>579</v>
      </c>
      <c r="V1762" s="15">
        <v>434.25</v>
      </c>
      <c r="W1762" s="15">
        <v>144.75</v>
      </c>
      <c r="X1762" s="15">
        <v>0</v>
      </c>
      <c r="Y1762" s="16">
        <v>0</v>
      </c>
      <c r="Z1762" s="67" t="s">
        <v>26</v>
      </c>
      <c r="AA1762" s="12" t="s">
        <v>31</v>
      </c>
    </row>
    <row r="1763" spans="1:27" x14ac:dyDescent="0.25">
      <c r="A1763" s="10">
        <v>45684</v>
      </c>
      <c r="B1763" s="11">
        <v>-6.8611111111111067E-2</v>
      </c>
      <c r="C1763" s="11" t="s">
        <v>3787</v>
      </c>
      <c r="D1763" s="11" t="s">
        <v>26</v>
      </c>
      <c r="E1763" s="11" t="s">
        <v>440</v>
      </c>
      <c r="F1763" s="11" t="s">
        <v>26</v>
      </c>
      <c r="G1763" s="11" t="s">
        <v>35</v>
      </c>
      <c r="H1763" s="12" t="s">
        <v>36</v>
      </c>
      <c r="I1763" s="12" t="s">
        <v>55</v>
      </c>
      <c r="J1763" s="12" t="s">
        <v>55</v>
      </c>
      <c r="K1763" s="12" t="s">
        <v>56</v>
      </c>
      <c r="L1763" s="13">
        <v>31.32</v>
      </c>
      <c r="M1763" s="13">
        <v>22</v>
      </c>
      <c r="N1763" s="13">
        <v>1.423636363636364</v>
      </c>
      <c r="O1763" s="13">
        <v>20</v>
      </c>
      <c r="P1763" s="13" t="s">
        <v>30</v>
      </c>
      <c r="Q1763" s="13">
        <v>0</v>
      </c>
      <c r="R1763" s="14">
        <v>626.4</v>
      </c>
      <c r="S1763" s="15">
        <v>0</v>
      </c>
      <c r="T1763" s="15">
        <v>0</v>
      </c>
      <c r="U1763" s="15">
        <v>626.4</v>
      </c>
      <c r="V1763" s="15">
        <v>0</v>
      </c>
      <c r="W1763" s="15">
        <v>626.4</v>
      </c>
      <c r="X1763" s="15">
        <v>0</v>
      </c>
      <c r="Y1763" s="16">
        <v>0</v>
      </c>
      <c r="Z1763" s="67" t="s">
        <v>26</v>
      </c>
      <c r="AA1763" s="12" t="s">
        <v>31</v>
      </c>
    </row>
    <row r="1764" spans="1:27" x14ac:dyDescent="0.25">
      <c r="A1764" s="10">
        <v>45684</v>
      </c>
      <c r="B1764" s="11" t="s">
        <v>1255</v>
      </c>
      <c r="C1764" s="11" t="s">
        <v>3788</v>
      </c>
      <c r="D1764" s="11" t="s">
        <v>26</v>
      </c>
      <c r="E1764" s="11" t="s">
        <v>486</v>
      </c>
      <c r="F1764" s="11" t="s">
        <v>26</v>
      </c>
      <c r="G1764" s="11">
        <v>72894</v>
      </c>
      <c r="H1764" s="12" t="s">
        <v>4448</v>
      </c>
      <c r="I1764" s="12" t="s">
        <v>27</v>
      </c>
      <c r="J1764" s="12" t="s">
        <v>42</v>
      </c>
      <c r="K1764" s="12" t="s">
        <v>43</v>
      </c>
      <c r="L1764" s="13">
        <v>42.52</v>
      </c>
      <c r="M1764" s="13">
        <v>25</v>
      </c>
      <c r="N1764" s="13">
        <v>1.7008000000000001</v>
      </c>
      <c r="O1764" s="13">
        <v>42.5</v>
      </c>
      <c r="P1764" s="13" t="s">
        <v>30</v>
      </c>
      <c r="Q1764" s="13">
        <v>0</v>
      </c>
      <c r="R1764" s="14">
        <v>1807.1000000000001</v>
      </c>
      <c r="S1764" s="15">
        <v>0</v>
      </c>
      <c r="T1764" s="15">
        <v>0</v>
      </c>
      <c r="U1764" s="15">
        <v>1807.1000000000001</v>
      </c>
      <c r="V1764" s="15">
        <v>1355.325</v>
      </c>
      <c r="W1764" s="15">
        <v>451.77500000000009</v>
      </c>
      <c r="X1764" s="15">
        <v>0</v>
      </c>
      <c r="Y1764" s="16">
        <v>0</v>
      </c>
      <c r="Z1764" s="67" t="s">
        <v>26</v>
      </c>
      <c r="AA1764" s="12" t="s">
        <v>31</v>
      </c>
    </row>
    <row r="1765" spans="1:27" x14ac:dyDescent="0.25">
      <c r="A1765" s="10">
        <v>45684</v>
      </c>
      <c r="B1765" s="11" t="s">
        <v>187</v>
      </c>
      <c r="C1765" s="11" t="s">
        <v>3789</v>
      </c>
      <c r="D1765" s="11" t="s">
        <v>26</v>
      </c>
      <c r="E1765" s="11" t="s">
        <v>240</v>
      </c>
      <c r="F1765" s="11" t="s">
        <v>26</v>
      </c>
      <c r="G1765" s="11">
        <v>2941</v>
      </c>
      <c r="H1765" s="12" t="s">
        <v>41</v>
      </c>
      <c r="I1765" s="12" t="s">
        <v>55</v>
      </c>
      <c r="J1765" s="12" t="s">
        <v>55</v>
      </c>
      <c r="K1765" s="12" t="s">
        <v>56</v>
      </c>
      <c r="L1765" s="13">
        <v>36.24</v>
      </c>
      <c r="M1765" s="13">
        <v>22</v>
      </c>
      <c r="N1765" s="13">
        <v>1.647272727272727</v>
      </c>
      <c r="O1765" s="13" t="s">
        <v>30</v>
      </c>
      <c r="P1765" s="13">
        <v>24</v>
      </c>
      <c r="Q1765" s="13">
        <v>0</v>
      </c>
      <c r="R1765" s="14">
        <v>528</v>
      </c>
      <c r="S1765" s="15">
        <v>0</v>
      </c>
      <c r="T1765" s="15">
        <v>0</v>
      </c>
      <c r="U1765" s="15">
        <v>528</v>
      </c>
      <c r="V1765" s="15">
        <v>0</v>
      </c>
      <c r="W1765" s="15">
        <v>528</v>
      </c>
      <c r="X1765" s="15">
        <v>0</v>
      </c>
      <c r="Y1765" s="16">
        <v>0</v>
      </c>
      <c r="Z1765" s="67" t="s">
        <v>26</v>
      </c>
      <c r="AA1765" s="12" t="s">
        <v>31</v>
      </c>
    </row>
    <row r="1766" spans="1:27" x14ac:dyDescent="0.25">
      <c r="A1766" s="10">
        <v>45684</v>
      </c>
      <c r="B1766" s="11" t="s">
        <v>679</v>
      </c>
      <c r="C1766" s="11" t="s">
        <v>3790</v>
      </c>
      <c r="D1766" s="11" t="s">
        <v>26</v>
      </c>
      <c r="E1766" s="11" t="s">
        <v>53</v>
      </c>
      <c r="F1766" s="11" t="s">
        <v>26</v>
      </c>
      <c r="G1766" s="11" t="s">
        <v>26</v>
      </c>
      <c r="H1766" s="12" t="s">
        <v>146</v>
      </c>
      <c r="I1766" s="12" t="s">
        <v>27</v>
      </c>
      <c r="J1766" s="12" t="s">
        <v>33</v>
      </c>
      <c r="K1766" s="12" t="s">
        <v>34</v>
      </c>
      <c r="L1766" s="13">
        <v>44.22</v>
      </c>
      <c r="M1766" s="13">
        <v>31</v>
      </c>
      <c r="N1766" s="13">
        <v>1.4264516129032261</v>
      </c>
      <c r="O1766" s="13">
        <v>91</v>
      </c>
      <c r="P1766" s="13" t="s">
        <v>30</v>
      </c>
      <c r="Q1766" s="13">
        <v>0</v>
      </c>
      <c r="R1766" s="14">
        <v>4024.02</v>
      </c>
      <c r="S1766" s="15">
        <v>40</v>
      </c>
      <c r="T1766" s="15">
        <v>1768.8</v>
      </c>
      <c r="U1766" s="15">
        <v>2255.2200000000003</v>
      </c>
      <c r="V1766" s="15">
        <v>2255.2200000000003</v>
      </c>
      <c r="W1766" s="15">
        <v>0</v>
      </c>
      <c r="X1766" s="15">
        <v>1636.1399999999999</v>
      </c>
      <c r="Y1766" s="16">
        <v>132.66000000000008</v>
      </c>
      <c r="Z1766" s="67" t="s">
        <v>41</v>
      </c>
      <c r="AA1766" s="12" t="s">
        <v>79</v>
      </c>
    </row>
    <row r="1767" spans="1:27" x14ac:dyDescent="0.25">
      <c r="A1767" s="10">
        <v>45684</v>
      </c>
      <c r="B1767" s="11" t="s">
        <v>3791</v>
      </c>
      <c r="C1767" s="11" t="s">
        <v>3792</v>
      </c>
      <c r="D1767" s="11" t="s">
        <v>26</v>
      </c>
      <c r="E1767" s="11" t="s">
        <v>435</v>
      </c>
      <c r="F1767" s="11" t="s">
        <v>26</v>
      </c>
      <c r="G1767" s="11">
        <v>3525</v>
      </c>
      <c r="H1767" s="12" t="s">
        <v>41</v>
      </c>
      <c r="I1767" s="12" t="s">
        <v>55</v>
      </c>
      <c r="J1767" s="12" t="s">
        <v>55</v>
      </c>
      <c r="K1767" s="12" t="s">
        <v>56</v>
      </c>
      <c r="L1767" s="13">
        <v>39.58</v>
      </c>
      <c r="M1767" s="13">
        <v>24</v>
      </c>
      <c r="N1767" s="13">
        <v>1.6491666666666669</v>
      </c>
      <c r="O1767" s="13" t="s">
        <v>30</v>
      </c>
      <c r="P1767" s="13">
        <v>24</v>
      </c>
      <c r="Q1767" s="13">
        <v>0</v>
      </c>
      <c r="R1767" s="14">
        <v>576</v>
      </c>
      <c r="S1767" s="15">
        <v>0</v>
      </c>
      <c r="T1767" s="15">
        <v>0</v>
      </c>
      <c r="U1767" s="15">
        <v>576</v>
      </c>
      <c r="V1767" s="15">
        <v>0</v>
      </c>
      <c r="W1767" s="15">
        <v>576</v>
      </c>
      <c r="X1767" s="15">
        <v>0</v>
      </c>
      <c r="Y1767" s="16">
        <v>0</v>
      </c>
      <c r="Z1767" s="67" t="s">
        <v>26</v>
      </c>
      <c r="AA1767" s="12" t="s">
        <v>31</v>
      </c>
    </row>
    <row r="1768" spans="1:27" x14ac:dyDescent="0.25">
      <c r="A1768" s="10">
        <v>45684</v>
      </c>
      <c r="B1768" s="11" t="s">
        <v>617</v>
      </c>
      <c r="C1768" s="11" t="s">
        <v>3793</v>
      </c>
      <c r="D1768" s="11" t="s">
        <v>26</v>
      </c>
      <c r="E1768" s="11" t="s">
        <v>233</v>
      </c>
      <c r="F1768" s="11" t="s">
        <v>26</v>
      </c>
      <c r="G1768" s="11">
        <v>2942</v>
      </c>
      <c r="H1768" s="12" t="s">
        <v>41</v>
      </c>
      <c r="I1768" s="12" t="s">
        <v>55</v>
      </c>
      <c r="J1768" s="12" t="s">
        <v>55</v>
      </c>
      <c r="K1768" s="12" t="s">
        <v>56</v>
      </c>
      <c r="L1768" s="13">
        <v>39.020000000000003</v>
      </c>
      <c r="M1768" s="13">
        <v>24</v>
      </c>
      <c r="N1768" s="13">
        <v>1.625833333333333</v>
      </c>
      <c r="O1768" s="13" t="s">
        <v>30</v>
      </c>
      <c r="P1768" s="13">
        <v>24</v>
      </c>
      <c r="Q1768" s="13">
        <v>0</v>
      </c>
      <c r="R1768" s="14">
        <v>576</v>
      </c>
      <c r="S1768" s="15">
        <v>0</v>
      </c>
      <c r="T1768" s="15">
        <v>0</v>
      </c>
      <c r="U1768" s="15">
        <v>576</v>
      </c>
      <c r="V1768" s="15">
        <v>0</v>
      </c>
      <c r="W1768" s="15">
        <v>576</v>
      </c>
      <c r="X1768" s="15">
        <v>0</v>
      </c>
      <c r="Y1768" s="16">
        <v>0</v>
      </c>
      <c r="Z1768" s="67" t="s">
        <v>26</v>
      </c>
      <c r="AA1768" s="12" t="s">
        <v>31</v>
      </c>
    </row>
    <row r="1769" spans="1:27" x14ac:dyDescent="0.25">
      <c r="A1769" s="10">
        <v>45684</v>
      </c>
      <c r="B1769" s="11" t="s">
        <v>660</v>
      </c>
      <c r="C1769" s="11" t="s">
        <v>3794</v>
      </c>
      <c r="D1769" s="11" t="s">
        <v>26</v>
      </c>
      <c r="E1769" s="11" t="s">
        <v>227</v>
      </c>
      <c r="F1769" s="11" t="s">
        <v>26</v>
      </c>
      <c r="G1769" s="11">
        <v>2561</v>
      </c>
      <c r="H1769" s="12" t="s">
        <v>163</v>
      </c>
      <c r="I1769" s="12" t="s">
        <v>55</v>
      </c>
      <c r="J1769" s="12" t="s">
        <v>55</v>
      </c>
      <c r="K1769" s="12" t="s">
        <v>56</v>
      </c>
      <c r="L1769" s="13">
        <v>41.98</v>
      </c>
      <c r="M1769" s="13">
        <v>25</v>
      </c>
      <c r="N1769" s="13">
        <v>1.6792</v>
      </c>
      <c r="O1769" s="13" t="s">
        <v>30</v>
      </c>
      <c r="P1769" s="13">
        <v>22</v>
      </c>
      <c r="Q1769" s="13">
        <v>0</v>
      </c>
      <c r="R1769" s="14">
        <v>550</v>
      </c>
      <c r="S1769" s="15">
        <v>0</v>
      </c>
      <c r="T1769" s="15">
        <v>0</v>
      </c>
      <c r="U1769" s="15">
        <v>550</v>
      </c>
      <c r="V1769" s="15">
        <v>0</v>
      </c>
      <c r="W1769" s="15">
        <v>550</v>
      </c>
      <c r="X1769" s="15">
        <v>0</v>
      </c>
      <c r="Y1769" s="16">
        <v>0</v>
      </c>
      <c r="Z1769" s="67" t="s">
        <v>26</v>
      </c>
      <c r="AA1769" s="12" t="s">
        <v>31</v>
      </c>
    </row>
    <row r="1770" spans="1:27" x14ac:dyDescent="0.25">
      <c r="A1770" s="10">
        <v>45684</v>
      </c>
      <c r="B1770" s="11" t="s">
        <v>3795</v>
      </c>
      <c r="C1770" s="11" t="s">
        <v>3796</v>
      </c>
      <c r="D1770" s="11" t="s">
        <v>26</v>
      </c>
      <c r="E1770" s="11" t="s">
        <v>589</v>
      </c>
      <c r="F1770" s="11" t="s">
        <v>26</v>
      </c>
      <c r="G1770" s="11">
        <v>4598</v>
      </c>
      <c r="H1770" s="12" t="s">
        <v>4423</v>
      </c>
      <c r="I1770" s="12" t="s">
        <v>27</v>
      </c>
      <c r="J1770" s="12" t="s">
        <v>42</v>
      </c>
      <c r="K1770" s="12" t="s">
        <v>43</v>
      </c>
      <c r="L1770" s="13">
        <v>35.880000000000003</v>
      </c>
      <c r="M1770" s="13">
        <v>25</v>
      </c>
      <c r="N1770" s="13">
        <v>1.4352</v>
      </c>
      <c r="O1770" s="13">
        <v>42</v>
      </c>
      <c r="P1770" s="13" t="s">
        <v>30</v>
      </c>
      <c r="Q1770" s="13">
        <v>0</v>
      </c>
      <c r="R1770" s="14">
        <v>1506.96</v>
      </c>
      <c r="S1770" s="15">
        <v>0</v>
      </c>
      <c r="T1770" s="15">
        <v>0</v>
      </c>
      <c r="U1770" s="15">
        <v>1506.96</v>
      </c>
      <c r="V1770" s="15">
        <v>1506.96</v>
      </c>
      <c r="W1770" s="15">
        <v>0</v>
      </c>
      <c r="X1770" s="15">
        <v>0</v>
      </c>
      <c r="Y1770" s="16">
        <v>0</v>
      </c>
      <c r="Z1770" s="67" t="s">
        <v>26</v>
      </c>
      <c r="AA1770" s="12" t="s">
        <v>31</v>
      </c>
    </row>
    <row r="1771" spans="1:27" x14ac:dyDescent="0.25">
      <c r="A1771" s="10">
        <v>45684</v>
      </c>
      <c r="B1771" s="11" t="s">
        <v>278</v>
      </c>
      <c r="C1771" s="11" t="s">
        <v>3797</v>
      </c>
      <c r="D1771" s="11" t="s">
        <v>26</v>
      </c>
      <c r="E1771" s="11" t="s">
        <v>3637</v>
      </c>
      <c r="F1771" s="11" t="s">
        <v>26</v>
      </c>
      <c r="G1771" s="11" t="s">
        <v>35</v>
      </c>
      <c r="H1771" s="12" t="s">
        <v>36</v>
      </c>
      <c r="I1771" s="12" t="s">
        <v>27</v>
      </c>
      <c r="J1771" s="12" t="s">
        <v>33</v>
      </c>
      <c r="K1771" s="12" t="s">
        <v>34</v>
      </c>
      <c r="L1771" s="13">
        <v>8.3800000000000008</v>
      </c>
      <c r="M1771" s="13">
        <v>6</v>
      </c>
      <c r="N1771" s="13">
        <v>1.3966666666666669</v>
      </c>
      <c r="O1771" s="13">
        <v>50</v>
      </c>
      <c r="P1771" s="13" t="s">
        <v>30</v>
      </c>
      <c r="Q1771" s="13">
        <v>0</v>
      </c>
      <c r="R1771" s="14">
        <v>419.00000000000006</v>
      </c>
      <c r="S1771" s="15">
        <v>0</v>
      </c>
      <c r="T1771" s="15">
        <v>0</v>
      </c>
      <c r="U1771" s="15">
        <v>419.00000000000006</v>
      </c>
      <c r="V1771" s="15">
        <v>0</v>
      </c>
      <c r="W1771" s="15">
        <v>419.00000000000006</v>
      </c>
      <c r="X1771" s="15">
        <v>0</v>
      </c>
      <c r="Y1771" s="16">
        <v>0</v>
      </c>
      <c r="Z1771" s="67" t="s">
        <v>26</v>
      </c>
      <c r="AA1771" s="12" t="s">
        <v>31</v>
      </c>
    </row>
    <row r="1772" spans="1:27" x14ac:dyDescent="0.25">
      <c r="A1772" s="10">
        <v>45684</v>
      </c>
      <c r="B1772" s="11" t="s">
        <v>684</v>
      </c>
      <c r="C1772" s="11" t="s">
        <v>3798</v>
      </c>
      <c r="D1772" s="11" t="s">
        <v>26</v>
      </c>
      <c r="E1772" s="11" t="s">
        <v>593</v>
      </c>
      <c r="F1772" s="11" t="s">
        <v>26</v>
      </c>
      <c r="G1772" s="11">
        <v>44306</v>
      </c>
      <c r="H1772" s="12" t="s">
        <v>4423</v>
      </c>
      <c r="I1772" s="12" t="s">
        <v>27</v>
      </c>
      <c r="J1772" s="12" t="s">
        <v>42</v>
      </c>
      <c r="K1772" s="12" t="s">
        <v>43</v>
      </c>
      <c r="L1772" s="13">
        <v>36.28</v>
      </c>
      <c r="M1772" s="13">
        <v>25</v>
      </c>
      <c r="N1772" s="13">
        <v>1.4512</v>
      </c>
      <c r="O1772" s="13">
        <v>42</v>
      </c>
      <c r="P1772" s="13" t="s">
        <v>30</v>
      </c>
      <c r="Q1772" s="13">
        <v>0</v>
      </c>
      <c r="R1772" s="14">
        <v>1523.76</v>
      </c>
      <c r="S1772" s="15">
        <v>0</v>
      </c>
      <c r="T1772" s="15">
        <v>0</v>
      </c>
      <c r="U1772" s="15">
        <v>1523.76</v>
      </c>
      <c r="V1772" s="15">
        <v>1523.76</v>
      </c>
      <c r="W1772" s="15">
        <v>0</v>
      </c>
      <c r="X1772" s="15">
        <v>0</v>
      </c>
      <c r="Y1772" s="16">
        <v>0</v>
      </c>
      <c r="Z1772" s="67" t="s">
        <v>26</v>
      </c>
      <c r="AA1772" s="12" t="s">
        <v>31</v>
      </c>
    </row>
    <row r="1773" spans="1:27" x14ac:dyDescent="0.25">
      <c r="A1773" s="10">
        <v>45684</v>
      </c>
      <c r="B1773" s="11" t="s">
        <v>3799</v>
      </c>
      <c r="C1773" s="11" t="s">
        <v>3800</v>
      </c>
      <c r="D1773" s="11" t="s">
        <v>26</v>
      </c>
      <c r="E1773" s="11" t="s">
        <v>75</v>
      </c>
      <c r="F1773" s="11" t="s">
        <v>26</v>
      </c>
      <c r="G1773" s="11">
        <v>42033</v>
      </c>
      <c r="H1773" s="12" t="s">
        <v>565</v>
      </c>
      <c r="I1773" s="12" t="s">
        <v>27</v>
      </c>
      <c r="J1773" s="12" t="s">
        <v>28</v>
      </c>
      <c r="K1773" s="12" t="s">
        <v>29</v>
      </c>
      <c r="L1773" s="13">
        <v>41.3</v>
      </c>
      <c r="M1773" s="13">
        <v>28</v>
      </c>
      <c r="N1773" s="13">
        <v>1.4750000000000001</v>
      </c>
      <c r="O1773" s="13"/>
      <c r="P1773" s="13">
        <v>40.5</v>
      </c>
      <c r="Q1773" s="13">
        <v>0</v>
      </c>
      <c r="R1773" s="14">
        <v>1134</v>
      </c>
      <c r="S1773" s="15">
        <v>0</v>
      </c>
      <c r="T1773" s="15">
        <v>0</v>
      </c>
      <c r="U1773" s="15">
        <v>1134</v>
      </c>
      <c r="V1773" s="15">
        <v>0</v>
      </c>
      <c r="W1773" s="15">
        <v>1134</v>
      </c>
      <c r="X1773" s="15">
        <v>0</v>
      </c>
      <c r="Y1773" s="16">
        <v>0</v>
      </c>
      <c r="Z1773" s="67" t="s">
        <v>26</v>
      </c>
      <c r="AA1773" s="12" t="s">
        <v>31</v>
      </c>
    </row>
    <row r="1774" spans="1:27" x14ac:dyDescent="0.25">
      <c r="A1774" s="10">
        <v>45684</v>
      </c>
      <c r="B1774" s="11" t="s">
        <v>641</v>
      </c>
      <c r="C1774" s="11" t="s">
        <v>3801</v>
      </c>
      <c r="D1774" s="11" t="s">
        <v>26</v>
      </c>
      <c r="E1774" s="11" t="s">
        <v>559</v>
      </c>
      <c r="F1774" s="11" t="s">
        <v>26</v>
      </c>
      <c r="G1774" s="11">
        <v>2571</v>
      </c>
      <c r="H1774" s="12" t="s">
        <v>41</v>
      </c>
      <c r="I1774" s="12" t="s">
        <v>37</v>
      </c>
      <c r="J1774" s="12" t="s">
        <v>228</v>
      </c>
      <c r="K1774" s="12" t="s">
        <v>38</v>
      </c>
      <c r="L1774" s="13">
        <v>33.44</v>
      </c>
      <c r="M1774" s="13">
        <v>20</v>
      </c>
      <c r="N1774" s="13">
        <v>1.6719999999999999</v>
      </c>
      <c r="O1774" s="13" t="s">
        <v>30</v>
      </c>
      <c r="P1774" s="13">
        <v>43.5</v>
      </c>
      <c r="Q1774" s="13">
        <v>0</v>
      </c>
      <c r="R1774" s="14">
        <v>870</v>
      </c>
      <c r="S1774" s="15">
        <v>0</v>
      </c>
      <c r="T1774" s="15">
        <v>0</v>
      </c>
      <c r="U1774" s="15">
        <v>870</v>
      </c>
      <c r="V1774" s="15">
        <v>0</v>
      </c>
      <c r="W1774" s="15">
        <v>870</v>
      </c>
      <c r="X1774" s="15">
        <v>0</v>
      </c>
      <c r="Y1774" s="16">
        <v>0</v>
      </c>
      <c r="Z1774" s="67" t="s">
        <v>26</v>
      </c>
      <c r="AA1774" s="12" t="s">
        <v>31</v>
      </c>
    </row>
    <row r="1775" spans="1:27" x14ac:dyDescent="0.25">
      <c r="A1775" s="10">
        <v>45684</v>
      </c>
      <c r="B1775" s="11" t="s">
        <v>2764</v>
      </c>
      <c r="C1775" s="11" t="s">
        <v>3802</v>
      </c>
      <c r="D1775" s="11" t="s">
        <v>26</v>
      </c>
      <c r="E1775" s="11" t="s">
        <v>57</v>
      </c>
      <c r="F1775" s="11" t="s">
        <v>26</v>
      </c>
      <c r="G1775" s="11">
        <v>3658</v>
      </c>
      <c r="H1775" s="12" t="s">
        <v>41</v>
      </c>
      <c r="I1775" s="12" t="s">
        <v>37</v>
      </c>
      <c r="J1775" s="12" t="s">
        <v>228</v>
      </c>
      <c r="K1775" s="12" t="s">
        <v>38</v>
      </c>
      <c r="L1775" s="13">
        <v>38.5</v>
      </c>
      <c r="M1775" s="13">
        <v>23</v>
      </c>
      <c r="N1775" s="13">
        <v>1.673913043478261</v>
      </c>
      <c r="O1775" s="13" t="s">
        <v>30</v>
      </c>
      <c r="P1775" s="13">
        <v>43.5</v>
      </c>
      <c r="Q1775" s="13">
        <v>0</v>
      </c>
      <c r="R1775" s="14">
        <v>1000.5</v>
      </c>
      <c r="S1775" s="15">
        <v>0</v>
      </c>
      <c r="T1775" s="15">
        <v>0</v>
      </c>
      <c r="U1775" s="15">
        <v>1000.5</v>
      </c>
      <c r="V1775" s="15">
        <v>0</v>
      </c>
      <c r="W1775" s="15">
        <v>1000.5</v>
      </c>
      <c r="X1775" s="15">
        <v>0</v>
      </c>
      <c r="Y1775" s="16">
        <v>0</v>
      </c>
      <c r="Z1775" s="67" t="s">
        <v>26</v>
      </c>
      <c r="AA1775" s="12" t="s">
        <v>31</v>
      </c>
    </row>
    <row r="1776" spans="1:27" x14ac:dyDescent="0.25">
      <c r="A1776" s="10">
        <v>45684</v>
      </c>
      <c r="B1776" s="11" t="s">
        <v>1219</v>
      </c>
      <c r="C1776" s="11" t="s">
        <v>3803</v>
      </c>
      <c r="D1776" s="11" t="s">
        <v>26</v>
      </c>
      <c r="E1776" s="11" t="s">
        <v>2109</v>
      </c>
      <c r="F1776" s="11" t="s">
        <v>26</v>
      </c>
      <c r="G1776" s="11">
        <v>10609</v>
      </c>
      <c r="H1776" s="12" t="s">
        <v>140</v>
      </c>
      <c r="I1776" s="12" t="s">
        <v>55</v>
      </c>
      <c r="J1776" s="12" t="s">
        <v>55</v>
      </c>
      <c r="K1776" s="12" t="s">
        <v>56</v>
      </c>
      <c r="L1776" s="13">
        <v>36.06</v>
      </c>
      <c r="M1776" s="13">
        <v>25</v>
      </c>
      <c r="N1776" s="13">
        <v>1.4423999999999999</v>
      </c>
      <c r="O1776" s="13">
        <v>15</v>
      </c>
      <c r="P1776" s="13"/>
      <c r="Q1776" s="13">
        <v>0</v>
      </c>
      <c r="R1776" s="14">
        <v>540.90000000000009</v>
      </c>
      <c r="S1776" s="15">
        <v>0</v>
      </c>
      <c r="T1776" s="15">
        <v>0</v>
      </c>
      <c r="U1776" s="15">
        <v>540.90000000000009</v>
      </c>
      <c r="V1776" s="15">
        <v>0</v>
      </c>
      <c r="W1776" s="15">
        <v>540.90000000000009</v>
      </c>
      <c r="X1776" s="15">
        <v>0</v>
      </c>
      <c r="Y1776" s="16">
        <v>0</v>
      </c>
      <c r="Z1776" s="67" t="s">
        <v>26</v>
      </c>
      <c r="AA1776" s="12" t="s">
        <v>31</v>
      </c>
    </row>
    <row r="1777" spans="1:27" x14ac:dyDescent="0.25">
      <c r="A1777" s="10">
        <v>45684</v>
      </c>
      <c r="B1777" s="11" t="s">
        <v>3804</v>
      </c>
      <c r="C1777" s="11" t="s">
        <v>3805</v>
      </c>
      <c r="D1777" s="11" t="s">
        <v>26</v>
      </c>
      <c r="E1777" s="11" t="s">
        <v>230</v>
      </c>
      <c r="F1777" s="11" t="s">
        <v>26</v>
      </c>
      <c r="G1777" s="11">
        <v>2944</v>
      </c>
      <c r="H1777" s="12" t="s">
        <v>41</v>
      </c>
      <c r="I1777" s="12" t="s">
        <v>55</v>
      </c>
      <c r="J1777" s="12" t="s">
        <v>55</v>
      </c>
      <c r="K1777" s="12" t="s">
        <v>56</v>
      </c>
      <c r="L1777" s="13">
        <v>38.78</v>
      </c>
      <c r="M1777" s="13">
        <v>23</v>
      </c>
      <c r="N1777" s="13">
        <v>1.6860869565217389</v>
      </c>
      <c r="O1777" s="13" t="s">
        <v>30</v>
      </c>
      <c r="P1777" s="13">
        <v>24</v>
      </c>
      <c r="Q1777" s="13">
        <v>0</v>
      </c>
      <c r="R1777" s="14">
        <v>552</v>
      </c>
      <c r="S1777" s="15">
        <v>0</v>
      </c>
      <c r="T1777" s="15">
        <v>0</v>
      </c>
      <c r="U1777" s="15">
        <v>552</v>
      </c>
      <c r="V1777" s="15">
        <v>0</v>
      </c>
      <c r="W1777" s="15">
        <v>552</v>
      </c>
      <c r="X1777" s="15">
        <v>0</v>
      </c>
      <c r="Y1777" s="16">
        <v>0</v>
      </c>
      <c r="Z1777" s="67" t="s">
        <v>26</v>
      </c>
      <c r="AA1777" s="12" t="s">
        <v>31</v>
      </c>
    </row>
    <row r="1778" spans="1:27" x14ac:dyDescent="0.25">
      <c r="A1778" s="10">
        <v>45684</v>
      </c>
      <c r="B1778" s="11" t="s">
        <v>1053</v>
      </c>
      <c r="C1778" s="11" t="s">
        <v>3806</v>
      </c>
      <c r="D1778" s="11" t="s">
        <v>26</v>
      </c>
      <c r="E1778" s="11" t="s">
        <v>440</v>
      </c>
      <c r="F1778" s="11" t="s">
        <v>26</v>
      </c>
      <c r="G1778" s="11" t="s">
        <v>35</v>
      </c>
      <c r="H1778" s="12" t="s">
        <v>36</v>
      </c>
      <c r="I1778" s="12" t="s">
        <v>55</v>
      </c>
      <c r="J1778" s="12" t="s">
        <v>55</v>
      </c>
      <c r="K1778" s="12" t="s">
        <v>56</v>
      </c>
      <c r="L1778" s="13">
        <v>31.44</v>
      </c>
      <c r="M1778" s="13">
        <v>22</v>
      </c>
      <c r="N1778" s="13">
        <v>1.429090909090909</v>
      </c>
      <c r="O1778" s="13">
        <v>20</v>
      </c>
      <c r="P1778" s="13" t="s">
        <v>30</v>
      </c>
      <c r="Q1778" s="13">
        <v>0</v>
      </c>
      <c r="R1778" s="14">
        <v>628.80000000000007</v>
      </c>
      <c r="S1778" s="15">
        <v>0</v>
      </c>
      <c r="T1778" s="15">
        <v>0</v>
      </c>
      <c r="U1778" s="15">
        <v>628.80000000000007</v>
      </c>
      <c r="V1778" s="15">
        <v>0</v>
      </c>
      <c r="W1778" s="15">
        <v>628.80000000000007</v>
      </c>
      <c r="X1778" s="15">
        <v>0</v>
      </c>
      <c r="Y1778" s="16">
        <v>0</v>
      </c>
      <c r="Z1778" s="67" t="s">
        <v>26</v>
      </c>
      <c r="AA1778" s="12" t="s">
        <v>31</v>
      </c>
    </row>
    <row r="1779" spans="1:27" x14ac:dyDescent="0.25">
      <c r="A1779" s="10">
        <v>45684</v>
      </c>
      <c r="B1779" s="11" t="s">
        <v>3807</v>
      </c>
      <c r="C1779" s="11" t="s">
        <v>3808</v>
      </c>
      <c r="D1779" s="11" t="s">
        <v>26</v>
      </c>
      <c r="E1779" s="11" t="s">
        <v>654</v>
      </c>
      <c r="F1779" s="11" t="s">
        <v>26</v>
      </c>
      <c r="G1779" s="11">
        <v>2815</v>
      </c>
      <c r="H1779" s="12" t="s">
        <v>41</v>
      </c>
      <c r="I1779" s="12" t="s">
        <v>37</v>
      </c>
      <c r="J1779" s="12" t="s">
        <v>228</v>
      </c>
      <c r="K1779" s="12" t="s">
        <v>38</v>
      </c>
      <c r="L1779" s="13">
        <v>35</v>
      </c>
      <c r="M1779" s="13">
        <v>20</v>
      </c>
      <c r="N1779" s="13">
        <v>1.75</v>
      </c>
      <c r="O1779" s="13" t="s">
        <v>30</v>
      </c>
      <c r="P1779" s="13">
        <v>43.5</v>
      </c>
      <c r="Q1779" s="13">
        <v>0</v>
      </c>
      <c r="R1779" s="14">
        <v>870</v>
      </c>
      <c r="S1779" s="15">
        <v>0</v>
      </c>
      <c r="T1779" s="15">
        <v>0</v>
      </c>
      <c r="U1779" s="15">
        <v>870</v>
      </c>
      <c r="V1779" s="15">
        <v>0</v>
      </c>
      <c r="W1779" s="15">
        <v>870</v>
      </c>
      <c r="X1779" s="15">
        <v>0</v>
      </c>
      <c r="Y1779" s="16">
        <v>0</v>
      </c>
      <c r="Z1779" s="67" t="s">
        <v>26</v>
      </c>
      <c r="AA1779" s="12" t="s">
        <v>31</v>
      </c>
    </row>
    <row r="1780" spans="1:27" x14ac:dyDescent="0.25">
      <c r="A1780" s="10">
        <v>45684</v>
      </c>
      <c r="B1780" s="11" t="s">
        <v>3809</v>
      </c>
      <c r="C1780" s="11" t="s">
        <v>3810</v>
      </c>
      <c r="D1780" s="11" t="s">
        <v>26</v>
      </c>
      <c r="E1780" s="11" t="s">
        <v>1200</v>
      </c>
      <c r="F1780" s="11" t="s">
        <v>26</v>
      </c>
      <c r="G1780" s="11">
        <v>2564</v>
      </c>
      <c r="H1780" s="12" t="s">
        <v>163</v>
      </c>
      <c r="I1780" s="12" t="s">
        <v>27</v>
      </c>
      <c r="J1780" s="12" t="s">
        <v>33</v>
      </c>
      <c r="K1780" s="12" t="s">
        <v>34</v>
      </c>
      <c r="L1780" s="13">
        <v>38.14</v>
      </c>
      <c r="M1780" s="13">
        <v>25</v>
      </c>
      <c r="N1780" s="13">
        <v>1.5256000000000001</v>
      </c>
      <c r="O1780" s="13" t="s">
        <v>30</v>
      </c>
      <c r="P1780" s="13">
        <v>58</v>
      </c>
      <c r="Q1780" s="13">
        <v>0</v>
      </c>
      <c r="R1780" s="14">
        <v>1450</v>
      </c>
      <c r="S1780" s="15">
        <v>0</v>
      </c>
      <c r="T1780" s="15">
        <v>0</v>
      </c>
      <c r="U1780" s="15">
        <v>1450</v>
      </c>
      <c r="V1780" s="15">
        <v>0</v>
      </c>
      <c r="W1780" s="15">
        <v>1450</v>
      </c>
      <c r="X1780" s="15">
        <v>0</v>
      </c>
      <c r="Y1780" s="16">
        <v>0</v>
      </c>
      <c r="Z1780" s="67" t="s">
        <v>26</v>
      </c>
      <c r="AA1780" s="12" t="s">
        <v>31</v>
      </c>
    </row>
    <row r="1781" spans="1:27" x14ac:dyDescent="0.25">
      <c r="A1781" s="10">
        <v>45684</v>
      </c>
      <c r="B1781" s="11" t="s">
        <v>3811</v>
      </c>
      <c r="C1781" s="11" t="s">
        <v>3812</v>
      </c>
      <c r="D1781" s="11" t="s">
        <v>26</v>
      </c>
      <c r="E1781" s="11" t="s">
        <v>80</v>
      </c>
      <c r="F1781" s="11" t="s">
        <v>26</v>
      </c>
      <c r="G1781" s="11">
        <v>10660</v>
      </c>
      <c r="H1781" s="12" t="s">
        <v>140</v>
      </c>
      <c r="I1781" s="12" t="s">
        <v>27</v>
      </c>
      <c r="J1781" s="12" t="s">
        <v>42</v>
      </c>
      <c r="K1781" s="12" t="s">
        <v>43</v>
      </c>
      <c r="L1781" s="13">
        <v>41.42</v>
      </c>
      <c r="M1781" s="13">
        <v>25</v>
      </c>
      <c r="N1781" s="13">
        <v>1.6568000000000001</v>
      </c>
      <c r="O1781" s="13">
        <v>35</v>
      </c>
      <c r="P1781" s="13"/>
      <c r="Q1781" s="13">
        <v>0</v>
      </c>
      <c r="R1781" s="14">
        <v>1449.7</v>
      </c>
      <c r="S1781" s="15">
        <v>0</v>
      </c>
      <c r="T1781" s="15">
        <v>0</v>
      </c>
      <c r="U1781" s="15">
        <v>1449.7</v>
      </c>
      <c r="V1781" s="15">
        <v>0</v>
      </c>
      <c r="W1781" s="15">
        <v>1449.7</v>
      </c>
      <c r="X1781" s="15">
        <v>0</v>
      </c>
      <c r="Y1781" s="16">
        <v>0</v>
      </c>
      <c r="Z1781" s="67" t="s">
        <v>26</v>
      </c>
      <c r="AA1781" s="12" t="s">
        <v>31</v>
      </c>
    </row>
    <row r="1782" spans="1:27" x14ac:dyDescent="0.25">
      <c r="A1782" s="10">
        <v>45684</v>
      </c>
      <c r="B1782" s="11" t="s">
        <v>3433</v>
      </c>
      <c r="C1782" s="11" t="s">
        <v>3813</v>
      </c>
      <c r="D1782" s="11" t="s">
        <v>26</v>
      </c>
      <c r="E1782" s="11" t="s">
        <v>527</v>
      </c>
      <c r="F1782" s="11" t="s">
        <v>26</v>
      </c>
      <c r="G1782" s="11">
        <v>2560</v>
      </c>
      <c r="H1782" s="12" t="s">
        <v>163</v>
      </c>
      <c r="I1782" s="12" t="s">
        <v>27</v>
      </c>
      <c r="J1782" s="12" t="s">
        <v>42</v>
      </c>
      <c r="K1782" s="12" t="s">
        <v>43</v>
      </c>
      <c r="L1782" s="13">
        <v>40.82</v>
      </c>
      <c r="M1782" s="13">
        <v>25</v>
      </c>
      <c r="N1782" s="13">
        <v>1.6328</v>
      </c>
      <c r="O1782" s="13" t="s">
        <v>30</v>
      </c>
      <c r="P1782" s="13">
        <v>56</v>
      </c>
      <c r="Q1782" s="13">
        <v>0</v>
      </c>
      <c r="R1782" s="14">
        <v>1400</v>
      </c>
      <c r="S1782" s="15">
        <v>0</v>
      </c>
      <c r="T1782" s="15">
        <v>0</v>
      </c>
      <c r="U1782" s="15">
        <v>1400</v>
      </c>
      <c r="V1782" s="15">
        <v>0</v>
      </c>
      <c r="W1782" s="15">
        <v>1400</v>
      </c>
      <c r="X1782" s="15">
        <v>0</v>
      </c>
      <c r="Y1782" s="16">
        <v>0</v>
      </c>
      <c r="Z1782" s="67" t="s">
        <v>26</v>
      </c>
      <c r="AA1782" s="12" t="s">
        <v>31</v>
      </c>
    </row>
    <row r="1783" spans="1:27" x14ac:dyDescent="0.25">
      <c r="A1783" s="10">
        <v>45684</v>
      </c>
      <c r="B1783" s="11" t="s">
        <v>3814</v>
      </c>
      <c r="C1783" s="11" t="s">
        <v>3815</v>
      </c>
      <c r="D1783" s="11" t="s">
        <v>26</v>
      </c>
      <c r="E1783" s="11" t="s">
        <v>60</v>
      </c>
      <c r="F1783" s="11" t="s">
        <v>26</v>
      </c>
      <c r="G1783" s="11" t="s">
        <v>35</v>
      </c>
      <c r="H1783" s="12" t="s">
        <v>36</v>
      </c>
      <c r="I1783" s="12" t="s">
        <v>27</v>
      </c>
      <c r="J1783" s="12" t="s">
        <v>28</v>
      </c>
      <c r="K1783" s="12" t="s">
        <v>29</v>
      </c>
      <c r="L1783" s="13">
        <v>4.26</v>
      </c>
      <c r="M1783" s="13">
        <v>3</v>
      </c>
      <c r="N1783" s="13">
        <v>1.42</v>
      </c>
      <c r="O1783" s="13">
        <v>32</v>
      </c>
      <c r="P1783" s="13" t="s">
        <v>30</v>
      </c>
      <c r="Q1783" s="13">
        <v>0</v>
      </c>
      <c r="R1783" s="14">
        <v>136.32</v>
      </c>
      <c r="S1783" s="15">
        <v>0</v>
      </c>
      <c r="T1783" s="15">
        <v>0</v>
      </c>
      <c r="U1783" s="15">
        <v>136.32</v>
      </c>
      <c r="V1783" s="15">
        <v>0</v>
      </c>
      <c r="W1783" s="15">
        <v>136.32</v>
      </c>
      <c r="X1783" s="15">
        <v>0</v>
      </c>
      <c r="Y1783" s="16">
        <v>0</v>
      </c>
      <c r="Z1783" s="67" t="s">
        <v>26</v>
      </c>
      <c r="AA1783" s="12" t="s">
        <v>31</v>
      </c>
    </row>
    <row r="1784" spans="1:27" x14ac:dyDescent="0.25">
      <c r="A1784" s="10">
        <v>45684</v>
      </c>
      <c r="B1784" s="11" t="s">
        <v>3816</v>
      </c>
      <c r="C1784" s="11" t="s">
        <v>3817</v>
      </c>
      <c r="D1784" s="11" t="s">
        <v>26</v>
      </c>
      <c r="E1784" s="11" t="s">
        <v>40</v>
      </c>
      <c r="F1784" s="11" t="s">
        <v>26</v>
      </c>
      <c r="G1784" s="11">
        <v>3718</v>
      </c>
      <c r="H1784" s="12" t="s">
        <v>41</v>
      </c>
      <c r="I1784" s="12" t="s">
        <v>55</v>
      </c>
      <c r="J1784" s="12" t="s">
        <v>566</v>
      </c>
      <c r="K1784" s="12" t="s">
        <v>550</v>
      </c>
      <c r="L1784" s="13">
        <v>39.520000000000003</v>
      </c>
      <c r="M1784" s="13">
        <v>24</v>
      </c>
      <c r="N1784" s="13">
        <v>1.6466666666666669</v>
      </c>
      <c r="O1784" s="13">
        <v>25</v>
      </c>
      <c r="P1784" s="13"/>
      <c r="Q1784" s="13">
        <v>0</v>
      </c>
      <c r="R1784" s="14">
        <v>988.00000000000011</v>
      </c>
      <c r="S1784" s="15">
        <v>0</v>
      </c>
      <c r="T1784" s="15">
        <v>0</v>
      </c>
      <c r="U1784" s="15">
        <v>988.00000000000011</v>
      </c>
      <c r="V1784" s="15">
        <v>0</v>
      </c>
      <c r="W1784" s="15">
        <v>988.00000000000011</v>
      </c>
      <c r="X1784" s="15">
        <v>0</v>
      </c>
      <c r="Y1784" s="16">
        <v>0</v>
      </c>
      <c r="Z1784" s="67" t="s">
        <v>26</v>
      </c>
      <c r="AA1784" s="12" t="s">
        <v>31</v>
      </c>
    </row>
    <row r="1785" spans="1:27" x14ac:dyDescent="0.25">
      <c r="A1785" s="10">
        <v>45685</v>
      </c>
      <c r="B1785" s="11" t="s">
        <v>421</v>
      </c>
      <c r="C1785" s="11" t="s">
        <v>3818</v>
      </c>
      <c r="D1785" s="11" t="s">
        <v>26</v>
      </c>
      <c r="E1785" s="11" t="s">
        <v>322</v>
      </c>
      <c r="F1785" s="11" t="s">
        <v>26</v>
      </c>
      <c r="G1785" s="11">
        <v>112372</v>
      </c>
      <c r="H1785" s="12" t="s">
        <v>4446</v>
      </c>
      <c r="I1785" s="12" t="s">
        <v>27</v>
      </c>
      <c r="J1785" s="12" t="s">
        <v>33</v>
      </c>
      <c r="K1785" s="12" t="s">
        <v>34</v>
      </c>
      <c r="L1785" s="13">
        <v>34.58</v>
      </c>
      <c r="M1785" s="13">
        <v>25</v>
      </c>
      <c r="N1785" s="13">
        <v>1.3832</v>
      </c>
      <c r="O1785" s="13">
        <v>44</v>
      </c>
      <c r="P1785" s="13" t="s">
        <v>30</v>
      </c>
      <c r="Q1785" s="13">
        <v>0</v>
      </c>
      <c r="R1785" s="14">
        <v>1521.52</v>
      </c>
      <c r="S1785" s="15">
        <v>0</v>
      </c>
      <c r="T1785" s="15">
        <v>0</v>
      </c>
      <c r="U1785" s="15">
        <v>1521.52</v>
      </c>
      <c r="V1785" s="15">
        <v>1521.52</v>
      </c>
      <c r="W1785" s="15">
        <v>0</v>
      </c>
      <c r="X1785" s="15">
        <v>0</v>
      </c>
      <c r="Y1785" s="16">
        <v>0</v>
      </c>
      <c r="Z1785" s="67" t="s">
        <v>26</v>
      </c>
      <c r="AA1785" s="12" t="s">
        <v>31</v>
      </c>
    </row>
    <row r="1786" spans="1:27" x14ac:dyDescent="0.25">
      <c r="A1786" s="10">
        <v>45685</v>
      </c>
      <c r="B1786" s="11" t="s">
        <v>234</v>
      </c>
      <c r="C1786" s="11" t="s">
        <v>3819</v>
      </c>
      <c r="D1786" s="11" t="s">
        <v>26</v>
      </c>
      <c r="E1786" s="11" t="s">
        <v>506</v>
      </c>
      <c r="F1786" s="11" t="s">
        <v>26</v>
      </c>
      <c r="G1786" s="11" t="s">
        <v>35</v>
      </c>
      <c r="H1786" s="12" t="s">
        <v>36</v>
      </c>
      <c r="I1786" s="12" t="s">
        <v>55</v>
      </c>
      <c r="J1786" s="12" t="s">
        <v>55</v>
      </c>
      <c r="K1786" s="12" t="s">
        <v>56</v>
      </c>
      <c r="L1786" s="13">
        <v>31.9</v>
      </c>
      <c r="M1786" s="13">
        <v>20</v>
      </c>
      <c r="N1786" s="13">
        <v>1.595</v>
      </c>
      <c r="O1786" s="13">
        <v>20</v>
      </c>
      <c r="P1786" s="13" t="s">
        <v>30</v>
      </c>
      <c r="Q1786" s="13">
        <v>0</v>
      </c>
      <c r="R1786" s="14">
        <v>638</v>
      </c>
      <c r="S1786" s="15">
        <v>0</v>
      </c>
      <c r="T1786" s="15">
        <v>0</v>
      </c>
      <c r="U1786" s="15">
        <v>638</v>
      </c>
      <c r="V1786" s="15">
        <v>0</v>
      </c>
      <c r="W1786" s="15">
        <v>638</v>
      </c>
      <c r="X1786" s="15">
        <v>0</v>
      </c>
      <c r="Y1786" s="16">
        <v>0</v>
      </c>
      <c r="Z1786" s="67" t="s">
        <v>26</v>
      </c>
      <c r="AA1786" s="12" t="s">
        <v>31</v>
      </c>
    </row>
    <row r="1787" spans="1:27" x14ac:dyDescent="0.25">
      <c r="A1787" s="10">
        <v>45685</v>
      </c>
      <c r="B1787" s="11" t="s">
        <v>1051</v>
      </c>
      <c r="C1787" s="11" t="s">
        <v>3820</v>
      </c>
      <c r="D1787" s="11" t="s">
        <v>26</v>
      </c>
      <c r="E1787" s="11" t="s">
        <v>552</v>
      </c>
      <c r="F1787" s="11" t="s">
        <v>26</v>
      </c>
      <c r="G1787" s="11">
        <v>69136</v>
      </c>
      <c r="H1787" s="12" t="s">
        <v>4423</v>
      </c>
      <c r="I1787" s="12" t="s">
        <v>27</v>
      </c>
      <c r="J1787" s="12" t="s">
        <v>33</v>
      </c>
      <c r="K1787" s="12" t="s">
        <v>34</v>
      </c>
      <c r="L1787" s="13">
        <v>34.56</v>
      </c>
      <c r="M1787" s="13">
        <v>25</v>
      </c>
      <c r="N1787" s="13">
        <v>1.3824000000000001</v>
      </c>
      <c r="O1787" s="13">
        <v>45</v>
      </c>
      <c r="P1787" s="13" t="s">
        <v>30</v>
      </c>
      <c r="Q1787" s="13">
        <v>0</v>
      </c>
      <c r="R1787" s="14">
        <v>1555.2</v>
      </c>
      <c r="S1787" s="15">
        <v>0</v>
      </c>
      <c r="T1787" s="15">
        <v>0</v>
      </c>
      <c r="U1787" s="15">
        <v>1555.2</v>
      </c>
      <c r="V1787" s="15">
        <v>1555.2</v>
      </c>
      <c r="W1787" s="15">
        <v>0</v>
      </c>
      <c r="X1787" s="15">
        <v>0</v>
      </c>
      <c r="Y1787" s="16">
        <v>0</v>
      </c>
      <c r="Z1787" s="67" t="s">
        <v>26</v>
      </c>
      <c r="AA1787" s="12" t="s">
        <v>31</v>
      </c>
    </row>
    <row r="1788" spans="1:27" x14ac:dyDescent="0.25">
      <c r="A1788" s="10">
        <v>45685</v>
      </c>
      <c r="B1788" s="11" t="s">
        <v>3821</v>
      </c>
      <c r="C1788" s="11" t="s">
        <v>3822</v>
      </c>
      <c r="D1788" s="11" t="s">
        <v>26</v>
      </c>
      <c r="E1788" s="11" t="s">
        <v>50</v>
      </c>
      <c r="F1788" s="11" t="s">
        <v>26</v>
      </c>
      <c r="G1788" s="11">
        <v>919</v>
      </c>
      <c r="H1788" s="12" t="s">
        <v>163</v>
      </c>
      <c r="I1788" s="12" t="s">
        <v>27</v>
      </c>
      <c r="J1788" s="12" t="s">
        <v>42</v>
      </c>
      <c r="K1788" s="12" t="s">
        <v>43</v>
      </c>
      <c r="L1788" s="13">
        <v>40.1</v>
      </c>
      <c r="M1788" s="13">
        <v>25</v>
      </c>
      <c r="N1788" s="13">
        <v>1.6040000000000001</v>
      </c>
      <c r="O1788" s="13" t="s">
        <v>30</v>
      </c>
      <c r="P1788" s="13">
        <v>56</v>
      </c>
      <c r="Q1788" s="13">
        <v>0</v>
      </c>
      <c r="R1788" s="14">
        <v>1400</v>
      </c>
      <c r="S1788" s="15">
        <v>0</v>
      </c>
      <c r="T1788" s="15">
        <v>0</v>
      </c>
      <c r="U1788" s="15">
        <v>1400</v>
      </c>
      <c r="V1788" s="15">
        <v>0</v>
      </c>
      <c r="W1788" s="15">
        <v>1400</v>
      </c>
      <c r="X1788" s="15">
        <v>0</v>
      </c>
      <c r="Y1788" s="16">
        <v>0</v>
      </c>
      <c r="Z1788" s="67" t="s">
        <v>26</v>
      </c>
      <c r="AA1788" s="12" t="s">
        <v>31</v>
      </c>
    </row>
    <row r="1789" spans="1:27" x14ac:dyDescent="0.25">
      <c r="A1789" s="10">
        <v>45685</v>
      </c>
      <c r="B1789" s="11" t="s">
        <v>3823</v>
      </c>
      <c r="C1789" s="11" t="s">
        <v>3824</v>
      </c>
      <c r="D1789" s="11" t="s">
        <v>26</v>
      </c>
      <c r="E1789" s="11" t="s">
        <v>53</v>
      </c>
      <c r="F1789" s="11" t="s">
        <v>26</v>
      </c>
      <c r="G1789" s="11" t="s">
        <v>26</v>
      </c>
      <c r="H1789" s="12" t="s">
        <v>4422</v>
      </c>
      <c r="I1789" s="12" t="s">
        <v>27</v>
      </c>
      <c r="J1789" s="12" t="s">
        <v>47</v>
      </c>
      <c r="K1789" s="12" t="s">
        <v>48</v>
      </c>
      <c r="L1789" s="13">
        <v>42</v>
      </c>
      <c r="M1789" s="13">
        <v>28</v>
      </c>
      <c r="N1789" s="13">
        <v>1.5</v>
      </c>
      <c r="O1789" s="13">
        <v>87</v>
      </c>
      <c r="P1789" s="13" t="s">
        <v>30</v>
      </c>
      <c r="Q1789" s="13">
        <v>0</v>
      </c>
      <c r="R1789" s="14">
        <v>3654</v>
      </c>
      <c r="S1789" s="15">
        <v>38</v>
      </c>
      <c r="T1789" s="15">
        <v>1596</v>
      </c>
      <c r="U1789" s="15">
        <v>2058</v>
      </c>
      <c r="V1789" s="15">
        <v>2058</v>
      </c>
      <c r="W1789" s="15"/>
      <c r="X1789" s="15">
        <v>1554</v>
      </c>
      <c r="Y1789" s="16">
        <v>42</v>
      </c>
      <c r="Z1789" s="67" t="s">
        <v>41</v>
      </c>
      <c r="AA1789" s="12" t="s">
        <v>78</v>
      </c>
    </row>
    <row r="1790" spans="1:27" x14ac:dyDescent="0.25">
      <c r="A1790" s="10">
        <v>45685</v>
      </c>
      <c r="B1790" s="11" t="s">
        <v>1313</v>
      </c>
      <c r="C1790" s="11" t="s">
        <v>3825</v>
      </c>
      <c r="D1790" s="11" t="s">
        <v>26</v>
      </c>
      <c r="E1790" s="11" t="s">
        <v>246</v>
      </c>
      <c r="F1790" s="11" t="s">
        <v>26</v>
      </c>
      <c r="G1790" s="11" t="s">
        <v>26</v>
      </c>
      <c r="H1790" s="12" t="s">
        <v>4422</v>
      </c>
      <c r="I1790" s="12" t="s">
        <v>27</v>
      </c>
      <c r="J1790" s="12" t="s">
        <v>42</v>
      </c>
      <c r="K1790" s="12" t="s">
        <v>43</v>
      </c>
      <c r="L1790" s="13">
        <v>42.24</v>
      </c>
      <c r="M1790" s="13">
        <v>25</v>
      </c>
      <c r="N1790" s="13">
        <v>1.6896</v>
      </c>
      <c r="O1790" s="13">
        <v>83</v>
      </c>
      <c r="P1790" s="13" t="s">
        <v>30</v>
      </c>
      <c r="Q1790" s="13">
        <v>0</v>
      </c>
      <c r="R1790" s="14">
        <v>3505.92</v>
      </c>
      <c r="S1790" s="15">
        <v>38</v>
      </c>
      <c r="T1790" s="15">
        <v>1605.1200000000001</v>
      </c>
      <c r="U1790" s="15">
        <v>1900.8</v>
      </c>
      <c r="V1790" s="15">
        <v>1900.8</v>
      </c>
      <c r="W1790" s="15"/>
      <c r="X1790" s="15">
        <v>1562.88</v>
      </c>
      <c r="Y1790" s="16">
        <v>42.240000000000009</v>
      </c>
      <c r="Z1790" s="67" t="s">
        <v>41</v>
      </c>
      <c r="AA1790" s="12" t="s">
        <v>78</v>
      </c>
    </row>
    <row r="1791" spans="1:27" x14ac:dyDescent="0.25">
      <c r="A1791" s="10">
        <v>45685</v>
      </c>
      <c r="B1791" s="11" t="s">
        <v>1120</v>
      </c>
      <c r="C1791" s="11" t="s">
        <v>3826</v>
      </c>
      <c r="D1791" s="11" t="s">
        <v>26</v>
      </c>
      <c r="E1791" s="11" t="s">
        <v>63</v>
      </c>
      <c r="F1791" s="11" t="s">
        <v>26</v>
      </c>
      <c r="G1791" s="11">
        <v>10171</v>
      </c>
      <c r="H1791" s="12" t="s">
        <v>140</v>
      </c>
      <c r="I1791" s="12" t="s">
        <v>27</v>
      </c>
      <c r="J1791" s="12" t="s">
        <v>42</v>
      </c>
      <c r="K1791" s="12" t="s">
        <v>43</v>
      </c>
      <c r="L1791" s="13">
        <v>43.04</v>
      </c>
      <c r="M1791" s="13">
        <v>25</v>
      </c>
      <c r="N1791" s="13">
        <v>1.7216</v>
      </c>
      <c r="O1791" s="13">
        <v>35</v>
      </c>
      <c r="P1791" s="13"/>
      <c r="Q1791" s="13">
        <v>0</v>
      </c>
      <c r="R1791" s="15">
        <v>1506.3999999999999</v>
      </c>
      <c r="S1791" s="15">
        <v>0</v>
      </c>
      <c r="T1791" s="15">
        <v>0</v>
      </c>
      <c r="U1791" s="15">
        <v>1506.3999999999999</v>
      </c>
      <c r="V1791" s="15">
        <v>0</v>
      </c>
      <c r="W1791" s="15">
        <v>1506.3999999999999</v>
      </c>
      <c r="X1791" s="15">
        <v>0</v>
      </c>
      <c r="Y1791" s="16">
        <v>0</v>
      </c>
      <c r="Z1791" s="67" t="s">
        <v>26</v>
      </c>
      <c r="AA1791" s="12" t="s">
        <v>31</v>
      </c>
    </row>
    <row r="1792" spans="1:27" x14ac:dyDescent="0.25">
      <c r="A1792" s="10">
        <v>45685</v>
      </c>
      <c r="B1792" s="11" t="s">
        <v>3827</v>
      </c>
      <c r="C1792" s="11" t="s">
        <v>3828</v>
      </c>
      <c r="D1792" s="11" t="s">
        <v>26</v>
      </c>
      <c r="E1792" s="11" t="s">
        <v>539</v>
      </c>
      <c r="F1792" s="11" t="s">
        <v>26</v>
      </c>
      <c r="G1792" s="11" t="s">
        <v>26</v>
      </c>
      <c r="H1792" s="12" t="s">
        <v>146</v>
      </c>
      <c r="I1792" s="12" t="s">
        <v>27</v>
      </c>
      <c r="J1792" s="12" t="s">
        <v>47</v>
      </c>
      <c r="K1792" s="12" t="s">
        <v>48</v>
      </c>
      <c r="L1792" s="13">
        <v>42.86</v>
      </c>
      <c r="M1792" s="13">
        <v>29</v>
      </c>
      <c r="N1792" s="13">
        <v>1.477931034482759</v>
      </c>
      <c r="O1792" s="13">
        <v>91</v>
      </c>
      <c r="P1792" s="13" t="s">
        <v>30</v>
      </c>
      <c r="Q1792" s="13">
        <v>0</v>
      </c>
      <c r="R1792" s="14">
        <v>3900.2599999999998</v>
      </c>
      <c r="S1792" s="15">
        <v>40</v>
      </c>
      <c r="T1792" s="15">
        <v>1714.4</v>
      </c>
      <c r="U1792" s="15">
        <v>2185.8599999999997</v>
      </c>
      <c r="V1792" s="15">
        <v>2185.8599999999997</v>
      </c>
      <c r="W1792" s="15">
        <v>0</v>
      </c>
      <c r="X1792" s="15">
        <v>1585.82</v>
      </c>
      <c r="Y1792" s="16">
        <v>128.58000000000015</v>
      </c>
      <c r="Z1792" s="67" t="s">
        <v>41</v>
      </c>
      <c r="AA1792" s="12" t="s">
        <v>79</v>
      </c>
    </row>
    <row r="1793" spans="1:27" x14ac:dyDescent="0.25">
      <c r="A1793" s="10">
        <v>45685</v>
      </c>
      <c r="B1793" s="11" t="s">
        <v>3829</v>
      </c>
      <c r="C1793" s="11" t="s">
        <v>3830</v>
      </c>
      <c r="D1793" s="11" t="s">
        <v>26</v>
      </c>
      <c r="E1793" s="11" t="s">
        <v>2109</v>
      </c>
      <c r="F1793" s="11" t="s">
        <v>26</v>
      </c>
      <c r="G1793" s="11">
        <v>10610</v>
      </c>
      <c r="H1793" s="12" t="s">
        <v>140</v>
      </c>
      <c r="I1793" s="12" t="s">
        <v>27</v>
      </c>
      <c r="J1793" s="12" t="s">
        <v>42</v>
      </c>
      <c r="K1793" s="12" t="s">
        <v>43</v>
      </c>
      <c r="L1793" s="13">
        <v>42.5</v>
      </c>
      <c r="M1793" s="13">
        <v>25</v>
      </c>
      <c r="N1793" s="13">
        <v>1.7</v>
      </c>
      <c r="O1793" s="13">
        <v>35</v>
      </c>
      <c r="P1793" s="13"/>
      <c r="Q1793" s="13">
        <v>0</v>
      </c>
      <c r="R1793" s="14">
        <v>1487.5</v>
      </c>
      <c r="S1793" s="15">
        <v>0</v>
      </c>
      <c r="T1793" s="15">
        <v>0</v>
      </c>
      <c r="U1793" s="15">
        <v>1487.5</v>
      </c>
      <c r="V1793" s="15">
        <v>0</v>
      </c>
      <c r="W1793" s="15">
        <v>1487.5</v>
      </c>
      <c r="X1793" s="16">
        <v>0</v>
      </c>
      <c r="Y1793" s="16">
        <v>0</v>
      </c>
      <c r="Z1793" s="67" t="s">
        <v>26</v>
      </c>
      <c r="AA1793" s="12" t="s">
        <v>31</v>
      </c>
    </row>
    <row r="1794" spans="1:27" x14ac:dyDescent="0.25">
      <c r="A1794" s="10">
        <v>45685</v>
      </c>
      <c r="B1794" s="11" t="s">
        <v>2976</v>
      </c>
      <c r="C1794" s="11" t="s">
        <v>3831</v>
      </c>
      <c r="D1794" s="11" t="s">
        <v>26</v>
      </c>
      <c r="E1794" s="11" t="s">
        <v>57</v>
      </c>
      <c r="F1794" s="11" t="s">
        <v>26</v>
      </c>
      <c r="G1794" s="11">
        <v>3660</v>
      </c>
      <c r="H1794" s="12" t="s">
        <v>41</v>
      </c>
      <c r="I1794" s="12" t="s">
        <v>55</v>
      </c>
      <c r="J1794" s="12" t="s">
        <v>55</v>
      </c>
      <c r="K1794" s="12" t="s">
        <v>56</v>
      </c>
      <c r="L1794" s="13">
        <v>37.68</v>
      </c>
      <c r="M1794" s="13">
        <v>25</v>
      </c>
      <c r="N1794" s="13">
        <v>1.5072000000000001</v>
      </c>
      <c r="O1794" s="13" t="s">
        <v>30</v>
      </c>
      <c r="P1794" s="13">
        <v>24</v>
      </c>
      <c r="Q1794" s="13">
        <v>0</v>
      </c>
      <c r="R1794" s="14">
        <v>600</v>
      </c>
      <c r="S1794" s="15">
        <v>0</v>
      </c>
      <c r="T1794" s="15">
        <v>0</v>
      </c>
      <c r="U1794" s="15">
        <v>600</v>
      </c>
      <c r="V1794" s="15">
        <v>0</v>
      </c>
      <c r="W1794" s="15">
        <v>600</v>
      </c>
      <c r="X1794" s="16">
        <v>0</v>
      </c>
      <c r="Y1794" s="16">
        <v>0</v>
      </c>
      <c r="Z1794" s="67" t="s">
        <v>26</v>
      </c>
      <c r="AA1794" s="12" t="s">
        <v>31</v>
      </c>
    </row>
    <row r="1795" spans="1:27" x14ac:dyDescent="0.25">
      <c r="A1795" s="10">
        <v>45685</v>
      </c>
      <c r="B1795" s="11" t="s">
        <v>3832</v>
      </c>
      <c r="C1795" s="11" t="s">
        <v>3833</v>
      </c>
      <c r="D1795" s="11" t="s">
        <v>26</v>
      </c>
      <c r="E1795" s="11" t="s">
        <v>3834</v>
      </c>
      <c r="F1795" s="11" t="s">
        <v>26</v>
      </c>
      <c r="G1795" s="11">
        <v>2607</v>
      </c>
      <c r="H1795" s="12" t="s">
        <v>41</v>
      </c>
      <c r="I1795" s="12" t="s">
        <v>55</v>
      </c>
      <c r="J1795" s="12" t="s">
        <v>55</v>
      </c>
      <c r="K1795" s="12" t="s">
        <v>56</v>
      </c>
      <c r="L1795" s="13">
        <v>32.54</v>
      </c>
      <c r="M1795" s="13">
        <v>20</v>
      </c>
      <c r="N1795" s="13">
        <v>1.627</v>
      </c>
      <c r="O1795" s="13" t="s">
        <v>30</v>
      </c>
      <c r="P1795" s="13">
        <v>24</v>
      </c>
      <c r="Q1795" s="13">
        <v>0</v>
      </c>
      <c r="R1795" s="14">
        <v>480</v>
      </c>
      <c r="S1795" s="15">
        <v>0</v>
      </c>
      <c r="T1795" s="15">
        <v>0</v>
      </c>
      <c r="U1795" s="15">
        <v>480</v>
      </c>
      <c r="V1795" s="15">
        <v>0</v>
      </c>
      <c r="W1795" s="15">
        <v>480</v>
      </c>
      <c r="X1795" s="15">
        <v>0</v>
      </c>
      <c r="Y1795" s="16">
        <v>0</v>
      </c>
      <c r="Z1795" s="67" t="s">
        <v>26</v>
      </c>
      <c r="AA1795" s="12" t="s">
        <v>31</v>
      </c>
    </row>
    <row r="1796" spans="1:27" x14ac:dyDescent="0.25">
      <c r="A1796" s="10">
        <v>45685</v>
      </c>
      <c r="B1796" s="11" t="s">
        <v>731</v>
      </c>
      <c r="C1796" s="11" t="s">
        <v>3835</v>
      </c>
      <c r="D1796" s="11" t="s">
        <v>26</v>
      </c>
      <c r="E1796" s="11" t="s">
        <v>91</v>
      </c>
      <c r="F1796" s="11" t="s">
        <v>26</v>
      </c>
      <c r="G1796" s="11">
        <v>2463</v>
      </c>
      <c r="H1796" s="12" t="s">
        <v>41</v>
      </c>
      <c r="I1796" s="12" t="s">
        <v>55</v>
      </c>
      <c r="J1796" s="12" t="s">
        <v>55</v>
      </c>
      <c r="K1796" s="12" t="s">
        <v>56</v>
      </c>
      <c r="L1796" s="13">
        <v>33.06</v>
      </c>
      <c r="M1796" s="13">
        <v>20</v>
      </c>
      <c r="N1796" s="13">
        <v>1.653</v>
      </c>
      <c r="O1796" s="13" t="s">
        <v>30</v>
      </c>
      <c r="P1796" s="13">
        <v>24</v>
      </c>
      <c r="Q1796" s="13">
        <v>0</v>
      </c>
      <c r="R1796" s="14">
        <v>480</v>
      </c>
      <c r="S1796" s="15">
        <v>0</v>
      </c>
      <c r="T1796" s="15">
        <v>0</v>
      </c>
      <c r="U1796" s="15">
        <v>480</v>
      </c>
      <c r="V1796" s="15">
        <v>0</v>
      </c>
      <c r="W1796" s="15">
        <v>480</v>
      </c>
      <c r="X1796" s="16">
        <v>0</v>
      </c>
      <c r="Y1796" s="16">
        <v>0</v>
      </c>
      <c r="Z1796" s="67" t="s">
        <v>26</v>
      </c>
      <c r="AA1796" s="12" t="s">
        <v>31</v>
      </c>
    </row>
    <row r="1797" spans="1:27" x14ac:dyDescent="0.25">
      <c r="A1797" s="10">
        <v>45685</v>
      </c>
      <c r="B1797" s="11" t="s">
        <v>691</v>
      </c>
      <c r="C1797" s="11" t="s">
        <v>3836</v>
      </c>
      <c r="D1797" s="11" t="s">
        <v>26</v>
      </c>
      <c r="E1797" s="11" t="s">
        <v>105</v>
      </c>
      <c r="F1797" s="11" t="s">
        <v>26</v>
      </c>
      <c r="G1797" s="11">
        <v>2608</v>
      </c>
      <c r="H1797" s="12" t="s">
        <v>41</v>
      </c>
      <c r="I1797" s="12" t="s">
        <v>55</v>
      </c>
      <c r="J1797" s="12" t="s">
        <v>55</v>
      </c>
      <c r="K1797" s="12" t="s">
        <v>56</v>
      </c>
      <c r="L1797" s="13">
        <v>31.96</v>
      </c>
      <c r="M1797" s="13">
        <v>20</v>
      </c>
      <c r="N1797" s="13">
        <v>1.5980000000000001</v>
      </c>
      <c r="O1797" s="13" t="s">
        <v>30</v>
      </c>
      <c r="P1797" s="13">
        <v>24</v>
      </c>
      <c r="Q1797" s="13">
        <v>0</v>
      </c>
      <c r="R1797" s="14">
        <v>480</v>
      </c>
      <c r="S1797" s="15">
        <v>0</v>
      </c>
      <c r="T1797" s="15">
        <v>0</v>
      </c>
      <c r="U1797" s="15">
        <v>480</v>
      </c>
      <c r="V1797" s="15">
        <v>0</v>
      </c>
      <c r="W1797" s="15">
        <v>480</v>
      </c>
      <c r="X1797" s="15">
        <v>0</v>
      </c>
      <c r="Y1797" s="16">
        <v>0</v>
      </c>
      <c r="Z1797" s="67" t="s">
        <v>26</v>
      </c>
      <c r="AA1797" s="12" t="s">
        <v>31</v>
      </c>
    </row>
    <row r="1798" spans="1:27" x14ac:dyDescent="0.25">
      <c r="A1798" s="10">
        <v>45685</v>
      </c>
      <c r="B1798" s="11" t="s">
        <v>3837</v>
      </c>
      <c r="C1798" s="11" t="s">
        <v>3838</v>
      </c>
      <c r="D1798" s="11" t="s">
        <v>26</v>
      </c>
      <c r="E1798" s="11" t="s">
        <v>40</v>
      </c>
      <c r="F1798" s="11" t="s">
        <v>26</v>
      </c>
      <c r="G1798" s="11">
        <v>3719</v>
      </c>
      <c r="H1798" s="12" t="s">
        <v>41</v>
      </c>
      <c r="I1798" s="12" t="s">
        <v>55</v>
      </c>
      <c r="J1798" s="12" t="s">
        <v>55</v>
      </c>
      <c r="K1798" s="12" t="s">
        <v>56</v>
      </c>
      <c r="L1798" s="13">
        <v>38.1</v>
      </c>
      <c r="M1798" s="13">
        <v>25</v>
      </c>
      <c r="N1798" s="13">
        <v>1.524</v>
      </c>
      <c r="O1798" s="13" t="s">
        <v>30</v>
      </c>
      <c r="P1798" s="13">
        <v>24</v>
      </c>
      <c r="Q1798" s="13">
        <v>0</v>
      </c>
      <c r="R1798" s="14">
        <v>600</v>
      </c>
      <c r="S1798" s="15">
        <v>0</v>
      </c>
      <c r="T1798" s="15">
        <v>0</v>
      </c>
      <c r="U1798" s="15">
        <v>600</v>
      </c>
      <c r="V1798" s="15">
        <v>0</v>
      </c>
      <c r="W1798" s="15">
        <v>600</v>
      </c>
      <c r="X1798" s="15">
        <v>0</v>
      </c>
      <c r="Y1798" s="16">
        <v>0</v>
      </c>
      <c r="Z1798" s="67" t="s">
        <v>26</v>
      </c>
      <c r="AA1798" s="12" t="s">
        <v>31</v>
      </c>
    </row>
    <row r="1799" spans="1:27" x14ac:dyDescent="0.25">
      <c r="A1799" s="10">
        <v>45685</v>
      </c>
      <c r="B1799" s="11" t="s">
        <v>731</v>
      </c>
      <c r="C1799" s="11" t="s">
        <v>3839</v>
      </c>
      <c r="D1799" s="11" t="s">
        <v>26</v>
      </c>
      <c r="E1799" s="11" t="s">
        <v>54</v>
      </c>
      <c r="F1799" s="11" t="s">
        <v>26</v>
      </c>
      <c r="G1799" s="11">
        <v>112374</v>
      </c>
      <c r="H1799" s="12" t="s">
        <v>4446</v>
      </c>
      <c r="I1799" s="12" t="s">
        <v>27</v>
      </c>
      <c r="J1799" s="12" t="s">
        <v>42</v>
      </c>
      <c r="K1799" s="12" t="s">
        <v>43</v>
      </c>
      <c r="L1799" s="13">
        <v>37.22</v>
      </c>
      <c r="M1799" s="13">
        <v>25</v>
      </c>
      <c r="N1799" s="13">
        <v>1.4887999999999999</v>
      </c>
      <c r="O1799" s="13">
        <v>42</v>
      </c>
      <c r="P1799" s="13" t="s">
        <v>30</v>
      </c>
      <c r="Q1799" s="13">
        <v>0</v>
      </c>
      <c r="R1799" s="14">
        <v>1563.24</v>
      </c>
      <c r="S1799" s="15">
        <v>0</v>
      </c>
      <c r="T1799" s="15">
        <v>0</v>
      </c>
      <c r="U1799" s="15">
        <v>1563.24</v>
      </c>
      <c r="V1799" s="15">
        <v>1563.24</v>
      </c>
      <c r="W1799" s="15">
        <v>0</v>
      </c>
      <c r="X1799" s="15">
        <v>0</v>
      </c>
      <c r="Y1799" s="16">
        <v>0</v>
      </c>
      <c r="Z1799" s="67" t="s">
        <v>26</v>
      </c>
      <c r="AA1799" s="12" t="s">
        <v>31</v>
      </c>
    </row>
    <row r="1800" spans="1:27" x14ac:dyDescent="0.25">
      <c r="A1800" s="10">
        <v>45685</v>
      </c>
      <c r="B1800" s="11" t="s">
        <v>3840</v>
      </c>
      <c r="C1800" s="11" t="s">
        <v>3841</v>
      </c>
      <c r="D1800" s="11" t="s">
        <v>26</v>
      </c>
      <c r="E1800" s="11" t="s">
        <v>435</v>
      </c>
      <c r="F1800" s="11" t="s">
        <v>26</v>
      </c>
      <c r="G1800" s="11">
        <v>3527</v>
      </c>
      <c r="H1800" s="12" t="s">
        <v>41</v>
      </c>
      <c r="I1800" s="12" t="s">
        <v>55</v>
      </c>
      <c r="J1800" s="12" t="s">
        <v>55</v>
      </c>
      <c r="K1800" s="12" t="s">
        <v>56</v>
      </c>
      <c r="L1800" s="13">
        <v>38.299999999999997</v>
      </c>
      <c r="M1800" s="13">
        <v>25</v>
      </c>
      <c r="N1800" s="13">
        <v>1.532</v>
      </c>
      <c r="O1800" s="13" t="s">
        <v>30</v>
      </c>
      <c r="P1800" s="13">
        <v>24</v>
      </c>
      <c r="Q1800" s="13">
        <v>0</v>
      </c>
      <c r="R1800" s="14">
        <v>600</v>
      </c>
      <c r="S1800" s="15">
        <v>0</v>
      </c>
      <c r="T1800" s="15">
        <v>0</v>
      </c>
      <c r="U1800" s="15">
        <v>600</v>
      </c>
      <c r="V1800" s="15">
        <v>0</v>
      </c>
      <c r="W1800" s="15">
        <v>600</v>
      </c>
      <c r="X1800" s="15">
        <v>0</v>
      </c>
      <c r="Y1800" s="16">
        <v>0</v>
      </c>
      <c r="Z1800" s="67" t="s">
        <v>26</v>
      </c>
      <c r="AA1800" s="12" t="s">
        <v>31</v>
      </c>
    </row>
    <row r="1801" spans="1:27" x14ac:dyDescent="0.25">
      <c r="A1801" s="10">
        <v>45685</v>
      </c>
      <c r="B1801" s="11" t="s">
        <v>3396</v>
      </c>
      <c r="C1801" s="11" t="s">
        <v>3842</v>
      </c>
      <c r="D1801" s="11" t="s">
        <v>26</v>
      </c>
      <c r="E1801" s="11" t="s">
        <v>44</v>
      </c>
      <c r="F1801" s="11" t="s">
        <v>26</v>
      </c>
      <c r="G1801" s="11">
        <v>1579</v>
      </c>
      <c r="H1801" s="12" t="s">
        <v>45</v>
      </c>
      <c r="I1801" s="12" t="s">
        <v>27</v>
      </c>
      <c r="J1801" s="12" t="s">
        <v>33</v>
      </c>
      <c r="K1801" s="12" t="s">
        <v>34</v>
      </c>
      <c r="L1801" s="13">
        <v>38.54</v>
      </c>
      <c r="M1801" s="13">
        <v>25</v>
      </c>
      <c r="N1801" s="13">
        <v>1.5416000000000001</v>
      </c>
      <c r="O1801" s="13" t="s">
        <v>30</v>
      </c>
      <c r="P1801" s="13">
        <v>58</v>
      </c>
      <c r="Q1801" s="13">
        <v>0</v>
      </c>
      <c r="R1801" s="15">
        <v>1450</v>
      </c>
      <c r="S1801" s="15">
        <v>0</v>
      </c>
      <c r="T1801" s="15">
        <v>0</v>
      </c>
      <c r="U1801" s="15">
        <v>1450</v>
      </c>
      <c r="V1801" s="15">
        <v>0</v>
      </c>
      <c r="W1801" s="15">
        <v>1450</v>
      </c>
      <c r="X1801" s="15">
        <v>0</v>
      </c>
      <c r="Y1801" s="16">
        <v>0</v>
      </c>
      <c r="Z1801" s="67" t="s">
        <v>26</v>
      </c>
      <c r="AA1801" s="12" t="s">
        <v>31</v>
      </c>
    </row>
    <row r="1802" spans="1:27" x14ac:dyDescent="0.25">
      <c r="A1802" s="10">
        <v>45685</v>
      </c>
      <c r="B1802" s="11" t="s">
        <v>1383</v>
      </c>
      <c r="C1802" s="11" t="s">
        <v>3843</v>
      </c>
      <c r="D1802" s="11" t="s">
        <v>26</v>
      </c>
      <c r="E1802" s="11" t="s">
        <v>240</v>
      </c>
      <c r="F1802" s="11" t="s">
        <v>26</v>
      </c>
      <c r="G1802" s="11">
        <v>2945</v>
      </c>
      <c r="H1802" s="12" t="s">
        <v>41</v>
      </c>
      <c r="I1802" s="12" t="s">
        <v>55</v>
      </c>
      <c r="J1802" s="12" t="s">
        <v>55</v>
      </c>
      <c r="K1802" s="12" t="s">
        <v>56</v>
      </c>
      <c r="L1802" s="13">
        <v>37.6</v>
      </c>
      <c r="M1802" s="13">
        <v>25</v>
      </c>
      <c r="N1802" s="13">
        <v>1.504</v>
      </c>
      <c r="O1802" s="13" t="s">
        <v>30</v>
      </c>
      <c r="P1802" s="13">
        <v>24</v>
      </c>
      <c r="Q1802" s="13">
        <v>0</v>
      </c>
      <c r="R1802" s="14">
        <v>600</v>
      </c>
      <c r="S1802" s="15">
        <v>0</v>
      </c>
      <c r="T1802" s="15">
        <v>0</v>
      </c>
      <c r="U1802" s="15">
        <v>600</v>
      </c>
      <c r="V1802" s="15">
        <v>0</v>
      </c>
      <c r="W1802" s="15">
        <v>600</v>
      </c>
      <c r="X1802" s="15">
        <v>0</v>
      </c>
      <c r="Y1802" s="16">
        <v>0</v>
      </c>
      <c r="Z1802" s="67" t="s">
        <v>26</v>
      </c>
      <c r="AA1802" s="12" t="s">
        <v>31</v>
      </c>
    </row>
    <row r="1803" spans="1:27" x14ac:dyDescent="0.25">
      <c r="A1803" s="10">
        <v>45685</v>
      </c>
      <c r="B1803" s="11" t="s">
        <v>3844</v>
      </c>
      <c r="C1803" s="11" t="s">
        <v>3845</v>
      </c>
      <c r="D1803" s="11" t="s">
        <v>26</v>
      </c>
      <c r="E1803" s="11" t="s">
        <v>49</v>
      </c>
      <c r="F1803" s="11" t="s">
        <v>26</v>
      </c>
      <c r="G1803" s="11">
        <v>1573</v>
      </c>
      <c r="H1803" s="12" t="s">
        <v>45</v>
      </c>
      <c r="I1803" s="12" t="s">
        <v>27</v>
      </c>
      <c r="J1803" s="12" t="s">
        <v>33</v>
      </c>
      <c r="K1803" s="12" t="s">
        <v>34</v>
      </c>
      <c r="L1803" s="13">
        <v>38.5</v>
      </c>
      <c r="M1803" s="13">
        <v>25</v>
      </c>
      <c r="N1803" s="13">
        <v>1.54</v>
      </c>
      <c r="O1803" s="13" t="s">
        <v>30</v>
      </c>
      <c r="P1803" s="13">
        <v>58</v>
      </c>
      <c r="Q1803" s="13">
        <v>0</v>
      </c>
      <c r="R1803" s="14">
        <v>1450</v>
      </c>
      <c r="S1803" s="15">
        <v>0</v>
      </c>
      <c r="T1803" s="15">
        <v>0</v>
      </c>
      <c r="U1803" s="15">
        <v>1450</v>
      </c>
      <c r="V1803" s="15">
        <v>0</v>
      </c>
      <c r="W1803" s="15">
        <v>1450</v>
      </c>
      <c r="X1803" s="15">
        <v>0</v>
      </c>
      <c r="Y1803" s="16">
        <v>0</v>
      </c>
      <c r="Z1803" s="67" t="s">
        <v>26</v>
      </c>
      <c r="AA1803" s="12" t="s">
        <v>31</v>
      </c>
    </row>
    <row r="1804" spans="1:27" x14ac:dyDescent="0.25">
      <c r="A1804" s="10">
        <v>45685</v>
      </c>
      <c r="B1804" s="11" t="s">
        <v>464</v>
      </c>
      <c r="C1804" s="11" t="s">
        <v>3846</v>
      </c>
      <c r="D1804" s="11" t="s">
        <v>26</v>
      </c>
      <c r="E1804" s="11" t="s">
        <v>520</v>
      </c>
      <c r="F1804" s="11" t="s">
        <v>26</v>
      </c>
      <c r="G1804" s="11">
        <v>4381</v>
      </c>
      <c r="H1804" s="12" t="s">
        <v>140</v>
      </c>
      <c r="I1804" s="12" t="s">
        <v>27</v>
      </c>
      <c r="J1804" s="12" t="s">
        <v>42</v>
      </c>
      <c r="K1804" s="12" t="s">
        <v>43</v>
      </c>
      <c r="L1804" s="13">
        <v>44.92</v>
      </c>
      <c r="M1804" s="13">
        <v>25</v>
      </c>
      <c r="N1804" s="13">
        <v>1.7968</v>
      </c>
      <c r="O1804" s="13">
        <v>35</v>
      </c>
      <c r="P1804" s="13"/>
      <c r="Q1804" s="13">
        <v>0</v>
      </c>
      <c r="R1804" s="14">
        <v>1572.2</v>
      </c>
      <c r="S1804" s="15">
        <v>0</v>
      </c>
      <c r="T1804" s="15">
        <v>0</v>
      </c>
      <c r="U1804" s="15">
        <v>1572.2</v>
      </c>
      <c r="V1804" s="15">
        <v>0</v>
      </c>
      <c r="W1804" s="15">
        <v>1572.2</v>
      </c>
      <c r="X1804" s="15">
        <v>0</v>
      </c>
      <c r="Y1804" s="16">
        <v>0</v>
      </c>
      <c r="Z1804" s="67" t="s">
        <v>26</v>
      </c>
      <c r="AA1804" s="12" t="s">
        <v>31</v>
      </c>
    </row>
    <row r="1805" spans="1:27" x14ac:dyDescent="0.25">
      <c r="A1805" s="10">
        <v>45685</v>
      </c>
      <c r="B1805" s="11" t="s">
        <v>1664</v>
      </c>
      <c r="C1805" s="11" t="s">
        <v>3847</v>
      </c>
      <c r="D1805" s="11" t="s">
        <v>26</v>
      </c>
      <c r="E1805" s="11" t="s">
        <v>68</v>
      </c>
      <c r="F1805" s="11" t="s">
        <v>26</v>
      </c>
      <c r="G1805" s="11">
        <v>1540</v>
      </c>
      <c r="H1805" s="12" t="s">
        <v>45</v>
      </c>
      <c r="I1805" s="12" t="s">
        <v>27</v>
      </c>
      <c r="J1805" s="12" t="s">
        <v>42</v>
      </c>
      <c r="K1805" s="12" t="s">
        <v>43</v>
      </c>
      <c r="L1805" s="13">
        <v>43.02</v>
      </c>
      <c r="M1805" s="13">
        <v>25</v>
      </c>
      <c r="N1805" s="13">
        <v>1.7208000000000001</v>
      </c>
      <c r="O1805" s="13" t="s">
        <v>30</v>
      </c>
      <c r="P1805" s="13">
        <v>62</v>
      </c>
      <c r="Q1805" s="13">
        <v>0</v>
      </c>
      <c r="R1805" s="14">
        <v>1550</v>
      </c>
      <c r="S1805" s="15">
        <v>0</v>
      </c>
      <c r="T1805" s="15">
        <v>0</v>
      </c>
      <c r="U1805" s="15">
        <v>1550</v>
      </c>
      <c r="V1805" s="15">
        <v>0</v>
      </c>
      <c r="W1805" s="15">
        <v>1550</v>
      </c>
      <c r="X1805" s="15">
        <v>0</v>
      </c>
      <c r="Y1805" s="16">
        <v>0</v>
      </c>
      <c r="Z1805" s="67" t="s">
        <v>26</v>
      </c>
      <c r="AA1805" s="12" t="s">
        <v>31</v>
      </c>
    </row>
    <row r="1806" spans="1:27" x14ac:dyDescent="0.25">
      <c r="A1806" s="10">
        <v>45685</v>
      </c>
      <c r="B1806" s="11" t="s">
        <v>3848</v>
      </c>
      <c r="C1806" s="11" t="s">
        <v>3849</v>
      </c>
      <c r="D1806" s="11" t="s">
        <v>26</v>
      </c>
      <c r="E1806" s="11" t="s">
        <v>97</v>
      </c>
      <c r="F1806" s="11" t="s">
        <v>26</v>
      </c>
      <c r="G1806" s="11">
        <v>5449</v>
      </c>
      <c r="H1806" s="12" t="s">
        <v>4447</v>
      </c>
      <c r="I1806" s="12" t="s">
        <v>27</v>
      </c>
      <c r="J1806" s="12" t="s">
        <v>42</v>
      </c>
      <c r="K1806" s="12" t="s">
        <v>43</v>
      </c>
      <c r="L1806" s="13">
        <v>19.96</v>
      </c>
      <c r="M1806" s="13">
        <v>12</v>
      </c>
      <c r="N1806" s="13">
        <v>1.6633333333333331</v>
      </c>
      <c r="O1806" s="13" t="s">
        <v>30</v>
      </c>
      <c r="P1806" s="13">
        <v>65.599999999999994</v>
      </c>
      <c r="Q1806" s="13">
        <v>0</v>
      </c>
      <c r="R1806" s="15">
        <v>787.19999999999993</v>
      </c>
      <c r="S1806" s="15">
        <v>0</v>
      </c>
      <c r="T1806" s="15">
        <v>0</v>
      </c>
      <c r="U1806" s="15">
        <v>787.19999999999993</v>
      </c>
      <c r="V1806" s="15">
        <v>787.19999999999993</v>
      </c>
      <c r="W1806" s="15">
        <v>0</v>
      </c>
      <c r="X1806" s="15">
        <v>0</v>
      </c>
      <c r="Y1806" s="16">
        <v>0</v>
      </c>
      <c r="Z1806" s="67" t="s">
        <v>26</v>
      </c>
      <c r="AA1806" s="12" t="s">
        <v>31</v>
      </c>
    </row>
    <row r="1807" spans="1:27" x14ac:dyDescent="0.25">
      <c r="A1807" s="10">
        <v>45685</v>
      </c>
      <c r="B1807" s="11" t="s">
        <v>3321</v>
      </c>
      <c r="C1807" s="11" t="s">
        <v>3850</v>
      </c>
      <c r="D1807" s="11" t="s">
        <v>26</v>
      </c>
      <c r="E1807" s="11" t="s">
        <v>529</v>
      </c>
      <c r="F1807" s="11" t="s">
        <v>26</v>
      </c>
      <c r="G1807" s="11">
        <v>917</v>
      </c>
      <c r="H1807" s="12" t="s">
        <v>163</v>
      </c>
      <c r="I1807" s="12" t="s">
        <v>27</v>
      </c>
      <c r="J1807" s="12" t="s">
        <v>42</v>
      </c>
      <c r="K1807" s="12" t="s">
        <v>43</v>
      </c>
      <c r="L1807" s="13">
        <v>41.36</v>
      </c>
      <c r="M1807" s="13">
        <v>25</v>
      </c>
      <c r="N1807" s="13">
        <v>1.6544000000000001</v>
      </c>
      <c r="O1807" s="13" t="s">
        <v>30</v>
      </c>
      <c r="P1807" s="13">
        <v>56</v>
      </c>
      <c r="Q1807" s="13">
        <v>0</v>
      </c>
      <c r="R1807" s="15">
        <v>1400</v>
      </c>
      <c r="S1807" s="15">
        <v>0</v>
      </c>
      <c r="T1807" s="15">
        <v>0</v>
      </c>
      <c r="U1807" s="15">
        <v>1400</v>
      </c>
      <c r="V1807" s="15">
        <v>0</v>
      </c>
      <c r="W1807" s="15">
        <v>1400</v>
      </c>
      <c r="X1807" s="15">
        <v>0</v>
      </c>
      <c r="Y1807" s="16">
        <v>0</v>
      </c>
      <c r="Z1807" s="67" t="s">
        <v>26</v>
      </c>
      <c r="AA1807" s="12" t="s">
        <v>31</v>
      </c>
    </row>
    <row r="1808" spans="1:27" x14ac:dyDescent="0.25">
      <c r="A1808" s="10">
        <v>45685</v>
      </c>
      <c r="B1808" s="11" t="s">
        <v>3851</v>
      </c>
      <c r="C1808" s="11" t="s">
        <v>3852</v>
      </c>
      <c r="D1808" s="11" t="s">
        <v>26</v>
      </c>
      <c r="E1808" s="11" t="s">
        <v>534</v>
      </c>
      <c r="F1808" s="11" t="s">
        <v>26</v>
      </c>
      <c r="G1808" s="11">
        <v>916</v>
      </c>
      <c r="H1808" s="12" t="s">
        <v>163</v>
      </c>
      <c r="I1808" s="12" t="s">
        <v>27</v>
      </c>
      <c r="J1808" s="12" t="s">
        <v>42</v>
      </c>
      <c r="K1808" s="12" t="s">
        <v>43</v>
      </c>
      <c r="L1808" s="13">
        <v>41.92</v>
      </c>
      <c r="M1808" s="13">
        <v>25</v>
      </c>
      <c r="N1808" s="13">
        <v>1.6768000000000001</v>
      </c>
      <c r="O1808" s="13" t="s">
        <v>30</v>
      </c>
      <c r="P1808" s="13">
        <v>56</v>
      </c>
      <c r="Q1808" s="13">
        <v>0</v>
      </c>
      <c r="R1808" s="14">
        <v>1400</v>
      </c>
      <c r="S1808" s="15">
        <v>0</v>
      </c>
      <c r="T1808" s="15">
        <v>0</v>
      </c>
      <c r="U1808" s="15">
        <v>1400</v>
      </c>
      <c r="V1808" s="15">
        <v>0</v>
      </c>
      <c r="W1808" s="15">
        <v>1400</v>
      </c>
      <c r="X1808" s="15">
        <v>0</v>
      </c>
      <c r="Y1808" s="16">
        <v>0</v>
      </c>
      <c r="Z1808" s="67" t="s">
        <v>26</v>
      </c>
      <c r="AA1808" s="12" t="s">
        <v>31</v>
      </c>
    </row>
    <row r="1809" spans="1:27" x14ac:dyDescent="0.25">
      <c r="A1809" s="10">
        <v>45685</v>
      </c>
      <c r="B1809" s="11" t="s">
        <v>3853</v>
      </c>
      <c r="C1809" s="11" t="s">
        <v>3854</v>
      </c>
      <c r="D1809" s="11" t="s">
        <v>26</v>
      </c>
      <c r="E1809" s="11" t="s">
        <v>589</v>
      </c>
      <c r="F1809" s="11" t="s">
        <v>26</v>
      </c>
      <c r="G1809" s="11">
        <v>4599</v>
      </c>
      <c r="H1809" s="12" t="s">
        <v>4423</v>
      </c>
      <c r="I1809" s="12" t="s">
        <v>27</v>
      </c>
      <c r="J1809" s="12" t="s">
        <v>33</v>
      </c>
      <c r="K1809" s="12" t="s">
        <v>34</v>
      </c>
      <c r="L1809" s="13">
        <v>31.42</v>
      </c>
      <c r="M1809" s="13">
        <v>25</v>
      </c>
      <c r="N1809" s="13">
        <v>1.2567999999999999</v>
      </c>
      <c r="O1809" s="13">
        <v>45</v>
      </c>
      <c r="P1809" s="13" t="s">
        <v>30</v>
      </c>
      <c r="Q1809" s="13">
        <v>0</v>
      </c>
      <c r="R1809" s="15">
        <v>1413.9</v>
      </c>
      <c r="S1809" s="15">
        <v>0</v>
      </c>
      <c r="T1809" s="15">
        <v>0</v>
      </c>
      <c r="U1809" s="15">
        <v>1413.9</v>
      </c>
      <c r="V1809" s="15">
        <v>1413.9</v>
      </c>
      <c r="W1809" s="15">
        <v>0</v>
      </c>
      <c r="X1809" s="15">
        <v>0</v>
      </c>
      <c r="Y1809" s="16">
        <v>0</v>
      </c>
      <c r="Z1809" s="67" t="s">
        <v>26</v>
      </c>
      <c r="AA1809" s="12" t="s">
        <v>31</v>
      </c>
    </row>
    <row r="1810" spans="1:27" x14ac:dyDescent="0.25">
      <c r="A1810" s="10">
        <v>45685</v>
      </c>
      <c r="B1810" s="11" t="s">
        <v>3855</v>
      </c>
      <c r="C1810" s="11" t="s">
        <v>3856</v>
      </c>
      <c r="D1810" s="11" t="s">
        <v>26</v>
      </c>
      <c r="E1810" s="11" t="s">
        <v>597</v>
      </c>
      <c r="F1810" s="11" t="s">
        <v>26</v>
      </c>
      <c r="G1810" s="11">
        <v>3773</v>
      </c>
      <c r="H1810" s="12" t="s">
        <v>41</v>
      </c>
      <c r="I1810" s="12" t="s">
        <v>55</v>
      </c>
      <c r="J1810" s="12" t="s">
        <v>55</v>
      </c>
      <c r="K1810" s="12" t="s">
        <v>56</v>
      </c>
      <c r="L1810" s="13">
        <v>31.3</v>
      </c>
      <c r="M1810" s="13">
        <v>20</v>
      </c>
      <c r="N1810" s="13">
        <v>1.5649999999999999</v>
      </c>
      <c r="O1810" s="13" t="s">
        <v>30</v>
      </c>
      <c r="P1810" s="13">
        <v>24</v>
      </c>
      <c r="Q1810" s="13">
        <v>0</v>
      </c>
      <c r="R1810" s="15">
        <v>480</v>
      </c>
      <c r="S1810" s="15">
        <v>0</v>
      </c>
      <c r="T1810" s="15">
        <v>0</v>
      </c>
      <c r="U1810" s="15">
        <v>480</v>
      </c>
      <c r="V1810" s="15">
        <v>0</v>
      </c>
      <c r="W1810" s="15">
        <v>480</v>
      </c>
      <c r="X1810" s="15">
        <v>0</v>
      </c>
      <c r="Y1810" s="16">
        <v>0</v>
      </c>
      <c r="Z1810" s="67" t="s">
        <v>26</v>
      </c>
      <c r="AA1810" s="12" t="s">
        <v>31</v>
      </c>
    </row>
    <row r="1811" spans="1:27" x14ac:dyDescent="0.25">
      <c r="A1811" s="10">
        <v>45685</v>
      </c>
      <c r="B1811" s="11" t="s">
        <v>3857</v>
      </c>
      <c r="C1811" s="11" t="s">
        <v>3858</v>
      </c>
      <c r="D1811" s="11" t="s">
        <v>26</v>
      </c>
      <c r="E1811" s="11" t="s">
        <v>230</v>
      </c>
      <c r="F1811" s="11" t="s">
        <v>26</v>
      </c>
      <c r="G1811" s="11" t="s">
        <v>26</v>
      </c>
      <c r="H1811" s="12" t="s">
        <v>4422</v>
      </c>
      <c r="I1811" s="12" t="s">
        <v>27</v>
      </c>
      <c r="J1811" s="12" t="s">
        <v>33</v>
      </c>
      <c r="K1811" s="12" t="s">
        <v>34</v>
      </c>
      <c r="L1811" s="13">
        <v>44.8</v>
      </c>
      <c r="M1811" s="13">
        <v>30</v>
      </c>
      <c r="N1811" s="13">
        <v>1.493333333333333</v>
      </c>
      <c r="O1811" s="13">
        <v>85</v>
      </c>
      <c r="P1811" s="13" t="s">
        <v>30</v>
      </c>
      <c r="Q1811" s="13">
        <v>0</v>
      </c>
      <c r="R1811" s="14">
        <v>3807.9999999999995</v>
      </c>
      <c r="S1811" s="15">
        <v>38</v>
      </c>
      <c r="T1811" s="15">
        <v>1702.3999999999999</v>
      </c>
      <c r="U1811" s="15">
        <v>2105.5999999999995</v>
      </c>
      <c r="V1811" s="15">
        <v>2105.5999999999995</v>
      </c>
      <c r="W1811" s="15">
        <v>0</v>
      </c>
      <c r="X1811" s="15">
        <v>1612.8</v>
      </c>
      <c r="Y1811" s="16">
        <v>89.599999999999909</v>
      </c>
      <c r="Z1811" s="67" t="s">
        <v>565</v>
      </c>
      <c r="AA1811" s="12" t="s">
        <v>78</v>
      </c>
    </row>
    <row r="1812" spans="1:27" x14ac:dyDescent="0.25">
      <c r="A1812" s="10">
        <v>45685</v>
      </c>
      <c r="B1812" s="11" t="s">
        <v>3859</v>
      </c>
      <c r="C1812" s="11" t="s">
        <v>3860</v>
      </c>
      <c r="D1812" s="11" t="s">
        <v>26</v>
      </c>
      <c r="E1812" s="11" t="s">
        <v>593</v>
      </c>
      <c r="F1812" s="11" t="s">
        <v>26</v>
      </c>
      <c r="G1812" s="11">
        <v>44307</v>
      </c>
      <c r="H1812" s="12" t="s">
        <v>4423</v>
      </c>
      <c r="I1812" s="12" t="s">
        <v>27</v>
      </c>
      <c r="J1812" s="12" t="s">
        <v>47</v>
      </c>
      <c r="K1812" s="12" t="s">
        <v>48</v>
      </c>
      <c r="L1812" s="13">
        <v>34.4</v>
      </c>
      <c r="M1812" s="13">
        <v>25</v>
      </c>
      <c r="N1812" s="13">
        <v>1.3759999999999999</v>
      </c>
      <c r="O1812" s="13">
        <v>46</v>
      </c>
      <c r="P1812" s="13" t="s">
        <v>30</v>
      </c>
      <c r="Q1812" s="13">
        <v>0</v>
      </c>
      <c r="R1812" s="15">
        <v>1582.3999999999999</v>
      </c>
      <c r="S1812" s="15">
        <v>0</v>
      </c>
      <c r="T1812" s="15">
        <v>0</v>
      </c>
      <c r="U1812" s="15">
        <v>1582.3999999999999</v>
      </c>
      <c r="V1812" s="15">
        <v>1582.3999999999999</v>
      </c>
      <c r="W1812" s="15">
        <v>0</v>
      </c>
      <c r="X1812" s="15">
        <v>0</v>
      </c>
      <c r="Y1812" s="16">
        <v>0</v>
      </c>
      <c r="Z1812" s="67" t="s">
        <v>26</v>
      </c>
      <c r="AA1812" s="12" t="s">
        <v>31</v>
      </c>
    </row>
    <row r="1813" spans="1:27" x14ac:dyDescent="0.25">
      <c r="A1813" s="10">
        <v>45685</v>
      </c>
      <c r="B1813" s="11" t="s">
        <v>268</v>
      </c>
      <c r="C1813" s="11" t="s">
        <v>3861</v>
      </c>
      <c r="D1813" s="11" t="s">
        <v>26</v>
      </c>
      <c r="E1813" s="11" t="s">
        <v>53</v>
      </c>
      <c r="F1813" s="11" t="s">
        <v>26</v>
      </c>
      <c r="G1813" s="11">
        <v>3774</v>
      </c>
      <c r="H1813" s="12" t="s">
        <v>41</v>
      </c>
      <c r="I1813" s="12" t="s">
        <v>55</v>
      </c>
      <c r="J1813" s="12" t="s">
        <v>566</v>
      </c>
      <c r="K1813" s="12" t="s">
        <v>550</v>
      </c>
      <c r="L1813" s="13">
        <v>41.26</v>
      </c>
      <c r="M1813" s="13">
        <v>25</v>
      </c>
      <c r="N1813" s="13">
        <v>1.6504000000000001</v>
      </c>
      <c r="O1813" s="13">
        <v>25</v>
      </c>
      <c r="P1813" s="13"/>
      <c r="Q1813" s="13">
        <v>0</v>
      </c>
      <c r="R1813" s="14">
        <v>1031.5</v>
      </c>
      <c r="S1813" s="15">
        <v>0</v>
      </c>
      <c r="T1813" s="15">
        <v>0</v>
      </c>
      <c r="U1813" s="15">
        <v>1031.5</v>
      </c>
      <c r="V1813" s="15">
        <v>0</v>
      </c>
      <c r="W1813" s="15">
        <v>1031.5</v>
      </c>
      <c r="X1813" s="15">
        <v>0</v>
      </c>
      <c r="Y1813" s="16">
        <v>0</v>
      </c>
      <c r="Z1813" s="67" t="s">
        <v>26</v>
      </c>
      <c r="AA1813" s="12" t="s">
        <v>31</v>
      </c>
    </row>
    <row r="1814" spans="1:27" x14ac:dyDescent="0.25">
      <c r="A1814" s="10">
        <v>45685</v>
      </c>
      <c r="B1814" s="11" t="s">
        <v>1900</v>
      </c>
      <c r="C1814" s="11" t="s">
        <v>3862</v>
      </c>
      <c r="D1814" s="11" t="s">
        <v>26</v>
      </c>
      <c r="E1814" s="11" t="s">
        <v>75</v>
      </c>
      <c r="F1814" s="11" t="s">
        <v>26</v>
      </c>
      <c r="G1814" s="11">
        <v>42034</v>
      </c>
      <c r="H1814" s="12" t="s">
        <v>565</v>
      </c>
      <c r="I1814" s="12" t="s">
        <v>27</v>
      </c>
      <c r="J1814" s="12" t="s">
        <v>42</v>
      </c>
      <c r="K1814" s="12" t="s">
        <v>43</v>
      </c>
      <c r="L1814" s="13">
        <v>41.04</v>
      </c>
      <c r="M1814" s="13">
        <v>25</v>
      </c>
      <c r="N1814" s="13">
        <v>1.6415999999999999</v>
      </c>
      <c r="O1814" s="13"/>
      <c r="P1814" s="13">
        <v>64</v>
      </c>
      <c r="Q1814" s="13">
        <v>0</v>
      </c>
      <c r="R1814" s="14">
        <v>1600</v>
      </c>
      <c r="S1814" s="15">
        <v>0</v>
      </c>
      <c r="T1814" s="15">
        <v>0</v>
      </c>
      <c r="U1814" s="15">
        <v>1600</v>
      </c>
      <c r="V1814" s="15">
        <v>0</v>
      </c>
      <c r="W1814" s="15">
        <v>1600</v>
      </c>
      <c r="X1814" s="15">
        <v>0</v>
      </c>
      <c r="Y1814" s="16">
        <v>0</v>
      </c>
      <c r="Z1814" s="67" t="s">
        <v>26</v>
      </c>
      <c r="AA1814" s="12" t="s">
        <v>31</v>
      </c>
    </row>
    <row r="1815" spans="1:27" x14ac:dyDescent="0.25">
      <c r="A1815" s="10">
        <v>45685</v>
      </c>
      <c r="B1815" s="11" t="s">
        <v>1358</v>
      </c>
      <c r="C1815" s="11" t="s">
        <v>3863</v>
      </c>
      <c r="D1815" s="11" t="s">
        <v>26</v>
      </c>
      <c r="E1815" s="11" t="s">
        <v>552</v>
      </c>
      <c r="F1815" s="11" t="s">
        <v>26</v>
      </c>
      <c r="G1815" s="11">
        <v>69137</v>
      </c>
      <c r="H1815" s="12" t="s">
        <v>4423</v>
      </c>
      <c r="I1815" s="12" t="s">
        <v>27</v>
      </c>
      <c r="J1815" s="12" t="s">
        <v>42</v>
      </c>
      <c r="K1815" s="12" t="s">
        <v>43</v>
      </c>
      <c r="L1815" s="13">
        <v>34.5</v>
      </c>
      <c r="M1815" s="13">
        <v>25</v>
      </c>
      <c r="N1815" s="13">
        <v>1.38</v>
      </c>
      <c r="O1815" s="13">
        <v>42</v>
      </c>
      <c r="P1815" s="13" t="s">
        <v>30</v>
      </c>
      <c r="Q1815" s="13">
        <v>0</v>
      </c>
      <c r="R1815" s="14">
        <v>1449</v>
      </c>
      <c r="S1815" s="15">
        <v>0</v>
      </c>
      <c r="T1815" s="15">
        <v>0</v>
      </c>
      <c r="U1815" s="15">
        <v>1449</v>
      </c>
      <c r="V1815" s="15">
        <v>1449</v>
      </c>
      <c r="W1815" s="15">
        <v>0</v>
      </c>
      <c r="X1815" s="15">
        <v>0</v>
      </c>
      <c r="Y1815" s="16">
        <v>0</v>
      </c>
      <c r="Z1815" s="67" t="s">
        <v>26</v>
      </c>
      <c r="AA1815" s="12" t="s">
        <v>31</v>
      </c>
    </row>
    <row r="1816" spans="1:27" x14ac:dyDescent="0.25">
      <c r="A1816" s="10">
        <v>45685</v>
      </c>
      <c r="B1816" s="11" t="s">
        <v>3864</v>
      </c>
      <c r="C1816" s="11" t="s">
        <v>3865</v>
      </c>
      <c r="D1816" s="11" t="s">
        <v>26</v>
      </c>
      <c r="E1816" s="11" t="s">
        <v>561</v>
      </c>
      <c r="F1816" s="11" t="s">
        <v>26</v>
      </c>
      <c r="G1816" s="11">
        <v>112376</v>
      </c>
      <c r="H1816" s="12" t="s">
        <v>4446</v>
      </c>
      <c r="I1816" s="12" t="s">
        <v>27</v>
      </c>
      <c r="J1816" s="12" t="s">
        <v>33</v>
      </c>
      <c r="K1816" s="12" t="s">
        <v>34</v>
      </c>
      <c r="L1816" s="13">
        <v>36.08</v>
      </c>
      <c r="M1816" s="13">
        <v>25</v>
      </c>
      <c r="N1816" s="13">
        <v>1.4432</v>
      </c>
      <c r="O1816" s="13">
        <v>44</v>
      </c>
      <c r="P1816" s="13" t="s">
        <v>30</v>
      </c>
      <c r="Q1816" s="13">
        <v>0</v>
      </c>
      <c r="R1816" s="14">
        <v>1587.52</v>
      </c>
      <c r="S1816" s="15">
        <v>0</v>
      </c>
      <c r="T1816" s="15">
        <v>0</v>
      </c>
      <c r="U1816" s="15">
        <v>1587.52</v>
      </c>
      <c r="V1816" s="15">
        <v>1587.52</v>
      </c>
      <c r="W1816" s="15">
        <v>0</v>
      </c>
      <c r="X1816" s="15">
        <v>0</v>
      </c>
      <c r="Y1816" s="16">
        <v>0</v>
      </c>
      <c r="Z1816" s="67" t="s">
        <v>26</v>
      </c>
      <c r="AA1816" s="12" t="s">
        <v>31</v>
      </c>
    </row>
    <row r="1817" spans="1:27" x14ac:dyDescent="0.25">
      <c r="A1817" s="10">
        <v>45685</v>
      </c>
      <c r="B1817" s="11" t="s">
        <v>130</v>
      </c>
      <c r="C1817" s="11" t="s">
        <v>3866</v>
      </c>
      <c r="D1817" s="11" t="s">
        <v>26</v>
      </c>
      <c r="E1817" s="11" t="s">
        <v>182</v>
      </c>
      <c r="F1817" s="11" t="s">
        <v>26</v>
      </c>
      <c r="G1817" s="11">
        <v>2972</v>
      </c>
      <c r="H1817" s="12" t="s">
        <v>41</v>
      </c>
      <c r="I1817" s="12" t="s">
        <v>55</v>
      </c>
      <c r="J1817" s="12" t="s">
        <v>55</v>
      </c>
      <c r="K1817" s="12" t="s">
        <v>56</v>
      </c>
      <c r="L1817" s="13">
        <v>31.54</v>
      </c>
      <c r="M1817" s="13">
        <v>20</v>
      </c>
      <c r="N1817" s="13">
        <v>1.577</v>
      </c>
      <c r="O1817" s="13" t="s">
        <v>30</v>
      </c>
      <c r="P1817" s="13">
        <v>24</v>
      </c>
      <c r="Q1817" s="13">
        <v>0</v>
      </c>
      <c r="R1817" s="14">
        <v>480</v>
      </c>
      <c r="S1817" s="15">
        <v>0</v>
      </c>
      <c r="T1817" s="15">
        <v>0</v>
      </c>
      <c r="U1817" s="15">
        <v>480</v>
      </c>
      <c r="V1817" s="15">
        <v>0</v>
      </c>
      <c r="W1817" s="15">
        <v>480</v>
      </c>
      <c r="X1817" s="15">
        <v>0</v>
      </c>
      <c r="Y1817" s="16">
        <v>0</v>
      </c>
      <c r="Z1817" s="67" t="s">
        <v>26</v>
      </c>
      <c r="AA1817" s="12" t="s">
        <v>31</v>
      </c>
    </row>
    <row r="1818" spans="1:27" x14ac:dyDescent="0.25">
      <c r="A1818" s="10">
        <v>45685</v>
      </c>
      <c r="B1818" s="11" t="s">
        <v>3867</v>
      </c>
      <c r="C1818" s="11" t="s">
        <v>3868</v>
      </c>
      <c r="D1818" s="11" t="s">
        <v>26</v>
      </c>
      <c r="E1818" s="11" t="s">
        <v>544</v>
      </c>
      <c r="F1818" s="11" t="s">
        <v>26</v>
      </c>
      <c r="G1818" s="11">
        <v>70173</v>
      </c>
      <c r="H1818" s="12" t="s">
        <v>4448</v>
      </c>
      <c r="I1818" s="12" t="s">
        <v>27</v>
      </c>
      <c r="J1818" s="12" t="s">
        <v>42</v>
      </c>
      <c r="K1818" s="12" t="s">
        <v>43</v>
      </c>
      <c r="L1818" s="13">
        <v>43.24</v>
      </c>
      <c r="M1818" s="13">
        <v>25</v>
      </c>
      <c r="N1818" s="13">
        <v>1.7296</v>
      </c>
      <c r="O1818" s="13">
        <v>42.5</v>
      </c>
      <c r="P1818" s="13" t="s">
        <v>30</v>
      </c>
      <c r="Q1818" s="13">
        <v>0</v>
      </c>
      <c r="R1818" s="15">
        <v>1837.7</v>
      </c>
      <c r="S1818" s="15">
        <v>0</v>
      </c>
      <c r="T1818" s="15">
        <v>0</v>
      </c>
      <c r="U1818" s="15">
        <v>1837.7</v>
      </c>
      <c r="V1818" s="15">
        <v>1378.2750000000001</v>
      </c>
      <c r="W1818" s="15">
        <v>459.42499999999995</v>
      </c>
      <c r="X1818" s="15">
        <v>0</v>
      </c>
      <c r="Y1818" s="16">
        <v>0</v>
      </c>
      <c r="Z1818" s="67" t="s">
        <v>26</v>
      </c>
      <c r="AA1818" s="12" t="s">
        <v>31</v>
      </c>
    </row>
    <row r="1819" spans="1:27" x14ac:dyDescent="0.25">
      <c r="A1819" s="10">
        <v>45685</v>
      </c>
      <c r="B1819" s="11" t="s">
        <v>668</v>
      </c>
      <c r="C1819" s="11" t="s">
        <v>3869</v>
      </c>
      <c r="D1819" s="11" t="s">
        <v>26</v>
      </c>
      <c r="E1819" s="11" t="s">
        <v>539</v>
      </c>
      <c r="F1819" s="11" t="s">
        <v>26</v>
      </c>
      <c r="G1819" s="11">
        <v>3832</v>
      </c>
      <c r="H1819" s="12" t="s">
        <v>41</v>
      </c>
      <c r="I1819" s="12" t="s">
        <v>55</v>
      </c>
      <c r="J1819" s="12" t="s">
        <v>55</v>
      </c>
      <c r="K1819" s="12" t="s">
        <v>56</v>
      </c>
      <c r="L1819" s="13">
        <v>36.619999999999997</v>
      </c>
      <c r="M1819" s="13">
        <v>25</v>
      </c>
      <c r="N1819" s="13">
        <v>1.4648000000000001</v>
      </c>
      <c r="O1819" s="13" t="s">
        <v>30</v>
      </c>
      <c r="P1819" s="13">
        <v>24</v>
      </c>
      <c r="Q1819" s="13">
        <v>0</v>
      </c>
      <c r="R1819" s="14">
        <v>600</v>
      </c>
      <c r="S1819" s="15">
        <v>0</v>
      </c>
      <c r="T1819" s="15">
        <v>0</v>
      </c>
      <c r="U1819" s="15">
        <v>600</v>
      </c>
      <c r="V1819" s="15">
        <v>0</v>
      </c>
      <c r="W1819" s="15">
        <v>600</v>
      </c>
      <c r="X1819" s="15">
        <v>0</v>
      </c>
      <c r="Y1819" s="16">
        <v>0</v>
      </c>
      <c r="Z1819" s="67" t="s">
        <v>26</v>
      </c>
      <c r="AA1819" s="12" t="s">
        <v>31</v>
      </c>
    </row>
    <row r="1820" spans="1:27" x14ac:dyDescent="0.25">
      <c r="A1820" s="10">
        <v>45685</v>
      </c>
      <c r="B1820" s="11" t="s">
        <v>3870</v>
      </c>
      <c r="C1820" s="11" t="s">
        <v>3871</v>
      </c>
      <c r="D1820" s="11" t="s">
        <v>26</v>
      </c>
      <c r="E1820" s="11" t="s">
        <v>440</v>
      </c>
      <c r="F1820" s="11" t="s">
        <v>26</v>
      </c>
      <c r="G1820" s="11" t="s">
        <v>35</v>
      </c>
      <c r="H1820" s="12" t="s">
        <v>36</v>
      </c>
      <c r="I1820" s="12" t="s">
        <v>55</v>
      </c>
      <c r="J1820" s="12" t="s">
        <v>55</v>
      </c>
      <c r="K1820" s="12" t="s">
        <v>56</v>
      </c>
      <c r="L1820" s="13">
        <v>31.76</v>
      </c>
      <c r="M1820" s="13">
        <v>20</v>
      </c>
      <c r="N1820" s="13">
        <v>1.5880000000000001</v>
      </c>
      <c r="O1820" s="13">
        <v>20</v>
      </c>
      <c r="P1820" s="13" t="s">
        <v>30</v>
      </c>
      <c r="Q1820" s="13">
        <v>0</v>
      </c>
      <c r="R1820" s="14">
        <v>635.20000000000005</v>
      </c>
      <c r="S1820" s="15">
        <v>0</v>
      </c>
      <c r="T1820" s="15">
        <v>0</v>
      </c>
      <c r="U1820" s="15">
        <v>635.20000000000005</v>
      </c>
      <c r="V1820" s="15">
        <v>0</v>
      </c>
      <c r="W1820" s="15">
        <v>635.20000000000005</v>
      </c>
      <c r="X1820" s="15">
        <v>0</v>
      </c>
      <c r="Y1820" s="16">
        <v>0</v>
      </c>
      <c r="Z1820" s="67" t="s">
        <v>26</v>
      </c>
      <c r="AA1820" s="12" t="s">
        <v>31</v>
      </c>
    </row>
    <row r="1821" spans="1:27" x14ac:dyDescent="0.25">
      <c r="A1821" s="10">
        <v>45685</v>
      </c>
      <c r="B1821" s="11" t="s">
        <v>3872</v>
      </c>
      <c r="C1821" s="11" t="s">
        <v>3873</v>
      </c>
      <c r="D1821" s="11" t="s">
        <v>26</v>
      </c>
      <c r="E1821" s="11" t="s">
        <v>68</v>
      </c>
      <c r="F1821" s="11" t="s">
        <v>26</v>
      </c>
      <c r="G1821" s="11">
        <v>1541</v>
      </c>
      <c r="H1821" s="12" t="s">
        <v>45</v>
      </c>
      <c r="I1821" s="12" t="s">
        <v>27</v>
      </c>
      <c r="J1821" s="12" t="s">
        <v>33</v>
      </c>
      <c r="K1821" s="12" t="s">
        <v>34</v>
      </c>
      <c r="L1821" s="13">
        <v>38.380000000000003</v>
      </c>
      <c r="M1821" s="13">
        <v>25</v>
      </c>
      <c r="N1821" s="13">
        <v>1.5351999999999999</v>
      </c>
      <c r="O1821" s="13" t="s">
        <v>30</v>
      </c>
      <c r="P1821" s="13">
        <v>58</v>
      </c>
      <c r="Q1821" s="13">
        <v>0</v>
      </c>
      <c r="R1821" s="14">
        <v>1450</v>
      </c>
      <c r="S1821" s="15">
        <v>0</v>
      </c>
      <c r="T1821" s="15">
        <v>0</v>
      </c>
      <c r="U1821" s="15">
        <v>1450</v>
      </c>
      <c r="V1821" s="15">
        <v>0</v>
      </c>
      <c r="W1821" s="15">
        <v>1450</v>
      </c>
      <c r="X1821" s="15">
        <v>0</v>
      </c>
      <c r="Y1821" s="16">
        <v>0</v>
      </c>
      <c r="Z1821" s="67" t="s">
        <v>26</v>
      </c>
      <c r="AA1821" s="12" t="s">
        <v>31</v>
      </c>
    </row>
    <row r="1822" spans="1:27" x14ac:dyDescent="0.25">
      <c r="A1822" s="10">
        <v>45685</v>
      </c>
      <c r="B1822" s="11" t="s">
        <v>3874</v>
      </c>
      <c r="C1822" s="11" t="s">
        <v>3875</v>
      </c>
      <c r="D1822" s="11" t="s">
        <v>26</v>
      </c>
      <c r="E1822" s="11" t="s">
        <v>576</v>
      </c>
      <c r="F1822" s="11" t="s">
        <v>26</v>
      </c>
      <c r="G1822" s="11" t="s">
        <v>26</v>
      </c>
      <c r="H1822" s="12" t="s">
        <v>4424</v>
      </c>
      <c r="I1822" s="12" t="s">
        <v>27</v>
      </c>
      <c r="J1822" s="12" t="s">
        <v>47</v>
      </c>
      <c r="K1822" s="12" t="s">
        <v>48</v>
      </c>
      <c r="L1822" s="13">
        <v>13.78</v>
      </c>
      <c r="M1822" s="13">
        <v>10</v>
      </c>
      <c r="N1822" s="13">
        <v>1.3779999999999999</v>
      </c>
      <c r="O1822" s="13">
        <v>90</v>
      </c>
      <c r="P1822" s="13" t="s">
        <v>30</v>
      </c>
      <c r="Q1822" s="13">
        <v>0</v>
      </c>
      <c r="R1822" s="15">
        <v>1240.2</v>
      </c>
      <c r="S1822" s="15">
        <v>40</v>
      </c>
      <c r="T1822" s="15">
        <v>551.19999999999993</v>
      </c>
      <c r="U1822" s="15">
        <v>689.00000000000011</v>
      </c>
      <c r="V1822" s="15">
        <v>689.00000000000011</v>
      </c>
      <c r="W1822" s="15">
        <v>0</v>
      </c>
      <c r="X1822" s="15">
        <v>620.1</v>
      </c>
      <c r="Y1822" s="16">
        <v>-68.900000000000091</v>
      </c>
      <c r="Z1822" s="67" t="s">
        <v>565</v>
      </c>
      <c r="AA1822" s="12" t="s">
        <v>3876</v>
      </c>
    </row>
    <row r="1823" spans="1:27" x14ac:dyDescent="0.25">
      <c r="A1823" s="10">
        <v>45685</v>
      </c>
      <c r="B1823" s="11" t="s">
        <v>637</v>
      </c>
      <c r="C1823" s="11" t="s">
        <v>3877</v>
      </c>
      <c r="D1823" s="11" t="s">
        <v>26</v>
      </c>
      <c r="E1823" s="11" t="s">
        <v>91</v>
      </c>
      <c r="F1823" s="11" t="s">
        <v>26</v>
      </c>
      <c r="G1823" s="11">
        <v>2464</v>
      </c>
      <c r="H1823" s="12" t="s">
        <v>41</v>
      </c>
      <c r="I1823" s="12" t="s">
        <v>55</v>
      </c>
      <c r="J1823" s="12" t="s">
        <v>55</v>
      </c>
      <c r="K1823" s="12" t="s">
        <v>56</v>
      </c>
      <c r="L1823" s="13">
        <v>32.22</v>
      </c>
      <c r="M1823" s="13">
        <v>20</v>
      </c>
      <c r="N1823" s="13">
        <v>1.611</v>
      </c>
      <c r="O1823" s="13" t="s">
        <v>30</v>
      </c>
      <c r="P1823" s="13">
        <v>24</v>
      </c>
      <c r="Q1823" s="13">
        <v>0</v>
      </c>
      <c r="R1823" s="14">
        <v>480</v>
      </c>
      <c r="S1823" s="15">
        <v>0</v>
      </c>
      <c r="T1823" s="15">
        <v>0</v>
      </c>
      <c r="U1823" s="15">
        <v>480</v>
      </c>
      <c r="V1823" s="15">
        <v>0</v>
      </c>
      <c r="W1823" s="15">
        <v>480</v>
      </c>
      <c r="X1823" s="15">
        <v>0</v>
      </c>
      <c r="Y1823" s="16">
        <v>0</v>
      </c>
      <c r="Z1823" s="67" t="s">
        <v>26</v>
      </c>
      <c r="AA1823" s="12" t="s">
        <v>31</v>
      </c>
    </row>
    <row r="1824" spans="1:27" x14ac:dyDescent="0.25">
      <c r="A1824" s="10">
        <v>45685</v>
      </c>
      <c r="B1824" s="11" t="s">
        <v>3878</v>
      </c>
      <c r="C1824" s="11" t="s">
        <v>3879</v>
      </c>
      <c r="D1824" s="11" t="s">
        <v>26</v>
      </c>
      <c r="E1824" s="11" t="s">
        <v>444</v>
      </c>
      <c r="F1824" s="11" t="s">
        <v>26</v>
      </c>
      <c r="G1824" s="11">
        <v>2101</v>
      </c>
      <c r="H1824" s="12" t="s">
        <v>4449</v>
      </c>
      <c r="I1824" s="12" t="s">
        <v>55</v>
      </c>
      <c r="J1824" s="12" t="s">
        <v>55</v>
      </c>
      <c r="K1824" s="12" t="s">
        <v>56</v>
      </c>
      <c r="L1824" s="13">
        <v>33.840000000000003</v>
      </c>
      <c r="M1824" s="13">
        <v>22</v>
      </c>
      <c r="N1824" s="13">
        <v>1.5381818181818181</v>
      </c>
      <c r="O1824" s="13">
        <v>15</v>
      </c>
      <c r="P1824" s="13" t="s">
        <v>30</v>
      </c>
      <c r="Q1824" s="13">
        <v>0</v>
      </c>
      <c r="R1824" s="14">
        <v>507.6</v>
      </c>
      <c r="S1824" s="15">
        <v>0</v>
      </c>
      <c r="T1824" s="15">
        <v>0</v>
      </c>
      <c r="U1824" s="15">
        <v>507.6</v>
      </c>
      <c r="V1824" s="15">
        <v>507.6</v>
      </c>
      <c r="W1824" s="15">
        <v>0</v>
      </c>
      <c r="X1824" s="15">
        <v>0</v>
      </c>
      <c r="Y1824" s="16">
        <v>0</v>
      </c>
      <c r="Z1824" s="67" t="s">
        <v>26</v>
      </c>
      <c r="AA1824" s="12" t="s">
        <v>31</v>
      </c>
    </row>
    <row r="1825" spans="1:27" x14ac:dyDescent="0.25">
      <c r="A1825" s="10">
        <v>45685</v>
      </c>
      <c r="B1825" s="11" t="s">
        <v>620</v>
      </c>
      <c r="C1825" s="11" t="s">
        <v>3880</v>
      </c>
      <c r="D1825" s="11" t="s">
        <v>26</v>
      </c>
      <c r="E1825" s="11" t="s">
        <v>57</v>
      </c>
      <c r="F1825" s="11" t="s">
        <v>26</v>
      </c>
      <c r="G1825" s="11">
        <v>3662</v>
      </c>
      <c r="H1825" s="12" t="s">
        <v>41</v>
      </c>
      <c r="I1825" s="12" t="s">
        <v>55</v>
      </c>
      <c r="J1825" s="12" t="s">
        <v>566</v>
      </c>
      <c r="K1825" s="12" t="s">
        <v>550</v>
      </c>
      <c r="L1825" s="13">
        <v>44.08</v>
      </c>
      <c r="M1825" s="13">
        <v>25</v>
      </c>
      <c r="N1825" s="13">
        <v>1.7632000000000001</v>
      </c>
      <c r="O1825" s="13">
        <v>25</v>
      </c>
      <c r="P1825" s="13"/>
      <c r="Q1825" s="13">
        <v>0</v>
      </c>
      <c r="R1825" s="14">
        <v>1102</v>
      </c>
      <c r="S1825" s="15">
        <v>0</v>
      </c>
      <c r="T1825" s="15">
        <v>0</v>
      </c>
      <c r="U1825" s="15">
        <v>1102</v>
      </c>
      <c r="V1825" s="15">
        <v>0</v>
      </c>
      <c r="W1825" s="15">
        <v>1102</v>
      </c>
      <c r="X1825" s="15">
        <v>0</v>
      </c>
      <c r="Y1825" s="16">
        <v>0</v>
      </c>
      <c r="Z1825" s="67" t="s">
        <v>26</v>
      </c>
      <c r="AA1825" s="12" t="s">
        <v>31</v>
      </c>
    </row>
    <row r="1826" spans="1:27" x14ac:dyDescent="0.25">
      <c r="A1826" s="10">
        <v>45685</v>
      </c>
      <c r="B1826" s="11" t="s">
        <v>669</v>
      </c>
      <c r="C1826" s="11" t="s">
        <v>3881</v>
      </c>
      <c r="D1826" s="11" t="s">
        <v>26</v>
      </c>
      <c r="E1826" s="11" t="s">
        <v>105</v>
      </c>
      <c r="F1826" s="11" t="s">
        <v>26</v>
      </c>
      <c r="G1826" s="11">
        <v>2609</v>
      </c>
      <c r="H1826" s="12" t="s">
        <v>41</v>
      </c>
      <c r="I1826" s="12" t="s">
        <v>55</v>
      </c>
      <c r="J1826" s="12" t="s">
        <v>55</v>
      </c>
      <c r="K1826" s="12" t="s">
        <v>56</v>
      </c>
      <c r="L1826" s="13">
        <v>31.86</v>
      </c>
      <c r="M1826" s="13">
        <v>20</v>
      </c>
      <c r="N1826" s="13">
        <v>1.593</v>
      </c>
      <c r="O1826" s="13" t="s">
        <v>30</v>
      </c>
      <c r="P1826" s="13">
        <v>24</v>
      </c>
      <c r="Q1826" s="13">
        <v>0</v>
      </c>
      <c r="R1826" s="14">
        <v>480</v>
      </c>
      <c r="S1826" s="15">
        <v>0</v>
      </c>
      <c r="T1826" s="15">
        <v>0</v>
      </c>
      <c r="U1826" s="15">
        <v>480</v>
      </c>
      <c r="V1826" s="15">
        <v>0</v>
      </c>
      <c r="W1826" s="15">
        <v>480</v>
      </c>
      <c r="X1826" s="15">
        <v>0</v>
      </c>
      <c r="Y1826" s="16">
        <v>0</v>
      </c>
      <c r="Z1826" s="67" t="s">
        <v>26</v>
      </c>
      <c r="AA1826" s="12" t="s">
        <v>31</v>
      </c>
    </row>
    <row r="1827" spans="1:27" x14ac:dyDescent="0.25">
      <c r="A1827" s="10">
        <v>45685</v>
      </c>
      <c r="B1827" s="11" t="s">
        <v>710</v>
      </c>
      <c r="C1827" s="11" t="s">
        <v>3882</v>
      </c>
      <c r="D1827" s="11" t="s">
        <v>26</v>
      </c>
      <c r="E1827" s="11" t="s">
        <v>3834</v>
      </c>
      <c r="F1827" s="11" t="s">
        <v>26</v>
      </c>
      <c r="G1827" s="11">
        <v>2610</v>
      </c>
      <c r="H1827" s="12" t="s">
        <v>41</v>
      </c>
      <c r="I1827" s="12" t="s">
        <v>55</v>
      </c>
      <c r="J1827" s="12" t="s">
        <v>55</v>
      </c>
      <c r="K1827" s="12" t="s">
        <v>56</v>
      </c>
      <c r="L1827" s="13">
        <v>32.6</v>
      </c>
      <c r="M1827" s="13">
        <v>20</v>
      </c>
      <c r="N1827" s="13">
        <v>1.63</v>
      </c>
      <c r="O1827" s="13" t="s">
        <v>30</v>
      </c>
      <c r="P1827" s="13">
        <v>24</v>
      </c>
      <c r="Q1827" s="13">
        <v>0</v>
      </c>
      <c r="R1827" s="14">
        <v>480</v>
      </c>
      <c r="S1827" s="15">
        <v>0</v>
      </c>
      <c r="T1827" s="15">
        <v>0</v>
      </c>
      <c r="U1827" s="15">
        <v>480</v>
      </c>
      <c r="V1827" s="15">
        <v>0</v>
      </c>
      <c r="W1827" s="15">
        <v>480</v>
      </c>
      <c r="X1827" s="15">
        <v>0</v>
      </c>
      <c r="Y1827" s="16">
        <v>0</v>
      </c>
      <c r="Z1827" s="67" t="s">
        <v>26</v>
      </c>
      <c r="AA1827" s="12" t="s">
        <v>31</v>
      </c>
    </row>
    <row r="1828" spans="1:27" x14ac:dyDescent="0.25">
      <c r="A1828" s="10">
        <v>45685</v>
      </c>
      <c r="B1828" s="11" t="s">
        <v>3883</v>
      </c>
      <c r="C1828" s="11" t="s">
        <v>3884</v>
      </c>
      <c r="D1828" s="11" t="s">
        <v>26</v>
      </c>
      <c r="E1828" s="11" t="s">
        <v>63</v>
      </c>
      <c r="F1828" s="11" t="s">
        <v>26</v>
      </c>
      <c r="G1828" s="11">
        <v>10172</v>
      </c>
      <c r="H1828" s="12" t="s">
        <v>140</v>
      </c>
      <c r="I1828" s="12" t="s">
        <v>55</v>
      </c>
      <c r="J1828" s="12" t="s">
        <v>55</v>
      </c>
      <c r="K1828" s="12" t="s">
        <v>56</v>
      </c>
      <c r="L1828" s="13">
        <v>37.46</v>
      </c>
      <c r="M1828" s="13">
        <v>25</v>
      </c>
      <c r="N1828" s="13">
        <v>1.4984</v>
      </c>
      <c r="O1828" s="13">
        <v>15</v>
      </c>
      <c r="P1828" s="13"/>
      <c r="Q1828" s="13">
        <v>0</v>
      </c>
      <c r="R1828" s="14">
        <v>561.9</v>
      </c>
      <c r="S1828" s="15">
        <v>0</v>
      </c>
      <c r="T1828" s="15">
        <v>0</v>
      </c>
      <c r="U1828" s="15">
        <v>561.9</v>
      </c>
      <c r="V1828" s="15">
        <v>0</v>
      </c>
      <c r="W1828" s="15">
        <v>561.9</v>
      </c>
      <c r="X1828" s="15">
        <v>0</v>
      </c>
      <c r="Y1828" s="16">
        <v>0</v>
      </c>
      <c r="Z1828" s="67" t="s">
        <v>26</v>
      </c>
      <c r="AA1828" s="12" t="s">
        <v>31</v>
      </c>
    </row>
    <row r="1829" spans="1:27" x14ac:dyDescent="0.25">
      <c r="A1829" s="10">
        <v>45685</v>
      </c>
      <c r="B1829" s="11" t="s">
        <v>124</v>
      </c>
      <c r="C1829" s="11" t="s">
        <v>3885</v>
      </c>
      <c r="D1829" s="11" t="s">
        <v>26</v>
      </c>
      <c r="E1829" s="11" t="s">
        <v>40</v>
      </c>
      <c r="F1829" s="11" t="s">
        <v>26</v>
      </c>
      <c r="G1829" s="11">
        <v>3720</v>
      </c>
      <c r="H1829" s="12" t="s">
        <v>41</v>
      </c>
      <c r="I1829" s="12" t="s">
        <v>55</v>
      </c>
      <c r="J1829" s="12" t="s">
        <v>55</v>
      </c>
      <c r="K1829" s="12" t="s">
        <v>56</v>
      </c>
      <c r="L1829" s="13">
        <v>38.159999999999997</v>
      </c>
      <c r="M1829" s="13">
        <v>25</v>
      </c>
      <c r="N1829" s="13">
        <v>1.5264</v>
      </c>
      <c r="O1829" s="13" t="s">
        <v>30</v>
      </c>
      <c r="P1829" s="13">
        <v>24</v>
      </c>
      <c r="Q1829" s="13">
        <v>0</v>
      </c>
      <c r="R1829" s="15">
        <v>600</v>
      </c>
      <c r="S1829" s="15">
        <v>0</v>
      </c>
      <c r="T1829" s="15">
        <v>0</v>
      </c>
      <c r="U1829" s="15">
        <v>600</v>
      </c>
      <c r="V1829" s="15">
        <v>0</v>
      </c>
      <c r="W1829" s="15">
        <v>600</v>
      </c>
      <c r="X1829" s="15">
        <v>0</v>
      </c>
      <c r="Y1829" s="16">
        <v>0</v>
      </c>
      <c r="Z1829" s="67" t="s">
        <v>26</v>
      </c>
      <c r="AA1829" s="12" t="s">
        <v>31</v>
      </c>
    </row>
    <row r="1830" spans="1:27" x14ac:dyDescent="0.25">
      <c r="A1830" s="10">
        <v>45685</v>
      </c>
      <c r="B1830" s="11" t="s">
        <v>291</v>
      </c>
      <c r="C1830" s="11" t="s">
        <v>3886</v>
      </c>
      <c r="D1830" s="11" t="s">
        <v>26</v>
      </c>
      <c r="E1830" s="11" t="s">
        <v>77</v>
      </c>
      <c r="F1830" s="11" t="s">
        <v>26</v>
      </c>
      <c r="G1830" s="11">
        <v>2404</v>
      </c>
      <c r="H1830" s="12" t="s">
        <v>4449</v>
      </c>
      <c r="I1830" s="12" t="s">
        <v>55</v>
      </c>
      <c r="J1830" s="12" t="s">
        <v>55</v>
      </c>
      <c r="K1830" s="12" t="s">
        <v>56</v>
      </c>
      <c r="L1830" s="13">
        <v>37.94</v>
      </c>
      <c r="M1830" s="13">
        <v>25</v>
      </c>
      <c r="N1830" s="13">
        <v>1.5176000000000001</v>
      </c>
      <c r="O1830" s="13">
        <v>15</v>
      </c>
      <c r="P1830" s="13" t="s">
        <v>30</v>
      </c>
      <c r="Q1830" s="13">
        <v>0</v>
      </c>
      <c r="R1830" s="14">
        <v>569.09999999999991</v>
      </c>
      <c r="S1830" s="15">
        <v>0</v>
      </c>
      <c r="T1830" s="15">
        <v>0</v>
      </c>
      <c r="U1830" s="15">
        <v>569.09999999999991</v>
      </c>
      <c r="V1830" s="15">
        <v>569.09999999999991</v>
      </c>
      <c r="W1830" s="15">
        <v>0</v>
      </c>
      <c r="X1830" s="15">
        <v>0</v>
      </c>
      <c r="Y1830" s="16">
        <v>0</v>
      </c>
      <c r="Z1830" s="67" t="s">
        <v>26</v>
      </c>
      <c r="AA1830" s="12" t="s">
        <v>31</v>
      </c>
    </row>
    <row r="1831" spans="1:27" x14ac:dyDescent="0.25">
      <c r="A1831" s="10">
        <v>45685</v>
      </c>
      <c r="B1831" s="11" t="s">
        <v>3887</v>
      </c>
      <c r="C1831" s="11" t="s">
        <v>3888</v>
      </c>
      <c r="D1831" s="11" t="s">
        <v>26</v>
      </c>
      <c r="E1831" s="11" t="s">
        <v>246</v>
      </c>
      <c r="F1831" s="11" t="s">
        <v>26</v>
      </c>
      <c r="G1831" s="11">
        <v>2973</v>
      </c>
      <c r="H1831" s="12" t="s">
        <v>41</v>
      </c>
      <c r="I1831" s="12" t="s">
        <v>27</v>
      </c>
      <c r="J1831" s="12" t="s">
        <v>33</v>
      </c>
      <c r="K1831" s="12" t="s">
        <v>34</v>
      </c>
      <c r="L1831" s="13">
        <v>38.74</v>
      </c>
      <c r="M1831" s="13">
        <v>25</v>
      </c>
      <c r="N1831" s="13">
        <v>1.5496000000000001</v>
      </c>
      <c r="O1831" s="13" t="s">
        <v>30</v>
      </c>
      <c r="P1831" s="13">
        <v>60</v>
      </c>
      <c r="Q1831" s="13">
        <v>0</v>
      </c>
      <c r="R1831" s="14">
        <v>1500</v>
      </c>
      <c r="S1831" s="15">
        <v>0</v>
      </c>
      <c r="T1831" s="15">
        <v>0</v>
      </c>
      <c r="U1831" s="15">
        <v>1500</v>
      </c>
      <c r="V1831" s="15">
        <v>0</v>
      </c>
      <c r="W1831" s="15">
        <v>1500</v>
      </c>
      <c r="X1831" s="15">
        <v>0</v>
      </c>
      <c r="Y1831" s="16">
        <v>0</v>
      </c>
      <c r="Z1831" s="67" t="s">
        <v>26</v>
      </c>
      <c r="AA1831" s="12" t="s">
        <v>31</v>
      </c>
    </row>
    <row r="1832" spans="1:27" x14ac:dyDescent="0.25">
      <c r="A1832" s="10">
        <v>45685</v>
      </c>
      <c r="B1832" s="11" t="s">
        <v>3889</v>
      </c>
      <c r="C1832" s="11" t="s">
        <v>3890</v>
      </c>
      <c r="D1832" s="11" t="s">
        <v>26</v>
      </c>
      <c r="E1832" s="11" t="s">
        <v>1200</v>
      </c>
      <c r="F1832" s="11" t="s">
        <v>26</v>
      </c>
      <c r="G1832" s="11">
        <v>2565</v>
      </c>
      <c r="H1832" s="12" t="s">
        <v>163</v>
      </c>
      <c r="I1832" s="12" t="s">
        <v>27</v>
      </c>
      <c r="J1832" s="12" t="s">
        <v>47</v>
      </c>
      <c r="K1832" s="12" t="s">
        <v>48</v>
      </c>
      <c r="L1832" s="13">
        <v>38.06</v>
      </c>
      <c r="M1832" s="13">
        <v>25</v>
      </c>
      <c r="N1832" s="13">
        <v>1.5224</v>
      </c>
      <c r="O1832" s="13" t="s">
        <v>30</v>
      </c>
      <c r="P1832" s="13">
        <v>58</v>
      </c>
      <c r="Q1832" s="13">
        <v>0</v>
      </c>
      <c r="R1832" s="14">
        <v>1450</v>
      </c>
      <c r="S1832" s="15">
        <v>0</v>
      </c>
      <c r="T1832" s="15">
        <v>0</v>
      </c>
      <c r="U1832" s="15">
        <v>1450</v>
      </c>
      <c r="V1832" s="15">
        <v>0</v>
      </c>
      <c r="W1832" s="15">
        <v>1450</v>
      </c>
      <c r="X1832" s="15">
        <v>0</v>
      </c>
      <c r="Y1832" s="16">
        <v>0</v>
      </c>
      <c r="Z1832" s="67" t="s">
        <v>26</v>
      </c>
      <c r="AA1832" s="12" t="s">
        <v>31</v>
      </c>
    </row>
    <row r="1833" spans="1:27" x14ac:dyDescent="0.25">
      <c r="A1833" s="10">
        <v>45685</v>
      </c>
      <c r="B1833" s="11" t="s">
        <v>3891</v>
      </c>
      <c r="C1833" s="11" t="s">
        <v>3892</v>
      </c>
      <c r="D1833" s="11" t="s">
        <v>26</v>
      </c>
      <c r="E1833" s="11" t="s">
        <v>240</v>
      </c>
      <c r="F1833" s="11" t="s">
        <v>26</v>
      </c>
      <c r="G1833" s="11" t="s">
        <v>26</v>
      </c>
      <c r="H1833" s="12" t="s">
        <v>146</v>
      </c>
      <c r="I1833" s="12" t="s">
        <v>27</v>
      </c>
      <c r="J1833" s="12" t="s">
        <v>33</v>
      </c>
      <c r="K1833" s="12" t="s">
        <v>34</v>
      </c>
      <c r="L1833" s="13">
        <v>44.2</v>
      </c>
      <c r="M1833" s="13">
        <v>30</v>
      </c>
      <c r="N1833" s="13">
        <v>1.4733333333333329</v>
      </c>
      <c r="O1833" s="13">
        <v>91</v>
      </c>
      <c r="P1833" s="13" t="s">
        <v>30</v>
      </c>
      <c r="Q1833" s="13">
        <v>0</v>
      </c>
      <c r="R1833" s="15">
        <v>4022.2000000000003</v>
      </c>
      <c r="S1833" s="15">
        <v>40</v>
      </c>
      <c r="T1833" s="15">
        <v>1768</v>
      </c>
      <c r="U1833" s="15">
        <v>2254.2000000000003</v>
      </c>
      <c r="V1833" s="15">
        <v>2254.2000000000003</v>
      </c>
      <c r="W1833" s="15">
        <v>0</v>
      </c>
      <c r="X1833" s="15">
        <v>1635.4</v>
      </c>
      <c r="Y1833" s="16">
        <v>132.59999999999991</v>
      </c>
      <c r="Z1833" s="67" t="s">
        <v>41</v>
      </c>
      <c r="AA1833" s="12" t="s">
        <v>79</v>
      </c>
    </row>
    <row r="1834" spans="1:27" x14ac:dyDescent="0.25">
      <c r="A1834" s="10">
        <v>45685</v>
      </c>
      <c r="B1834" s="11" t="s">
        <v>3893</v>
      </c>
      <c r="C1834" s="11" t="s">
        <v>3894</v>
      </c>
      <c r="D1834" s="11" t="s">
        <v>26</v>
      </c>
      <c r="E1834" s="11" t="s">
        <v>654</v>
      </c>
      <c r="F1834" s="11" t="s">
        <v>26</v>
      </c>
      <c r="G1834" s="11">
        <v>2818</v>
      </c>
      <c r="H1834" s="12" t="s">
        <v>41</v>
      </c>
      <c r="I1834" s="12" t="s">
        <v>55</v>
      </c>
      <c r="J1834" s="12" t="s">
        <v>55</v>
      </c>
      <c r="K1834" s="12" t="s">
        <v>56</v>
      </c>
      <c r="L1834" s="13">
        <v>31.22</v>
      </c>
      <c r="M1834" s="13">
        <v>20</v>
      </c>
      <c r="N1834" s="13">
        <v>1.5609999999999999</v>
      </c>
      <c r="O1834" s="13" t="s">
        <v>30</v>
      </c>
      <c r="P1834" s="13">
        <v>24</v>
      </c>
      <c r="Q1834" s="13">
        <v>0</v>
      </c>
      <c r="R1834" s="14">
        <v>480</v>
      </c>
      <c r="S1834" s="15">
        <v>0</v>
      </c>
      <c r="T1834" s="15">
        <v>0</v>
      </c>
      <c r="U1834" s="15">
        <v>480</v>
      </c>
      <c r="V1834" s="15">
        <v>0</v>
      </c>
      <c r="W1834" s="15">
        <v>480</v>
      </c>
      <c r="X1834" s="15">
        <v>0</v>
      </c>
      <c r="Y1834" s="16">
        <v>0</v>
      </c>
      <c r="Z1834" s="67" t="s">
        <v>26</v>
      </c>
      <c r="AA1834" s="12" t="s">
        <v>31</v>
      </c>
    </row>
    <row r="1835" spans="1:27" x14ac:dyDescent="0.25">
      <c r="A1835" s="10">
        <v>45685</v>
      </c>
      <c r="B1835" s="11" t="s">
        <v>3895</v>
      </c>
      <c r="C1835" s="11" t="s">
        <v>3896</v>
      </c>
      <c r="D1835" s="11" t="s">
        <v>26</v>
      </c>
      <c r="E1835" s="11" t="s">
        <v>701</v>
      </c>
      <c r="F1835" s="11" t="s">
        <v>26</v>
      </c>
      <c r="G1835" s="11">
        <v>2819</v>
      </c>
      <c r="H1835" s="12" t="s">
        <v>41</v>
      </c>
      <c r="I1835" s="12" t="s">
        <v>55</v>
      </c>
      <c r="J1835" s="12" t="s">
        <v>55</v>
      </c>
      <c r="K1835" s="12" t="s">
        <v>56</v>
      </c>
      <c r="L1835" s="13">
        <v>32.68</v>
      </c>
      <c r="M1835" s="13">
        <v>20</v>
      </c>
      <c r="N1835" s="13">
        <v>1.6339999999999999</v>
      </c>
      <c r="O1835" s="13" t="s">
        <v>30</v>
      </c>
      <c r="P1835" s="13">
        <v>24</v>
      </c>
      <c r="Q1835" s="13">
        <v>0</v>
      </c>
      <c r="R1835" s="14">
        <v>480</v>
      </c>
      <c r="S1835" s="15">
        <v>0</v>
      </c>
      <c r="T1835" s="15">
        <v>0</v>
      </c>
      <c r="U1835" s="15">
        <v>480</v>
      </c>
      <c r="V1835" s="15">
        <v>0</v>
      </c>
      <c r="W1835" s="15">
        <v>480</v>
      </c>
      <c r="X1835" s="15">
        <v>0</v>
      </c>
      <c r="Y1835" s="16">
        <v>0</v>
      </c>
      <c r="Z1835" s="67" t="s">
        <v>26</v>
      </c>
      <c r="AA1835" s="12" t="s">
        <v>31</v>
      </c>
    </row>
    <row r="1836" spans="1:27" x14ac:dyDescent="0.25">
      <c r="A1836" s="10">
        <v>45685</v>
      </c>
      <c r="B1836" s="11" t="s">
        <v>3897</v>
      </c>
      <c r="C1836" s="11" t="s">
        <v>3898</v>
      </c>
      <c r="D1836" s="11" t="s">
        <v>26</v>
      </c>
      <c r="E1836" s="11" t="s">
        <v>444</v>
      </c>
      <c r="F1836" s="11" t="s">
        <v>26</v>
      </c>
      <c r="G1836" s="11">
        <v>2102</v>
      </c>
      <c r="H1836" s="12" t="s">
        <v>4449</v>
      </c>
      <c r="I1836" s="12" t="s">
        <v>55</v>
      </c>
      <c r="J1836" s="12" t="s">
        <v>55</v>
      </c>
      <c r="K1836" s="12" t="s">
        <v>56</v>
      </c>
      <c r="L1836" s="13">
        <v>34.020000000000003</v>
      </c>
      <c r="M1836" s="13">
        <v>22</v>
      </c>
      <c r="N1836" s="13">
        <v>1.5463636363636371</v>
      </c>
      <c r="O1836" s="13">
        <v>15</v>
      </c>
      <c r="P1836" s="13" t="s">
        <v>30</v>
      </c>
      <c r="Q1836" s="13">
        <v>0</v>
      </c>
      <c r="R1836" s="14">
        <v>510.30000000000007</v>
      </c>
      <c r="S1836" s="15">
        <v>0</v>
      </c>
      <c r="T1836" s="15">
        <v>0</v>
      </c>
      <c r="U1836" s="15">
        <v>510.30000000000007</v>
      </c>
      <c r="V1836" s="15">
        <v>510.30000000000007</v>
      </c>
      <c r="W1836" s="15">
        <v>0</v>
      </c>
      <c r="X1836" s="15">
        <v>0</v>
      </c>
      <c r="Y1836" s="16">
        <v>0</v>
      </c>
      <c r="Z1836" s="67" t="s">
        <v>26</v>
      </c>
      <c r="AA1836" s="12" t="s">
        <v>31</v>
      </c>
    </row>
    <row r="1837" spans="1:27" x14ac:dyDescent="0.25">
      <c r="A1837" s="10">
        <v>45685</v>
      </c>
      <c r="B1837" s="11" t="s">
        <v>3899</v>
      </c>
      <c r="C1837" s="11" t="s">
        <v>3900</v>
      </c>
      <c r="D1837" s="11" t="s">
        <v>26</v>
      </c>
      <c r="E1837" s="11" t="s">
        <v>80</v>
      </c>
      <c r="F1837" s="11" t="s">
        <v>26</v>
      </c>
      <c r="G1837" s="11">
        <v>10661</v>
      </c>
      <c r="H1837" s="12" t="s">
        <v>140</v>
      </c>
      <c r="I1837" s="12" t="s">
        <v>27</v>
      </c>
      <c r="J1837" s="12" t="s">
        <v>33</v>
      </c>
      <c r="K1837" s="12" t="s">
        <v>34</v>
      </c>
      <c r="L1837" s="13">
        <v>39.32</v>
      </c>
      <c r="M1837" s="13">
        <v>27</v>
      </c>
      <c r="N1837" s="13">
        <v>1.456296296296296</v>
      </c>
      <c r="O1837" s="13">
        <v>40</v>
      </c>
      <c r="P1837" s="13"/>
      <c r="Q1837" s="13">
        <v>0</v>
      </c>
      <c r="R1837" s="14">
        <v>1572.8</v>
      </c>
      <c r="S1837" s="15">
        <v>0</v>
      </c>
      <c r="T1837" s="15">
        <v>0</v>
      </c>
      <c r="U1837" s="15">
        <v>1572.8</v>
      </c>
      <c r="V1837" s="15">
        <v>0</v>
      </c>
      <c r="W1837" s="15">
        <v>1572.8</v>
      </c>
      <c r="X1837" s="15">
        <v>0</v>
      </c>
      <c r="Y1837" s="16">
        <v>0</v>
      </c>
      <c r="Z1837" s="67" t="s">
        <v>26</v>
      </c>
      <c r="AA1837" s="12" t="s">
        <v>31</v>
      </c>
    </row>
    <row r="1838" spans="1:27" x14ac:dyDescent="0.25">
      <c r="A1838" s="10">
        <v>45685</v>
      </c>
      <c r="B1838" s="11" t="s">
        <v>3901</v>
      </c>
      <c r="C1838" s="11" t="s">
        <v>3902</v>
      </c>
      <c r="D1838" s="11" t="s">
        <v>26</v>
      </c>
      <c r="E1838" s="11" t="s">
        <v>483</v>
      </c>
      <c r="F1838" s="11" t="s">
        <v>26</v>
      </c>
      <c r="G1838" s="11">
        <v>3563</v>
      </c>
      <c r="H1838" s="12" t="s">
        <v>41</v>
      </c>
      <c r="I1838" s="12" t="s">
        <v>27</v>
      </c>
      <c r="J1838" s="12" t="s">
        <v>42</v>
      </c>
      <c r="K1838" s="12" t="s">
        <v>43</v>
      </c>
      <c r="L1838" s="13">
        <v>36.86</v>
      </c>
      <c r="M1838" s="13">
        <v>25</v>
      </c>
      <c r="N1838" s="13">
        <v>1.4743999999999999</v>
      </c>
      <c r="O1838" s="13" t="s">
        <v>30</v>
      </c>
      <c r="P1838" s="13">
        <v>64</v>
      </c>
      <c r="Q1838" s="13">
        <v>0</v>
      </c>
      <c r="R1838" s="14">
        <v>1600</v>
      </c>
      <c r="S1838" s="15">
        <v>0</v>
      </c>
      <c r="T1838" s="15">
        <v>0</v>
      </c>
      <c r="U1838" s="15">
        <v>1600</v>
      </c>
      <c r="V1838" s="15">
        <v>0</v>
      </c>
      <c r="W1838" s="15">
        <v>1600</v>
      </c>
      <c r="X1838" s="15">
        <v>0</v>
      </c>
      <c r="Y1838" s="16">
        <v>0</v>
      </c>
      <c r="Z1838" s="67" t="s">
        <v>26</v>
      </c>
      <c r="AA1838" s="12" t="s">
        <v>31</v>
      </c>
    </row>
    <row r="1839" spans="1:27" x14ac:dyDescent="0.25">
      <c r="A1839" s="10">
        <v>45685</v>
      </c>
      <c r="B1839" s="11" t="s">
        <v>304</v>
      </c>
      <c r="C1839" s="11" t="s">
        <v>3903</v>
      </c>
      <c r="D1839" s="11" t="s">
        <v>26</v>
      </c>
      <c r="E1839" s="11" t="s">
        <v>59</v>
      </c>
      <c r="F1839" s="11" t="s">
        <v>26</v>
      </c>
      <c r="G1839" s="11">
        <v>112375</v>
      </c>
      <c r="H1839" s="12" t="s">
        <v>4446</v>
      </c>
      <c r="I1839" s="12" t="s">
        <v>27</v>
      </c>
      <c r="J1839" s="12" t="s">
        <v>42</v>
      </c>
      <c r="K1839" s="12" t="s">
        <v>43</v>
      </c>
      <c r="L1839" s="13">
        <v>37.200000000000003</v>
      </c>
      <c r="M1839" s="13">
        <v>25</v>
      </c>
      <c r="N1839" s="13">
        <v>1.488</v>
      </c>
      <c r="O1839" s="13">
        <v>42</v>
      </c>
      <c r="P1839" s="13" t="s">
        <v>30</v>
      </c>
      <c r="Q1839" s="13">
        <v>0</v>
      </c>
      <c r="R1839" s="14">
        <v>1562.4</v>
      </c>
      <c r="S1839" s="15">
        <v>0</v>
      </c>
      <c r="T1839" s="15">
        <v>0</v>
      </c>
      <c r="U1839" s="15">
        <v>1562.4</v>
      </c>
      <c r="V1839" s="15">
        <v>1562.4</v>
      </c>
      <c r="W1839" s="15">
        <v>0</v>
      </c>
      <c r="X1839" s="15">
        <v>0</v>
      </c>
      <c r="Y1839" s="16">
        <v>0</v>
      </c>
      <c r="Z1839" s="67" t="s">
        <v>26</v>
      </c>
      <c r="AA1839" s="12" t="s">
        <v>31</v>
      </c>
    </row>
    <row r="1840" spans="1:27" x14ac:dyDescent="0.25">
      <c r="A1840" s="10">
        <v>45685</v>
      </c>
      <c r="B1840" s="11" t="s">
        <v>269</v>
      </c>
      <c r="C1840" s="11" t="s">
        <v>3904</v>
      </c>
      <c r="D1840" s="11" t="s">
        <v>26</v>
      </c>
      <c r="E1840" s="11" t="s">
        <v>77</v>
      </c>
      <c r="F1840" s="11" t="s">
        <v>26</v>
      </c>
      <c r="G1840" s="11">
        <v>2405</v>
      </c>
      <c r="H1840" s="12" t="s">
        <v>4449</v>
      </c>
      <c r="I1840" s="12" t="s">
        <v>55</v>
      </c>
      <c r="J1840" s="12" t="s">
        <v>55</v>
      </c>
      <c r="K1840" s="12" t="s">
        <v>56</v>
      </c>
      <c r="L1840" s="13">
        <v>35.72</v>
      </c>
      <c r="M1840" s="13">
        <v>25</v>
      </c>
      <c r="N1840" s="13">
        <v>1.4288000000000001</v>
      </c>
      <c r="O1840" s="13">
        <v>15</v>
      </c>
      <c r="P1840" s="13" t="s">
        <v>30</v>
      </c>
      <c r="Q1840" s="13">
        <v>0</v>
      </c>
      <c r="R1840" s="15">
        <v>535.79999999999995</v>
      </c>
      <c r="S1840" s="15">
        <v>0</v>
      </c>
      <c r="T1840" s="15">
        <v>0</v>
      </c>
      <c r="U1840" s="15">
        <v>535.79999999999995</v>
      </c>
      <c r="V1840" s="15">
        <v>535.79999999999995</v>
      </c>
      <c r="W1840" s="15">
        <v>0</v>
      </c>
      <c r="X1840" s="15">
        <v>0</v>
      </c>
      <c r="Y1840" s="16">
        <v>0</v>
      </c>
      <c r="Z1840" s="67" t="s">
        <v>26</v>
      </c>
      <c r="AA1840" s="12" t="s">
        <v>31</v>
      </c>
    </row>
    <row r="1841" spans="1:27" x14ac:dyDescent="0.25">
      <c r="A1841" s="10">
        <v>45685</v>
      </c>
      <c r="B1841" s="11" t="s">
        <v>3905</v>
      </c>
      <c r="C1841" s="11" t="s">
        <v>3906</v>
      </c>
      <c r="D1841" s="11" t="s">
        <v>26</v>
      </c>
      <c r="E1841" s="11" t="s">
        <v>97</v>
      </c>
      <c r="F1841" s="11" t="s">
        <v>26</v>
      </c>
      <c r="G1841" s="11">
        <v>9932</v>
      </c>
      <c r="H1841" s="12" t="s">
        <v>4447</v>
      </c>
      <c r="I1841" s="12" t="s">
        <v>27</v>
      </c>
      <c r="J1841" s="12" t="s">
        <v>42</v>
      </c>
      <c r="K1841" s="12" t="s">
        <v>43</v>
      </c>
      <c r="L1841" s="13">
        <v>19.260000000000002</v>
      </c>
      <c r="M1841" s="13">
        <v>12</v>
      </c>
      <c r="N1841" s="13">
        <v>1.605</v>
      </c>
      <c r="O1841" s="13" t="s">
        <v>30</v>
      </c>
      <c r="P1841" s="13">
        <v>65.599999999999994</v>
      </c>
      <c r="Q1841" s="13">
        <v>0</v>
      </c>
      <c r="R1841" s="15">
        <v>787.19999999999993</v>
      </c>
      <c r="S1841" s="15">
        <v>0</v>
      </c>
      <c r="T1841" s="15">
        <v>0</v>
      </c>
      <c r="U1841" s="15">
        <v>787.19999999999993</v>
      </c>
      <c r="V1841" s="15">
        <v>787.19999999999993</v>
      </c>
      <c r="W1841" s="15">
        <v>0</v>
      </c>
      <c r="X1841" s="15">
        <v>0</v>
      </c>
      <c r="Y1841" s="16">
        <v>0</v>
      </c>
      <c r="Z1841" s="67" t="s">
        <v>26</v>
      </c>
      <c r="AA1841" s="12" t="s">
        <v>31</v>
      </c>
    </row>
    <row r="1842" spans="1:27" x14ac:dyDescent="0.25">
      <c r="A1842" s="10">
        <v>45685</v>
      </c>
      <c r="B1842" s="11" t="s">
        <v>3907</v>
      </c>
      <c r="C1842" s="11" t="s">
        <v>3908</v>
      </c>
      <c r="D1842" s="11" t="s">
        <v>26</v>
      </c>
      <c r="E1842" s="11" t="s">
        <v>46</v>
      </c>
      <c r="F1842" s="11" t="s">
        <v>26</v>
      </c>
      <c r="G1842" s="11">
        <v>112360</v>
      </c>
      <c r="H1842" s="12" t="s">
        <v>4446</v>
      </c>
      <c r="I1842" s="12" t="s">
        <v>27</v>
      </c>
      <c r="J1842" s="12" t="s">
        <v>33</v>
      </c>
      <c r="K1842" s="12" t="s">
        <v>34</v>
      </c>
      <c r="L1842" s="13">
        <v>35.58</v>
      </c>
      <c r="M1842" s="13">
        <v>25</v>
      </c>
      <c r="N1842" s="13">
        <v>1.4232</v>
      </c>
      <c r="O1842" s="13">
        <v>44</v>
      </c>
      <c r="P1842" s="13" t="s">
        <v>30</v>
      </c>
      <c r="Q1842" s="13">
        <v>0</v>
      </c>
      <c r="R1842" s="14">
        <v>1565.52</v>
      </c>
      <c r="S1842" s="15">
        <v>0</v>
      </c>
      <c r="T1842" s="15">
        <v>0</v>
      </c>
      <c r="U1842" s="15">
        <v>1565.52</v>
      </c>
      <c r="V1842" s="15">
        <v>1565.52</v>
      </c>
      <c r="W1842" s="15">
        <v>0</v>
      </c>
      <c r="X1842" s="15">
        <v>0</v>
      </c>
      <c r="Y1842" s="16">
        <v>0</v>
      </c>
      <c r="Z1842" s="67" t="s">
        <v>26</v>
      </c>
      <c r="AA1842" s="12" t="s">
        <v>31</v>
      </c>
    </row>
    <row r="1843" spans="1:27" x14ac:dyDescent="0.25">
      <c r="A1843" s="10">
        <v>45685</v>
      </c>
      <c r="B1843" s="11" t="s">
        <v>3909</v>
      </c>
      <c r="C1843" s="11" t="s">
        <v>3910</v>
      </c>
      <c r="D1843" s="11" t="s">
        <v>26</v>
      </c>
      <c r="E1843" s="11" t="s">
        <v>67</v>
      </c>
      <c r="F1843" s="11" t="s">
        <v>26</v>
      </c>
      <c r="G1843" s="11">
        <v>1620</v>
      </c>
      <c r="H1843" s="12" t="s">
        <v>66</v>
      </c>
      <c r="I1843" s="12" t="s">
        <v>37</v>
      </c>
      <c r="J1843" s="12" t="s">
        <v>1909</v>
      </c>
      <c r="K1843" s="12" t="s">
        <v>82</v>
      </c>
      <c r="L1843" s="13">
        <v>38.96</v>
      </c>
      <c r="M1843" s="13">
        <v>25</v>
      </c>
      <c r="N1843" s="13">
        <v>1.5584</v>
      </c>
      <c r="O1843" s="13" t="s">
        <v>30</v>
      </c>
      <c r="P1843" s="13">
        <v>54</v>
      </c>
      <c r="Q1843" s="13">
        <v>0</v>
      </c>
      <c r="R1843" s="14">
        <v>1350</v>
      </c>
      <c r="S1843" s="15">
        <v>0</v>
      </c>
      <c r="T1843" s="15">
        <v>0</v>
      </c>
      <c r="U1843" s="15">
        <v>1350</v>
      </c>
      <c r="V1843" s="15">
        <v>1350</v>
      </c>
      <c r="W1843" s="15">
        <v>0</v>
      </c>
      <c r="X1843" s="15">
        <v>0</v>
      </c>
      <c r="Y1843" s="16">
        <v>0</v>
      </c>
      <c r="Z1843" s="67" t="s">
        <v>26</v>
      </c>
      <c r="AA1843" s="12" t="s">
        <v>31</v>
      </c>
    </row>
    <row r="1844" spans="1:27" x14ac:dyDescent="0.25">
      <c r="A1844" s="10">
        <v>45685</v>
      </c>
      <c r="B1844" s="11" t="s">
        <v>3911</v>
      </c>
      <c r="C1844" s="11" t="s">
        <v>3912</v>
      </c>
      <c r="D1844" s="11" t="s">
        <v>26</v>
      </c>
      <c r="E1844" s="11" t="s">
        <v>65</v>
      </c>
      <c r="F1844" s="11" t="s">
        <v>26</v>
      </c>
      <c r="G1844" s="11">
        <v>1594</v>
      </c>
      <c r="H1844" s="12" t="s">
        <v>66</v>
      </c>
      <c r="I1844" s="12" t="s">
        <v>37</v>
      </c>
      <c r="J1844" s="12" t="s">
        <v>1909</v>
      </c>
      <c r="K1844" s="12" t="s">
        <v>82</v>
      </c>
      <c r="L1844" s="13">
        <v>40.380000000000003</v>
      </c>
      <c r="M1844" s="13">
        <v>25</v>
      </c>
      <c r="N1844" s="13">
        <v>1.6152</v>
      </c>
      <c r="O1844" s="13" t="s">
        <v>30</v>
      </c>
      <c r="P1844" s="13">
        <v>54</v>
      </c>
      <c r="Q1844" s="13">
        <v>0</v>
      </c>
      <c r="R1844" s="15">
        <v>1350</v>
      </c>
      <c r="S1844" s="15">
        <v>0</v>
      </c>
      <c r="T1844" s="15">
        <v>0</v>
      </c>
      <c r="U1844" s="15">
        <v>1350</v>
      </c>
      <c r="V1844" s="15">
        <v>1350</v>
      </c>
      <c r="W1844" s="15">
        <v>0</v>
      </c>
      <c r="X1844" s="15">
        <v>0</v>
      </c>
      <c r="Y1844" s="16">
        <v>0</v>
      </c>
      <c r="Z1844" s="67" t="s">
        <v>26</v>
      </c>
      <c r="AA1844" s="12" t="s">
        <v>31</v>
      </c>
    </row>
    <row r="1845" spans="1:27" x14ac:dyDescent="0.25">
      <c r="A1845" s="10">
        <v>45685</v>
      </c>
      <c r="B1845" s="11" t="s">
        <v>3913</v>
      </c>
      <c r="C1845" s="11" t="s">
        <v>3914</v>
      </c>
      <c r="D1845" s="11" t="s">
        <v>26</v>
      </c>
      <c r="E1845" s="11" t="s">
        <v>61</v>
      </c>
      <c r="F1845" s="11" t="s">
        <v>26</v>
      </c>
      <c r="G1845" s="11" t="s">
        <v>35</v>
      </c>
      <c r="H1845" s="12" t="s">
        <v>36</v>
      </c>
      <c r="I1845" s="12" t="s">
        <v>27</v>
      </c>
      <c r="J1845" s="12" t="s">
        <v>33</v>
      </c>
      <c r="K1845" s="12" t="s">
        <v>34</v>
      </c>
      <c r="L1845" s="13">
        <v>8.8800000000000008</v>
      </c>
      <c r="M1845" s="13">
        <v>6</v>
      </c>
      <c r="N1845" s="13">
        <v>1.48</v>
      </c>
      <c r="O1845" s="13">
        <v>50</v>
      </c>
      <c r="P1845" s="13" t="s">
        <v>30</v>
      </c>
      <c r="Q1845" s="13">
        <v>0</v>
      </c>
      <c r="R1845" s="15">
        <v>444.00000000000006</v>
      </c>
      <c r="S1845" s="15">
        <v>0</v>
      </c>
      <c r="T1845" s="15">
        <v>0</v>
      </c>
      <c r="U1845" s="15">
        <v>444.00000000000006</v>
      </c>
      <c r="V1845" s="15">
        <v>0</v>
      </c>
      <c r="W1845" s="15">
        <v>444.00000000000006</v>
      </c>
      <c r="X1845" s="15">
        <v>0</v>
      </c>
      <c r="Y1845" s="16">
        <v>0</v>
      </c>
      <c r="Z1845" s="67" t="s">
        <v>26</v>
      </c>
      <c r="AA1845" s="12" t="s">
        <v>31</v>
      </c>
    </row>
    <row r="1846" spans="1:27" x14ac:dyDescent="0.25">
      <c r="A1846" s="10">
        <v>45685</v>
      </c>
      <c r="B1846" s="11" t="s">
        <v>3915</v>
      </c>
      <c r="C1846" s="11" t="s">
        <v>3916</v>
      </c>
      <c r="D1846" s="11" t="s">
        <v>26</v>
      </c>
      <c r="E1846" s="11" t="s">
        <v>529</v>
      </c>
      <c r="F1846" s="11" t="s">
        <v>26</v>
      </c>
      <c r="G1846" s="11">
        <v>915</v>
      </c>
      <c r="H1846" s="12" t="s">
        <v>163</v>
      </c>
      <c r="I1846" s="12" t="s">
        <v>27</v>
      </c>
      <c r="J1846" s="12" t="s">
        <v>42</v>
      </c>
      <c r="K1846" s="12" t="s">
        <v>43</v>
      </c>
      <c r="L1846" s="13">
        <v>39.76</v>
      </c>
      <c r="M1846" s="13">
        <v>25</v>
      </c>
      <c r="N1846" s="13">
        <v>1.5904</v>
      </c>
      <c r="O1846" s="13" t="s">
        <v>30</v>
      </c>
      <c r="P1846" s="13">
        <v>56</v>
      </c>
      <c r="Q1846" s="13">
        <v>0</v>
      </c>
      <c r="R1846" s="14">
        <v>1400</v>
      </c>
      <c r="S1846" s="15">
        <v>0</v>
      </c>
      <c r="T1846" s="15">
        <v>0</v>
      </c>
      <c r="U1846" s="15">
        <v>1400</v>
      </c>
      <c r="V1846" s="15">
        <v>0</v>
      </c>
      <c r="W1846" s="15">
        <v>1400</v>
      </c>
      <c r="X1846" s="15">
        <v>0</v>
      </c>
      <c r="Y1846" s="16">
        <v>0</v>
      </c>
      <c r="Z1846" s="67" t="s">
        <v>26</v>
      </c>
      <c r="AA1846" s="12" t="s">
        <v>31</v>
      </c>
    </row>
    <row r="1847" spans="1:27" x14ac:dyDescent="0.25">
      <c r="A1847" s="10">
        <v>45685</v>
      </c>
      <c r="B1847" s="11" t="s">
        <v>1342</v>
      </c>
      <c r="C1847" s="11" t="s">
        <v>3917</v>
      </c>
      <c r="D1847" s="11" t="s">
        <v>26</v>
      </c>
      <c r="E1847" s="11" t="s">
        <v>53</v>
      </c>
      <c r="F1847" s="11" t="s">
        <v>26</v>
      </c>
      <c r="G1847" s="11">
        <v>3775</v>
      </c>
      <c r="H1847" s="12" t="s">
        <v>41</v>
      </c>
      <c r="I1847" s="12" t="s">
        <v>55</v>
      </c>
      <c r="J1847" s="12" t="s">
        <v>55</v>
      </c>
      <c r="K1847" s="12" t="s">
        <v>56</v>
      </c>
      <c r="L1847" s="13">
        <v>34.880000000000003</v>
      </c>
      <c r="M1847" s="13">
        <v>25</v>
      </c>
      <c r="N1847" s="13">
        <v>1.3952</v>
      </c>
      <c r="O1847" s="13" t="s">
        <v>30</v>
      </c>
      <c r="P1847" s="13">
        <v>24</v>
      </c>
      <c r="Q1847" s="13">
        <v>0</v>
      </c>
      <c r="R1847" s="14">
        <v>600</v>
      </c>
      <c r="S1847" s="15">
        <v>0</v>
      </c>
      <c r="T1847" s="15">
        <v>0</v>
      </c>
      <c r="U1847" s="15">
        <v>600</v>
      </c>
      <c r="V1847" s="15">
        <v>0</v>
      </c>
      <c r="W1847" s="15">
        <v>600</v>
      </c>
      <c r="X1847" s="15">
        <v>0</v>
      </c>
      <c r="Y1847" s="16">
        <v>0</v>
      </c>
      <c r="Z1847" s="67" t="s">
        <v>26</v>
      </c>
      <c r="AA1847" s="12" t="s">
        <v>31</v>
      </c>
    </row>
    <row r="1848" spans="1:27" x14ac:dyDescent="0.25">
      <c r="A1848" s="10">
        <v>45685</v>
      </c>
      <c r="B1848" s="11" t="s">
        <v>707</v>
      </c>
      <c r="C1848" s="11" t="s">
        <v>3918</v>
      </c>
      <c r="D1848" s="11" t="s">
        <v>26</v>
      </c>
      <c r="E1848" s="11" t="s">
        <v>534</v>
      </c>
      <c r="F1848" s="11" t="s">
        <v>26</v>
      </c>
      <c r="G1848" s="11">
        <v>914</v>
      </c>
      <c r="H1848" s="12" t="s">
        <v>163</v>
      </c>
      <c r="I1848" s="12" t="s">
        <v>27</v>
      </c>
      <c r="J1848" s="12" t="s">
        <v>42</v>
      </c>
      <c r="K1848" s="12" t="s">
        <v>43</v>
      </c>
      <c r="L1848" s="13">
        <v>41.26</v>
      </c>
      <c r="M1848" s="13">
        <v>25</v>
      </c>
      <c r="N1848" s="13">
        <v>1.6504000000000001</v>
      </c>
      <c r="O1848" s="13" t="s">
        <v>30</v>
      </c>
      <c r="P1848" s="13">
        <v>56</v>
      </c>
      <c r="Q1848" s="13">
        <v>0</v>
      </c>
      <c r="R1848" s="14">
        <v>1400</v>
      </c>
      <c r="S1848" s="15">
        <v>0</v>
      </c>
      <c r="T1848" s="15">
        <v>0</v>
      </c>
      <c r="U1848" s="15">
        <v>1400</v>
      </c>
      <c r="V1848" s="15">
        <v>0</v>
      </c>
      <c r="W1848" s="15">
        <v>1400</v>
      </c>
      <c r="X1848" s="15">
        <v>0</v>
      </c>
      <c r="Y1848" s="16">
        <v>0</v>
      </c>
      <c r="Z1848" s="67" t="s">
        <v>26</v>
      </c>
      <c r="AA1848" s="12" t="s">
        <v>31</v>
      </c>
    </row>
    <row r="1849" spans="1:27" x14ac:dyDescent="0.25">
      <c r="A1849" s="10">
        <v>45685</v>
      </c>
      <c r="B1849" s="11" t="s">
        <v>3919</v>
      </c>
      <c r="C1849" s="11" t="s">
        <v>3920</v>
      </c>
      <c r="D1849" s="11" t="s">
        <v>26</v>
      </c>
      <c r="E1849" s="11" t="s">
        <v>589</v>
      </c>
      <c r="F1849" s="11" t="s">
        <v>26</v>
      </c>
      <c r="G1849" s="11">
        <v>4600</v>
      </c>
      <c r="H1849" s="12" t="s">
        <v>4423</v>
      </c>
      <c r="I1849" s="12" t="s">
        <v>27</v>
      </c>
      <c r="J1849" s="12" t="s">
        <v>47</v>
      </c>
      <c r="K1849" s="12" t="s">
        <v>48</v>
      </c>
      <c r="L1849" s="13">
        <v>35.32</v>
      </c>
      <c r="M1849" s="13">
        <v>25</v>
      </c>
      <c r="N1849" s="13">
        <v>1.4128000000000001</v>
      </c>
      <c r="O1849" s="13">
        <v>46</v>
      </c>
      <c r="P1849" s="13" t="s">
        <v>30</v>
      </c>
      <c r="Q1849" s="13">
        <v>0</v>
      </c>
      <c r="R1849" s="14">
        <v>1624.72</v>
      </c>
      <c r="S1849" s="15">
        <v>0</v>
      </c>
      <c r="T1849" s="15">
        <v>0</v>
      </c>
      <c r="U1849" s="15">
        <v>1624.72</v>
      </c>
      <c r="V1849" s="15">
        <v>1624.72</v>
      </c>
      <c r="W1849" s="15">
        <v>0</v>
      </c>
      <c r="X1849" s="15">
        <v>0</v>
      </c>
      <c r="Y1849" s="16">
        <v>0</v>
      </c>
      <c r="Z1849" s="67" t="s">
        <v>26</v>
      </c>
      <c r="AA1849" s="12" t="s">
        <v>31</v>
      </c>
    </row>
    <row r="1850" spans="1:27" x14ac:dyDescent="0.25">
      <c r="A1850" s="10">
        <v>45685</v>
      </c>
      <c r="B1850" s="11" t="s">
        <v>131</v>
      </c>
      <c r="C1850" s="11" t="s">
        <v>3921</v>
      </c>
      <c r="D1850" s="11" t="s">
        <v>26</v>
      </c>
      <c r="E1850" s="11" t="s">
        <v>224</v>
      </c>
      <c r="F1850" s="11" t="s">
        <v>26</v>
      </c>
      <c r="G1850" s="11">
        <v>55334</v>
      </c>
      <c r="H1850" s="12" t="s">
        <v>4423</v>
      </c>
      <c r="I1850" s="12" t="s">
        <v>27</v>
      </c>
      <c r="J1850" s="12" t="s">
        <v>42</v>
      </c>
      <c r="K1850" s="12" t="s">
        <v>43</v>
      </c>
      <c r="L1850" s="13">
        <v>36.22</v>
      </c>
      <c r="M1850" s="13">
        <v>25</v>
      </c>
      <c r="N1850" s="13">
        <v>1.4488000000000001</v>
      </c>
      <c r="O1850" s="13">
        <v>42</v>
      </c>
      <c r="P1850" s="13" t="s">
        <v>30</v>
      </c>
      <c r="Q1850" s="13">
        <v>0</v>
      </c>
      <c r="R1850" s="14">
        <v>1521.24</v>
      </c>
      <c r="S1850" s="15">
        <v>0</v>
      </c>
      <c r="T1850" s="15">
        <v>0</v>
      </c>
      <c r="U1850" s="15">
        <v>1521.24</v>
      </c>
      <c r="V1850" s="15">
        <v>1521.24</v>
      </c>
      <c r="W1850" s="15">
        <v>0</v>
      </c>
      <c r="X1850" s="15">
        <v>0</v>
      </c>
      <c r="Y1850" s="16">
        <v>0</v>
      </c>
      <c r="Z1850" s="67" t="s">
        <v>26</v>
      </c>
      <c r="AA1850" s="12" t="s">
        <v>31</v>
      </c>
    </row>
    <row r="1851" spans="1:27" x14ac:dyDescent="0.25">
      <c r="A1851" s="10">
        <v>45685</v>
      </c>
      <c r="B1851" s="11" t="s">
        <v>455</v>
      </c>
      <c r="C1851" s="11" t="s">
        <v>3922</v>
      </c>
      <c r="D1851" s="11" t="s">
        <v>26</v>
      </c>
      <c r="E1851" s="11" t="s">
        <v>418</v>
      </c>
      <c r="F1851" s="11" t="s">
        <v>26</v>
      </c>
      <c r="G1851" s="11">
        <v>913</v>
      </c>
      <c r="H1851" s="12" t="s">
        <v>163</v>
      </c>
      <c r="I1851" s="12" t="s">
        <v>27</v>
      </c>
      <c r="J1851" s="12" t="s">
        <v>42</v>
      </c>
      <c r="K1851" s="12" t="s">
        <v>43</v>
      </c>
      <c r="L1851" s="13">
        <v>38.18</v>
      </c>
      <c r="M1851" s="13">
        <v>25</v>
      </c>
      <c r="N1851" s="13">
        <v>1.5271999999999999</v>
      </c>
      <c r="O1851" s="13" t="s">
        <v>30</v>
      </c>
      <c r="P1851" s="13">
        <v>56</v>
      </c>
      <c r="Q1851" s="13">
        <v>0</v>
      </c>
      <c r="R1851" s="14">
        <v>1400</v>
      </c>
      <c r="S1851" s="15">
        <v>0</v>
      </c>
      <c r="T1851" s="15">
        <v>0</v>
      </c>
      <c r="U1851" s="15">
        <v>1400</v>
      </c>
      <c r="V1851" s="15">
        <v>0</v>
      </c>
      <c r="W1851" s="15">
        <v>1400</v>
      </c>
      <c r="X1851" s="15">
        <v>0</v>
      </c>
      <c r="Y1851" s="16">
        <v>0</v>
      </c>
      <c r="Z1851" s="67" t="s">
        <v>26</v>
      </c>
      <c r="AA1851" s="12" t="s">
        <v>31</v>
      </c>
    </row>
    <row r="1852" spans="1:27" x14ac:dyDescent="0.25">
      <c r="A1852" s="10">
        <v>45685</v>
      </c>
      <c r="B1852" s="11" t="s">
        <v>449</v>
      </c>
      <c r="C1852" s="11" t="s">
        <v>3923</v>
      </c>
      <c r="D1852" s="11" t="s">
        <v>26</v>
      </c>
      <c r="E1852" s="11" t="s">
        <v>57</v>
      </c>
      <c r="F1852" s="11" t="s">
        <v>26</v>
      </c>
      <c r="G1852" s="11">
        <v>3663</v>
      </c>
      <c r="H1852" s="12" t="s">
        <v>41</v>
      </c>
      <c r="I1852" s="12" t="s">
        <v>55</v>
      </c>
      <c r="J1852" s="12" t="s">
        <v>566</v>
      </c>
      <c r="K1852" s="12" t="s">
        <v>550</v>
      </c>
      <c r="L1852" s="13">
        <v>34.1</v>
      </c>
      <c r="M1852" s="13">
        <v>22</v>
      </c>
      <c r="N1852" s="13">
        <v>1.55</v>
      </c>
      <c r="O1852" s="13">
        <v>25</v>
      </c>
      <c r="P1852" s="13"/>
      <c r="Q1852" s="13">
        <v>0</v>
      </c>
      <c r="R1852" s="15">
        <v>852.5</v>
      </c>
      <c r="S1852" s="15">
        <v>0</v>
      </c>
      <c r="T1852" s="15">
        <v>0</v>
      </c>
      <c r="U1852" s="15">
        <v>852.5</v>
      </c>
      <c r="V1852" s="15">
        <v>0</v>
      </c>
      <c r="W1852" s="15">
        <v>852.5</v>
      </c>
      <c r="X1852" s="15">
        <v>0</v>
      </c>
      <c r="Y1852" s="16">
        <v>0</v>
      </c>
      <c r="Z1852" s="67" t="s">
        <v>26</v>
      </c>
      <c r="AA1852" s="12" t="s">
        <v>31</v>
      </c>
    </row>
    <row r="1853" spans="1:27" x14ac:dyDescent="0.25">
      <c r="A1853" s="10">
        <v>45685</v>
      </c>
      <c r="B1853" s="11" t="s">
        <v>3924</v>
      </c>
      <c r="C1853" s="11" t="s">
        <v>3925</v>
      </c>
      <c r="D1853" s="11" t="s">
        <v>26</v>
      </c>
      <c r="E1853" s="11" t="s">
        <v>506</v>
      </c>
      <c r="F1853" s="11" t="s">
        <v>26</v>
      </c>
      <c r="G1853" s="11" t="s">
        <v>35</v>
      </c>
      <c r="H1853" s="12" t="s">
        <v>36</v>
      </c>
      <c r="I1853" s="12" t="s">
        <v>27</v>
      </c>
      <c r="J1853" s="12" t="s">
        <v>42</v>
      </c>
      <c r="K1853" s="12" t="s">
        <v>43</v>
      </c>
      <c r="L1853" s="13">
        <v>32.68</v>
      </c>
      <c r="M1853" s="13">
        <v>21</v>
      </c>
      <c r="N1853" s="13">
        <v>1.5561904761904759</v>
      </c>
      <c r="O1853" s="13">
        <v>45</v>
      </c>
      <c r="P1853" s="13" t="s">
        <v>30</v>
      </c>
      <c r="Q1853" s="13">
        <v>0</v>
      </c>
      <c r="R1853" s="14">
        <v>1470.6</v>
      </c>
      <c r="S1853" s="15">
        <v>0</v>
      </c>
      <c r="T1853" s="15">
        <v>0</v>
      </c>
      <c r="U1853" s="15">
        <v>1470.6</v>
      </c>
      <c r="V1853" s="15">
        <v>0</v>
      </c>
      <c r="W1853" s="15">
        <v>1470.6</v>
      </c>
      <c r="X1853" s="15">
        <v>0</v>
      </c>
      <c r="Y1853" s="16">
        <v>0</v>
      </c>
      <c r="Z1853" s="67" t="s">
        <v>26</v>
      </c>
      <c r="AA1853" s="12" t="s">
        <v>31</v>
      </c>
    </row>
    <row r="1854" spans="1:27" x14ac:dyDescent="0.25">
      <c r="A1854" s="10">
        <v>45685</v>
      </c>
      <c r="B1854" s="11" t="s">
        <v>3926</v>
      </c>
      <c r="C1854" s="11" t="s">
        <v>3927</v>
      </c>
      <c r="D1854" s="11" t="s">
        <v>26</v>
      </c>
      <c r="E1854" s="11" t="s">
        <v>75</v>
      </c>
      <c r="F1854" s="11" t="s">
        <v>26</v>
      </c>
      <c r="G1854" s="11">
        <v>42035</v>
      </c>
      <c r="H1854" s="12" t="s">
        <v>565</v>
      </c>
      <c r="I1854" s="12" t="s">
        <v>55</v>
      </c>
      <c r="J1854" s="12" t="s">
        <v>55</v>
      </c>
      <c r="K1854" s="12" t="s">
        <v>56</v>
      </c>
      <c r="L1854" s="13">
        <v>36.9</v>
      </c>
      <c r="M1854" s="13">
        <v>25</v>
      </c>
      <c r="N1854" s="13">
        <v>1.476</v>
      </c>
      <c r="O1854" s="13"/>
      <c r="P1854" s="13">
        <v>24</v>
      </c>
      <c r="Q1854" s="13">
        <v>0</v>
      </c>
      <c r="R1854" s="15">
        <v>600</v>
      </c>
      <c r="S1854" s="15">
        <v>0</v>
      </c>
      <c r="T1854" s="15">
        <v>0</v>
      </c>
      <c r="U1854" s="15">
        <v>600</v>
      </c>
      <c r="V1854" s="15">
        <v>0</v>
      </c>
      <c r="W1854" s="15">
        <v>600</v>
      </c>
      <c r="X1854" s="15">
        <v>0</v>
      </c>
      <c r="Y1854" s="16">
        <v>0</v>
      </c>
      <c r="Z1854" s="67" t="s">
        <v>26</v>
      </c>
      <c r="AA1854" s="12" t="s">
        <v>31</v>
      </c>
    </row>
    <row r="1855" spans="1:27" x14ac:dyDescent="0.25">
      <c r="A1855" s="10">
        <v>45685</v>
      </c>
      <c r="B1855" s="11" t="s">
        <v>198</v>
      </c>
      <c r="C1855" s="11" t="s">
        <v>3928</v>
      </c>
      <c r="D1855" s="11" t="s">
        <v>26</v>
      </c>
      <c r="E1855" s="11" t="s">
        <v>1200</v>
      </c>
      <c r="F1855" s="11" t="s">
        <v>26</v>
      </c>
      <c r="G1855" s="11">
        <v>2566</v>
      </c>
      <c r="H1855" s="12" t="s">
        <v>163</v>
      </c>
      <c r="I1855" s="12" t="s">
        <v>27</v>
      </c>
      <c r="J1855" s="12" t="s">
        <v>42</v>
      </c>
      <c r="K1855" s="12" t="s">
        <v>43</v>
      </c>
      <c r="L1855" s="13">
        <v>42.44</v>
      </c>
      <c r="M1855" s="13">
        <v>25</v>
      </c>
      <c r="N1855" s="13">
        <v>1.6976</v>
      </c>
      <c r="O1855" s="13" t="s">
        <v>30</v>
      </c>
      <c r="P1855" s="13">
        <v>56</v>
      </c>
      <c r="Q1855" s="13">
        <v>0</v>
      </c>
      <c r="R1855" s="14">
        <v>1400</v>
      </c>
      <c r="S1855" s="15">
        <v>0</v>
      </c>
      <c r="T1855" s="15">
        <v>0</v>
      </c>
      <c r="U1855" s="15">
        <v>1400</v>
      </c>
      <c r="V1855" s="15">
        <v>0</v>
      </c>
      <c r="W1855" s="15">
        <v>1400</v>
      </c>
      <c r="X1855" s="15">
        <v>0</v>
      </c>
      <c r="Y1855" s="16">
        <v>0</v>
      </c>
      <c r="Z1855" s="67" t="s">
        <v>26</v>
      </c>
      <c r="AA1855" s="12" t="s">
        <v>31</v>
      </c>
    </row>
    <row r="1856" spans="1:27" x14ac:dyDescent="0.25">
      <c r="A1856" s="10">
        <v>45685</v>
      </c>
      <c r="B1856" s="11" t="s">
        <v>252</v>
      </c>
      <c r="C1856" s="11" t="s">
        <v>3929</v>
      </c>
      <c r="D1856" s="11" t="s">
        <v>26</v>
      </c>
      <c r="E1856" s="11" t="s">
        <v>561</v>
      </c>
      <c r="F1856" s="11" t="s">
        <v>26</v>
      </c>
      <c r="G1856" s="11">
        <v>112380</v>
      </c>
      <c r="H1856" s="12" t="s">
        <v>4446</v>
      </c>
      <c r="I1856" s="12" t="s">
        <v>27</v>
      </c>
      <c r="J1856" s="12" t="s">
        <v>42</v>
      </c>
      <c r="K1856" s="12" t="s">
        <v>43</v>
      </c>
      <c r="L1856" s="13">
        <v>38.5</v>
      </c>
      <c r="M1856" s="13">
        <v>24</v>
      </c>
      <c r="N1856" s="13">
        <v>1.604166666666667</v>
      </c>
      <c r="O1856" s="13">
        <v>42</v>
      </c>
      <c r="P1856" s="13" t="s">
        <v>30</v>
      </c>
      <c r="Q1856" s="13">
        <v>0</v>
      </c>
      <c r="R1856" s="14">
        <v>1617</v>
      </c>
      <c r="S1856" s="15">
        <v>0</v>
      </c>
      <c r="T1856" s="15">
        <v>0</v>
      </c>
      <c r="U1856" s="15">
        <v>1617</v>
      </c>
      <c r="V1856" s="15">
        <v>1617</v>
      </c>
      <c r="W1856" s="15">
        <v>0</v>
      </c>
      <c r="X1856" s="15">
        <v>0</v>
      </c>
      <c r="Y1856" s="16">
        <v>0</v>
      </c>
      <c r="Z1856" s="67" t="s">
        <v>26</v>
      </c>
      <c r="AA1856" s="12" t="s">
        <v>31</v>
      </c>
    </row>
    <row r="1857" spans="1:27" x14ac:dyDescent="0.25">
      <c r="A1857" s="10">
        <v>45685</v>
      </c>
      <c r="B1857" s="11" t="s">
        <v>3930</v>
      </c>
      <c r="C1857" s="11" t="s">
        <v>3931</v>
      </c>
      <c r="D1857" s="11" t="s">
        <v>26</v>
      </c>
      <c r="E1857" s="11" t="s">
        <v>54</v>
      </c>
      <c r="F1857" s="11" t="s">
        <v>26</v>
      </c>
      <c r="G1857" s="11">
        <v>112378</v>
      </c>
      <c r="H1857" s="12" t="s">
        <v>4446</v>
      </c>
      <c r="I1857" s="12" t="s">
        <v>27</v>
      </c>
      <c r="J1857" s="12" t="s">
        <v>33</v>
      </c>
      <c r="K1857" s="12" t="s">
        <v>34</v>
      </c>
      <c r="L1857" s="13">
        <v>37.14</v>
      </c>
      <c r="M1857" s="13">
        <v>25</v>
      </c>
      <c r="N1857" s="13">
        <v>1.4856</v>
      </c>
      <c r="O1857" s="13">
        <v>44</v>
      </c>
      <c r="P1857" s="13" t="s">
        <v>30</v>
      </c>
      <c r="Q1857" s="13">
        <v>0</v>
      </c>
      <c r="R1857" s="15">
        <v>1634.16</v>
      </c>
      <c r="S1857" s="15">
        <v>0</v>
      </c>
      <c r="T1857" s="15">
        <v>0</v>
      </c>
      <c r="U1857" s="15">
        <v>1634.16</v>
      </c>
      <c r="V1857" s="15">
        <v>1634.16</v>
      </c>
      <c r="W1857" s="15">
        <v>0</v>
      </c>
      <c r="X1857" s="15">
        <v>0</v>
      </c>
      <c r="Y1857" s="16">
        <v>0</v>
      </c>
      <c r="Z1857" s="67" t="s">
        <v>26</v>
      </c>
      <c r="AA1857" s="12" t="s">
        <v>31</v>
      </c>
    </row>
    <row r="1858" spans="1:27" x14ac:dyDescent="0.25">
      <c r="A1858" s="10">
        <v>45685</v>
      </c>
      <c r="B1858" s="11" t="s">
        <v>3932</v>
      </c>
      <c r="C1858" s="11" t="s">
        <v>3933</v>
      </c>
      <c r="D1858" s="11" t="s">
        <v>26</v>
      </c>
      <c r="E1858" s="11" t="s">
        <v>246</v>
      </c>
      <c r="F1858" s="11" t="s">
        <v>26</v>
      </c>
      <c r="G1858" s="11">
        <v>2974</v>
      </c>
      <c r="H1858" s="12" t="s">
        <v>41</v>
      </c>
      <c r="I1858" s="12" t="s">
        <v>55</v>
      </c>
      <c r="J1858" s="12" t="s">
        <v>566</v>
      </c>
      <c r="K1858" s="12" t="s">
        <v>550</v>
      </c>
      <c r="L1858" s="13">
        <v>35.26</v>
      </c>
      <c r="M1858" s="13">
        <v>22</v>
      </c>
      <c r="N1858" s="13">
        <v>1.602727272727273</v>
      </c>
      <c r="O1858" s="13">
        <v>25</v>
      </c>
      <c r="P1858" s="13"/>
      <c r="Q1858" s="13">
        <v>0</v>
      </c>
      <c r="R1858" s="14">
        <v>881.5</v>
      </c>
      <c r="S1858" s="15">
        <v>0</v>
      </c>
      <c r="T1858" s="15">
        <v>0</v>
      </c>
      <c r="U1858" s="15">
        <v>881.5</v>
      </c>
      <c r="V1858" s="15">
        <v>0</v>
      </c>
      <c r="W1858" s="15">
        <v>881.5</v>
      </c>
      <c r="X1858" s="15">
        <v>0</v>
      </c>
      <c r="Y1858" s="16">
        <v>0</v>
      </c>
      <c r="Z1858" s="67" t="s">
        <v>26</v>
      </c>
      <c r="AA1858" s="12" t="s">
        <v>31</v>
      </c>
    </row>
    <row r="1859" spans="1:27" x14ac:dyDescent="0.25">
      <c r="A1859" s="10">
        <v>45685</v>
      </c>
      <c r="B1859" s="11" t="s">
        <v>3934</v>
      </c>
      <c r="C1859" s="11" t="s">
        <v>3935</v>
      </c>
      <c r="D1859" s="11" t="s">
        <v>26</v>
      </c>
      <c r="E1859" s="11" t="s">
        <v>77</v>
      </c>
      <c r="F1859" s="11" t="s">
        <v>26</v>
      </c>
      <c r="G1859" s="11">
        <v>2406</v>
      </c>
      <c r="H1859" s="12" t="s">
        <v>4449</v>
      </c>
      <c r="I1859" s="12" t="s">
        <v>55</v>
      </c>
      <c r="J1859" s="12" t="s">
        <v>55</v>
      </c>
      <c r="K1859" s="12" t="s">
        <v>56</v>
      </c>
      <c r="L1859" s="13">
        <v>36.54</v>
      </c>
      <c r="M1859" s="13">
        <v>25</v>
      </c>
      <c r="N1859" s="13">
        <v>1.4616</v>
      </c>
      <c r="O1859" s="13">
        <v>15</v>
      </c>
      <c r="P1859" s="13" t="s">
        <v>30</v>
      </c>
      <c r="Q1859" s="13">
        <v>0</v>
      </c>
      <c r="R1859" s="15">
        <v>548.1</v>
      </c>
      <c r="S1859" s="15">
        <v>0</v>
      </c>
      <c r="T1859" s="15">
        <v>0</v>
      </c>
      <c r="U1859" s="15">
        <v>548.1</v>
      </c>
      <c r="V1859" s="15">
        <v>548.1</v>
      </c>
      <c r="W1859" s="15">
        <v>0</v>
      </c>
      <c r="X1859" s="15">
        <v>0</v>
      </c>
      <c r="Y1859" s="16">
        <v>0</v>
      </c>
      <c r="Z1859" s="67" t="s">
        <v>26</v>
      </c>
      <c r="AA1859" s="12" t="s">
        <v>31</v>
      </c>
    </row>
    <row r="1860" spans="1:27" x14ac:dyDescent="0.25">
      <c r="A1860" s="10">
        <v>45685</v>
      </c>
      <c r="B1860" s="11" t="s">
        <v>3936</v>
      </c>
      <c r="C1860" s="11" t="s">
        <v>3937</v>
      </c>
      <c r="D1860" s="11" t="s">
        <v>26</v>
      </c>
      <c r="E1860" s="11" t="s">
        <v>3938</v>
      </c>
      <c r="F1860" s="11" t="s">
        <v>26</v>
      </c>
      <c r="G1860" s="11" t="s">
        <v>35</v>
      </c>
      <c r="H1860" s="12" t="s">
        <v>36</v>
      </c>
      <c r="I1860" s="12" t="s">
        <v>55</v>
      </c>
      <c r="J1860" s="12" t="s">
        <v>55</v>
      </c>
      <c r="K1860" s="12" t="s">
        <v>56</v>
      </c>
      <c r="L1860" s="13">
        <v>10.34</v>
      </c>
      <c r="M1860" s="13">
        <v>7</v>
      </c>
      <c r="N1860" s="13">
        <v>1.4771428571428571</v>
      </c>
      <c r="O1860" s="13">
        <v>20</v>
      </c>
      <c r="P1860" s="13" t="s">
        <v>30</v>
      </c>
      <c r="Q1860" s="13">
        <v>0</v>
      </c>
      <c r="R1860" s="14">
        <v>206.8</v>
      </c>
      <c r="S1860" s="15">
        <v>0</v>
      </c>
      <c r="T1860" s="15">
        <v>0</v>
      </c>
      <c r="U1860" s="15">
        <v>206.8</v>
      </c>
      <c r="V1860" s="15">
        <v>0</v>
      </c>
      <c r="W1860" s="15">
        <v>206.8</v>
      </c>
      <c r="X1860" s="15">
        <v>0</v>
      </c>
      <c r="Y1860" s="16">
        <v>0</v>
      </c>
      <c r="Z1860" s="67" t="s">
        <v>26</v>
      </c>
      <c r="AA1860" s="12" t="s">
        <v>31</v>
      </c>
    </row>
    <row r="1861" spans="1:27" x14ac:dyDescent="0.25">
      <c r="A1861" s="10">
        <v>45685</v>
      </c>
      <c r="B1861" s="11" t="s">
        <v>389</v>
      </c>
      <c r="C1861" s="11" t="s">
        <v>3939</v>
      </c>
      <c r="D1861" s="11" t="s">
        <v>26</v>
      </c>
      <c r="E1861" s="11" t="s">
        <v>444</v>
      </c>
      <c r="F1861" s="11" t="s">
        <v>26</v>
      </c>
      <c r="G1861" s="11">
        <v>2103</v>
      </c>
      <c r="H1861" s="12" t="s">
        <v>4449</v>
      </c>
      <c r="I1861" s="12" t="s">
        <v>55</v>
      </c>
      <c r="J1861" s="12" t="s">
        <v>55</v>
      </c>
      <c r="K1861" s="12" t="s">
        <v>56</v>
      </c>
      <c r="L1861" s="13">
        <v>35.24</v>
      </c>
      <c r="M1861" s="13">
        <v>22</v>
      </c>
      <c r="N1861" s="13">
        <v>1.601818181818182</v>
      </c>
      <c r="O1861" s="13">
        <v>15</v>
      </c>
      <c r="P1861" s="13" t="s">
        <v>30</v>
      </c>
      <c r="Q1861" s="13">
        <v>0</v>
      </c>
      <c r="R1861" s="14">
        <v>528.6</v>
      </c>
      <c r="S1861" s="15">
        <v>0</v>
      </c>
      <c r="T1861" s="15">
        <v>0</v>
      </c>
      <c r="U1861" s="15">
        <v>528.6</v>
      </c>
      <c r="V1861" s="15">
        <v>528.6</v>
      </c>
      <c r="W1861" s="15">
        <v>0</v>
      </c>
      <c r="X1861" s="15">
        <v>0</v>
      </c>
      <c r="Y1861" s="16">
        <v>0</v>
      </c>
      <c r="Z1861" s="67" t="s">
        <v>26</v>
      </c>
      <c r="AA1861" s="12" t="s">
        <v>31</v>
      </c>
    </row>
    <row r="1862" spans="1:27" x14ac:dyDescent="0.25">
      <c r="A1862" s="10">
        <v>45685</v>
      </c>
      <c r="B1862" s="11" t="s">
        <v>193</v>
      </c>
      <c r="C1862" s="11" t="s">
        <v>3940</v>
      </c>
      <c r="D1862" s="11" t="s">
        <v>26</v>
      </c>
      <c r="E1862" s="11" t="s">
        <v>435</v>
      </c>
      <c r="F1862" s="11" t="s">
        <v>26</v>
      </c>
      <c r="G1862" s="11">
        <v>3529</v>
      </c>
      <c r="H1862" s="12" t="s">
        <v>41</v>
      </c>
      <c r="I1862" s="12" t="s">
        <v>55</v>
      </c>
      <c r="J1862" s="12" t="s">
        <v>55</v>
      </c>
      <c r="K1862" s="12" t="s">
        <v>56</v>
      </c>
      <c r="L1862" s="13">
        <v>38.619999999999997</v>
      </c>
      <c r="M1862" s="13">
        <v>23</v>
      </c>
      <c r="N1862" s="13">
        <v>1.679130434782609</v>
      </c>
      <c r="O1862" s="13" t="s">
        <v>30</v>
      </c>
      <c r="P1862" s="13">
        <v>24</v>
      </c>
      <c r="Q1862" s="14">
        <v>0</v>
      </c>
      <c r="R1862" s="15">
        <v>552</v>
      </c>
      <c r="S1862" s="15">
        <v>0</v>
      </c>
      <c r="T1862" s="15">
        <v>0</v>
      </c>
      <c r="U1862" s="15">
        <v>552</v>
      </c>
      <c r="V1862" s="15">
        <v>0</v>
      </c>
      <c r="W1862" s="15">
        <v>552</v>
      </c>
      <c r="X1862" s="15">
        <v>0</v>
      </c>
      <c r="Y1862" s="16">
        <v>0</v>
      </c>
      <c r="Z1862" s="67" t="s">
        <v>26</v>
      </c>
      <c r="AA1862" s="12" t="s">
        <v>31</v>
      </c>
    </row>
    <row r="1863" spans="1:27" x14ac:dyDescent="0.25">
      <c r="A1863" s="10">
        <v>45685</v>
      </c>
      <c r="B1863" s="11" t="s">
        <v>3941</v>
      </c>
      <c r="C1863" s="11" t="s">
        <v>3942</v>
      </c>
      <c r="D1863" s="11" t="s">
        <v>26</v>
      </c>
      <c r="E1863" s="11" t="s">
        <v>80</v>
      </c>
      <c r="F1863" s="11" t="s">
        <v>26</v>
      </c>
      <c r="G1863" s="11">
        <v>10662</v>
      </c>
      <c r="H1863" s="12" t="s">
        <v>140</v>
      </c>
      <c r="I1863" s="12" t="s">
        <v>27</v>
      </c>
      <c r="J1863" s="12" t="s">
        <v>42</v>
      </c>
      <c r="K1863" s="12" t="s">
        <v>43</v>
      </c>
      <c r="L1863" s="13">
        <v>42.32</v>
      </c>
      <c r="M1863" s="13">
        <v>25</v>
      </c>
      <c r="N1863" s="13">
        <v>1.6928000000000001</v>
      </c>
      <c r="O1863" s="13">
        <v>35</v>
      </c>
      <c r="P1863" s="13"/>
      <c r="Q1863" s="13">
        <v>0</v>
      </c>
      <c r="R1863" s="14">
        <v>1481.2</v>
      </c>
      <c r="S1863" s="15">
        <v>0</v>
      </c>
      <c r="T1863" s="15">
        <v>0</v>
      </c>
      <c r="U1863" s="15">
        <v>1481.2</v>
      </c>
      <c r="V1863" s="15">
        <v>0</v>
      </c>
      <c r="W1863" s="15">
        <v>1481.2</v>
      </c>
      <c r="X1863" s="15">
        <v>0</v>
      </c>
      <c r="Y1863" s="16">
        <v>0</v>
      </c>
      <c r="Z1863" s="67" t="s">
        <v>26</v>
      </c>
      <c r="AA1863" s="12" t="s">
        <v>31</v>
      </c>
    </row>
    <row r="1864" spans="1:27" x14ac:dyDescent="0.25">
      <c r="A1864" s="10">
        <v>45685</v>
      </c>
      <c r="B1864" s="11" t="s">
        <v>3943</v>
      </c>
      <c r="C1864" s="11" t="s">
        <v>3944</v>
      </c>
      <c r="D1864" s="11" t="s">
        <v>26</v>
      </c>
      <c r="E1864" s="11" t="s">
        <v>2126</v>
      </c>
      <c r="F1864" s="11" t="s">
        <v>26</v>
      </c>
      <c r="G1864" s="11">
        <v>112379</v>
      </c>
      <c r="H1864" s="12" t="s">
        <v>4446</v>
      </c>
      <c r="I1864" s="12" t="s">
        <v>27</v>
      </c>
      <c r="J1864" s="12" t="s">
        <v>42</v>
      </c>
      <c r="K1864" s="12" t="s">
        <v>43</v>
      </c>
      <c r="L1864" s="13">
        <v>38.159999999999997</v>
      </c>
      <c r="M1864" s="13">
        <v>24</v>
      </c>
      <c r="N1864" s="13">
        <v>1.59</v>
      </c>
      <c r="O1864" s="13">
        <v>42</v>
      </c>
      <c r="P1864" s="13" t="s">
        <v>30</v>
      </c>
      <c r="Q1864" s="13">
        <v>0</v>
      </c>
      <c r="R1864" s="14">
        <v>1602.7199999999998</v>
      </c>
      <c r="S1864" s="15">
        <v>0</v>
      </c>
      <c r="T1864" s="15">
        <v>0</v>
      </c>
      <c r="U1864" s="15">
        <v>1602.7199999999998</v>
      </c>
      <c r="V1864" s="15">
        <v>1602.7199999999998</v>
      </c>
      <c r="W1864" s="15">
        <v>0</v>
      </c>
      <c r="X1864" s="15">
        <v>0</v>
      </c>
      <c r="Y1864" s="16">
        <v>0</v>
      </c>
      <c r="Z1864" s="67" t="s">
        <v>26</v>
      </c>
      <c r="AA1864" s="12" t="s">
        <v>31</v>
      </c>
    </row>
    <row r="1865" spans="1:27" x14ac:dyDescent="0.25">
      <c r="A1865" s="10">
        <v>45685</v>
      </c>
      <c r="B1865" s="11" t="s">
        <v>3945</v>
      </c>
      <c r="C1865" s="11" t="s">
        <v>3946</v>
      </c>
      <c r="D1865" s="11" t="s">
        <v>26</v>
      </c>
      <c r="E1865" s="11" t="s">
        <v>593</v>
      </c>
      <c r="F1865" s="11" t="s">
        <v>26</v>
      </c>
      <c r="G1865" s="11">
        <v>44308</v>
      </c>
      <c r="H1865" s="12" t="s">
        <v>4423</v>
      </c>
      <c r="I1865" s="12" t="s">
        <v>27</v>
      </c>
      <c r="J1865" s="12" t="s">
        <v>42</v>
      </c>
      <c r="K1865" s="12" t="s">
        <v>43</v>
      </c>
      <c r="L1865" s="13">
        <v>36.92</v>
      </c>
      <c r="M1865" s="13">
        <v>25</v>
      </c>
      <c r="N1865" s="13">
        <v>1.4767999999999999</v>
      </c>
      <c r="O1865" s="13">
        <v>42</v>
      </c>
      <c r="P1865" s="13" t="s">
        <v>30</v>
      </c>
      <c r="Q1865" s="13">
        <v>0</v>
      </c>
      <c r="R1865" s="14">
        <v>1550.64</v>
      </c>
      <c r="S1865" s="15">
        <v>0</v>
      </c>
      <c r="T1865" s="15">
        <v>0</v>
      </c>
      <c r="U1865" s="15">
        <v>1550.64</v>
      </c>
      <c r="V1865" s="15">
        <v>1550.64</v>
      </c>
      <c r="W1865" s="15">
        <v>0</v>
      </c>
      <c r="X1865" s="15">
        <v>0</v>
      </c>
      <c r="Y1865" s="16">
        <v>0</v>
      </c>
      <c r="Z1865" s="67" t="s">
        <v>26</v>
      </c>
      <c r="AA1865" s="12" t="s">
        <v>31</v>
      </c>
    </row>
    <row r="1866" spans="1:27" x14ac:dyDescent="0.25">
      <c r="A1866" s="10">
        <v>45685</v>
      </c>
      <c r="B1866" s="11" t="s">
        <v>3947</v>
      </c>
      <c r="C1866" s="11" t="s">
        <v>3948</v>
      </c>
      <c r="D1866" s="11" t="s">
        <v>26</v>
      </c>
      <c r="E1866" s="11" t="s">
        <v>483</v>
      </c>
      <c r="F1866" s="11" t="s">
        <v>26</v>
      </c>
      <c r="G1866" s="11">
        <v>3564</v>
      </c>
      <c r="H1866" s="12" t="s">
        <v>41</v>
      </c>
      <c r="I1866" s="12" t="s">
        <v>55</v>
      </c>
      <c r="J1866" s="12" t="s">
        <v>566</v>
      </c>
      <c r="K1866" s="12" t="s">
        <v>550</v>
      </c>
      <c r="L1866" s="13">
        <v>40.840000000000003</v>
      </c>
      <c r="M1866" s="13">
        <v>24</v>
      </c>
      <c r="N1866" s="13">
        <v>1.7016666666666671</v>
      </c>
      <c r="O1866" s="13">
        <v>25</v>
      </c>
      <c r="P1866" s="13"/>
      <c r="Q1866" s="13">
        <v>0</v>
      </c>
      <c r="R1866" s="15">
        <v>1021.0000000000001</v>
      </c>
      <c r="S1866" s="15">
        <v>0</v>
      </c>
      <c r="T1866" s="15">
        <v>0</v>
      </c>
      <c r="U1866" s="15">
        <v>1021.0000000000001</v>
      </c>
      <c r="V1866" s="15">
        <v>0</v>
      </c>
      <c r="W1866" s="15">
        <v>1021.0000000000001</v>
      </c>
      <c r="X1866" s="15">
        <v>0</v>
      </c>
      <c r="Y1866" s="16">
        <v>0</v>
      </c>
      <c r="Z1866" s="67" t="s">
        <v>26</v>
      </c>
      <c r="AA1866" s="12" t="s">
        <v>31</v>
      </c>
    </row>
    <row r="1867" spans="1:27" x14ac:dyDescent="0.25">
      <c r="A1867" s="10">
        <v>45685</v>
      </c>
      <c r="B1867" s="11" t="s">
        <v>3949</v>
      </c>
      <c r="C1867" s="11" t="s">
        <v>3950</v>
      </c>
      <c r="D1867" s="11" t="s">
        <v>26</v>
      </c>
      <c r="E1867" s="11" t="s">
        <v>531</v>
      </c>
      <c r="F1867" s="11" t="s">
        <v>26</v>
      </c>
      <c r="G1867" s="11">
        <v>912</v>
      </c>
      <c r="H1867" s="12" t="s">
        <v>163</v>
      </c>
      <c r="I1867" s="12" t="s">
        <v>27</v>
      </c>
      <c r="J1867" s="12" t="s">
        <v>42</v>
      </c>
      <c r="K1867" s="12" t="s">
        <v>43</v>
      </c>
      <c r="L1867" s="13">
        <v>41.46</v>
      </c>
      <c r="M1867" s="13">
        <v>25</v>
      </c>
      <c r="N1867" s="13">
        <v>1.6584000000000001</v>
      </c>
      <c r="O1867" s="13" t="s">
        <v>30</v>
      </c>
      <c r="P1867" s="13">
        <v>56</v>
      </c>
      <c r="Q1867" s="13">
        <v>0</v>
      </c>
      <c r="R1867" s="15">
        <v>1400</v>
      </c>
      <c r="S1867" s="15">
        <v>0</v>
      </c>
      <c r="T1867" s="15">
        <v>0</v>
      </c>
      <c r="U1867" s="15">
        <v>1400</v>
      </c>
      <c r="V1867" s="15">
        <v>0</v>
      </c>
      <c r="W1867" s="15">
        <v>1400</v>
      </c>
      <c r="X1867" s="15">
        <v>0</v>
      </c>
      <c r="Y1867" s="16">
        <v>0</v>
      </c>
      <c r="Z1867" s="67" t="s">
        <v>26</v>
      </c>
      <c r="AA1867" s="12" t="s">
        <v>31</v>
      </c>
    </row>
    <row r="1868" spans="1:27" x14ac:dyDescent="0.25">
      <c r="A1868" s="10">
        <v>45685</v>
      </c>
      <c r="B1868" s="11" t="s">
        <v>3951</v>
      </c>
      <c r="C1868" s="11" t="s">
        <v>3952</v>
      </c>
      <c r="D1868" s="11" t="s">
        <v>26</v>
      </c>
      <c r="E1868" s="11" t="s">
        <v>183</v>
      </c>
      <c r="F1868" s="11" t="s">
        <v>26</v>
      </c>
      <c r="G1868" s="11">
        <v>4680</v>
      </c>
      <c r="H1868" s="12" t="s">
        <v>41</v>
      </c>
      <c r="I1868" s="12" t="s">
        <v>37</v>
      </c>
      <c r="J1868" s="12" t="s">
        <v>228</v>
      </c>
      <c r="K1868" s="12" t="s">
        <v>38</v>
      </c>
      <c r="L1868" s="13">
        <v>32.9</v>
      </c>
      <c r="M1868" s="13">
        <v>20</v>
      </c>
      <c r="N1868" s="13">
        <v>1.645</v>
      </c>
      <c r="O1868" s="13" t="s">
        <v>30</v>
      </c>
      <c r="P1868" s="13">
        <v>43.5</v>
      </c>
      <c r="Q1868" s="13">
        <v>0</v>
      </c>
      <c r="R1868" s="14">
        <v>870</v>
      </c>
      <c r="S1868" s="15">
        <v>0</v>
      </c>
      <c r="T1868" s="15">
        <v>0</v>
      </c>
      <c r="U1868" s="15">
        <v>870</v>
      </c>
      <c r="V1868" s="15">
        <v>0</v>
      </c>
      <c r="W1868" s="15">
        <v>870</v>
      </c>
      <c r="X1868" s="15">
        <v>0</v>
      </c>
      <c r="Y1868" s="16">
        <v>0</v>
      </c>
      <c r="Z1868" s="67" t="s">
        <v>26</v>
      </c>
      <c r="AA1868" s="12" t="s">
        <v>31</v>
      </c>
    </row>
    <row r="1869" spans="1:27" x14ac:dyDescent="0.25">
      <c r="A1869" s="10">
        <v>45685</v>
      </c>
      <c r="B1869" s="11" t="s">
        <v>3953</v>
      </c>
      <c r="C1869" s="11" t="s">
        <v>3954</v>
      </c>
      <c r="D1869" s="11" t="s">
        <v>26</v>
      </c>
      <c r="E1869" s="11" t="s">
        <v>559</v>
      </c>
      <c r="F1869" s="11" t="s">
        <v>26</v>
      </c>
      <c r="G1869" s="11">
        <v>2573</v>
      </c>
      <c r="H1869" s="12" t="s">
        <v>41</v>
      </c>
      <c r="I1869" s="12" t="s">
        <v>37</v>
      </c>
      <c r="J1869" s="12" t="s">
        <v>228</v>
      </c>
      <c r="K1869" s="12" t="s">
        <v>38</v>
      </c>
      <c r="L1869" s="13">
        <v>35.28</v>
      </c>
      <c r="M1869" s="13">
        <v>20</v>
      </c>
      <c r="N1869" s="13">
        <v>1.764</v>
      </c>
      <c r="O1869" s="13" t="s">
        <v>30</v>
      </c>
      <c r="P1869" s="13">
        <v>43.5</v>
      </c>
      <c r="Q1869" s="13">
        <v>0</v>
      </c>
      <c r="R1869" s="14">
        <v>870</v>
      </c>
      <c r="S1869" s="15">
        <v>0</v>
      </c>
      <c r="T1869" s="15">
        <v>0</v>
      </c>
      <c r="U1869" s="15">
        <v>870</v>
      </c>
      <c r="V1869" s="15">
        <v>0</v>
      </c>
      <c r="W1869" s="15">
        <v>870</v>
      </c>
      <c r="X1869" s="15">
        <v>0</v>
      </c>
      <c r="Y1869" s="16">
        <v>0</v>
      </c>
      <c r="Z1869" s="67" t="s">
        <v>26</v>
      </c>
      <c r="AA1869" s="12" t="s">
        <v>31</v>
      </c>
    </row>
    <row r="1870" spans="1:27" x14ac:dyDescent="0.25">
      <c r="A1870" s="10">
        <v>45685</v>
      </c>
      <c r="B1870" s="11" t="s">
        <v>3381</v>
      </c>
      <c r="C1870" s="11" t="s">
        <v>3955</v>
      </c>
      <c r="D1870" s="11" t="s">
        <v>26</v>
      </c>
      <c r="E1870" s="11" t="s">
        <v>3938</v>
      </c>
      <c r="F1870" s="11" t="s">
        <v>26</v>
      </c>
      <c r="G1870" s="11" t="s">
        <v>35</v>
      </c>
      <c r="H1870" s="12" t="s">
        <v>36</v>
      </c>
      <c r="I1870" s="12" t="s">
        <v>55</v>
      </c>
      <c r="J1870" s="12" t="s">
        <v>55</v>
      </c>
      <c r="K1870" s="12" t="s">
        <v>56</v>
      </c>
      <c r="L1870" s="13">
        <v>10.34</v>
      </c>
      <c r="M1870" s="13">
        <v>7</v>
      </c>
      <c r="N1870" s="13">
        <v>1.4771428571428571</v>
      </c>
      <c r="O1870" s="13">
        <v>20</v>
      </c>
      <c r="P1870" s="13" t="s">
        <v>30</v>
      </c>
      <c r="Q1870" s="13">
        <v>0</v>
      </c>
      <c r="R1870" s="14">
        <v>206.8</v>
      </c>
      <c r="S1870" s="15">
        <v>0</v>
      </c>
      <c r="T1870" s="15">
        <v>0</v>
      </c>
      <c r="U1870" s="15">
        <v>206.8</v>
      </c>
      <c r="V1870" s="15">
        <v>0</v>
      </c>
      <c r="W1870" s="15">
        <v>206.8</v>
      </c>
      <c r="X1870" s="15">
        <v>0</v>
      </c>
      <c r="Y1870" s="16">
        <v>0</v>
      </c>
      <c r="Z1870" s="67" t="s">
        <v>26</v>
      </c>
      <c r="AA1870" s="12" t="s">
        <v>31</v>
      </c>
    </row>
    <row r="1871" spans="1:27" x14ac:dyDescent="0.25">
      <c r="A1871" s="10">
        <v>45685</v>
      </c>
      <c r="B1871" s="11" t="s">
        <v>3956</v>
      </c>
      <c r="C1871" s="11" t="s">
        <v>3957</v>
      </c>
      <c r="D1871" s="11" t="s">
        <v>26</v>
      </c>
      <c r="E1871" s="11" t="s">
        <v>1651</v>
      </c>
      <c r="F1871" s="11" t="s">
        <v>26</v>
      </c>
      <c r="G1871" s="11">
        <v>42269</v>
      </c>
      <c r="H1871" s="12" t="s">
        <v>565</v>
      </c>
      <c r="I1871" s="12" t="s">
        <v>27</v>
      </c>
      <c r="J1871" s="12" t="s">
        <v>33</v>
      </c>
      <c r="K1871" s="12" t="s">
        <v>34</v>
      </c>
      <c r="L1871" s="13">
        <v>35.06</v>
      </c>
      <c r="M1871" s="13">
        <v>24</v>
      </c>
      <c r="N1871" s="13">
        <v>1.460833333333333</v>
      </c>
      <c r="O1871" s="13"/>
      <c r="P1871" s="13">
        <v>60</v>
      </c>
      <c r="Q1871" s="13">
        <v>0</v>
      </c>
      <c r="R1871" s="14">
        <v>1440</v>
      </c>
      <c r="S1871" s="15">
        <v>0</v>
      </c>
      <c r="T1871" s="15">
        <v>0</v>
      </c>
      <c r="U1871" s="15">
        <v>1440</v>
      </c>
      <c r="V1871" s="15">
        <v>0</v>
      </c>
      <c r="W1871" s="15">
        <v>1440</v>
      </c>
      <c r="X1871" s="15">
        <v>0</v>
      </c>
      <c r="Y1871" s="16">
        <v>0</v>
      </c>
      <c r="Z1871" s="67" t="s">
        <v>26</v>
      </c>
      <c r="AA1871" s="12" t="s">
        <v>31</v>
      </c>
    </row>
    <row r="1872" spans="1:27" x14ac:dyDescent="0.25">
      <c r="A1872" s="10">
        <v>45685</v>
      </c>
      <c r="B1872" s="11" t="s">
        <v>3958</v>
      </c>
      <c r="C1872" s="11" t="s">
        <v>3959</v>
      </c>
      <c r="D1872" s="11" t="s">
        <v>26</v>
      </c>
      <c r="E1872" s="11" t="s">
        <v>569</v>
      </c>
      <c r="F1872" s="11" t="s">
        <v>26</v>
      </c>
      <c r="G1872" s="11">
        <v>112189</v>
      </c>
      <c r="H1872" s="12" t="s">
        <v>4446</v>
      </c>
      <c r="I1872" s="12" t="s">
        <v>27</v>
      </c>
      <c r="J1872" s="12" t="s">
        <v>42</v>
      </c>
      <c r="K1872" s="12" t="s">
        <v>43</v>
      </c>
      <c r="L1872" s="13">
        <v>36</v>
      </c>
      <c r="M1872" s="13">
        <v>24</v>
      </c>
      <c r="N1872" s="13">
        <v>1.5</v>
      </c>
      <c r="O1872" s="13">
        <v>42</v>
      </c>
      <c r="P1872" s="13" t="s">
        <v>30</v>
      </c>
      <c r="Q1872" s="13">
        <v>0</v>
      </c>
      <c r="R1872" s="15">
        <v>1512</v>
      </c>
      <c r="S1872" s="15">
        <v>0</v>
      </c>
      <c r="T1872" s="15">
        <v>0</v>
      </c>
      <c r="U1872" s="15">
        <v>1512</v>
      </c>
      <c r="V1872" s="15">
        <v>1512</v>
      </c>
      <c r="W1872" s="15">
        <v>0</v>
      </c>
      <c r="X1872" s="15">
        <v>0</v>
      </c>
      <c r="Y1872" s="16">
        <v>0</v>
      </c>
      <c r="Z1872" s="67" t="s">
        <v>26</v>
      </c>
      <c r="AA1872" s="12" t="s">
        <v>31</v>
      </c>
    </row>
    <row r="1873" spans="1:27" x14ac:dyDescent="0.25">
      <c r="A1873" s="10">
        <v>45685</v>
      </c>
      <c r="B1873" s="11" t="s">
        <v>3960</v>
      </c>
      <c r="C1873" s="11" t="s">
        <v>3961</v>
      </c>
      <c r="D1873" s="11" t="s">
        <v>26</v>
      </c>
      <c r="E1873" s="11" t="s">
        <v>571</v>
      </c>
      <c r="F1873" s="11" t="s">
        <v>26</v>
      </c>
      <c r="G1873" s="11">
        <v>111943</v>
      </c>
      <c r="H1873" s="12" t="s">
        <v>4446</v>
      </c>
      <c r="I1873" s="12" t="s">
        <v>27</v>
      </c>
      <c r="J1873" s="12" t="s">
        <v>42</v>
      </c>
      <c r="K1873" s="12" t="s">
        <v>43</v>
      </c>
      <c r="L1873" s="13">
        <v>36.54</v>
      </c>
      <c r="M1873" s="13">
        <v>24</v>
      </c>
      <c r="N1873" s="13">
        <v>1.5225</v>
      </c>
      <c r="O1873" s="13">
        <v>42</v>
      </c>
      <c r="P1873" s="13" t="s">
        <v>30</v>
      </c>
      <c r="Q1873" s="13">
        <v>0</v>
      </c>
      <c r="R1873" s="14">
        <v>1534.68</v>
      </c>
      <c r="S1873" s="15">
        <v>0</v>
      </c>
      <c r="T1873" s="15">
        <v>0</v>
      </c>
      <c r="U1873" s="15">
        <v>1534.68</v>
      </c>
      <c r="V1873" s="15">
        <v>1534.68</v>
      </c>
      <c r="W1873" s="15">
        <v>0</v>
      </c>
      <c r="X1873" s="15">
        <v>0</v>
      </c>
      <c r="Y1873" s="16">
        <v>0</v>
      </c>
      <c r="Z1873" s="67" t="s">
        <v>26</v>
      </c>
      <c r="AA1873" s="12" t="s">
        <v>31</v>
      </c>
    </row>
    <row r="1874" spans="1:27" x14ac:dyDescent="0.25">
      <c r="A1874" s="10">
        <v>45685</v>
      </c>
      <c r="B1874" s="11" t="s">
        <v>3962</v>
      </c>
      <c r="C1874" s="11" t="s">
        <v>3963</v>
      </c>
      <c r="D1874" s="11" t="s">
        <v>26</v>
      </c>
      <c r="E1874" s="11" t="s">
        <v>230</v>
      </c>
      <c r="F1874" s="11" t="s">
        <v>26</v>
      </c>
      <c r="G1874" s="11" t="s">
        <v>26</v>
      </c>
      <c r="H1874" s="12" t="s">
        <v>4422</v>
      </c>
      <c r="I1874" s="12" t="s">
        <v>27</v>
      </c>
      <c r="J1874" s="12" t="s">
        <v>47</v>
      </c>
      <c r="K1874" s="12" t="s">
        <v>48</v>
      </c>
      <c r="L1874" s="13">
        <v>39.82</v>
      </c>
      <c r="M1874" s="13">
        <v>27</v>
      </c>
      <c r="N1874" s="13">
        <v>1.474814814814815</v>
      </c>
      <c r="O1874" s="13">
        <v>87</v>
      </c>
      <c r="P1874" s="13" t="s">
        <v>30</v>
      </c>
      <c r="Q1874" s="13">
        <v>0</v>
      </c>
      <c r="R1874" s="14">
        <v>3464.34</v>
      </c>
      <c r="S1874" s="15">
        <v>38</v>
      </c>
      <c r="T1874" s="15">
        <v>1513.16</v>
      </c>
      <c r="U1874" s="15">
        <v>1951.18</v>
      </c>
      <c r="V1874" s="15">
        <v>1951.18</v>
      </c>
      <c r="W1874" s="15"/>
      <c r="X1874" s="15">
        <v>1433.52</v>
      </c>
      <c r="Y1874" s="16">
        <v>79.6400000000001</v>
      </c>
      <c r="Z1874" s="67" t="s">
        <v>565</v>
      </c>
      <c r="AA1874" s="12" t="s">
        <v>78</v>
      </c>
    </row>
    <row r="1875" spans="1:27" x14ac:dyDescent="0.25">
      <c r="A1875" s="10">
        <v>45685</v>
      </c>
      <c r="B1875" s="11" t="s">
        <v>3964</v>
      </c>
      <c r="C1875" s="11" t="s">
        <v>3965</v>
      </c>
      <c r="D1875" s="11" t="s">
        <v>26</v>
      </c>
      <c r="E1875" s="11" t="s">
        <v>1660</v>
      </c>
      <c r="F1875" s="11" t="s">
        <v>26</v>
      </c>
      <c r="G1875" s="11">
        <v>42275</v>
      </c>
      <c r="H1875" s="12" t="s">
        <v>565</v>
      </c>
      <c r="I1875" s="12" t="s">
        <v>27</v>
      </c>
      <c r="J1875" s="12" t="s">
        <v>33</v>
      </c>
      <c r="K1875" s="12" t="s">
        <v>34</v>
      </c>
      <c r="L1875" s="13">
        <v>35.18</v>
      </c>
      <c r="M1875" s="13">
        <v>24</v>
      </c>
      <c r="N1875" s="13">
        <v>1.4658333333333331</v>
      </c>
      <c r="O1875" s="13"/>
      <c r="P1875" s="13">
        <v>60</v>
      </c>
      <c r="Q1875" s="13">
        <v>0</v>
      </c>
      <c r="R1875" s="14">
        <v>1440</v>
      </c>
      <c r="S1875" s="15">
        <v>0</v>
      </c>
      <c r="T1875" s="15">
        <v>0</v>
      </c>
      <c r="U1875" s="15">
        <v>1440</v>
      </c>
      <c r="V1875" s="15">
        <v>0</v>
      </c>
      <c r="W1875" s="15">
        <v>1440</v>
      </c>
      <c r="X1875" s="16">
        <v>0</v>
      </c>
      <c r="Y1875" s="16">
        <v>0</v>
      </c>
      <c r="Z1875" s="67" t="s">
        <v>26</v>
      </c>
      <c r="AA1875" s="12" t="s">
        <v>31</v>
      </c>
    </row>
    <row r="1876" spans="1:27" x14ac:dyDescent="0.25">
      <c r="A1876" s="10">
        <v>45685</v>
      </c>
      <c r="B1876" s="11" t="s">
        <v>3966</v>
      </c>
      <c r="C1876" s="11" t="s">
        <v>3967</v>
      </c>
      <c r="D1876" s="11" t="s">
        <v>26</v>
      </c>
      <c r="E1876" s="11" t="s">
        <v>552</v>
      </c>
      <c r="F1876" s="11" t="s">
        <v>26</v>
      </c>
      <c r="G1876" s="11">
        <v>69138</v>
      </c>
      <c r="H1876" s="12" t="s">
        <v>4423</v>
      </c>
      <c r="I1876" s="12" t="s">
        <v>27</v>
      </c>
      <c r="J1876" s="12" t="s">
        <v>42</v>
      </c>
      <c r="K1876" s="12" t="s">
        <v>43</v>
      </c>
      <c r="L1876" s="13">
        <v>36.06</v>
      </c>
      <c r="M1876" s="13">
        <v>25</v>
      </c>
      <c r="N1876" s="13">
        <v>1.4423999999999999</v>
      </c>
      <c r="O1876" s="13">
        <v>42</v>
      </c>
      <c r="P1876" s="13" t="s">
        <v>30</v>
      </c>
      <c r="Q1876" s="13">
        <v>0</v>
      </c>
      <c r="R1876" s="14">
        <v>1514.52</v>
      </c>
      <c r="S1876" s="15">
        <v>0</v>
      </c>
      <c r="T1876" s="15">
        <v>0</v>
      </c>
      <c r="U1876" s="15">
        <v>1514.52</v>
      </c>
      <c r="V1876" s="15">
        <v>1514.52</v>
      </c>
      <c r="W1876" s="15">
        <v>0</v>
      </c>
      <c r="X1876" s="16">
        <v>0</v>
      </c>
      <c r="Y1876" s="16">
        <v>0</v>
      </c>
      <c r="Z1876" s="67" t="s">
        <v>26</v>
      </c>
      <c r="AA1876" s="12" t="s">
        <v>31</v>
      </c>
    </row>
    <row r="1877" spans="1:27" x14ac:dyDescent="0.25">
      <c r="A1877" s="10">
        <v>45685</v>
      </c>
      <c r="B1877" s="11" t="s">
        <v>3968</v>
      </c>
      <c r="C1877" s="11" t="s">
        <v>3969</v>
      </c>
      <c r="D1877" s="11" t="s">
        <v>26</v>
      </c>
      <c r="E1877" s="11" t="s">
        <v>529</v>
      </c>
      <c r="F1877" s="11" t="s">
        <v>26</v>
      </c>
      <c r="G1877" s="11">
        <v>918</v>
      </c>
      <c r="H1877" s="12" t="s">
        <v>163</v>
      </c>
      <c r="I1877" s="12" t="s">
        <v>27</v>
      </c>
      <c r="J1877" s="12" t="s">
        <v>42</v>
      </c>
      <c r="K1877" s="12" t="s">
        <v>43</v>
      </c>
      <c r="L1877" s="13">
        <v>41.36</v>
      </c>
      <c r="M1877" s="13">
        <v>25</v>
      </c>
      <c r="N1877" s="13">
        <v>1.6544000000000001</v>
      </c>
      <c r="O1877" s="13" t="s">
        <v>30</v>
      </c>
      <c r="P1877" s="13">
        <v>56</v>
      </c>
      <c r="Q1877" s="13">
        <v>0</v>
      </c>
      <c r="R1877" s="14">
        <v>1400</v>
      </c>
      <c r="S1877" s="15">
        <v>0</v>
      </c>
      <c r="T1877" s="15">
        <v>0</v>
      </c>
      <c r="U1877" s="15">
        <v>1400</v>
      </c>
      <c r="V1877" s="15">
        <v>0</v>
      </c>
      <c r="W1877" s="15">
        <v>1400</v>
      </c>
      <c r="X1877" s="15">
        <v>0</v>
      </c>
      <c r="Y1877" s="16">
        <v>0</v>
      </c>
      <c r="Z1877" s="67" t="s">
        <v>26</v>
      </c>
      <c r="AA1877" s="12" t="s">
        <v>31</v>
      </c>
    </row>
    <row r="1878" spans="1:27" x14ac:dyDescent="0.25">
      <c r="A1878" s="10">
        <v>45685</v>
      </c>
      <c r="B1878" s="11" t="s">
        <v>3970</v>
      </c>
      <c r="C1878" s="11" t="s">
        <v>3971</v>
      </c>
      <c r="D1878" s="11" t="s">
        <v>26</v>
      </c>
      <c r="E1878" s="11" t="s">
        <v>534</v>
      </c>
      <c r="F1878" s="11" t="s">
        <v>26</v>
      </c>
      <c r="G1878" s="11">
        <v>911</v>
      </c>
      <c r="H1878" s="12" t="s">
        <v>163</v>
      </c>
      <c r="I1878" s="12" t="s">
        <v>27</v>
      </c>
      <c r="J1878" s="12" t="s">
        <v>42</v>
      </c>
      <c r="K1878" s="12" t="s">
        <v>43</v>
      </c>
      <c r="L1878" s="13">
        <v>41.96</v>
      </c>
      <c r="M1878" s="13">
        <v>25</v>
      </c>
      <c r="N1878" s="13">
        <v>1.6783999999999999</v>
      </c>
      <c r="O1878" s="13" t="s">
        <v>30</v>
      </c>
      <c r="P1878" s="13">
        <v>56</v>
      </c>
      <c r="Q1878" s="13">
        <v>0</v>
      </c>
      <c r="R1878" s="15">
        <v>1400</v>
      </c>
      <c r="S1878" s="15">
        <v>0</v>
      </c>
      <c r="T1878" s="15">
        <v>0</v>
      </c>
      <c r="U1878" s="15">
        <v>1400</v>
      </c>
      <c r="V1878" s="15">
        <v>0</v>
      </c>
      <c r="W1878" s="15">
        <v>1400</v>
      </c>
      <c r="X1878" s="15">
        <v>0</v>
      </c>
      <c r="Y1878" s="16">
        <v>0</v>
      </c>
      <c r="Z1878" s="67" t="s">
        <v>26</v>
      </c>
      <c r="AA1878" s="12" t="s">
        <v>31</v>
      </c>
    </row>
    <row r="1879" spans="1:27" x14ac:dyDescent="0.25">
      <c r="A1879" s="10">
        <v>45685</v>
      </c>
      <c r="B1879" s="11" t="s">
        <v>3972</v>
      </c>
      <c r="C1879" s="11" t="s">
        <v>3973</v>
      </c>
      <c r="D1879" s="11" t="s">
        <v>26</v>
      </c>
      <c r="E1879" s="11" t="s">
        <v>506</v>
      </c>
      <c r="F1879" s="11" t="s">
        <v>26</v>
      </c>
      <c r="G1879" s="11">
        <v>1538</v>
      </c>
      <c r="H1879" s="12" t="s">
        <v>45</v>
      </c>
      <c r="I1879" s="12" t="s">
        <v>27</v>
      </c>
      <c r="J1879" s="12" t="s">
        <v>33</v>
      </c>
      <c r="K1879" s="12" t="s">
        <v>34</v>
      </c>
      <c r="L1879" s="13">
        <v>38.22</v>
      </c>
      <c r="M1879" s="13">
        <v>25</v>
      </c>
      <c r="N1879" s="13">
        <v>1.5287999999999999</v>
      </c>
      <c r="O1879" s="13" t="s">
        <v>30</v>
      </c>
      <c r="P1879" s="13">
        <v>58</v>
      </c>
      <c r="Q1879" s="13">
        <v>0</v>
      </c>
      <c r="R1879" s="14">
        <v>1450</v>
      </c>
      <c r="S1879" s="15">
        <v>0</v>
      </c>
      <c r="T1879" s="15">
        <v>0</v>
      </c>
      <c r="U1879" s="15">
        <v>1450</v>
      </c>
      <c r="V1879" s="15">
        <v>0</v>
      </c>
      <c r="W1879" s="15">
        <v>1450</v>
      </c>
      <c r="X1879" s="15">
        <v>0</v>
      </c>
      <c r="Y1879" s="16">
        <v>0</v>
      </c>
      <c r="Z1879" s="67" t="s">
        <v>26</v>
      </c>
      <c r="AA1879" s="12" t="s">
        <v>31</v>
      </c>
    </row>
    <row r="1880" spans="1:27" x14ac:dyDescent="0.25">
      <c r="A1880" s="10">
        <v>45686</v>
      </c>
      <c r="B1880" s="11" t="s">
        <v>660</v>
      </c>
      <c r="C1880" s="11" t="s">
        <v>3974</v>
      </c>
      <c r="D1880" s="11" t="s">
        <v>26</v>
      </c>
      <c r="E1880" s="11" t="s">
        <v>224</v>
      </c>
      <c r="F1880" s="11" t="s">
        <v>26</v>
      </c>
      <c r="G1880" s="11">
        <v>55336</v>
      </c>
      <c r="H1880" s="12" t="s">
        <v>4423</v>
      </c>
      <c r="I1880" s="12" t="s">
        <v>27</v>
      </c>
      <c r="J1880" s="12" t="s">
        <v>47</v>
      </c>
      <c r="K1880" s="12" t="s">
        <v>48</v>
      </c>
      <c r="L1880" s="13">
        <v>35.26</v>
      </c>
      <c r="M1880" s="13">
        <v>25</v>
      </c>
      <c r="N1880" s="13">
        <v>1.4104000000000001</v>
      </c>
      <c r="O1880" s="13">
        <v>46</v>
      </c>
      <c r="P1880" s="13" t="s">
        <v>30</v>
      </c>
      <c r="Q1880" s="13">
        <v>0</v>
      </c>
      <c r="R1880" s="14">
        <v>1621.9599999999998</v>
      </c>
      <c r="S1880" s="15">
        <v>0</v>
      </c>
      <c r="T1880" s="15">
        <v>0</v>
      </c>
      <c r="U1880" s="15">
        <v>1621.9599999999998</v>
      </c>
      <c r="V1880" s="15">
        <v>1621.9599999999998</v>
      </c>
      <c r="W1880" s="15">
        <v>0</v>
      </c>
      <c r="X1880" s="15">
        <v>0</v>
      </c>
      <c r="Y1880" s="16">
        <v>0</v>
      </c>
      <c r="Z1880" s="67" t="s">
        <v>26</v>
      </c>
      <c r="AA1880" s="12" t="s">
        <v>31</v>
      </c>
    </row>
    <row r="1881" spans="1:27" x14ac:dyDescent="0.25">
      <c r="A1881" s="10">
        <v>45686</v>
      </c>
      <c r="B1881" s="11" t="s">
        <v>3975</v>
      </c>
      <c r="C1881" s="11" t="s">
        <v>3976</v>
      </c>
      <c r="D1881" s="11" t="s">
        <v>26</v>
      </c>
      <c r="E1881" s="11" t="s">
        <v>100</v>
      </c>
      <c r="F1881" s="11" t="s">
        <v>26</v>
      </c>
      <c r="G1881" s="11">
        <v>21735</v>
      </c>
      <c r="H1881" s="12" t="s">
        <v>4448</v>
      </c>
      <c r="I1881" s="12" t="s">
        <v>27</v>
      </c>
      <c r="J1881" s="12" t="s">
        <v>42</v>
      </c>
      <c r="K1881" s="12" t="s">
        <v>43</v>
      </c>
      <c r="L1881" s="13">
        <v>44.18</v>
      </c>
      <c r="M1881" s="13">
        <v>25</v>
      </c>
      <c r="N1881" s="13">
        <v>1.7672000000000001</v>
      </c>
      <c r="O1881" s="13">
        <v>42.5</v>
      </c>
      <c r="P1881" s="13" t="s">
        <v>30</v>
      </c>
      <c r="Q1881" s="13">
        <v>0</v>
      </c>
      <c r="R1881" s="15">
        <v>1877.65</v>
      </c>
      <c r="S1881" s="15">
        <v>0</v>
      </c>
      <c r="T1881" s="15">
        <v>0</v>
      </c>
      <c r="U1881" s="15">
        <v>1877.65</v>
      </c>
      <c r="V1881" s="15">
        <v>1408.2375000000002</v>
      </c>
      <c r="W1881" s="15">
        <v>469.41249999999991</v>
      </c>
      <c r="X1881" s="15">
        <v>0</v>
      </c>
      <c r="Y1881" s="16">
        <v>0</v>
      </c>
      <c r="Z1881" s="67" t="s">
        <v>26</v>
      </c>
      <c r="AA1881" s="12" t="s">
        <v>31</v>
      </c>
    </row>
    <row r="1882" spans="1:27" x14ac:dyDescent="0.25">
      <c r="A1882" s="10">
        <v>45686</v>
      </c>
      <c r="B1882" s="11" t="s">
        <v>3975</v>
      </c>
      <c r="C1882" s="11" t="s">
        <v>3977</v>
      </c>
      <c r="D1882" s="11" t="s">
        <v>26</v>
      </c>
      <c r="E1882" s="11" t="s">
        <v>496</v>
      </c>
      <c r="F1882" s="11" t="s">
        <v>26</v>
      </c>
      <c r="G1882" s="11">
        <v>22914</v>
      </c>
      <c r="H1882" s="12" t="s">
        <v>4448</v>
      </c>
      <c r="I1882" s="12" t="s">
        <v>27</v>
      </c>
      <c r="J1882" s="12" t="s">
        <v>33</v>
      </c>
      <c r="K1882" s="12" t="s">
        <v>34</v>
      </c>
      <c r="L1882" s="13">
        <v>37.26</v>
      </c>
      <c r="M1882" s="13">
        <v>25</v>
      </c>
      <c r="N1882" s="13">
        <v>1.4903999999999999</v>
      </c>
      <c r="O1882" s="13">
        <v>45.33</v>
      </c>
      <c r="P1882" s="13" t="s">
        <v>30</v>
      </c>
      <c r="Q1882" s="13">
        <v>0</v>
      </c>
      <c r="R1882" s="15">
        <v>1688.9957999999999</v>
      </c>
      <c r="S1882" s="15">
        <v>0</v>
      </c>
      <c r="T1882" s="15">
        <v>0</v>
      </c>
      <c r="U1882" s="15">
        <v>1688.9957999999999</v>
      </c>
      <c r="V1882" s="15">
        <v>1266.74685</v>
      </c>
      <c r="W1882" s="15">
        <v>422.24894999999992</v>
      </c>
      <c r="X1882" s="15">
        <v>0</v>
      </c>
      <c r="Y1882" s="16">
        <v>0</v>
      </c>
      <c r="Z1882" s="67" t="s">
        <v>26</v>
      </c>
      <c r="AA1882" s="12" t="s">
        <v>31</v>
      </c>
    </row>
    <row r="1883" spans="1:27" x14ac:dyDescent="0.25">
      <c r="A1883" s="10">
        <v>45686</v>
      </c>
      <c r="B1883" s="11" t="s">
        <v>1157</v>
      </c>
      <c r="C1883" s="11" t="s">
        <v>3978</v>
      </c>
      <c r="D1883" s="11" t="s">
        <v>26</v>
      </c>
      <c r="E1883" s="11" t="s">
        <v>553</v>
      </c>
      <c r="F1883" s="11" t="s">
        <v>26</v>
      </c>
      <c r="G1883" s="11">
        <v>4666</v>
      </c>
      <c r="H1883" s="12" t="s">
        <v>4423</v>
      </c>
      <c r="I1883" s="12" t="s">
        <v>27</v>
      </c>
      <c r="J1883" s="12" t="s">
        <v>33</v>
      </c>
      <c r="K1883" s="12" t="s">
        <v>34</v>
      </c>
      <c r="L1883" s="13">
        <v>34.119999999999997</v>
      </c>
      <c r="M1883" s="13">
        <v>25</v>
      </c>
      <c r="N1883" s="13">
        <v>1.3648</v>
      </c>
      <c r="O1883" s="13">
        <v>45</v>
      </c>
      <c r="P1883" s="13" t="s">
        <v>30</v>
      </c>
      <c r="Q1883" s="13">
        <v>0</v>
      </c>
      <c r="R1883" s="14">
        <v>1535.3999999999999</v>
      </c>
      <c r="S1883" s="15">
        <v>0</v>
      </c>
      <c r="T1883" s="15">
        <v>0</v>
      </c>
      <c r="U1883" s="15">
        <v>1535.3999999999999</v>
      </c>
      <c r="V1883" s="15">
        <v>1535.3999999999999</v>
      </c>
      <c r="W1883" s="15">
        <v>0</v>
      </c>
      <c r="X1883" s="15">
        <v>0</v>
      </c>
      <c r="Y1883" s="16">
        <v>0</v>
      </c>
      <c r="Z1883" s="67" t="s">
        <v>26</v>
      </c>
      <c r="AA1883" s="12" t="s">
        <v>31</v>
      </c>
    </row>
    <row r="1884" spans="1:27" x14ac:dyDescent="0.25">
      <c r="A1884" s="10">
        <v>45686</v>
      </c>
      <c r="B1884" s="11" t="s">
        <v>263</v>
      </c>
      <c r="C1884" s="11" t="s">
        <v>3979</v>
      </c>
      <c r="D1884" s="11" t="s">
        <v>26</v>
      </c>
      <c r="E1884" s="11" t="s">
        <v>483</v>
      </c>
      <c r="F1884" s="11" t="s">
        <v>26</v>
      </c>
      <c r="G1884" s="11" t="s">
        <v>26</v>
      </c>
      <c r="H1884" s="12" t="s">
        <v>4422</v>
      </c>
      <c r="I1884" s="12" t="s">
        <v>27</v>
      </c>
      <c r="J1884" s="12" t="s">
        <v>33</v>
      </c>
      <c r="K1884" s="12" t="s">
        <v>34</v>
      </c>
      <c r="L1884" s="13">
        <v>43.24</v>
      </c>
      <c r="M1884" s="13">
        <v>30</v>
      </c>
      <c r="N1884" s="13">
        <v>1.4413333333333329</v>
      </c>
      <c r="O1884" s="13">
        <v>85</v>
      </c>
      <c r="P1884" s="13" t="s">
        <v>30</v>
      </c>
      <c r="Q1884" s="13">
        <v>0</v>
      </c>
      <c r="R1884" s="14">
        <v>3675.4</v>
      </c>
      <c r="S1884" s="15">
        <v>38</v>
      </c>
      <c r="T1884" s="15">
        <v>1643.1200000000001</v>
      </c>
      <c r="U1884" s="15">
        <v>2032.28</v>
      </c>
      <c r="V1884" s="15">
        <v>2032.28</v>
      </c>
      <c r="W1884" s="15">
        <v>0</v>
      </c>
      <c r="X1884" s="15">
        <v>1599.88</v>
      </c>
      <c r="Y1884" s="16">
        <v>43.240000000000009</v>
      </c>
      <c r="Z1884" s="67" t="s">
        <v>41</v>
      </c>
      <c r="AA1884" s="12" t="s">
        <v>78</v>
      </c>
    </row>
    <row r="1885" spans="1:27" x14ac:dyDescent="0.25">
      <c r="A1885" s="10">
        <v>45686</v>
      </c>
      <c r="B1885" s="11" t="s">
        <v>3980</v>
      </c>
      <c r="C1885" s="11" t="s">
        <v>3981</v>
      </c>
      <c r="D1885" s="11" t="s">
        <v>26</v>
      </c>
      <c r="E1885" s="11" t="s">
        <v>50</v>
      </c>
      <c r="F1885" s="11" t="s">
        <v>26</v>
      </c>
      <c r="G1885" s="11">
        <v>920</v>
      </c>
      <c r="H1885" s="12" t="s">
        <v>163</v>
      </c>
      <c r="I1885" s="12" t="s">
        <v>27</v>
      </c>
      <c r="J1885" s="12" t="s">
        <v>33</v>
      </c>
      <c r="K1885" s="12" t="s">
        <v>34</v>
      </c>
      <c r="L1885" s="13">
        <v>38.92</v>
      </c>
      <c r="M1885" s="13">
        <v>25</v>
      </c>
      <c r="N1885" s="13">
        <v>1.5568</v>
      </c>
      <c r="O1885" s="13" t="s">
        <v>30</v>
      </c>
      <c r="P1885" s="13">
        <v>58</v>
      </c>
      <c r="Q1885" s="13">
        <v>0</v>
      </c>
      <c r="R1885" s="15">
        <v>1450</v>
      </c>
      <c r="S1885" s="15">
        <v>0</v>
      </c>
      <c r="T1885" s="15">
        <v>0</v>
      </c>
      <c r="U1885" s="15">
        <v>1450</v>
      </c>
      <c r="V1885" s="15">
        <v>0</v>
      </c>
      <c r="W1885" s="15">
        <v>1450</v>
      </c>
      <c r="X1885" s="15">
        <v>0</v>
      </c>
      <c r="Y1885" s="16">
        <v>0</v>
      </c>
      <c r="Z1885" s="67" t="s">
        <v>26</v>
      </c>
      <c r="AA1885" s="12" t="s">
        <v>31</v>
      </c>
    </row>
    <row r="1886" spans="1:27" x14ac:dyDescent="0.25">
      <c r="A1886" s="10">
        <v>45686</v>
      </c>
      <c r="B1886" s="11" t="s">
        <v>110</v>
      </c>
      <c r="C1886" s="11" t="s">
        <v>3982</v>
      </c>
      <c r="D1886" s="11" t="s">
        <v>26</v>
      </c>
      <c r="E1886" s="11" t="s">
        <v>53</v>
      </c>
      <c r="F1886" s="11" t="s">
        <v>26</v>
      </c>
      <c r="G1886" s="11" t="s">
        <v>26</v>
      </c>
      <c r="H1886" s="12" t="s">
        <v>4422</v>
      </c>
      <c r="I1886" s="12" t="s">
        <v>27</v>
      </c>
      <c r="J1886" s="12" t="s">
        <v>42</v>
      </c>
      <c r="K1886" s="12" t="s">
        <v>43</v>
      </c>
      <c r="L1886" s="13">
        <v>47.04</v>
      </c>
      <c r="M1886" s="13">
        <v>29</v>
      </c>
      <c r="N1886" s="13">
        <v>1.6220689655172409</v>
      </c>
      <c r="O1886" s="13">
        <v>83</v>
      </c>
      <c r="P1886" s="13" t="s">
        <v>30</v>
      </c>
      <c r="Q1886" s="13">
        <v>0</v>
      </c>
      <c r="R1886" s="14">
        <v>3904.3199999999997</v>
      </c>
      <c r="S1886" s="15">
        <v>38</v>
      </c>
      <c r="T1886" s="15">
        <v>1787.52</v>
      </c>
      <c r="U1886" s="15">
        <v>2116.7999999999997</v>
      </c>
      <c r="V1886" s="15">
        <v>2116.7999999999997</v>
      </c>
      <c r="W1886" s="15"/>
      <c r="X1886" s="15">
        <v>1740.48</v>
      </c>
      <c r="Y1886" s="16">
        <v>47.039999999999964</v>
      </c>
      <c r="Z1886" s="67" t="s">
        <v>41</v>
      </c>
      <c r="AA1886" s="12" t="s">
        <v>78</v>
      </c>
    </row>
    <row r="1887" spans="1:27" x14ac:dyDescent="0.25">
      <c r="A1887" s="10">
        <v>45686</v>
      </c>
      <c r="B1887" s="11" t="s">
        <v>3983</v>
      </c>
      <c r="C1887" s="11" t="s">
        <v>3984</v>
      </c>
      <c r="D1887" s="11" t="s">
        <v>26</v>
      </c>
      <c r="E1887" s="11" t="s">
        <v>506</v>
      </c>
      <c r="F1887" s="11" t="s">
        <v>26</v>
      </c>
      <c r="G1887" s="11" t="s">
        <v>35</v>
      </c>
      <c r="H1887" s="12" t="s">
        <v>36</v>
      </c>
      <c r="I1887" s="12" t="s">
        <v>55</v>
      </c>
      <c r="J1887" s="12" t="s">
        <v>55</v>
      </c>
      <c r="K1887" s="12" t="s">
        <v>56</v>
      </c>
      <c r="L1887" s="13">
        <v>32.6</v>
      </c>
      <c r="M1887" s="13">
        <v>22</v>
      </c>
      <c r="N1887" s="13">
        <v>1.4818181818181819</v>
      </c>
      <c r="O1887" s="13">
        <v>20</v>
      </c>
      <c r="P1887" s="13" t="s">
        <v>30</v>
      </c>
      <c r="Q1887" s="13">
        <v>0</v>
      </c>
      <c r="R1887" s="14">
        <v>652</v>
      </c>
      <c r="S1887" s="15">
        <v>0</v>
      </c>
      <c r="T1887" s="15">
        <v>0</v>
      </c>
      <c r="U1887" s="15">
        <v>652</v>
      </c>
      <c r="V1887" s="15">
        <v>0</v>
      </c>
      <c r="W1887" s="15">
        <v>652</v>
      </c>
      <c r="X1887" s="15">
        <v>0</v>
      </c>
      <c r="Y1887" s="16">
        <v>0</v>
      </c>
      <c r="Z1887" s="67" t="s">
        <v>26</v>
      </c>
      <c r="AA1887" s="12" t="s">
        <v>31</v>
      </c>
    </row>
    <row r="1888" spans="1:27" x14ac:dyDescent="0.25">
      <c r="A1888" s="10">
        <v>45686</v>
      </c>
      <c r="B1888" s="11" t="s">
        <v>3985</v>
      </c>
      <c r="C1888" s="11" t="s">
        <v>3986</v>
      </c>
      <c r="D1888" s="11" t="s">
        <v>26</v>
      </c>
      <c r="E1888" s="11" t="s">
        <v>539</v>
      </c>
      <c r="F1888" s="11" t="s">
        <v>26</v>
      </c>
      <c r="G1888" s="11" t="s">
        <v>26</v>
      </c>
      <c r="H1888" s="12" t="s">
        <v>4422</v>
      </c>
      <c r="I1888" s="12" t="s">
        <v>27</v>
      </c>
      <c r="J1888" s="12" t="s">
        <v>42</v>
      </c>
      <c r="K1888" s="12" t="s">
        <v>43</v>
      </c>
      <c r="L1888" s="13">
        <v>45.92</v>
      </c>
      <c r="M1888" s="13">
        <v>28</v>
      </c>
      <c r="N1888" s="13">
        <v>1.64</v>
      </c>
      <c r="O1888" s="13">
        <v>83</v>
      </c>
      <c r="P1888" s="13" t="s">
        <v>30</v>
      </c>
      <c r="Q1888" s="13">
        <v>0</v>
      </c>
      <c r="R1888" s="14">
        <v>3811.36</v>
      </c>
      <c r="S1888" s="15">
        <v>38</v>
      </c>
      <c r="T1888" s="15">
        <v>1744.96</v>
      </c>
      <c r="U1888" s="15">
        <v>2066.4</v>
      </c>
      <c r="V1888" s="15">
        <v>2066.4</v>
      </c>
      <c r="W1888" s="15"/>
      <c r="X1888" s="15">
        <v>1699.04</v>
      </c>
      <c r="Y1888" s="16">
        <v>45.920000000000073</v>
      </c>
      <c r="Z1888" s="67" t="s">
        <v>41</v>
      </c>
      <c r="AA1888" s="12" t="s">
        <v>78</v>
      </c>
    </row>
    <row r="1889" spans="1:27" x14ac:dyDescent="0.25">
      <c r="A1889" s="10">
        <v>45686</v>
      </c>
      <c r="B1889" s="11" t="s">
        <v>3899</v>
      </c>
      <c r="C1889" s="11" t="s">
        <v>3987</v>
      </c>
      <c r="D1889" s="11" t="s">
        <v>26</v>
      </c>
      <c r="E1889" s="11" t="s">
        <v>246</v>
      </c>
      <c r="F1889" s="11" t="s">
        <v>26</v>
      </c>
      <c r="G1889" s="11" t="s">
        <v>26</v>
      </c>
      <c r="H1889" s="12" t="s">
        <v>4422</v>
      </c>
      <c r="I1889" s="12" t="s">
        <v>27</v>
      </c>
      <c r="J1889" s="12" t="s">
        <v>42</v>
      </c>
      <c r="K1889" s="12" t="s">
        <v>43</v>
      </c>
      <c r="L1889" s="13">
        <v>45.44</v>
      </c>
      <c r="M1889" s="13">
        <v>28</v>
      </c>
      <c r="N1889" s="13">
        <v>1.622857142857143</v>
      </c>
      <c r="O1889" s="13">
        <v>83</v>
      </c>
      <c r="P1889" s="13" t="s">
        <v>30</v>
      </c>
      <c r="Q1889" s="13">
        <v>0</v>
      </c>
      <c r="R1889" s="15">
        <v>3771.52</v>
      </c>
      <c r="S1889" s="15">
        <v>38</v>
      </c>
      <c r="T1889" s="15">
        <v>1726.7199999999998</v>
      </c>
      <c r="U1889" s="15">
        <v>2044.8000000000002</v>
      </c>
      <c r="V1889" s="15">
        <v>2044.8000000000002</v>
      </c>
      <c r="W1889" s="15"/>
      <c r="X1889" s="15">
        <v>1681.28</v>
      </c>
      <c r="Y1889" s="16">
        <v>45.439999999999827</v>
      </c>
      <c r="Z1889" s="67" t="s">
        <v>41</v>
      </c>
      <c r="AA1889" s="12" t="s">
        <v>78</v>
      </c>
    </row>
    <row r="1890" spans="1:27" x14ac:dyDescent="0.25">
      <c r="A1890" s="10">
        <v>45686</v>
      </c>
      <c r="B1890" s="11" t="s">
        <v>3988</v>
      </c>
      <c r="C1890" s="11" t="s">
        <v>3989</v>
      </c>
      <c r="D1890" s="11" t="s">
        <v>26</v>
      </c>
      <c r="E1890" s="11" t="s">
        <v>2109</v>
      </c>
      <c r="F1890" s="11" t="s">
        <v>26</v>
      </c>
      <c r="G1890" s="11">
        <v>10612</v>
      </c>
      <c r="H1890" s="12" t="s">
        <v>140</v>
      </c>
      <c r="I1890" s="12" t="s">
        <v>27</v>
      </c>
      <c r="J1890" s="12" t="s">
        <v>33</v>
      </c>
      <c r="K1890" s="12" t="s">
        <v>34</v>
      </c>
      <c r="L1890" s="13">
        <v>42.76</v>
      </c>
      <c r="M1890" s="13">
        <v>29</v>
      </c>
      <c r="N1890" s="13">
        <v>1.4744827586206899</v>
      </c>
      <c r="O1890" s="13">
        <v>40</v>
      </c>
      <c r="P1890" s="13"/>
      <c r="Q1890" s="13">
        <v>0</v>
      </c>
      <c r="R1890" s="15">
        <v>1710.3999999999999</v>
      </c>
      <c r="S1890" s="15">
        <v>0</v>
      </c>
      <c r="T1890" s="15">
        <v>0</v>
      </c>
      <c r="U1890" s="15">
        <v>1710.3999999999999</v>
      </c>
      <c r="V1890" s="15">
        <v>0</v>
      </c>
      <c r="W1890" s="15">
        <v>1710.3999999999999</v>
      </c>
      <c r="X1890" s="15">
        <v>0</v>
      </c>
      <c r="Y1890" s="16">
        <v>0</v>
      </c>
      <c r="Z1890" s="67" t="s">
        <v>26</v>
      </c>
      <c r="AA1890" s="12" t="s">
        <v>31</v>
      </c>
    </row>
    <row r="1891" spans="1:27" x14ac:dyDescent="0.25">
      <c r="A1891" s="10">
        <v>45686</v>
      </c>
      <c r="B1891" s="11" t="s">
        <v>3990</v>
      </c>
      <c r="C1891" s="11" t="s">
        <v>3991</v>
      </c>
      <c r="D1891" s="11" t="s">
        <v>26</v>
      </c>
      <c r="E1891" s="11" t="s">
        <v>435</v>
      </c>
      <c r="F1891" s="11" t="s">
        <v>26</v>
      </c>
      <c r="G1891" s="11">
        <v>3530</v>
      </c>
      <c r="H1891" s="12" t="s">
        <v>41</v>
      </c>
      <c r="I1891" s="12" t="s">
        <v>55</v>
      </c>
      <c r="J1891" s="12" t="s">
        <v>55</v>
      </c>
      <c r="K1891" s="12" t="s">
        <v>56</v>
      </c>
      <c r="L1891" s="13">
        <v>38.340000000000003</v>
      </c>
      <c r="M1891" s="13">
        <v>25</v>
      </c>
      <c r="N1891" s="13">
        <v>1.5336000000000001</v>
      </c>
      <c r="O1891" s="13"/>
      <c r="P1891" s="13">
        <v>24</v>
      </c>
      <c r="Q1891" s="13">
        <v>0</v>
      </c>
      <c r="R1891" s="14">
        <v>600</v>
      </c>
      <c r="S1891" s="15">
        <v>0</v>
      </c>
      <c r="T1891" s="15">
        <v>0</v>
      </c>
      <c r="U1891" s="15">
        <v>600</v>
      </c>
      <c r="V1891" s="15">
        <v>0</v>
      </c>
      <c r="W1891" s="15">
        <v>600</v>
      </c>
      <c r="X1891" s="15">
        <v>0</v>
      </c>
      <c r="Y1891" s="16">
        <v>0</v>
      </c>
      <c r="Z1891" s="67" t="s">
        <v>26</v>
      </c>
      <c r="AA1891" s="12" t="s">
        <v>31</v>
      </c>
    </row>
    <row r="1892" spans="1:27" x14ac:dyDescent="0.25">
      <c r="A1892" s="10">
        <v>45686</v>
      </c>
      <c r="B1892" s="11" t="s">
        <v>3992</v>
      </c>
      <c r="C1892" s="11" t="s">
        <v>3993</v>
      </c>
      <c r="D1892" s="11" t="s">
        <v>26</v>
      </c>
      <c r="E1892" s="11" t="s">
        <v>529</v>
      </c>
      <c r="F1892" s="11" t="s">
        <v>26</v>
      </c>
      <c r="G1892" s="11">
        <v>910</v>
      </c>
      <c r="H1892" s="12" t="s">
        <v>163</v>
      </c>
      <c r="I1892" s="12" t="s">
        <v>27</v>
      </c>
      <c r="J1892" s="12" t="s">
        <v>42</v>
      </c>
      <c r="K1892" s="12" t="s">
        <v>43</v>
      </c>
      <c r="L1892" s="13">
        <v>42.28</v>
      </c>
      <c r="M1892" s="13">
        <v>25</v>
      </c>
      <c r="N1892" s="13">
        <v>1.6912</v>
      </c>
      <c r="O1892" s="13" t="s">
        <v>30</v>
      </c>
      <c r="P1892" s="13">
        <v>56</v>
      </c>
      <c r="Q1892" s="13">
        <v>0</v>
      </c>
      <c r="R1892" s="14">
        <v>1400</v>
      </c>
      <c r="S1892" s="15">
        <v>0</v>
      </c>
      <c r="T1892" s="15">
        <v>0</v>
      </c>
      <c r="U1892" s="15">
        <v>1400</v>
      </c>
      <c r="V1892" s="15">
        <v>0</v>
      </c>
      <c r="W1892" s="15">
        <v>1400</v>
      </c>
      <c r="X1892" s="15">
        <v>0</v>
      </c>
      <c r="Y1892" s="16">
        <v>0</v>
      </c>
      <c r="Z1892" s="67" t="s">
        <v>26</v>
      </c>
      <c r="AA1892" s="12" t="s">
        <v>31</v>
      </c>
    </row>
    <row r="1893" spans="1:27" x14ac:dyDescent="0.25">
      <c r="A1893" s="10">
        <v>45686</v>
      </c>
      <c r="B1893" s="11" t="s">
        <v>3994</v>
      </c>
      <c r="C1893" s="11" t="s">
        <v>3995</v>
      </c>
      <c r="D1893" s="11" t="s">
        <v>26</v>
      </c>
      <c r="E1893" s="11" t="s">
        <v>40</v>
      </c>
      <c r="F1893" s="11" t="s">
        <v>26</v>
      </c>
      <c r="G1893" s="11">
        <v>3723</v>
      </c>
      <c r="H1893" s="12" t="s">
        <v>41</v>
      </c>
      <c r="I1893" s="12" t="s">
        <v>55</v>
      </c>
      <c r="J1893" s="12" t="s">
        <v>55</v>
      </c>
      <c r="K1893" s="12" t="s">
        <v>56</v>
      </c>
      <c r="L1893" s="13">
        <v>38.26</v>
      </c>
      <c r="M1893" s="13">
        <v>25</v>
      </c>
      <c r="N1893" s="13">
        <v>1.5304</v>
      </c>
      <c r="O1893" s="13"/>
      <c r="P1893" s="13">
        <v>24</v>
      </c>
      <c r="Q1893" s="13">
        <v>0</v>
      </c>
      <c r="R1893" s="14">
        <v>600</v>
      </c>
      <c r="S1893" s="15">
        <v>0</v>
      </c>
      <c r="T1893" s="15">
        <v>0</v>
      </c>
      <c r="U1893" s="15">
        <v>600</v>
      </c>
      <c r="V1893" s="15">
        <v>0</v>
      </c>
      <c r="W1893" s="15">
        <v>600</v>
      </c>
      <c r="X1893" s="15">
        <v>0</v>
      </c>
      <c r="Y1893" s="16">
        <v>0</v>
      </c>
      <c r="Z1893" s="67" t="s">
        <v>26</v>
      </c>
      <c r="AA1893" s="12" t="s">
        <v>31</v>
      </c>
    </row>
    <row r="1894" spans="1:27" x14ac:dyDescent="0.25">
      <c r="A1894" s="10">
        <v>45686</v>
      </c>
      <c r="B1894" s="11" t="s">
        <v>3996</v>
      </c>
      <c r="C1894" s="11" t="s">
        <v>3997</v>
      </c>
      <c r="D1894" s="11" t="s">
        <v>26</v>
      </c>
      <c r="E1894" s="11" t="s">
        <v>44</v>
      </c>
      <c r="F1894" s="11" t="s">
        <v>26</v>
      </c>
      <c r="G1894" s="11" t="s">
        <v>26</v>
      </c>
      <c r="H1894" s="12" t="s">
        <v>4422</v>
      </c>
      <c r="I1894" s="12" t="s">
        <v>27</v>
      </c>
      <c r="J1894" s="12" t="s">
        <v>47</v>
      </c>
      <c r="K1894" s="12" t="s">
        <v>48</v>
      </c>
      <c r="L1894" s="13">
        <v>44.1</v>
      </c>
      <c r="M1894" s="13">
        <v>30</v>
      </c>
      <c r="N1894" s="13">
        <v>1.47</v>
      </c>
      <c r="O1894" s="13">
        <v>87</v>
      </c>
      <c r="P1894" s="13" t="s">
        <v>30</v>
      </c>
      <c r="Q1894" s="13">
        <v>0</v>
      </c>
      <c r="R1894" s="14">
        <v>3836.7000000000003</v>
      </c>
      <c r="S1894" s="15">
        <v>38</v>
      </c>
      <c r="T1894" s="15">
        <v>1675.8</v>
      </c>
      <c r="U1894" s="15">
        <v>2160.9000000000005</v>
      </c>
      <c r="V1894" s="15">
        <v>2160.9000000000005</v>
      </c>
      <c r="W1894" s="15"/>
      <c r="X1894" s="15">
        <v>1587.6000000000001</v>
      </c>
      <c r="Y1894" s="16">
        <v>88.199999999999818</v>
      </c>
      <c r="Z1894" s="67" t="s">
        <v>45</v>
      </c>
      <c r="AA1894" s="12" t="s">
        <v>78</v>
      </c>
    </row>
    <row r="1895" spans="1:27" x14ac:dyDescent="0.25">
      <c r="A1895" s="10">
        <v>45686</v>
      </c>
      <c r="B1895" s="11" t="s">
        <v>3998</v>
      </c>
      <c r="C1895" s="11" t="s">
        <v>3999</v>
      </c>
      <c r="D1895" s="11" t="s">
        <v>26</v>
      </c>
      <c r="E1895" s="11" t="s">
        <v>1200</v>
      </c>
      <c r="F1895" s="11" t="s">
        <v>26</v>
      </c>
      <c r="G1895" s="11">
        <v>2567</v>
      </c>
      <c r="H1895" s="12" t="s">
        <v>163</v>
      </c>
      <c r="I1895" s="12" t="s">
        <v>27</v>
      </c>
      <c r="J1895" s="12" t="s">
        <v>42</v>
      </c>
      <c r="K1895" s="12" t="s">
        <v>43</v>
      </c>
      <c r="L1895" s="13">
        <v>44.88</v>
      </c>
      <c r="M1895" s="13">
        <v>25</v>
      </c>
      <c r="N1895" s="13">
        <v>1.7951999999999999</v>
      </c>
      <c r="O1895" s="13" t="s">
        <v>30</v>
      </c>
      <c r="P1895" s="13">
        <v>56</v>
      </c>
      <c r="Q1895" s="13">
        <v>0</v>
      </c>
      <c r="R1895" s="14">
        <v>1400</v>
      </c>
      <c r="S1895" s="15">
        <v>0</v>
      </c>
      <c r="T1895" s="15">
        <v>0</v>
      </c>
      <c r="U1895" s="15">
        <v>1400</v>
      </c>
      <c r="V1895" s="15">
        <v>0</v>
      </c>
      <c r="W1895" s="15">
        <v>1400</v>
      </c>
      <c r="X1895" s="15">
        <v>0</v>
      </c>
      <c r="Y1895" s="16">
        <v>0</v>
      </c>
      <c r="Z1895" s="67" t="s">
        <v>26</v>
      </c>
      <c r="AA1895" s="12" t="s">
        <v>31</v>
      </c>
    </row>
    <row r="1896" spans="1:27" x14ac:dyDescent="0.25">
      <c r="A1896" s="10">
        <v>45686</v>
      </c>
      <c r="B1896" s="11" t="s">
        <v>1198</v>
      </c>
      <c r="C1896" s="11" t="s">
        <v>4000</v>
      </c>
      <c r="D1896" s="11" t="s">
        <v>26</v>
      </c>
      <c r="E1896" s="11" t="s">
        <v>65</v>
      </c>
      <c r="F1896" s="11" t="s">
        <v>26</v>
      </c>
      <c r="G1896" s="11">
        <v>1595</v>
      </c>
      <c r="H1896" s="12" t="s">
        <v>66</v>
      </c>
      <c r="I1896" s="12" t="s">
        <v>37</v>
      </c>
      <c r="J1896" s="12" t="s">
        <v>1909</v>
      </c>
      <c r="K1896" s="12" t="s">
        <v>82</v>
      </c>
      <c r="L1896" s="13">
        <v>40.58</v>
      </c>
      <c r="M1896" s="13">
        <v>25</v>
      </c>
      <c r="N1896" s="13">
        <v>1.6232</v>
      </c>
      <c r="O1896" s="13" t="s">
        <v>30</v>
      </c>
      <c r="P1896" s="13">
        <v>54</v>
      </c>
      <c r="Q1896" s="13">
        <v>0</v>
      </c>
      <c r="R1896" s="14">
        <v>1350</v>
      </c>
      <c r="S1896" s="15">
        <v>0</v>
      </c>
      <c r="T1896" s="15">
        <v>0</v>
      </c>
      <c r="U1896" s="15">
        <v>1350</v>
      </c>
      <c r="V1896" s="15">
        <v>1350</v>
      </c>
      <c r="W1896" s="15">
        <v>0</v>
      </c>
      <c r="X1896" s="15">
        <v>0</v>
      </c>
      <c r="Y1896" s="16">
        <v>0</v>
      </c>
      <c r="Z1896" s="67" t="s">
        <v>26</v>
      </c>
      <c r="AA1896" s="12" t="s">
        <v>31</v>
      </c>
    </row>
    <row r="1897" spans="1:27" x14ac:dyDescent="0.25">
      <c r="A1897" s="10">
        <v>45686</v>
      </c>
      <c r="B1897" s="11" t="s">
        <v>4001</v>
      </c>
      <c r="C1897" s="11" t="s">
        <v>4002</v>
      </c>
      <c r="D1897" s="11" t="s">
        <v>26</v>
      </c>
      <c r="E1897" s="11" t="s">
        <v>98</v>
      </c>
      <c r="F1897" s="11" t="s">
        <v>26</v>
      </c>
      <c r="G1897" s="11">
        <v>10702</v>
      </c>
      <c r="H1897" s="12" t="s">
        <v>140</v>
      </c>
      <c r="I1897" s="12" t="s">
        <v>27</v>
      </c>
      <c r="J1897" s="12" t="s">
        <v>42</v>
      </c>
      <c r="K1897" s="12" t="s">
        <v>43</v>
      </c>
      <c r="L1897" s="13">
        <v>45.06</v>
      </c>
      <c r="M1897" s="13">
        <v>25</v>
      </c>
      <c r="N1897" s="13">
        <v>1.8024</v>
      </c>
      <c r="O1897" s="13">
        <v>35</v>
      </c>
      <c r="P1897" s="13"/>
      <c r="Q1897" s="13">
        <v>0</v>
      </c>
      <c r="R1897" s="14">
        <v>1577.1000000000001</v>
      </c>
      <c r="S1897" s="15">
        <v>0</v>
      </c>
      <c r="T1897" s="15">
        <v>0</v>
      </c>
      <c r="U1897" s="15">
        <v>1577.1000000000001</v>
      </c>
      <c r="V1897" s="15">
        <v>0</v>
      </c>
      <c r="W1897" s="15">
        <v>1577.1000000000001</v>
      </c>
      <c r="X1897" s="15">
        <v>0</v>
      </c>
      <c r="Y1897" s="16">
        <v>0</v>
      </c>
      <c r="Z1897" s="67" t="s">
        <v>26</v>
      </c>
      <c r="AA1897" s="12" t="s">
        <v>31</v>
      </c>
    </row>
    <row r="1898" spans="1:27" x14ac:dyDescent="0.25">
      <c r="A1898" s="10">
        <v>45686</v>
      </c>
      <c r="B1898" s="11" t="s">
        <v>2738</v>
      </c>
      <c r="C1898" s="11" t="s">
        <v>4003</v>
      </c>
      <c r="D1898" s="11" t="s">
        <v>26</v>
      </c>
      <c r="E1898" s="11" t="s">
        <v>77</v>
      </c>
      <c r="F1898" s="11" t="s">
        <v>26</v>
      </c>
      <c r="G1898" s="11">
        <v>2407</v>
      </c>
      <c r="H1898" s="12" t="s">
        <v>4449</v>
      </c>
      <c r="I1898" s="12" t="s">
        <v>55</v>
      </c>
      <c r="J1898" s="12" t="s">
        <v>55</v>
      </c>
      <c r="K1898" s="12" t="s">
        <v>56</v>
      </c>
      <c r="L1898" s="13">
        <v>38.86</v>
      </c>
      <c r="M1898" s="13">
        <v>25</v>
      </c>
      <c r="N1898" s="13">
        <v>1.5544</v>
      </c>
      <c r="O1898" s="13">
        <v>15</v>
      </c>
      <c r="P1898" s="13" t="s">
        <v>30</v>
      </c>
      <c r="Q1898" s="13">
        <v>0</v>
      </c>
      <c r="R1898" s="14">
        <v>582.9</v>
      </c>
      <c r="S1898" s="15">
        <v>0</v>
      </c>
      <c r="T1898" s="15">
        <v>0</v>
      </c>
      <c r="U1898" s="15">
        <v>582.9</v>
      </c>
      <c r="V1898" s="15">
        <v>582.9</v>
      </c>
      <c r="W1898" s="15">
        <v>0</v>
      </c>
      <c r="X1898" s="15">
        <v>0</v>
      </c>
      <c r="Y1898" s="16">
        <v>0</v>
      </c>
      <c r="Z1898" s="67" t="s">
        <v>26</v>
      </c>
      <c r="AA1898" s="12" t="s">
        <v>31</v>
      </c>
    </row>
    <row r="1899" spans="1:27" x14ac:dyDescent="0.25">
      <c r="A1899" s="10">
        <v>45686</v>
      </c>
      <c r="B1899" s="11" t="s">
        <v>4004</v>
      </c>
      <c r="C1899" s="11" t="s">
        <v>4005</v>
      </c>
      <c r="D1899" s="11" t="s">
        <v>26</v>
      </c>
      <c r="E1899" s="11" t="s">
        <v>67</v>
      </c>
      <c r="F1899" s="11" t="s">
        <v>26</v>
      </c>
      <c r="G1899" s="11">
        <v>1621</v>
      </c>
      <c r="H1899" s="12" t="s">
        <v>66</v>
      </c>
      <c r="I1899" s="12" t="s">
        <v>37</v>
      </c>
      <c r="J1899" s="12" t="s">
        <v>1909</v>
      </c>
      <c r="K1899" s="12" t="s">
        <v>82</v>
      </c>
      <c r="L1899" s="13">
        <v>40.86</v>
      </c>
      <c r="M1899" s="13">
        <v>25</v>
      </c>
      <c r="N1899" s="13">
        <v>1.6344000000000001</v>
      </c>
      <c r="O1899" s="13" t="s">
        <v>30</v>
      </c>
      <c r="P1899" s="13">
        <v>54</v>
      </c>
      <c r="Q1899" s="13">
        <v>0</v>
      </c>
      <c r="R1899" s="14">
        <v>1350</v>
      </c>
      <c r="S1899" s="15">
        <v>0</v>
      </c>
      <c r="T1899" s="15">
        <v>0</v>
      </c>
      <c r="U1899" s="15">
        <v>1350</v>
      </c>
      <c r="V1899" s="15">
        <v>1350</v>
      </c>
      <c r="W1899" s="15">
        <v>0</v>
      </c>
      <c r="X1899" s="15">
        <v>0</v>
      </c>
      <c r="Y1899" s="16">
        <v>0</v>
      </c>
      <c r="Z1899" s="67" t="s">
        <v>26</v>
      </c>
      <c r="AA1899" s="12" t="s">
        <v>31</v>
      </c>
    </row>
    <row r="1900" spans="1:27" x14ac:dyDescent="0.25">
      <c r="A1900" s="10">
        <v>45686</v>
      </c>
      <c r="B1900" s="11" t="s">
        <v>4006</v>
      </c>
      <c r="C1900" s="11" t="s">
        <v>4007</v>
      </c>
      <c r="D1900" s="11" t="s">
        <v>26</v>
      </c>
      <c r="E1900" s="11" t="s">
        <v>240</v>
      </c>
      <c r="F1900" s="11" t="s">
        <v>26</v>
      </c>
      <c r="G1900" s="11" t="s">
        <v>26</v>
      </c>
      <c r="H1900" s="12" t="s">
        <v>146</v>
      </c>
      <c r="I1900" s="12" t="s">
        <v>27</v>
      </c>
      <c r="J1900" s="12" t="s">
        <v>47</v>
      </c>
      <c r="K1900" s="12" t="s">
        <v>48</v>
      </c>
      <c r="L1900" s="13">
        <v>41.16</v>
      </c>
      <c r="M1900" s="13">
        <v>28</v>
      </c>
      <c r="N1900" s="13">
        <v>1.47</v>
      </c>
      <c r="O1900" s="13">
        <v>91</v>
      </c>
      <c r="P1900" s="13" t="s">
        <v>30</v>
      </c>
      <c r="Q1900" s="13">
        <v>0</v>
      </c>
      <c r="R1900" s="15">
        <v>3745.5599999999995</v>
      </c>
      <c r="S1900" s="15">
        <v>40</v>
      </c>
      <c r="T1900" s="15">
        <v>1646.3999999999999</v>
      </c>
      <c r="U1900" s="15">
        <v>2099.16</v>
      </c>
      <c r="V1900" s="15">
        <v>2099.16</v>
      </c>
      <c r="W1900" s="15">
        <v>0</v>
      </c>
      <c r="X1900" s="15">
        <v>1522.9199999999998</v>
      </c>
      <c r="Y1900" s="16">
        <v>123.48000000000002</v>
      </c>
      <c r="Z1900" s="67" t="s">
        <v>41</v>
      </c>
      <c r="AA1900" s="12" t="s">
        <v>79</v>
      </c>
    </row>
    <row r="1901" spans="1:27" x14ac:dyDescent="0.25">
      <c r="A1901" s="10">
        <v>45686</v>
      </c>
      <c r="B1901" s="11" t="s">
        <v>4008</v>
      </c>
      <c r="C1901" s="11" t="s">
        <v>4009</v>
      </c>
      <c r="D1901" s="11" t="s">
        <v>26</v>
      </c>
      <c r="E1901" s="11" t="s">
        <v>589</v>
      </c>
      <c r="F1901" s="11" t="s">
        <v>26</v>
      </c>
      <c r="G1901" s="11">
        <v>52647</v>
      </c>
      <c r="H1901" s="12" t="s">
        <v>4423</v>
      </c>
      <c r="I1901" s="12" t="s">
        <v>27</v>
      </c>
      <c r="J1901" s="12" t="s">
        <v>33</v>
      </c>
      <c r="K1901" s="12" t="s">
        <v>34</v>
      </c>
      <c r="L1901" s="13">
        <v>37.32</v>
      </c>
      <c r="M1901" s="13">
        <v>25</v>
      </c>
      <c r="N1901" s="13">
        <v>1.4927999999999999</v>
      </c>
      <c r="O1901" s="13">
        <v>45</v>
      </c>
      <c r="P1901" s="13" t="s">
        <v>30</v>
      </c>
      <c r="Q1901" s="13">
        <v>0</v>
      </c>
      <c r="R1901" s="14">
        <v>1679.4</v>
      </c>
      <c r="S1901" s="15">
        <v>0</v>
      </c>
      <c r="T1901" s="15">
        <v>0</v>
      </c>
      <c r="U1901" s="15">
        <v>1679.4</v>
      </c>
      <c r="V1901" s="15">
        <v>1679.4</v>
      </c>
      <c r="W1901" s="15">
        <v>0</v>
      </c>
      <c r="X1901" s="15">
        <v>0</v>
      </c>
      <c r="Y1901" s="16">
        <v>0</v>
      </c>
      <c r="Z1901" s="67" t="s">
        <v>26</v>
      </c>
      <c r="AA1901" s="12" t="s">
        <v>31</v>
      </c>
    </row>
    <row r="1902" spans="1:27" x14ac:dyDescent="0.25">
      <c r="A1902" s="10">
        <v>45686</v>
      </c>
      <c r="B1902" s="11" t="s">
        <v>4010</v>
      </c>
      <c r="C1902" s="11" t="s">
        <v>4011</v>
      </c>
      <c r="D1902" s="11" t="s">
        <v>26</v>
      </c>
      <c r="E1902" s="11" t="s">
        <v>63</v>
      </c>
      <c r="F1902" s="11" t="s">
        <v>26</v>
      </c>
      <c r="G1902" s="11">
        <v>10173</v>
      </c>
      <c r="H1902" s="12" t="s">
        <v>140</v>
      </c>
      <c r="I1902" s="12" t="s">
        <v>27</v>
      </c>
      <c r="J1902" s="12" t="s">
        <v>33</v>
      </c>
      <c r="K1902" s="12" t="s">
        <v>34</v>
      </c>
      <c r="L1902" s="13">
        <v>42.36</v>
      </c>
      <c r="M1902" s="13">
        <v>29</v>
      </c>
      <c r="N1902" s="13">
        <v>1.460689655172414</v>
      </c>
      <c r="O1902" s="13">
        <v>40</v>
      </c>
      <c r="P1902" s="13"/>
      <c r="Q1902" s="13">
        <v>0</v>
      </c>
      <c r="R1902" s="14">
        <v>1694.4</v>
      </c>
      <c r="S1902" s="15">
        <v>0</v>
      </c>
      <c r="T1902" s="15">
        <v>0</v>
      </c>
      <c r="U1902" s="15">
        <v>1694.4</v>
      </c>
      <c r="V1902" s="15">
        <v>0</v>
      </c>
      <c r="W1902" s="15">
        <v>1694.4</v>
      </c>
      <c r="X1902" s="15">
        <v>0</v>
      </c>
      <c r="Y1902" s="16">
        <v>0</v>
      </c>
      <c r="Z1902" s="67" t="s">
        <v>26</v>
      </c>
      <c r="AA1902" s="12" t="s">
        <v>31</v>
      </c>
    </row>
    <row r="1903" spans="1:27" x14ac:dyDescent="0.25">
      <c r="A1903" s="10">
        <v>45686</v>
      </c>
      <c r="B1903" s="11" t="s">
        <v>4012</v>
      </c>
      <c r="C1903" s="11" t="s">
        <v>4013</v>
      </c>
      <c r="D1903" s="11" t="s">
        <v>26</v>
      </c>
      <c r="E1903" s="11" t="s">
        <v>68</v>
      </c>
      <c r="F1903" s="11" t="s">
        <v>26</v>
      </c>
      <c r="G1903" s="11">
        <v>76360</v>
      </c>
      <c r="H1903" s="12" t="s">
        <v>4448</v>
      </c>
      <c r="I1903" s="12" t="s">
        <v>27</v>
      </c>
      <c r="J1903" s="12" t="s">
        <v>42</v>
      </c>
      <c r="K1903" s="12" t="s">
        <v>43</v>
      </c>
      <c r="L1903" s="13">
        <v>45.48</v>
      </c>
      <c r="M1903" s="13">
        <v>28</v>
      </c>
      <c r="N1903" s="13">
        <v>1.6242857142857141</v>
      </c>
      <c r="O1903" s="13">
        <v>42.5</v>
      </c>
      <c r="P1903" s="13" t="s">
        <v>30</v>
      </c>
      <c r="Q1903" s="13">
        <v>0</v>
      </c>
      <c r="R1903" s="14">
        <v>1932.8999999999999</v>
      </c>
      <c r="S1903" s="15">
        <v>0</v>
      </c>
      <c r="T1903" s="15">
        <v>0</v>
      </c>
      <c r="U1903" s="15">
        <v>1932.8999999999999</v>
      </c>
      <c r="V1903" s="15">
        <v>1449.675</v>
      </c>
      <c r="W1903" s="15">
        <v>483.22499999999991</v>
      </c>
      <c r="X1903" s="15">
        <v>0</v>
      </c>
      <c r="Y1903" s="16">
        <v>0</v>
      </c>
      <c r="Z1903" s="67" t="s">
        <v>26</v>
      </c>
      <c r="AA1903" s="12" t="s">
        <v>31</v>
      </c>
    </row>
    <row r="1904" spans="1:27" x14ac:dyDescent="0.25">
      <c r="A1904" s="10">
        <v>45686</v>
      </c>
      <c r="B1904" s="11" t="s">
        <v>4014</v>
      </c>
      <c r="C1904" s="11" t="s">
        <v>4015</v>
      </c>
      <c r="D1904" s="11" t="s">
        <v>26</v>
      </c>
      <c r="E1904" s="11" t="s">
        <v>520</v>
      </c>
      <c r="F1904" s="11" t="s">
        <v>26</v>
      </c>
      <c r="G1904" s="11">
        <v>4382</v>
      </c>
      <c r="H1904" s="12" t="s">
        <v>140</v>
      </c>
      <c r="I1904" s="12" t="s">
        <v>27</v>
      </c>
      <c r="J1904" s="12" t="s">
        <v>42</v>
      </c>
      <c r="K1904" s="12" t="s">
        <v>43</v>
      </c>
      <c r="L1904" s="13">
        <v>44.04</v>
      </c>
      <c r="M1904" s="13">
        <v>25</v>
      </c>
      <c r="N1904" s="13">
        <v>1.7616000000000001</v>
      </c>
      <c r="O1904" s="13">
        <v>35</v>
      </c>
      <c r="P1904" s="13"/>
      <c r="Q1904" s="13">
        <v>0</v>
      </c>
      <c r="R1904" s="14">
        <v>1541.3999999999999</v>
      </c>
      <c r="S1904" s="15">
        <v>0</v>
      </c>
      <c r="T1904" s="15">
        <v>0</v>
      </c>
      <c r="U1904" s="15">
        <v>1541.3999999999999</v>
      </c>
      <c r="V1904" s="15">
        <v>0</v>
      </c>
      <c r="W1904" s="15">
        <v>1541.3999999999999</v>
      </c>
      <c r="X1904" s="15">
        <v>0</v>
      </c>
      <c r="Y1904" s="16">
        <v>0</v>
      </c>
      <c r="Z1904" s="67" t="s">
        <v>26</v>
      </c>
      <c r="AA1904" s="12" t="s">
        <v>31</v>
      </c>
    </row>
    <row r="1905" spans="1:27" x14ac:dyDescent="0.25">
      <c r="A1905" s="10">
        <v>45686</v>
      </c>
      <c r="B1905" s="11" t="s">
        <v>4016</v>
      </c>
      <c r="C1905" s="11" t="s">
        <v>4017</v>
      </c>
      <c r="D1905" s="11" t="s">
        <v>26</v>
      </c>
      <c r="E1905" s="11" t="s">
        <v>534</v>
      </c>
      <c r="F1905" s="11" t="s">
        <v>26</v>
      </c>
      <c r="G1905" s="11">
        <v>2574</v>
      </c>
      <c r="H1905" s="12" t="s">
        <v>163</v>
      </c>
      <c r="I1905" s="12" t="s">
        <v>27</v>
      </c>
      <c r="J1905" s="12" t="s">
        <v>42</v>
      </c>
      <c r="K1905" s="12" t="s">
        <v>43</v>
      </c>
      <c r="L1905" s="13">
        <v>41.58</v>
      </c>
      <c r="M1905" s="13">
        <v>25</v>
      </c>
      <c r="N1905" s="13">
        <v>1.6632</v>
      </c>
      <c r="O1905" s="13" t="s">
        <v>30</v>
      </c>
      <c r="P1905" s="13">
        <v>56</v>
      </c>
      <c r="Q1905" s="13">
        <v>0</v>
      </c>
      <c r="R1905" s="14">
        <v>1400</v>
      </c>
      <c r="S1905" s="15">
        <v>0</v>
      </c>
      <c r="T1905" s="15">
        <v>0</v>
      </c>
      <c r="U1905" s="15">
        <v>1400</v>
      </c>
      <c r="V1905" s="15">
        <v>0</v>
      </c>
      <c r="W1905" s="15">
        <v>1400</v>
      </c>
      <c r="X1905" s="15">
        <v>0</v>
      </c>
      <c r="Y1905" s="16">
        <v>0</v>
      </c>
      <c r="Z1905" s="67" t="s">
        <v>26</v>
      </c>
      <c r="AA1905" s="12" t="s">
        <v>31</v>
      </c>
    </row>
    <row r="1906" spans="1:27" x14ac:dyDescent="0.25">
      <c r="A1906" s="10">
        <v>45686</v>
      </c>
      <c r="B1906" s="11" t="s">
        <v>4018</v>
      </c>
      <c r="C1906" s="11" t="s">
        <v>4019</v>
      </c>
      <c r="D1906" s="11" t="s">
        <v>26</v>
      </c>
      <c r="E1906" s="11" t="s">
        <v>418</v>
      </c>
      <c r="F1906" s="11" t="s">
        <v>26</v>
      </c>
      <c r="G1906" s="11">
        <v>2573</v>
      </c>
      <c r="H1906" s="12" t="s">
        <v>163</v>
      </c>
      <c r="I1906" s="12" t="s">
        <v>27</v>
      </c>
      <c r="J1906" s="12" t="s">
        <v>42</v>
      </c>
      <c r="K1906" s="12" t="s">
        <v>43</v>
      </c>
      <c r="L1906" s="13">
        <v>40.46</v>
      </c>
      <c r="M1906" s="13">
        <v>25</v>
      </c>
      <c r="N1906" s="13">
        <v>1.6184000000000001</v>
      </c>
      <c r="O1906" s="13" t="s">
        <v>30</v>
      </c>
      <c r="P1906" s="13">
        <v>56</v>
      </c>
      <c r="Q1906" s="13">
        <v>0</v>
      </c>
      <c r="R1906" s="14">
        <v>1400</v>
      </c>
      <c r="S1906" s="15">
        <v>0</v>
      </c>
      <c r="T1906" s="15">
        <v>0</v>
      </c>
      <c r="U1906" s="15">
        <v>1400</v>
      </c>
      <c r="V1906" s="15">
        <v>0</v>
      </c>
      <c r="W1906" s="15">
        <v>1400</v>
      </c>
      <c r="X1906" s="15">
        <v>0</v>
      </c>
      <c r="Y1906" s="16">
        <v>0</v>
      </c>
      <c r="Z1906" s="67" t="s">
        <v>26</v>
      </c>
      <c r="AA1906" s="12" t="s">
        <v>31</v>
      </c>
    </row>
    <row r="1907" spans="1:27" x14ac:dyDescent="0.25">
      <c r="A1907" s="10">
        <v>45686</v>
      </c>
      <c r="B1907" s="11" t="s">
        <v>678</v>
      </c>
      <c r="C1907" s="11" t="s">
        <v>4020</v>
      </c>
      <c r="D1907" s="11" t="s">
        <v>26</v>
      </c>
      <c r="E1907" s="11" t="s">
        <v>80</v>
      </c>
      <c r="F1907" s="11" t="s">
        <v>26</v>
      </c>
      <c r="G1907" s="11">
        <v>10663</v>
      </c>
      <c r="H1907" s="12" t="s">
        <v>140</v>
      </c>
      <c r="I1907" s="12" t="s">
        <v>27</v>
      </c>
      <c r="J1907" s="12" t="s">
        <v>42</v>
      </c>
      <c r="K1907" s="12" t="s">
        <v>43</v>
      </c>
      <c r="L1907" s="13">
        <v>44.3</v>
      </c>
      <c r="M1907" s="13">
        <v>25</v>
      </c>
      <c r="N1907" s="13">
        <v>1.772</v>
      </c>
      <c r="O1907" s="13">
        <v>35</v>
      </c>
      <c r="P1907" s="13"/>
      <c r="Q1907" s="13">
        <v>0</v>
      </c>
      <c r="R1907" s="14">
        <v>1550.5</v>
      </c>
      <c r="S1907" s="15">
        <v>0</v>
      </c>
      <c r="T1907" s="15">
        <v>0</v>
      </c>
      <c r="U1907" s="15">
        <v>1550.5</v>
      </c>
      <c r="V1907" s="15">
        <v>0</v>
      </c>
      <c r="W1907" s="15">
        <v>1550.5</v>
      </c>
      <c r="X1907" s="15">
        <v>0</v>
      </c>
      <c r="Y1907" s="16">
        <v>0</v>
      </c>
      <c r="Z1907" s="67" t="s">
        <v>26</v>
      </c>
      <c r="AA1907" s="12" t="s">
        <v>31</v>
      </c>
    </row>
    <row r="1908" spans="1:27" x14ac:dyDescent="0.25">
      <c r="A1908" s="10">
        <v>45686</v>
      </c>
      <c r="B1908" s="11" t="s">
        <v>4021</v>
      </c>
      <c r="C1908" s="11" t="s">
        <v>4022</v>
      </c>
      <c r="D1908" s="11" t="s">
        <v>26</v>
      </c>
      <c r="E1908" s="11" t="s">
        <v>593</v>
      </c>
      <c r="F1908" s="11" t="s">
        <v>26</v>
      </c>
      <c r="G1908" s="11">
        <v>44309</v>
      </c>
      <c r="H1908" s="12" t="s">
        <v>4423</v>
      </c>
      <c r="I1908" s="12" t="s">
        <v>27</v>
      </c>
      <c r="J1908" s="12" t="s">
        <v>33</v>
      </c>
      <c r="K1908" s="12" t="s">
        <v>34</v>
      </c>
      <c r="L1908" s="13">
        <v>35.020000000000003</v>
      </c>
      <c r="M1908" s="13">
        <v>25</v>
      </c>
      <c r="N1908" s="13">
        <v>1.4008</v>
      </c>
      <c r="O1908" s="13">
        <v>45</v>
      </c>
      <c r="P1908" s="13" t="s">
        <v>30</v>
      </c>
      <c r="Q1908" s="13">
        <v>0</v>
      </c>
      <c r="R1908" s="14">
        <v>1575.9</v>
      </c>
      <c r="S1908" s="15">
        <v>0</v>
      </c>
      <c r="T1908" s="15">
        <v>0</v>
      </c>
      <c r="U1908" s="15">
        <v>1575.9</v>
      </c>
      <c r="V1908" s="15">
        <v>1575.9</v>
      </c>
      <c r="W1908" s="15">
        <v>0</v>
      </c>
      <c r="X1908" s="15">
        <v>0</v>
      </c>
      <c r="Y1908" s="16">
        <v>0</v>
      </c>
      <c r="Z1908" s="67" t="s">
        <v>26</v>
      </c>
      <c r="AA1908" s="12" t="s">
        <v>31</v>
      </c>
    </row>
    <row r="1909" spans="1:27" x14ac:dyDescent="0.25">
      <c r="A1909" s="10">
        <v>45686</v>
      </c>
      <c r="B1909" s="11" t="s">
        <v>4023</v>
      </c>
      <c r="C1909" s="11" t="s">
        <v>4024</v>
      </c>
      <c r="D1909" s="11" t="s">
        <v>26</v>
      </c>
      <c r="E1909" s="11" t="s">
        <v>570</v>
      </c>
      <c r="F1909" s="11" t="s">
        <v>26</v>
      </c>
      <c r="G1909" s="11">
        <v>10338</v>
      </c>
      <c r="H1909" s="12" t="s">
        <v>140</v>
      </c>
      <c r="I1909" s="12" t="s">
        <v>27</v>
      </c>
      <c r="J1909" s="12" t="s">
        <v>47</v>
      </c>
      <c r="K1909" s="12" t="s">
        <v>48</v>
      </c>
      <c r="L1909" s="13">
        <v>42.86</v>
      </c>
      <c r="M1909" s="13">
        <v>29</v>
      </c>
      <c r="N1909" s="13">
        <v>1.477931034482759</v>
      </c>
      <c r="O1909" s="13">
        <v>40</v>
      </c>
      <c r="P1909" s="13"/>
      <c r="Q1909" s="13">
        <v>0</v>
      </c>
      <c r="R1909" s="15">
        <v>1714.4</v>
      </c>
      <c r="S1909" s="15">
        <v>0</v>
      </c>
      <c r="T1909" s="15">
        <v>0</v>
      </c>
      <c r="U1909" s="15">
        <v>1714.4</v>
      </c>
      <c r="V1909" s="15">
        <v>0</v>
      </c>
      <c r="W1909" s="15">
        <v>1714.4</v>
      </c>
      <c r="X1909" s="15">
        <v>0</v>
      </c>
      <c r="Y1909" s="16">
        <v>0</v>
      </c>
      <c r="Z1909" s="67" t="s">
        <v>26</v>
      </c>
      <c r="AA1909" s="12" t="s">
        <v>31</v>
      </c>
    </row>
    <row r="1910" spans="1:27" x14ac:dyDescent="0.25">
      <c r="A1910" s="10">
        <v>45686</v>
      </c>
      <c r="B1910" s="11" t="s">
        <v>202</v>
      </c>
      <c r="C1910" s="11" t="s">
        <v>4025</v>
      </c>
      <c r="D1910" s="11" t="s">
        <v>26</v>
      </c>
      <c r="E1910" s="11" t="s">
        <v>483</v>
      </c>
      <c r="F1910" s="11" t="s">
        <v>26</v>
      </c>
      <c r="G1910" s="11" t="s">
        <v>26</v>
      </c>
      <c r="H1910" s="12" t="s">
        <v>146</v>
      </c>
      <c r="I1910" s="12" t="s">
        <v>27</v>
      </c>
      <c r="J1910" s="12" t="s">
        <v>33</v>
      </c>
      <c r="K1910" s="12" t="s">
        <v>34</v>
      </c>
      <c r="L1910" s="13">
        <v>43.24</v>
      </c>
      <c r="M1910" s="13">
        <v>30</v>
      </c>
      <c r="N1910" s="13">
        <v>1.4413333333333329</v>
      </c>
      <c r="O1910" s="13">
        <v>91</v>
      </c>
      <c r="P1910" s="13" t="s">
        <v>30</v>
      </c>
      <c r="Q1910" s="13">
        <v>0</v>
      </c>
      <c r="R1910" s="14">
        <v>3934.84</v>
      </c>
      <c r="S1910" s="15">
        <v>40</v>
      </c>
      <c r="T1910" s="15">
        <v>1729.6000000000001</v>
      </c>
      <c r="U1910" s="15">
        <v>2205.2399999999998</v>
      </c>
      <c r="V1910" s="15">
        <v>2205.2399999999998</v>
      </c>
      <c r="W1910" s="15">
        <v>0</v>
      </c>
      <c r="X1910" s="15">
        <v>1599.88</v>
      </c>
      <c r="Y1910" s="16">
        <v>129.72000000000003</v>
      </c>
      <c r="Z1910" s="67" t="s">
        <v>41</v>
      </c>
      <c r="AA1910" s="12" t="s">
        <v>79</v>
      </c>
    </row>
    <row r="1911" spans="1:27" x14ac:dyDescent="0.25">
      <c r="A1911" s="10">
        <v>45686</v>
      </c>
      <c r="B1911" s="11" t="s">
        <v>4026</v>
      </c>
      <c r="C1911" s="11" t="s">
        <v>4027</v>
      </c>
      <c r="D1911" s="11" t="s">
        <v>26</v>
      </c>
      <c r="E1911" s="11" t="s">
        <v>59</v>
      </c>
      <c r="F1911" s="11" t="s">
        <v>26</v>
      </c>
      <c r="G1911" s="11">
        <v>112381</v>
      </c>
      <c r="H1911" s="12" t="s">
        <v>4446</v>
      </c>
      <c r="I1911" s="12" t="s">
        <v>27</v>
      </c>
      <c r="J1911" s="12" t="s">
        <v>33</v>
      </c>
      <c r="K1911" s="12" t="s">
        <v>34</v>
      </c>
      <c r="L1911" s="13">
        <v>35.1</v>
      </c>
      <c r="M1911" s="13">
        <v>25</v>
      </c>
      <c r="N1911" s="13">
        <v>1.4039999999999999</v>
      </c>
      <c r="O1911" s="13">
        <v>44</v>
      </c>
      <c r="P1911" s="13" t="s">
        <v>30</v>
      </c>
      <c r="Q1911" s="13">
        <v>0</v>
      </c>
      <c r="R1911" s="14">
        <v>1544.4</v>
      </c>
      <c r="S1911" s="15">
        <v>0</v>
      </c>
      <c r="T1911" s="15">
        <v>0</v>
      </c>
      <c r="U1911" s="15">
        <v>1544.4</v>
      </c>
      <c r="V1911" s="15">
        <v>1544.4</v>
      </c>
      <c r="W1911" s="15">
        <v>0</v>
      </c>
      <c r="X1911" s="15">
        <v>0</v>
      </c>
      <c r="Y1911" s="16">
        <v>0</v>
      </c>
      <c r="Z1911" s="67" t="s">
        <v>26</v>
      </c>
      <c r="AA1911" s="12" t="s">
        <v>31</v>
      </c>
    </row>
    <row r="1912" spans="1:27" x14ac:dyDescent="0.25">
      <c r="A1912" s="10">
        <v>45686</v>
      </c>
      <c r="B1912" s="11" t="s">
        <v>619</v>
      </c>
      <c r="C1912" s="11" t="s">
        <v>4028</v>
      </c>
      <c r="D1912" s="11" t="s">
        <v>26</v>
      </c>
      <c r="E1912" s="11" t="s">
        <v>444</v>
      </c>
      <c r="F1912" s="11" t="s">
        <v>26</v>
      </c>
      <c r="G1912" s="11">
        <v>2104</v>
      </c>
      <c r="H1912" s="12" t="s">
        <v>4449</v>
      </c>
      <c r="I1912" s="12" t="s">
        <v>55</v>
      </c>
      <c r="J1912" s="12" t="s">
        <v>55</v>
      </c>
      <c r="K1912" s="12" t="s">
        <v>56</v>
      </c>
      <c r="L1912" s="13">
        <v>33.68</v>
      </c>
      <c r="M1912" s="13">
        <v>22</v>
      </c>
      <c r="N1912" s="13">
        <v>1.530909090909091</v>
      </c>
      <c r="O1912" s="13">
        <v>15</v>
      </c>
      <c r="P1912" s="13" t="s">
        <v>30</v>
      </c>
      <c r="Q1912" s="13">
        <v>0</v>
      </c>
      <c r="R1912" s="14">
        <v>505.2</v>
      </c>
      <c r="S1912" s="15">
        <v>0</v>
      </c>
      <c r="T1912" s="15">
        <v>0</v>
      </c>
      <c r="U1912" s="15">
        <v>505.2</v>
      </c>
      <c r="V1912" s="15">
        <v>505.2</v>
      </c>
      <c r="W1912" s="15">
        <v>0</v>
      </c>
      <c r="X1912" s="15">
        <v>0</v>
      </c>
      <c r="Y1912" s="16">
        <v>0</v>
      </c>
      <c r="Z1912" s="67" t="s">
        <v>26</v>
      </c>
      <c r="AA1912" s="12" t="s">
        <v>31</v>
      </c>
    </row>
    <row r="1913" spans="1:27" x14ac:dyDescent="0.25">
      <c r="A1913" s="10">
        <v>45686</v>
      </c>
      <c r="B1913" s="11" t="s">
        <v>726</v>
      </c>
      <c r="C1913" s="11" t="s">
        <v>4029</v>
      </c>
      <c r="D1913" s="11" t="s">
        <v>26</v>
      </c>
      <c r="E1913" s="11" t="s">
        <v>224</v>
      </c>
      <c r="F1913" s="11" t="s">
        <v>26</v>
      </c>
      <c r="G1913" s="11">
        <v>55337</v>
      </c>
      <c r="H1913" s="12" t="s">
        <v>4423</v>
      </c>
      <c r="I1913" s="12" t="s">
        <v>27</v>
      </c>
      <c r="J1913" s="12" t="s">
        <v>42</v>
      </c>
      <c r="K1913" s="12" t="s">
        <v>43</v>
      </c>
      <c r="L1913" s="13">
        <v>37.380000000000003</v>
      </c>
      <c r="M1913" s="13">
        <v>25</v>
      </c>
      <c r="N1913" s="13">
        <v>1.4952000000000001</v>
      </c>
      <c r="O1913" s="13">
        <v>42</v>
      </c>
      <c r="P1913" s="13" t="s">
        <v>30</v>
      </c>
      <c r="Q1913" s="13">
        <v>0</v>
      </c>
      <c r="R1913" s="14">
        <v>1569.96</v>
      </c>
      <c r="S1913" s="15">
        <v>0</v>
      </c>
      <c r="T1913" s="15">
        <v>0</v>
      </c>
      <c r="U1913" s="15">
        <v>1569.96</v>
      </c>
      <c r="V1913" s="15">
        <v>1569.96</v>
      </c>
      <c r="W1913" s="15">
        <v>0</v>
      </c>
      <c r="X1913" s="15">
        <v>0</v>
      </c>
      <c r="Y1913" s="16">
        <v>0</v>
      </c>
      <c r="Z1913" s="67" t="s">
        <v>26</v>
      </c>
      <c r="AA1913" s="12" t="s">
        <v>31</v>
      </c>
    </row>
    <row r="1914" spans="1:27" x14ac:dyDescent="0.25">
      <c r="A1914" s="10">
        <v>45686</v>
      </c>
      <c r="B1914" s="11" t="s">
        <v>341</v>
      </c>
      <c r="C1914" s="11" t="s">
        <v>4030</v>
      </c>
      <c r="D1914" s="11" t="s">
        <v>26</v>
      </c>
      <c r="E1914" s="11" t="s">
        <v>77</v>
      </c>
      <c r="F1914" s="11" t="s">
        <v>26</v>
      </c>
      <c r="G1914" s="11">
        <v>2408</v>
      </c>
      <c r="H1914" s="12" t="s">
        <v>4449</v>
      </c>
      <c r="I1914" s="12" t="s">
        <v>55</v>
      </c>
      <c r="J1914" s="12" t="s">
        <v>55</v>
      </c>
      <c r="K1914" s="12" t="s">
        <v>56</v>
      </c>
      <c r="L1914" s="13">
        <v>38.880000000000003</v>
      </c>
      <c r="M1914" s="13">
        <v>25</v>
      </c>
      <c r="N1914" s="13">
        <v>1.5551999999999999</v>
      </c>
      <c r="O1914" s="13">
        <v>15</v>
      </c>
      <c r="P1914" s="13" t="s">
        <v>30</v>
      </c>
      <c r="Q1914" s="13">
        <v>0</v>
      </c>
      <c r="R1914" s="15">
        <v>583.20000000000005</v>
      </c>
      <c r="S1914" s="15">
        <v>0</v>
      </c>
      <c r="T1914" s="15">
        <v>0</v>
      </c>
      <c r="U1914" s="15">
        <v>583.20000000000005</v>
      </c>
      <c r="V1914" s="15">
        <v>583.20000000000005</v>
      </c>
      <c r="W1914" s="15">
        <v>0</v>
      </c>
      <c r="X1914" s="15">
        <v>0</v>
      </c>
      <c r="Y1914" s="16">
        <v>0</v>
      </c>
      <c r="Z1914" s="67" t="s">
        <v>26</v>
      </c>
      <c r="AA1914" s="12" t="s">
        <v>31</v>
      </c>
    </row>
    <row r="1915" spans="1:27" x14ac:dyDescent="0.25">
      <c r="A1915" s="10">
        <v>45686</v>
      </c>
      <c r="B1915" s="11" t="s">
        <v>315</v>
      </c>
      <c r="C1915" s="11" t="s">
        <v>4031</v>
      </c>
      <c r="D1915" s="11" t="s">
        <v>26</v>
      </c>
      <c r="E1915" s="11" t="s">
        <v>50</v>
      </c>
      <c r="F1915" s="11" t="s">
        <v>26</v>
      </c>
      <c r="G1915" s="11">
        <v>921</v>
      </c>
      <c r="H1915" s="12" t="s">
        <v>163</v>
      </c>
      <c r="I1915" s="12" t="s">
        <v>27</v>
      </c>
      <c r="J1915" s="12" t="s">
        <v>42</v>
      </c>
      <c r="K1915" s="12" t="s">
        <v>43</v>
      </c>
      <c r="L1915" s="13">
        <v>41.62</v>
      </c>
      <c r="M1915" s="13">
        <v>25</v>
      </c>
      <c r="N1915" s="13">
        <v>1.6648000000000001</v>
      </c>
      <c r="O1915" s="13" t="s">
        <v>30</v>
      </c>
      <c r="P1915" s="13">
        <v>56</v>
      </c>
      <c r="Q1915" s="13">
        <v>0</v>
      </c>
      <c r="R1915" s="15">
        <v>1400</v>
      </c>
      <c r="S1915" s="15">
        <v>0</v>
      </c>
      <c r="T1915" s="15">
        <v>0</v>
      </c>
      <c r="U1915" s="15">
        <v>1400</v>
      </c>
      <c r="V1915" s="15">
        <v>0</v>
      </c>
      <c r="W1915" s="15">
        <v>1400</v>
      </c>
      <c r="X1915" s="15">
        <v>0</v>
      </c>
      <c r="Y1915" s="16">
        <v>0</v>
      </c>
      <c r="Z1915" s="67" t="s">
        <v>26</v>
      </c>
      <c r="AA1915" s="12" t="s">
        <v>31</v>
      </c>
    </row>
    <row r="1916" spans="1:27" x14ac:dyDescent="0.25">
      <c r="A1916" s="10">
        <v>45686</v>
      </c>
      <c r="B1916" s="11" t="s">
        <v>4032</v>
      </c>
      <c r="C1916" s="11" t="s">
        <v>4033</v>
      </c>
      <c r="D1916" s="11" t="s">
        <v>26</v>
      </c>
      <c r="E1916" s="11" t="s">
        <v>89</v>
      </c>
      <c r="F1916" s="11" t="s">
        <v>26</v>
      </c>
      <c r="G1916" s="11">
        <v>60465</v>
      </c>
      <c r="H1916" s="12" t="s">
        <v>4423</v>
      </c>
      <c r="I1916" s="12" t="s">
        <v>27</v>
      </c>
      <c r="J1916" s="12" t="s">
        <v>42</v>
      </c>
      <c r="K1916" s="12" t="s">
        <v>43</v>
      </c>
      <c r="L1916" s="13">
        <v>38.4</v>
      </c>
      <c r="M1916" s="13">
        <v>25</v>
      </c>
      <c r="N1916" s="13">
        <v>1.536</v>
      </c>
      <c r="O1916" s="13">
        <v>42</v>
      </c>
      <c r="P1916" s="13" t="s">
        <v>30</v>
      </c>
      <c r="Q1916" s="13">
        <v>0</v>
      </c>
      <c r="R1916" s="14">
        <v>1612.8</v>
      </c>
      <c r="S1916" s="15">
        <v>0</v>
      </c>
      <c r="T1916" s="15">
        <v>0</v>
      </c>
      <c r="U1916" s="15">
        <v>1612.8</v>
      </c>
      <c r="V1916" s="15">
        <v>1612.8</v>
      </c>
      <c r="W1916" s="15">
        <v>0</v>
      </c>
      <c r="X1916" s="15">
        <v>0</v>
      </c>
      <c r="Y1916" s="16">
        <v>0</v>
      </c>
      <c r="Z1916" s="67" t="s">
        <v>26</v>
      </c>
      <c r="AA1916" s="12" t="s">
        <v>31</v>
      </c>
    </row>
    <row r="1917" spans="1:27" x14ac:dyDescent="0.25">
      <c r="A1917" s="10">
        <v>45686</v>
      </c>
      <c r="B1917" s="11" t="s">
        <v>458</v>
      </c>
      <c r="C1917" s="11" t="s">
        <v>4034</v>
      </c>
      <c r="D1917" s="11" t="s">
        <v>26</v>
      </c>
      <c r="E1917" s="11" t="s">
        <v>1651</v>
      </c>
      <c r="F1917" s="11" t="s">
        <v>26</v>
      </c>
      <c r="G1917" s="11">
        <v>42276</v>
      </c>
      <c r="H1917" s="12" t="s">
        <v>565</v>
      </c>
      <c r="I1917" s="12" t="s">
        <v>27</v>
      </c>
      <c r="J1917" s="12" t="s">
        <v>47</v>
      </c>
      <c r="K1917" s="12" t="s">
        <v>48</v>
      </c>
      <c r="L1917" s="13">
        <v>35.299999999999997</v>
      </c>
      <c r="M1917" s="13">
        <v>24</v>
      </c>
      <c r="N1917" s="13">
        <v>1.470833333333333</v>
      </c>
      <c r="O1917" s="13"/>
      <c r="P1917" s="13">
        <v>60</v>
      </c>
      <c r="Q1917" s="13">
        <v>0</v>
      </c>
      <c r="R1917" s="14">
        <v>1440</v>
      </c>
      <c r="S1917" s="15">
        <v>0</v>
      </c>
      <c r="T1917" s="15">
        <v>0</v>
      </c>
      <c r="U1917" s="15">
        <v>1440</v>
      </c>
      <c r="V1917" s="15">
        <v>0</v>
      </c>
      <c r="W1917" s="15">
        <v>1440</v>
      </c>
      <c r="X1917" s="15">
        <v>0</v>
      </c>
      <c r="Y1917" s="16">
        <v>0</v>
      </c>
      <c r="Z1917" s="67" t="s">
        <v>26</v>
      </c>
      <c r="AA1917" s="12" t="s">
        <v>31</v>
      </c>
    </row>
    <row r="1918" spans="1:27" x14ac:dyDescent="0.25">
      <c r="A1918" s="10">
        <v>45686</v>
      </c>
      <c r="B1918" s="11" t="s">
        <v>4035</v>
      </c>
      <c r="C1918" s="11" t="s">
        <v>4036</v>
      </c>
      <c r="D1918" s="11" t="s">
        <v>26</v>
      </c>
      <c r="E1918" s="11" t="s">
        <v>75</v>
      </c>
      <c r="F1918" s="11" t="s">
        <v>26</v>
      </c>
      <c r="G1918" s="11">
        <v>42036</v>
      </c>
      <c r="H1918" s="12" t="s">
        <v>565</v>
      </c>
      <c r="I1918" s="12" t="s">
        <v>27</v>
      </c>
      <c r="J1918" s="12" t="s">
        <v>33</v>
      </c>
      <c r="K1918" s="12" t="s">
        <v>34</v>
      </c>
      <c r="L1918" s="13">
        <v>42.8</v>
      </c>
      <c r="M1918" s="13">
        <v>29</v>
      </c>
      <c r="N1918" s="13">
        <v>1.4758620689655171</v>
      </c>
      <c r="O1918" s="13"/>
      <c r="P1918" s="13">
        <v>60</v>
      </c>
      <c r="Q1918" s="13">
        <v>0</v>
      </c>
      <c r="R1918" s="14">
        <v>1740</v>
      </c>
      <c r="S1918" s="15">
        <v>0</v>
      </c>
      <c r="T1918" s="15">
        <v>0</v>
      </c>
      <c r="U1918" s="15">
        <v>1740</v>
      </c>
      <c r="V1918" s="15">
        <v>0</v>
      </c>
      <c r="W1918" s="15">
        <v>1740</v>
      </c>
      <c r="X1918" s="15">
        <v>0</v>
      </c>
      <c r="Y1918" s="16">
        <v>0</v>
      </c>
      <c r="Z1918" s="67" t="s">
        <v>26</v>
      </c>
      <c r="AA1918" s="12" t="s">
        <v>31</v>
      </c>
    </row>
    <row r="1919" spans="1:27" x14ac:dyDescent="0.25">
      <c r="A1919" s="10">
        <v>45686</v>
      </c>
      <c r="B1919" s="11" t="s">
        <v>4037</v>
      </c>
      <c r="C1919" s="11" t="s">
        <v>4038</v>
      </c>
      <c r="D1919" s="11" t="s">
        <v>26</v>
      </c>
      <c r="E1919" s="11" t="s">
        <v>480</v>
      </c>
      <c r="F1919" s="11" t="s">
        <v>26</v>
      </c>
      <c r="G1919" s="11">
        <v>70401</v>
      </c>
      <c r="H1919" s="12" t="s">
        <v>4448</v>
      </c>
      <c r="I1919" s="12" t="s">
        <v>55</v>
      </c>
      <c r="J1919" s="12" t="s">
        <v>55</v>
      </c>
      <c r="K1919" s="12" t="s">
        <v>56</v>
      </c>
      <c r="L1919" s="13">
        <v>39.26</v>
      </c>
      <c r="M1919" s="13">
        <v>25</v>
      </c>
      <c r="N1919" s="13">
        <v>1.5704</v>
      </c>
      <c r="O1919" s="13">
        <v>15</v>
      </c>
      <c r="P1919" s="13" t="s">
        <v>30</v>
      </c>
      <c r="Q1919" s="13">
        <v>0</v>
      </c>
      <c r="R1919" s="14">
        <v>588.9</v>
      </c>
      <c r="S1919" s="15">
        <v>0</v>
      </c>
      <c r="T1919" s="15">
        <v>0</v>
      </c>
      <c r="U1919" s="15">
        <v>588.9</v>
      </c>
      <c r="V1919" s="15">
        <v>441.67499999999995</v>
      </c>
      <c r="W1919" s="15">
        <v>147.22500000000002</v>
      </c>
      <c r="X1919" s="15">
        <v>0</v>
      </c>
      <c r="Y1919" s="16">
        <v>0</v>
      </c>
      <c r="Z1919" s="67" t="s">
        <v>26</v>
      </c>
      <c r="AA1919" s="12" t="s">
        <v>31</v>
      </c>
    </row>
    <row r="1920" spans="1:27" x14ac:dyDescent="0.25">
      <c r="A1920" s="10">
        <v>45686</v>
      </c>
      <c r="B1920" s="11" t="s">
        <v>4039</v>
      </c>
      <c r="C1920" s="11" t="s">
        <v>4040</v>
      </c>
      <c r="D1920" s="11" t="s">
        <v>26</v>
      </c>
      <c r="E1920" s="11" t="s">
        <v>230</v>
      </c>
      <c r="F1920" s="11" t="s">
        <v>26</v>
      </c>
      <c r="G1920" s="11">
        <v>23148</v>
      </c>
      <c r="H1920" s="12" t="s">
        <v>565</v>
      </c>
      <c r="I1920" s="12" t="s">
        <v>27</v>
      </c>
      <c r="J1920" s="12" t="s">
        <v>33</v>
      </c>
      <c r="K1920" s="12" t="s">
        <v>34</v>
      </c>
      <c r="L1920" s="13">
        <v>42.3</v>
      </c>
      <c r="M1920" s="13">
        <v>29</v>
      </c>
      <c r="N1920" s="13">
        <v>1.4586206896551721</v>
      </c>
      <c r="O1920" s="13"/>
      <c r="P1920" s="13">
        <v>60</v>
      </c>
      <c r="Q1920" s="13">
        <v>0</v>
      </c>
      <c r="R1920" s="14">
        <v>1740</v>
      </c>
      <c r="S1920" s="15">
        <v>0</v>
      </c>
      <c r="T1920" s="15">
        <v>0</v>
      </c>
      <c r="U1920" s="15">
        <v>1740</v>
      </c>
      <c r="V1920" s="15">
        <v>0</v>
      </c>
      <c r="W1920" s="15">
        <v>1740</v>
      </c>
      <c r="X1920" s="15">
        <v>0</v>
      </c>
      <c r="Y1920" s="16">
        <v>0</v>
      </c>
      <c r="Z1920" s="67" t="s">
        <v>26</v>
      </c>
      <c r="AA1920" s="12" t="s">
        <v>31</v>
      </c>
    </row>
    <row r="1921" spans="1:27" x14ac:dyDescent="0.25">
      <c r="A1921" s="10">
        <v>45686</v>
      </c>
      <c r="B1921" s="11" t="s">
        <v>415</v>
      </c>
      <c r="C1921" s="11" t="s">
        <v>4041</v>
      </c>
      <c r="D1921" s="11" t="s">
        <v>26</v>
      </c>
      <c r="E1921" s="11" t="s">
        <v>494</v>
      </c>
      <c r="F1921" s="11" t="s">
        <v>26</v>
      </c>
      <c r="G1921" s="11" t="s">
        <v>35</v>
      </c>
      <c r="H1921" s="12" t="s">
        <v>36</v>
      </c>
      <c r="I1921" s="12" t="s">
        <v>55</v>
      </c>
      <c r="J1921" s="12" t="s">
        <v>55</v>
      </c>
      <c r="K1921" s="12" t="s">
        <v>56</v>
      </c>
      <c r="L1921" s="13">
        <v>36.94</v>
      </c>
      <c r="M1921" s="13">
        <v>22</v>
      </c>
      <c r="N1921" s="13">
        <v>1.679090909090909</v>
      </c>
      <c r="O1921" s="13">
        <v>20</v>
      </c>
      <c r="P1921" s="13" t="s">
        <v>30</v>
      </c>
      <c r="Q1921" s="13">
        <v>0</v>
      </c>
      <c r="R1921" s="15">
        <v>738.8</v>
      </c>
      <c r="S1921" s="15">
        <v>0</v>
      </c>
      <c r="T1921" s="15">
        <v>0</v>
      </c>
      <c r="U1921" s="15">
        <v>738.8</v>
      </c>
      <c r="V1921" s="15">
        <v>0</v>
      </c>
      <c r="W1921" s="15">
        <v>738.8</v>
      </c>
      <c r="X1921" s="15">
        <v>0</v>
      </c>
      <c r="Y1921" s="16">
        <v>0</v>
      </c>
      <c r="Z1921" s="67" t="s">
        <v>26</v>
      </c>
      <c r="AA1921" s="12" t="s">
        <v>31</v>
      </c>
    </row>
    <row r="1922" spans="1:27" x14ac:dyDescent="0.25">
      <c r="A1922" s="10">
        <v>45686</v>
      </c>
      <c r="B1922" s="11" t="s">
        <v>4042</v>
      </c>
      <c r="C1922" s="11" t="s">
        <v>4043</v>
      </c>
      <c r="D1922" s="11" t="s">
        <v>26</v>
      </c>
      <c r="E1922" s="11" t="s">
        <v>440</v>
      </c>
      <c r="F1922" s="11" t="s">
        <v>26</v>
      </c>
      <c r="G1922" s="11" t="s">
        <v>35</v>
      </c>
      <c r="H1922" s="12" t="s">
        <v>36</v>
      </c>
      <c r="I1922" s="12" t="s">
        <v>55</v>
      </c>
      <c r="J1922" s="12" t="s">
        <v>55</v>
      </c>
      <c r="K1922" s="12" t="s">
        <v>56</v>
      </c>
      <c r="L1922" s="13">
        <v>28.1</v>
      </c>
      <c r="M1922" s="13">
        <v>22</v>
      </c>
      <c r="N1922" s="13">
        <v>1.2772727272727269</v>
      </c>
      <c r="O1922" s="13">
        <v>20</v>
      </c>
      <c r="P1922" s="13" t="s">
        <v>30</v>
      </c>
      <c r="Q1922" s="13">
        <v>0</v>
      </c>
      <c r="R1922" s="14">
        <v>562</v>
      </c>
      <c r="S1922" s="15">
        <v>0</v>
      </c>
      <c r="T1922" s="15">
        <v>0</v>
      </c>
      <c r="U1922" s="15">
        <v>562</v>
      </c>
      <c r="V1922" s="15">
        <v>0</v>
      </c>
      <c r="W1922" s="15">
        <v>562</v>
      </c>
      <c r="X1922" s="15">
        <v>0</v>
      </c>
      <c r="Y1922" s="16">
        <v>0</v>
      </c>
      <c r="Z1922" s="67" t="s">
        <v>26</v>
      </c>
      <c r="AA1922" s="12" t="s">
        <v>31</v>
      </c>
    </row>
    <row r="1923" spans="1:27" x14ac:dyDescent="0.25">
      <c r="A1923" s="10">
        <v>45686</v>
      </c>
      <c r="B1923" s="11" t="s">
        <v>305</v>
      </c>
      <c r="C1923" s="11" t="s">
        <v>4044</v>
      </c>
      <c r="D1923" s="11" t="s">
        <v>26</v>
      </c>
      <c r="E1923" s="11" t="s">
        <v>3938</v>
      </c>
      <c r="F1923" s="11" t="s">
        <v>26</v>
      </c>
      <c r="G1923" s="11" t="s">
        <v>35</v>
      </c>
      <c r="H1923" s="12" t="s">
        <v>36</v>
      </c>
      <c r="I1923" s="12" t="s">
        <v>55</v>
      </c>
      <c r="J1923" s="12" t="s">
        <v>55</v>
      </c>
      <c r="K1923" s="12" t="s">
        <v>56</v>
      </c>
      <c r="L1923" s="13">
        <v>9.6</v>
      </c>
      <c r="M1923" s="13">
        <v>6</v>
      </c>
      <c r="N1923" s="13">
        <v>1.6</v>
      </c>
      <c r="O1923" s="13">
        <v>20</v>
      </c>
      <c r="P1923" s="13" t="s">
        <v>30</v>
      </c>
      <c r="Q1923" s="13">
        <v>0</v>
      </c>
      <c r="R1923" s="14">
        <v>192</v>
      </c>
      <c r="S1923" s="15">
        <v>0</v>
      </c>
      <c r="T1923" s="15">
        <v>0</v>
      </c>
      <c r="U1923" s="15">
        <v>192</v>
      </c>
      <c r="V1923" s="15">
        <v>0</v>
      </c>
      <c r="W1923" s="15">
        <v>192</v>
      </c>
      <c r="X1923" s="15">
        <v>0</v>
      </c>
      <c r="Y1923" s="16">
        <v>0</v>
      </c>
      <c r="Z1923" s="67" t="s">
        <v>26</v>
      </c>
      <c r="AA1923" s="12" t="s">
        <v>31</v>
      </c>
    </row>
    <row r="1924" spans="1:27" x14ac:dyDescent="0.25">
      <c r="A1924" s="10">
        <v>45686</v>
      </c>
      <c r="B1924" s="11" t="s">
        <v>417</v>
      </c>
      <c r="C1924" s="11" t="s">
        <v>4045</v>
      </c>
      <c r="D1924" s="11" t="s">
        <v>26</v>
      </c>
      <c r="E1924" s="11" t="s">
        <v>44</v>
      </c>
      <c r="F1924" s="11" t="s">
        <v>26</v>
      </c>
      <c r="G1924" s="11" t="s">
        <v>26</v>
      </c>
      <c r="H1924" s="12" t="s">
        <v>4422</v>
      </c>
      <c r="I1924" s="12" t="s">
        <v>27</v>
      </c>
      <c r="J1924" s="12" t="s">
        <v>33</v>
      </c>
      <c r="K1924" s="12" t="s">
        <v>34</v>
      </c>
      <c r="L1924" s="13">
        <v>43.12</v>
      </c>
      <c r="M1924" s="13">
        <v>29</v>
      </c>
      <c r="N1924" s="13">
        <v>1.4868965517241379</v>
      </c>
      <c r="O1924" s="13">
        <v>85</v>
      </c>
      <c r="P1924" s="13" t="s">
        <v>30</v>
      </c>
      <c r="Q1924" s="13">
        <v>0</v>
      </c>
      <c r="R1924" s="14">
        <v>3665.2</v>
      </c>
      <c r="S1924" s="15">
        <v>38</v>
      </c>
      <c r="T1924" s="15">
        <v>1638.56</v>
      </c>
      <c r="U1924" s="15">
        <v>2026.6399999999999</v>
      </c>
      <c r="V1924" s="15">
        <v>2026.6399999999999</v>
      </c>
      <c r="W1924" s="15">
        <v>0</v>
      </c>
      <c r="X1924" s="15">
        <v>1552.32</v>
      </c>
      <c r="Y1924" s="16">
        <v>86.240000000000009</v>
      </c>
      <c r="Z1924" s="67" t="s">
        <v>45</v>
      </c>
      <c r="AA1924" s="12" t="s">
        <v>78</v>
      </c>
    </row>
    <row r="1925" spans="1:27" x14ac:dyDescent="0.25">
      <c r="A1925" s="10">
        <v>45686</v>
      </c>
      <c r="B1925" s="11" t="s">
        <v>4046</v>
      </c>
      <c r="C1925" s="11" t="s">
        <v>4047</v>
      </c>
      <c r="D1925" s="11" t="s">
        <v>26</v>
      </c>
      <c r="E1925" s="11" t="s">
        <v>481</v>
      </c>
      <c r="F1925" s="11" t="s">
        <v>26</v>
      </c>
      <c r="G1925" s="11">
        <v>73994</v>
      </c>
      <c r="H1925" s="12" t="s">
        <v>4448</v>
      </c>
      <c r="I1925" s="12" t="s">
        <v>55</v>
      </c>
      <c r="J1925" s="12" t="s">
        <v>55</v>
      </c>
      <c r="K1925" s="12" t="s">
        <v>56</v>
      </c>
      <c r="L1925" s="13">
        <v>38.020000000000003</v>
      </c>
      <c r="M1925" s="13">
        <v>25</v>
      </c>
      <c r="N1925" s="13">
        <v>1.5207999999999999</v>
      </c>
      <c r="O1925" s="13">
        <v>15</v>
      </c>
      <c r="P1925" s="13" t="s">
        <v>30</v>
      </c>
      <c r="Q1925" s="13">
        <v>0</v>
      </c>
      <c r="R1925" s="14">
        <v>570.30000000000007</v>
      </c>
      <c r="S1925" s="15">
        <v>0</v>
      </c>
      <c r="T1925" s="15">
        <v>0</v>
      </c>
      <c r="U1925" s="15">
        <v>570.30000000000007</v>
      </c>
      <c r="V1925" s="15">
        <v>427.72500000000002</v>
      </c>
      <c r="W1925" s="15">
        <v>142.57500000000005</v>
      </c>
      <c r="X1925" s="15">
        <v>0</v>
      </c>
      <c r="Y1925" s="16">
        <v>0</v>
      </c>
      <c r="Z1925" s="67" t="s">
        <v>26</v>
      </c>
      <c r="AA1925" s="12" t="s">
        <v>31</v>
      </c>
    </row>
    <row r="1926" spans="1:27" x14ac:dyDescent="0.25">
      <c r="A1926" s="10">
        <v>45686</v>
      </c>
      <c r="B1926" s="11" t="s">
        <v>4048</v>
      </c>
      <c r="C1926" s="11" t="s">
        <v>4049</v>
      </c>
      <c r="D1926" s="11" t="s">
        <v>26</v>
      </c>
      <c r="E1926" s="11" t="s">
        <v>53</v>
      </c>
      <c r="F1926" s="11" t="s">
        <v>26</v>
      </c>
      <c r="G1926" s="11">
        <v>3777</v>
      </c>
      <c r="H1926" s="12" t="s">
        <v>41</v>
      </c>
      <c r="I1926" s="12" t="s">
        <v>27</v>
      </c>
      <c r="J1926" s="12" t="s">
        <v>33</v>
      </c>
      <c r="K1926" s="12" t="s">
        <v>34</v>
      </c>
      <c r="L1926" s="13">
        <v>38.64</v>
      </c>
      <c r="M1926" s="13">
        <v>25</v>
      </c>
      <c r="N1926" s="13">
        <v>1.5456000000000001</v>
      </c>
      <c r="O1926" s="13"/>
      <c r="P1926" s="13">
        <v>60</v>
      </c>
      <c r="Q1926" s="13">
        <v>0</v>
      </c>
      <c r="R1926" s="14">
        <v>1500</v>
      </c>
      <c r="S1926" s="15">
        <v>0</v>
      </c>
      <c r="T1926" s="15">
        <v>0</v>
      </c>
      <c r="U1926" s="15">
        <v>1500</v>
      </c>
      <c r="V1926" s="15">
        <v>0</v>
      </c>
      <c r="W1926" s="15">
        <v>1500</v>
      </c>
      <c r="X1926" s="15">
        <v>0</v>
      </c>
      <c r="Y1926" s="16">
        <v>0</v>
      </c>
      <c r="Z1926" s="67" t="s">
        <v>26</v>
      </c>
      <c r="AA1926" s="12" t="s">
        <v>31</v>
      </c>
    </row>
    <row r="1927" spans="1:27" x14ac:dyDescent="0.25">
      <c r="A1927" s="10">
        <v>45686</v>
      </c>
      <c r="B1927" s="11" t="s">
        <v>288</v>
      </c>
      <c r="C1927" s="11" t="s">
        <v>4050</v>
      </c>
      <c r="D1927" s="11" t="s">
        <v>26</v>
      </c>
      <c r="E1927" s="11" t="s">
        <v>69</v>
      </c>
      <c r="F1927" s="11" t="s">
        <v>26</v>
      </c>
      <c r="G1927" s="11">
        <v>2103</v>
      </c>
      <c r="H1927" s="12" t="s">
        <v>70</v>
      </c>
      <c r="I1927" s="12" t="s">
        <v>27</v>
      </c>
      <c r="J1927" s="12" t="s">
        <v>42</v>
      </c>
      <c r="K1927" s="12" t="s">
        <v>43</v>
      </c>
      <c r="L1927" s="13">
        <v>44.34</v>
      </c>
      <c r="M1927" s="13">
        <v>25</v>
      </c>
      <c r="N1927" s="13">
        <v>1.7736000000000001</v>
      </c>
      <c r="O1927" s="13" t="s">
        <v>30</v>
      </c>
      <c r="P1927" s="13">
        <v>64</v>
      </c>
      <c r="Q1927" s="13">
        <v>0</v>
      </c>
      <c r="R1927" s="14">
        <v>1600</v>
      </c>
      <c r="S1927" s="15">
        <v>0</v>
      </c>
      <c r="T1927" s="15">
        <v>0</v>
      </c>
      <c r="U1927" s="15">
        <v>1600</v>
      </c>
      <c r="V1927" s="15">
        <v>0</v>
      </c>
      <c r="W1927" s="15">
        <v>1600</v>
      </c>
      <c r="X1927" s="15">
        <v>0</v>
      </c>
      <c r="Y1927" s="16">
        <v>0</v>
      </c>
      <c r="Z1927" s="67" t="s">
        <v>26</v>
      </c>
      <c r="AA1927" s="12" t="s">
        <v>31</v>
      </c>
    </row>
    <row r="1928" spans="1:27" x14ac:dyDescent="0.25">
      <c r="A1928" s="10">
        <v>45686</v>
      </c>
      <c r="B1928" s="11" t="s">
        <v>285</v>
      </c>
      <c r="C1928" s="11" t="s">
        <v>4051</v>
      </c>
      <c r="D1928" s="11" t="s">
        <v>26</v>
      </c>
      <c r="E1928" s="11" t="s">
        <v>240</v>
      </c>
      <c r="F1928" s="11" t="s">
        <v>26</v>
      </c>
      <c r="G1928" s="11" t="s">
        <v>26</v>
      </c>
      <c r="H1928" s="12" t="s">
        <v>146</v>
      </c>
      <c r="I1928" s="12" t="s">
        <v>27</v>
      </c>
      <c r="J1928" s="12" t="s">
        <v>42</v>
      </c>
      <c r="K1928" s="12" t="s">
        <v>43</v>
      </c>
      <c r="L1928" s="13">
        <v>45.48</v>
      </c>
      <c r="M1928" s="13">
        <v>28</v>
      </c>
      <c r="N1928" s="13">
        <v>1.6242857142857141</v>
      </c>
      <c r="O1928" s="13">
        <v>91</v>
      </c>
      <c r="P1928" s="13" t="s">
        <v>30</v>
      </c>
      <c r="Q1928" s="13">
        <v>0</v>
      </c>
      <c r="R1928" s="14">
        <v>4138.6799999999994</v>
      </c>
      <c r="S1928" s="15">
        <v>40</v>
      </c>
      <c r="T1928" s="15">
        <v>1819.1999999999998</v>
      </c>
      <c r="U1928" s="15">
        <v>2319.4799999999996</v>
      </c>
      <c r="V1928" s="15">
        <v>2319.4799999999996</v>
      </c>
      <c r="W1928" s="15">
        <v>0</v>
      </c>
      <c r="X1928" s="15">
        <v>1682.76</v>
      </c>
      <c r="Y1928" s="16">
        <v>136.43999999999983</v>
      </c>
      <c r="Z1928" s="67" t="s">
        <v>41</v>
      </c>
      <c r="AA1928" s="12" t="s">
        <v>79</v>
      </c>
    </row>
    <row r="1929" spans="1:27" x14ac:dyDescent="0.25">
      <c r="A1929" s="10">
        <v>45686</v>
      </c>
      <c r="B1929" s="11" t="s">
        <v>4052</v>
      </c>
      <c r="C1929" s="11" t="s">
        <v>4053</v>
      </c>
      <c r="D1929" s="11" t="s">
        <v>26</v>
      </c>
      <c r="E1929" s="11" t="s">
        <v>444</v>
      </c>
      <c r="F1929" s="11" t="s">
        <v>26</v>
      </c>
      <c r="G1929" s="11">
        <v>2105</v>
      </c>
      <c r="H1929" s="12" t="s">
        <v>4449</v>
      </c>
      <c r="I1929" s="12" t="s">
        <v>55</v>
      </c>
      <c r="J1929" s="12" t="s">
        <v>55</v>
      </c>
      <c r="K1929" s="12" t="s">
        <v>56</v>
      </c>
      <c r="L1929" s="13">
        <v>34.06</v>
      </c>
      <c r="M1929" s="13">
        <v>22</v>
      </c>
      <c r="N1929" s="13">
        <v>1.5481818181818181</v>
      </c>
      <c r="O1929" s="13">
        <v>15</v>
      </c>
      <c r="P1929" s="13" t="s">
        <v>30</v>
      </c>
      <c r="Q1929" s="13">
        <v>0</v>
      </c>
      <c r="R1929" s="15">
        <v>510.90000000000003</v>
      </c>
      <c r="S1929" s="15">
        <v>0</v>
      </c>
      <c r="T1929" s="15">
        <v>0</v>
      </c>
      <c r="U1929" s="15">
        <v>510.90000000000003</v>
      </c>
      <c r="V1929" s="15">
        <v>510.90000000000003</v>
      </c>
      <c r="W1929" s="15">
        <v>0</v>
      </c>
      <c r="X1929" s="15">
        <v>0</v>
      </c>
      <c r="Y1929" s="16">
        <v>0</v>
      </c>
      <c r="Z1929" s="67" t="s">
        <v>26</v>
      </c>
      <c r="AA1929" s="12" t="s">
        <v>31</v>
      </c>
    </row>
    <row r="1930" spans="1:27" x14ac:dyDescent="0.25">
      <c r="A1930" s="10">
        <v>45686</v>
      </c>
      <c r="B1930" s="11" t="s">
        <v>4054</v>
      </c>
      <c r="C1930" s="11" t="s">
        <v>4055</v>
      </c>
      <c r="D1930" s="11" t="s">
        <v>26</v>
      </c>
      <c r="E1930" s="11" t="s">
        <v>552</v>
      </c>
      <c r="F1930" s="11" t="s">
        <v>26</v>
      </c>
      <c r="G1930" s="11">
        <v>69139</v>
      </c>
      <c r="H1930" s="12" t="s">
        <v>4423</v>
      </c>
      <c r="I1930" s="12" t="s">
        <v>27</v>
      </c>
      <c r="J1930" s="12" t="s">
        <v>42</v>
      </c>
      <c r="K1930" s="12" t="s">
        <v>43</v>
      </c>
      <c r="L1930" s="13">
        <v>34.520000000000003</v>
      </c>
      <c r="M1930" s="13">
        <v>25</v>
      </c>
      <c r="N1930" s="13">
        <v>1.3808</v>
      </c>
      <c r="O1930" s="13">
        <v>42</v>
      </c>
      <c r="P1930" s="13" t="s">
        <v>30</v>
      </c>
      <c r="Q1930" s="13">
        <v>0</v>
      </c>
      <c r="R1930" s="14">
        <v>1449.8400000000001</v>
      </c>
      <c r="S1930" s="15">
        <v>0</v>
      </c>
      <c r="T1930" s="15">
        <v>0</v>
      </c>
      <c r="U1930" s="15">
        <v>1449.8400000000001</v>
      </c>
      <c r="V1930" s="15">
        <v>1449.8400000000001</v>
      </c>
      <c r="W1930" s="15">
        <v>0</v>
      </c>
      <c r="X1930" s="15">
        <v>0</v>
      </c>
      <c r="Y1930" s="16">
        <v>0</v>
      </c>
      <c r="Z1930" s="67" t="s">
        <v>26</v>
      </c>
      <c r="AA1930" s="12" t="s">
        <v>31</v>
      </c>
    </row>
    <row r="1931" spans="1:27" x14ac:dyDescent="0.25">
      <c r="A1931" s="10">
        <v>45686</v>
      </c>
      <c r="B1931" s="11" t="s">
        <v>2450</v>
      </c>
      <c r="C1931" s="11" t="s">
        <v>4056</v>
      </c>
      <c r="D1931" s="11" t="s">
        <v>26</v>
      </c>
      <c r="E1931" s="11" t="s">
        <v>67</v>
      </c>
      <c r="F1931" s="11" t="s">
        <v>26</v>
      </c>
      <c r="G1931" s="11">
        <v>1622</v>
      </c>
      <c r="H1931" s="12" t="s">
        <v>66</v>
      </c>
      <c r="I1931" s="12" t="s">
        <v>37</v>
      </c>
      <c r="J1931" s="12" t="s">
        <v>1909</v>
      </c>
      <c r="K1931" s="12" t="s">
        <v>82</v>
      </c>
      <c r="L1931" s="13">
        <v>40.42</v>
      </c>
      <c r="M1931" s="13">
        <v>25</v>
      </c>
      <c r="N1931" s="13">
        <v>1.6168</v>
      </c>
      <c r="O1931" s="13" t="s">
        <v>30</v>
      </c>
      <c r="P1931" s="13">
        <v>54</v>
      </c>
      <c r="Q1931" s="13">
        <v>0</v>
      </c>
      <c r="R1931" s="14">
        <v>1350</v>
      </c>
      <c r="S1931" s="15">
        <v>0</v>
      </c>
      <c r="T1931" s="15">
        <v>0</v>
      </c>
      <c r="U1931" s="15">
        <v>1350</v>
      </c>
      <c r="V1931" s="15">
        <v>1350</v>
      </c>
      <c r="W1931" s="15">
        <v>0</v>
      </c>
      <c r="X1931" s="15">
        <v>0</v>
      </c>
      <c r="Y1931" s="16">
        <v>0</v>
      </c>
      <c r="Z1931" s="67" t="s">
        <v>26</v>
      </c>
      <c r="AA1931" s="12" t="s">
        <v>31</v>
      </c>
    </row>
    <row r="1932" spans="1:27" x14ac:dyDescent="0.25">
      <c r="A1932" s="10">
        <v>45686</v>
      </c>
      <c r="B1932" s="11" t="s">
        <v>3063</v>
      </c>
      <c r="C1932" s="11" t="s">
        <v>4057</v>
      </c>
      <c r="D1932" s="11" t="s">
        <v>26</v>
      </c>
      <c r="E1932" s="11" t="s">
        <v>506</v>
      </c>
      <c r="F1932" s="11" t="s">
        <v>26</v>
      </c>
      <c r="G1932" s="11">
        <v>1539</v>
      </c>
      <c r="H1932" s="12" t="s">
        <v>45</v>
      </c>
      <c r="I1932" s="12" t="s">
        <v>27</v>
      </c>
      <c r="J1932" s="12" t="s">
        <v>33</v>
      </c>
      <c r="K1932" s="12" t="s">
        <v>34</v>
      </c>
      <c r="L1932" s="13">
        <v>38.880000000000003</v>
      </c>
      <c r="M1932" s="13">
        <v>25</v>
      </c>
      <c r="N1932" s="13">
        <v>1.5551999999999999</v>
      </c>
      <c r="O1932" s="13" t="s">
        <v>30</v>
      </c>
      <c r="P1932" s="13">
        <v>58</v>
      </c>
      <c r="Q1932" s="13">
        <v>0</v>
      </c>
      <c r="R1932" s="15">
        <v>1450</v>
      </c>
      <c r="S1932" s="15">
        <v>0</v>
      </c>
      <c r="T1932" s="15">
        <v>0</v>
      </c>
      <c r="U1932" s="15">
        <v>1450</v>
      </c>
      <c r="V1932" s="15">
        <v>0</v>
      </c>
      <c r="W1932" s="15">
        <v>1450</v>
      </c>
      <c r="X1932" s="15">
        <v>0</v>
      </c>
      <c r="Y1932" s="16">
        <v>0</v>
      </c>
      <c r="Z1932" s="67" t="s">
        <v>26</v>
      </c>
      <c r="AA1932" s="12" t="s">
        <v>31</v>
      </c>
    </row>
    <row r="1933" spans="1:27" x14ac:dyDescent="0.25">
      <c r="A1933" s="10">
        <v>45686</v>
      </c>
      <c r="B1933" s="11" t="s">
        <v>4058</v>
      </c>
      <c r="C1933" s="11" t="s">
        <v>4059</v>
      </c>
      <c r="D1933" s="11" t="s">
        <v>26</v>
      </c>
      <c r="E1933" s="11" t="s">
        <v>77</v>
      </c>
      <c r="F1933" s="11" t="s">
        <v>26</v>
      </c>
      <c r="G1933" s="11">
        <v>2409</v>
      </c>
      <c r="H1933" s="12" t="s">
        <v>4449</v>
      </c>
      <c r="I1933" s="12" t="s">
        <v>55</v>
      </c>
      <c r="J1933" s="12" t="s">
        <v>55</v>
      </c>
      <c r="K1933" s="12" t="s">
        <v>56</v>
      </c>
      <c r="L1933" s="13">
        <v>38.08</v>
      </c>
      <c r="M1933" s="13">
        <v>25</v>
      </c>
      <c r="N1933" s="13">
        <v>1.5232000000000001</v>
      </c>
      <c r="O1933" s="13">
        <v>15</v>
      </c>
      <c r="P1933" s="13" t="s">
        <v>30</v>
      </c>
      <c r="Q1933" s="13">
        <v>0</v>
      </c>
      <c r="R1933" s="14">
        <v>571.19999999999993</v>
      </c>
      <c r="S1933" s="15">
        <v>0</v>
      </c>
      <c r="T1933" s="15">
        <v>0</v>
      </c>
      <c r="U1933" s="15">
        <v>571.19999999999993</v>
      </c>
      <c r="V1933" s="15">
        <v>571.19999999999993</v>
      </c>
      <c r="W1933" s="15">
        <v>0</v>
      </c>
      <c r="X1933" s="15">
        <v>0</v>
      </c>
      <c r="Y1933" s="16">
        <v>0</v>
      </c>
      <c r="Z1933" s="67" t="s">
        <v>26</v>
      </c>
      <c r="AA1933" s="12" t="s">
        <v>31</v>
      </c>
    </row>
    <row r="1934" spans="1:27" x14ac:dyDescent="0.25">
      <c r="A1934" s="10">
        <v>45686</v>
      </c>
      <c r="B1934" s="11" t="s">
        <v>1233</v>
      </c>
      <c r="C1934" s="11" t="s">
        <v>4060</v>
      </c>
      <c r="D1934" s="11" t="s">
        <v>26</v>
      </c>
      <c r="E1934" s="11" t="s">
        <v>3938</v>
      </c>
      <c r="F1934" s="11" t="s">
        <v>26</v>
      </c>
      <c r="G1934" s="11" t="s">
        <v>35</v>
      </c>
      <c r="H1934" s="12" t="s">
        <v>36</v>
      </c>
      <c r="I1934" s="12" t="s">
        <v>55</v>
      </c>
      <c r="J1934" s="12" t="s">
        <v>55</v>
      </c>
      <c r="K1934" s="12" t="s">
        <v>56</v>
      </c>
      <c r="L1934" s="13">
        <v>9.84</v>
      </c>
      <c r="M1934" s="13">
        <v>6</v>
      </c>
      <c r="N1934" s="13">
        <v>1.64</v>
      </c>
      <c r="O1934" s="13">
        <v>20</v>
      </c>
      <c r="P1934" s="13" t="s">
        <v>30</v>
      </c>
      <c r="Q1934" s="13">
        <v>0</v>
      </c>
      <c r="R1934" s="14">
        <v>196.8</v>
      </c>
      <c r="S1934" s="15">
        <v>0</v>
      </c>
      <c r="T1934" s="15">
        <v>0</v>
      </c>
      <c r="U1934" s="15">
        <v>196.8</v>
      </c>
      <c r="V1934" s="15">
        <v>0</v>
      </c>
      <c r="W1934" s="15">
        <v>196.8</v>
      </c>
      <c r="X1934" s="15">
        <v>0</v>
      </c>
      <c r="Y1934" s="16">
        <v>0</v>
      </c>
      <c r="Z1934" s="67" t="s">
        <v>26</v>
      </c>
      <c r="AA1934" s="12" t="s">
        <v>31</v>
      </c>
    </row>
    <row r="1935" spans="1:27" x14ac:dyDescent="0.25">
      <c r="A1935" s="10">
        <v>45686</v>
      </c>
      <c r="B1935" s="11" t="s">
        <v>4061</v>
      </c>
      <c r="C1935" s="11" t="s">
        <v>4062</v>
      </c>
      <c r="D1935" s="11" t="s">
        <v>26</v>
      </c>
      <c r="E1935" s="11" t="s">
        <v>65</v>
      </c>
      <c r="F1935" s="11" t="s">
        <v>26</v>
      </c>
      <c r="G1935" s="11">
        <v>1596</v>
      </c>
      <c r="H1935" s="12" t="s">
        <v>66</v>
      </c>
      <c r="I1935" s="12" t="s">
        <v>27</v>
      </c>
      <c r="J1935" s="12" t="s">
        <v>557</v>
      </c>
      <c r="K1935" s="12" t="s">
        <v>558</v>
      </c>
      <c r="L1935" s="13">
        <v>40.44</v>
      </c>
      <c r="M1935" s="13">
        <v>25</v>
      </c>
      <c r="N1935" s="13">
        <v>1.6175999999999999</v>
      </c>
      <c r="O1935" s="13">
        <v>45</v>
      </c>
      <c r="P1935" s="13"/>
      <c r="Q1935" s="13">
        <v>0</v>
      </c>
      <c r="R1935" s="15">
        <v>1819.8</v>
      </c>
      <c r="S1935" s="15">
        <v>0</v>
      </c>
      <c r="T1935" s="15">
        <v>0</v>
      </c>
      <c r="U1935" s="15">
        <v>1819.8</v>
      </c>
      <c r="V1935" s="15">
        <v>1819.8</v>
      </c>
      <c r="W1935" s="15">
        <v>0</v>
      </c>
      <c r="X1935" s="15">
        <v>0</v>
      </c>
      <c r="Y1935" s="16">
        <v>0</v>
      </c>
      <c r="Z1935" s="67" t="s">
        <v>26</v>
      </c>
      <c r="AA1935" s="12" t="s">
        <v>31</v>
      </c>
    </row>
    <row r="1936" spans="1:27" x14ac:dyDescent="0.25">
      <c r="A1936" s="10">
        <v>45686</v>
      </c>
      <c r="B1936" s="11" t="s">
        <v>303</v>
      </c>
      <c r="C1936" s="11" t="s">
        <v>4063</v>
      </c>
      <c r="D1936" s="11" t="s">
        <v>26</v>
      </c>
      <c r="E1936" s="11" t="s">
        <v>519</v>
      </c>
      <c r="F1936" s="11" t="s">
        <v>26</v>
      </c>
      <c r="G1936" s="11">
        <v>21764</v>
      </c>
      <c r="H1936" s="12" t="s">
        <v>4448</v>
      </c>
      <c r="I1936" s="12" t="s">
        <v>55</v>
      </c>
      <c r="J1936" s="12" t="s">
        <v>55</v>
      </c>
      <c r="K1936" s="12" t="s">
        <v>56</v>
      </c>
      <c r="L1936" s="13">
        <v>38.5</v>
      </c>
      <c r="M1936" s="13">
        <v>25</v>
      </c>
      <c r="N1936" s="13">
        <v>1.54</v>
      </c>
      <c r="O1936" s="13">
        <v>15</v>
      </c>
      <c r="P1936" s="13" t="s">
        <v>30</v>
      </c>
      <c r="Q1936" s="13">
        <v>0</v>
      </c>
      <c r="R1936" s="14">
        <v>577.5</v>
      </c>
      <c r="S1936" s="15">
        <v>0</v>
      </c>
      <c r="T1936" s="15">
        <v>0</v>
      </c>
      <c r="U1936" s="15">
        <v>577.5</v>
      </c>
      <c r="V1936" s="15">
        <v>433.125</v>
      </c>
      <c r="W1936" s="15">
        <v>144.375</v>
      </c>
      <c r="X1936" s="15">
        <v>0</v>
      </c>
      <c r="Y1936" s="16">
        <v>0</v>
      </c>
      <c r="Z1936" s="67" t="s">
        <v>26</v>
      </c>
      <c r="AA1936" s="12" t="s">
        <v>31</v>
      </c>
    </row>
    <row r="1937" spans="1:27" x14ac:dyDescent="0.25">
      <c r="A1937" s="10">
        <v>45686</v>
      </c>
      <c r="B1937" s="11" t="s">
        <v>4064</v>
      </c>
      <c r="C1937" s="11" t="s">
        <v>4065</v>
      </c>
      <c r="D1937" s="11" t="s">
        <v>26</v>
      </c>
      <c r="E1937" s="11" t="s">
        <v>322</v>
      </c>
      <c r="F1937" s="11" t="s">
        <v>26</v>
      </c>
      <c r="G1937" s="11">
        <v>112385</v>
      </c>
      <c r="H1937" s="12" t="s">
        <v>4446</v>
      </c>
      <c r="I1937" s="12" t="s">
        <v>27</v>
      </c>
      <c r="J1937" s="12" t="s">
        <v>33</v>
      </c>
      <c r="K1937" s="12" t="s">
        <v>34</v>
      </c>
      <c r="L1937" s="13">
        <v>35.94</v>
      </c>
      <c r="M1937" s="13">
        <v>25</v>
      </c>
      <c r="N1937" s="13">
        <v>1.4376</v>
      </c>
      <c r="O1937" s="13">
        <v>44</v>
      </c>
      <c r="P1937" s="13" t="s">
        <v>30</v>
      </c>
      <c r="Q1937" s="13">
        <v>0</v>
      </c>
      <c r="R1937" s="14">
        <v>1581.36</v>
      </c>
      <c r="S1937" s="15">
        <v>0</v>
      </c>
      <c r="T1937" s="15">
        <v>0</v>
      </c>
      <c r="U1937" s="15">
        <v>1581.36</v>
      </c>
      <c r="V1937" s="15">
        <v>1581.36</v>
      </c>
      <c r="W1937" s="15">
        <v>0</v>
      </c>
      <c r="X1937" s="15">
        <v>0</v>
      </c>
      <c r="Y1937" s="16">
        <v>0</v>
      </c>
      <c r="Z1937" s="67" t="s">
        <v>26</v>
      </c>
      <c r="AA1937" s="12" t="s">
        <v>31</v>
      </c>
    </row>
    <row r="1938" spans="1:27" x14ac:dyDescent="0.25">
      <c r="A1938" s="10">
        <v>45686</v>
      </c>
      <c r="B1938" s="11" t="s">
        <v>4066</v>
      </c>
      <c r="C1938" s="11" t="s">
        <v>4067</v>
      </c>
      <c r="D1938" s="11" t="s">
        <v>26</v>
      </c>
      <c r="E1938" s="11" t="s">
        <v>97</v>
      </c>
      <c r="F1938" s="11" t="s">
        <v>26</v>
      </c>
      <c r="G1938" s="11">
        <v>9851</v>
      </c>
      <c r="H1938" s="12" t="s">
        <v>4447</v>
      </c>
      <c r="I1938" s="12" t="s">
        <v>27</v>
      </c>
      <c r="J1938" s="12" t="s">
        <v>42</v>
      </c>
      <c r="K1938" s="12" t="s">
        <v>43</v>
      </c>
      <c r="L1938" s="13">
        <v>21.22</v>
      </c>
      <c r="M1938" s="13">
        <v>13</v>
      </c>
      <c r="N1938" s="13">
        <v>1.632307692307692</v>
      </c>
      <c r="O1938" s="13" t="s">
        <v>30</v>
      </c>
      <c r="P1938" s="13">
        <v>65.599999999999994</v>
      </c>
      <c r="Q1938" s="13">
        <v>0</v>
      </c>
      <c r="R1938" s="14">
        <v>852.8</v>
      </c>
      <c r="S1938" s="15">
        <v>0</v>
      </c>
      <c r="T1938" s="15">
        <v>0</v>
      </c>
      <c r="U1938" s="15">
        <v>852.8</v>
      </c>
      <c r="V1938" s="15">
        <v>852.8</v>
      </c>
      <c r="W1938" s="15">
        <v>0</v>
      </c>
      <c r="X1938" s="15">
        <v>0</v>
      </c>
      <c r="Y1938" s="16">
        <v>0</v>
      </c>
      <c r="Z1938" s="67" t="s">
        <v>26</v>
      </c>
      <c r="AA1938" s="12" t="s">
        <v>31</v>
      </c>
    </row>
    <row r="1939" spans="1:27" x14ac:dyDescent="0.25">
      <c r="A1939" s="10">
        <v>45686</v>
      </c>
      <c r="B1939" s="11" t="s">
        <v>459</v>
      </c>
      <c r="C1939" s="11" t="s">
        <v>4068</v>
      </c>
      <c r="D1939" s="11" t="s">
        <v>26</v>
      </c>
      <c r="E1939" s="11" t="s">
        <v>539</v>
      </c>
      <c r="F1939" s="11" t="s">
        <v>26</v>
      </c>
      <c r="G1939" s="11">
        <v>3834</v>
      </c>
      <c r="H1939" s="12" t="s">
        <v>41</v>
      </c>
      <c r="I1939" s="12" t="s">
        <v>55</v>
      </c>
      <c r="J1939" s="12" t="s">
        <v>55</v>
      </c>
      <c r="K1939" s="12" t="s">
        <v>56</v>
      </c>
      <c r="L1939" s="13">
        <v>40.700000000000003</v>
      </c>
      <c r="M1939" s="13">
        <v>25</v>
      </c>
      <c r="N1939" s="13">
        <v>1.6279999999999999</v>
      </c>
      <c r="O1939" s="13"/>
      <c r="P1939" s="13">
        <v>24</v>
      </c>
      <c r="Q1939" s="13">
        <v>0</v>
      </c>
      <c r="R1939" s="14">
        <v>600</v>
      </c>
      <c r="S1939" s="15">
        <v>0</v>
      </c>
      <c r="T1939" s="15">
        <v>0</v>
      </c>
      <c r="U1939" s="15">
        <v>600</v>
      </c>
      <c r="V1939" s="15">
        <v>0</v>
      </c>
      <c r="W1939" s="15">
        <v>600</v>
      </c>
      <c r="X1939" s="15">
        <v>0</v>
      </c>
      <c r="Y1939" s="16">
        <v>0</v>
      </c>
      <c r="Z1939" s="67" t="s">
        <v>26</v>
      </c>
      <c r="AA1939" s="12" t="s">
        <v>31</v>
      </c>
    </row>
    <row r="1940" spans="1:27" x14ac:dyDescent="0.25">
      <c r="A1940" s="10">
        <v>45686</v>
      </c>
      <c r="B1940" s="11" t="s">
        <v>4069</v>
      </c>
      <c r="C1940" s="11" t="s">
        <v>4070</v>
      </c>
      <c r="D1940" s="11" t="s">
        <v>26</v>
      </c>
      <c r="E1940" s="11" t="s">
        <v>1660</v>
      </c>
      <c r="F1940" s="11" t="s">
        <v>26</v>
      </c>
      <c r="G1940" s="11">
        <v>42270</v>
      </c>
      <c r="H1940" s="12" t="s">
        <v>565</v>
      </c>
      <c r="I1940" s="12" t="s">
        <v>27</v>
      </c>
      <c r="J1940" s="12" t="s">
        <v>47</v>
      </c>
      <c r="K1940" s="12" t="s">
        <v>48</v>
      </c>
      <c r="L1940" s="13">
        <v>34.9</v>
      </c>
      <c r="M1940" s="13">
        <v>24</v>
      </c>
      <c r="N1940" s="13">
        <v>1.4541666666666671</v>
      </c>
      <c r="O1940" s="13"/>
      <c r="P1940" s="13">
        <v>60</v>
      </c>
      <c r="Q1940" s="13">
        <v>0</v>
      </c>
      <c r="R1940" s="14">
        <v>1440</v>
      </c>
      <c r="S1940" s="15">
        <v>0</v>
      </c>
      <c r="T1940" s="15">
        <v>0</v>
      </c>
      <c r="U1940" s="15">
        <v>1440</v>
      </c>
      <c r="V1940" s="15">
        <v>0</v>
      </c>
      <c r="W1940" s="15">
        <v>1440</v>
      </c>
      <c r="X1940" s="15">
        <v>0</v>
      </c>
      <c r="Y1940" s="16">
        <v>0</v>
      </c>
      <c r="Z1940" s="67" t="s">
        <v>26</v>
      </c>
      <c r="AA1940" s="12" t="s">
        <v>31</v>
      </c>
    </row>
    <row r="1941" spans="1:27" x14ac:dyDescent="0.25">
      <c r="A1941" s="10">
        <v>45686</v>
      </c>
      <c r="B1941" s="11" t="s">
        <v>4071</v>
      </c>
      <c r="C1941" s="11" t="s">
        <v>4072</v>
      </c>
      <c r="D1941" s="11" t="s">
        <v>26</v>
      </c>
      <c r="E1941" s="11" t="s">
        <v>246</v>
      </c>
      <c r="F1941" s="11" t="s">
        <v>26</v>
      </c>
      <c r="G1941" s="11">
        <v>2975</v>
      </c>
      <c r="H1941" s="12" t="s">
        <v>41</v>
      </c>
      <c r="I1941" s="12" t="s">
        <v>55</v>
      </c>
      <c r="J1941" s="12" t="s">
        <v>55</v>
      </c>
      <c r="K1941" s="12" t="s">
        <v>56</v>
      </c>
      <c r="L1941" s="13">
        <v>40.659999999999997</v>
      </c>
      <c r="M1941" s="13">
        <v>25</v>
      </c>
      <c r="N1941" s="13">
        <v>1.6264000000000001</v>
      </c>
      <c r="O1941" s="13"/>
      <c r="P1941" s="13">
        <v>24</v>
      </c>
      <c r="Q1941" s="13">
        <v>0</v>
      </c>
      <c r="R1941" s="14">
        <v>600</v>
      </c>
      <c r="S1941" s="15">
        <v>0</v>
      </c>
      <c r="T1941" s="15">
        <v>0</v>
      </c>
      <c r="U1941" s="15">
        <v>600</v>
      </c>
      <c r="V1941" s="15">
        <v>0</v>
      </c>
      <c r="W1941" s="15">
        <v>600</v>
      </c>
      <c r="X1941" s="15">
        <v>0</v>
      </c>
      <c r="Y1941" s="16">
        <v>0</v>
      </c>
      <c r="Z1941" s="67" t="s">
        <v>26</v>
      </c>
      <c r="AA1941" s="12" t="s">
        <v>31</v>
      </c>
    </row>
    <row r="1942" spans="1:27" x14ac:dyDescent="0.25">
      <c r="A1942" s="10">
        <v>45686</v>
      </c>
      <c r="B1942" s="11" t="s">
        <v>4073</v>
      </c>
      <c r="C1942" s="11" t="s">
        <v>4074</v>
      </c>
      <c r="D1942" s="11" t="s">
        <v>26</v>
      </c>
      <c r="E1942" s="11" t="s">
        <v>1200</v>
      </c>
      <c r="F1942" s="11" t="s">
        <v>26</v>
      </c>
      <c r="G1942" s="11">
        <v>2575</v>
      </c>
      <c r="H1942" s="12" t="s">
        <v>163</v>
      </c>
      <c r="I1942" s="12" t="s">
        <v>27</v>
      </c>
      <c r="J1942" s="12" t="s">
        <v>47</v>
      </c>
      <c r="K1942" s="12" t="s">
        <v>48</v>
      </c>
      <c r="L1942" s="13">
        <v>37.159999999999997</v>
      </c>
      <c r="M1942" s="13">
        <v>25</v>
      </c>
      <c r="N1942" s="13">
        <v>1.4863999999999999</v>
      </c>
      <c r="O1942" s="13" t="s">
        <v>30</v>
      </c>
      <c r="P1942" s="13">
        <v>58</v>
      </c>
      <c r="Q1942" s="13">
        <v>0</v>
      </c>
      <c r="R1942" s="14">
        <v>1450</v>
      </c>
      <c r="S1942" s="15">
        <v>0</v>
      </c>
      <c r="T1942" s="15">
        <v>0</v>
      </c>
      <c r="U1942" s="15">
        <v>1450</v>
      </c>
      <c r="V1942" s="15">
        <v>0</v>
      </c>
      <c r="W1942" s="15">
        <v>1450</v>
      </c>
      <c r="X1942" s="15">
        <v>0</v>
      </c>
      <c r="Y1942" s="16">
        <v>0</v>
      </c>
      <c r="Z1942" s="67" t="s">
        <v>26</v>
      </c>
      <c r="AA1942" s="12" t="s">
        <v>31</v>
      </c>
    </row>
    <row r="1943" spans="1:27" x14ac:dyDescent="0.25">
      <c r="A1943" s="10">
        <v>45686</v>
      </c>
      <c r="B1943" s="11" t="s">
        <v>4075</v>
      </c>
      <c r="C1943" s="11" t="s">
        <v>4076</v>
      </c>
      <c r="D1943" s="11" t="s">
        <v>26</v>
      </c>
      <c r="E1943" s="11" t="s">
        <v>527</v>
      </c>
      <c r="F1943" s="11" t="s">
        <v>26</v>
      </c>
      <c r="G1943" s="11">
        <v>2572</v>
      </c>
      <c r="H1943" s="12" t="s">
        <v>163</v>
      </c>
      <c r="I1943" s="12" t="s">
        <v>27</v>
      </c>
      <c r="J1943" s="12" t="s">
        <v>42</v>
      </c>
      <c r="K1943" s="12" t="s">
        <v>43</v>
      </c>
      <c r="L1943" s="13">
        <v>44.46</v>
      </c>
      <c r="M1943" s="13">
        <v>25</v>
      </c>
      <c r="N1943" s="13">
        <v>1.7784</v>
      </c>
      <c r="O1943" s="13" t="s">
        <v>30</v>
      </c>
      <c r="P1943" s="13">
        <v>56</v>
      </c>
      <c r="Q1943" s="13">
        <v>0</v>
      </c>
      <c r="R1943" s="14">
        <v>1400</v>
      </c>
      <c r="S1943" s="15">
        <v>0</v>
      </c>
      <c r="T1943" s="15">
        <v>0</v>
      </c>
      <c r="U1943" s="15">
        <v>1400</v>
      </c>
      <c r="V1943" s="15">
        <v>0</v>
      </c>
      <c r="W1943" s="15">
        <v>1400</v>
      </c>
      <c r="X1943" s="15">
        <v>0</v>
      </c>
      <c r="Y1943" s="16">
        <v>0</v>
      </c>
      <c r="Z1943" s="67" t="s">
        <v>26</v>
      </c>
      <c r="AA1943" s="12" t="s">
        <v>31</v>
      </c>
    </row>
    <row r="1944" spans="1:27" x14ac:dyDescent="0.25">
      <c r="A1944" s="10">
        <v>45686</v>
      </c>
      <c r="B1944" s="11" t="s">
        <v>2816</v>
      </c>
      <c r="C1944" s="11" t="s">
        <v>4077</v>
      </c>
      <c r="D1944" s="11" t="s">
        <v>26</v>
      </c>
      <c r="E1944" s="11" t="s">
        <v>529</v>
      </c>
      <c r="F1944" s="11" t="s">
        <v>26</v>
      </c>
      <c r="G1944" s="11">
        <v>2571</v>
      </c>
      <c r="H1944" s="12" t="s">
        <v>163</v>
      </c>
      <c r="I1944" s="12" t="s">
        <v>27</v>
      </c>
      <c r="J1944" s="12" t="s">
        <v>33</v>
      </c>
      <c r="K1944" s="12" t="s">
        <v>34</v>
      </c>
      <c r="L1944" s="13">
        <v>36.82</v>
      </c>
      <c r="M1944" s="13">
        <v>25</v>
      </c>
      <c r="N1944" s="13">
        <v>1.4728000000000001</v>
      </c>
      <c r="O1944" s="13" t="s">
        <v>30</v>
      </c>
      <c r="P1944" s="13">
        <v>58</v>
      </c>
      <c r="Q1944" s="13">
        <v>0</v>
      </c>
      <c r="R1944" s="14">
        <v>1450</v>
      </c>
      <c r="S1944" s="15">
        <v>0</v>
      </c>
      <c r="T1944" s="15">
        <v>0</v>
      </c>
      <c r="U1944" s="15">
        <v>1450</v>
      </c>
      <c r="V1944" s="15">
        <v>0</v>
      </c>
      <c r="W1944" s="15">
        <v>1450</v>
      </c>
      <c r="X1944" s="15">
        <v>0</v>
      </c>
      <c r="Y1944" s="16">
        <v>0</v>
      </c>
      <c r="Z1944" s="67" t="s">
        <v>26</v>
      </c>
      <c r="AA1944" s="12" t="s">
        <v>31</v>
      </c>
    </row>
    <row r="1945" spans="1:27" x14ac:dyDescent="0.25">
      <c r="A1945" s="10">
        <v>45686</v>
      </c>
      <c r="B1945" s="11" t="s">
        <v>4078</v>
      </c>
      <c r="C1945" s="11" t="s">
        <v>4079</v>
      </c>
      <c r="D1945" s="11" t="s">
        <v>26</v>
      </c>
      <c r="E1945" s="11" t="s">
        <v>3938</v>
      </c>
      <c r="F1945" s="11" t="s">
        <v>26</v>
      </c>
      <c r="G1945" s="11" t="s">
        <v>35</v>
      </c>
      <c r="H1945" s="12" t="s">
        <v>36</v>
      </c>
      <c r="I1945" s="12" t="s">
        <v>55</v>
      </c>
      <c r="J1945" s="12" t="s">
        <v>55</v>
      </c>
      <c r="K1945" s="12" t="s">
        <v>56</v>
      </c>
      <c r="L1945" s="13">
        <v>10.6</v>
      </c>
      <c r="M1945" s="13">
        <v>6</v>
      </c>
      <c r="N1945" s="13">
        <v>1.7666666666666671</v>
      </c>
      <c r="O1945" s="13">
        <v>20</v>
      </c>
      <c r="P1945" s="13" t="s">
        <v>30</v>
      </c>
      <c r="Q1945" s="13">
        <v>0</v>
      </c>
      <c r="R1945" s="14">
        <v>212</v>
      </c>
      <c r="S1945" s="15">
        <v>0</v>
      </c>
      <c r="T1945" s="15">
        <v>0</v>
      </c>
      <c r="U1945" s="15">
        <v>212</v>
      </c>
      <c r="V1945" s="15">
        <v>0</v>
      </c>
      <c r="W1945" s="15">
        <v>212</v>
      </c>
      <c r="X1945" s="15">
        <v>0</v>
      </c>
      <c r="Y1945" s="16">
        <v>0</v>
      </c>
      <c r="Z1945" s="67" t="s">
        <v>26</v>
      </c>
      <c r="AA1945" s="12" t="s">
        <v>31</v>
      </c>
    </row>
    <row r="1946" spans="1:27" x14ac:dyDescent="0.25">
      <c r="A1946" s="10">
        <v>45686</v>
      </c>
      <c r="B1946" s="11" t="s">
        <v>4032</v>
      </c>
      <c r="C1946" s="11" t="s">
        <v>4080</v>
      </c>
      <c r="D1946" s="11" t="s">
        <v>26</v>
      </c>
      <c r="E1946" s="11" t="s">
        <v>205</v>
      </c>
      <c r="F1946" s="11" t="s">
        <v>26</v>
      </c>
      <c r="G1946" s="11" t="s">
        <v>35</v>
      </c>
      <c r="H1946" s="12" t="s">
        <v>36</v>
      </c>
      <c r="I1946" s="12" t="s">
        <v>27</v>
      </c>
      <c r="J1946" s="12" t="s">
        <v>42</v>
      </c>
      <c r="K1946" s="12" t="s">
        <v>43</v>
      </c>
      <c r="L1946" s="13">
        <v>13.68</v>
      </c>
      <c r="M1946" s="13">
        <v>8</v>
      </c>
      <c r="N1946" s="13">
        <v>1.71</v>
      </c>
      <c r="O1946" s="13">
        <v>45</v>
      </c>
      <c r="P1946" s="13" t="s">
        <v>30</v>
      </c>
      <c r="Q1946" s="13">
        <v>0</v>
      </c>
      <c r="R1946" s="14">
        <v>615.6</v>
      </c>
      <c r="S1946" s="15">
        <v>0</v>
      </c>
      <c r="T1946" s="15">
        <v>0</v>
      </c>
      <c r="U1946" s="15">
        <v>615.6</v>
      </c>
      <c r="V1946" s="15">
        <v>0</v>
      </c>
      <c r="W1946" s="15">
        <v>615.6</v>
      </c>
      <c r="X1946" s="15">
        <v>0</v>
      </c>
      <c r="Y1946" s="16">
        <v>0</v>
      </c>
      <c r="Z1946" s="67" t="s">
        <v>26</v>
      </c>
      <c r="AA1946" s="12" t="s">
        <v>31</v>
      </c>
    </row>
    <row r="1947" spans="1:27" x14ac:dyDescent="0.25">
      <c r="A1947" s="10">
        <v>45686</v>
      </c>
      <c r="B1947" s="11" t="s">
        <v>4081</v>
      </c>
      <c r="C1947" s="11" t="s">
        <v>4082</v>
      </c>
      <c r="D1947" s="11" t="s">
        <v>26</v>
      </c>
      <c r="E1947" s="11" t="s">
        <v>418</v>
      </c>
      <c r="F1947" s="11" t="s">
        <v>26</v>
      </c>
      <c r="G1947" s="11">
        <v>2570</v>
      </c>
      <c r="H1947" s="12" t="s">
        <v>163</v>
      </c>
      <c r="I1947" s="12" t="s">
        <v>27</v>
      </c>
      <c r="J1947" s="12" t="s">
        <v>33</v>
      </c>
      <c r="K1947" s="12" t="s">
        <v>34</v>
      </c>
      <c r="L1947" s="13">
        <v>36.880000000000003</v>
      </c>
      <c r="M1947" s="13">
        <v>25</v>
      </c>
      <c r="N1947" s="13">
        <v>1.4752000000000001</v>
      </c>
      <c r="O1947" s="13" t="s">
        <v>30</v>
      </c>
      <c r="P1947" s="13">
        <v>58</v>
      </c>
      <c r="Q1947" s="13">
        <v>0</v>
      </c>
      <c r="R1947" s="14">
        <v>1450</v>
      </c>
      <c r="S1947" s="15">
        <v>0</v>
      </c>
      <c r="T1947" s="15">
        <v>0</v>
      </c>
      <c r="U1947" s="15">
        <v>1450</v>
      </c>
      <c r="V1947" s="15">
        <v>0</v>
      </c>
      <c r="W1947" s="15">
        <v>1450</v>
      </c>
      <c r="X1947" s="15">
        <v>0</v>
      </c>
      <c r="Y1947" s="16">
        <v>0</v>
      </c>
      <c r="Z1947" s="67" t="s">
        <v>26</v>
      </c>
      <c r="AA1947" s="12" t="s">
        <v>31</v>
      </c>
    </row>
    <row r="1948" spans="1:27" x14ac:dyDescent="0.25">
      <c r="A1948" s="10">
        <v>45686</v>
      </c>
      <c r="B1948" s="11" t="s">
        <v>4083</v>
      </c>
      <c r="C1948" s="11" t="s">
        <v>4084</v>
      </c>
      <c r="D1948" s="11" t="s">
        <v>26</v>
      </c>
      <c r="E1948" s="11" t="s">
        <v>69</v>
      </c>
      <c r="F1948" s="11" t="s">
        <v>26</v>
      </c>
      <c r="G1948" s="11">
        <v>2104</v>
      </c>
      <c r="H1948" s="12" t="s">
        <v>70</v>
      </c>
      <c r="I1948" s="12" t="s">
        <v>27</v>
      </c>
      <c r="J1948" s="12" t="s">
        <v>42</v>
      </c>
      <c r="K1948" s="12" t="s">
        <v>43</v>
      </c>
      <c r="L1948" s="13">
        <v>41.16</v>
      </c>
      <c r="M1948" s="13">
        <v>25</v>
      </c>
      <c r="N1948" s="13">
        <v>1.6464000000000001</v>
      </c>
      <c r="O1948" s="13" t="s">
        <v>30</v>
      </c>
      <c r="P1948" s="13">
        <v>64</v>
      </c>
      <c r="Q1948" s="13">
        <v>0</v>
      </c>
      <c r="R1948" s="14">
        <v>1600</v>
      </c>
      <c r="S1948" s="15">
        <v>0</v>
      </c>
      <c r="T1948" s="15">
        <v>0</v>
      </c>
      <c r="U1948" s="15">
        <v>1600</v>
      </c>
      <c r="V1948" s="15">
        <v>0</v>
      </c>
      <c r="W1948" s="15">
        <v>1600</v>
      </c>
      <c r="X1948" s="15">
        <v>0</v>
      </c>
      <c r="Y1948" s="16">
        <v>0</v>
      </c>
      <c r="Z1948" s="67" t="s">
        <v>26</v>
      </c>
      <c r="AA1948" s="12" t="s">
        <v>31</v>
      </c>
    </row>
    <row r="1949" spans="1:27" x14ac:dyDescent="0.25">
      <c r="A1949" s="10">
        <v>45686</v>
      </c>
      <c r="B1949" s="11" t="s">
        <v>385</v>
      </c>
      <c r="C1949" s="11" t="s">
        <v>4085</v>
      </c>
      <c r="D1949" s="11" t="s">
        <v>26</v>
      </c>
      <c r="E1949" s="11" t="s">
        <v>101</v>
      </c>
      <c r="F1949" s="11" t="s">
        <v>26</v>
      </c>
      <c r="G1949" s="11">
        <v>69245</v>
      </c>
      <c r="H1949" s="12" t="s">
        <v>4423</v>
      </c>
      <c r="I1949" s="12" t="s">
        <v>27</v>
      </c>
      <c r="J1949" s="12" t="s">
        <v>47</v>
      </c>
      <c r="K1949" s="12" t="s">
        <v>48</v>
      </c>
      <c r="L1949" s="13">
        <v>36.64</v>
      </c>
      <c r="M1949" s="13">
        <v>25</v>
      </c>
      <c r="N1949" s="13">
        <v>1.4656</v>
      </c>
      <c r="O1949" s="13">
        <v>46</v>
      </c>
      <c r="P1949" s="13" t="s">
        <v>30</v>
      </c>
      <c r="Q1949" s="13">
        <v>0</v>
      </c>
      <c r="R1949" s="14">
        <v>1685.44</v>
      </c>
      <c r="S1949" s="15">
        <v>0</v>
      </c>
      <c r="T1949" s="15">
        <v>0</v>
      </c>
      <c r="U1949" s="15">
        <v>1685.44</v>
      </c>
      <c r="V1949" s="15">
        <v>1685.44</v>
      </c>
      <c r="W1949" s="15">
        <v>0</v>
      </c>
      <c r="X1949" s="15">
        <v>0</v>
      </c>
      <c r="Y1949" s="16">
        <v>0</v>
      </c>
      <c r="Z1949" s="67" t="s">
        <v>26</v>
      </c>
      <c r="AA1949" s="12" t="s">
        <v>31</v>
      </c>
    </row>
    <row r="1950" spans="1:27" x14ac:dyDescent="0.25">
      <c r="A1950" s="10">
        <v>45686</v>
      </c>
      <c r="B1950" s="11" t="s">
        <v>3289</v>
      </c>
      <c r="C1950" s="11" t="s">
        <v>4086</v>
      </c>
      <c r="D1950" s="11" t="s">
        <v>26</v>
      </c>
      <c r="E1950" s="11" t="s">
        <v>49</v>
      </c>
      <c r="F1950" s="11" t="s">
        <v>26</v>
      </c>
      <c r="G1950" s="11">
        <v>1580</v>
      </c>
      <c r="H1950" s="12" t="s">
        <v>45</v>
      </c>
      <c r="I1950" s="12" t="s">
        <v>27</v>
      </c>
      <c r="J1950" s="12" t="s">
        <v>42</v>
      </c>
      <c r="K1950" s="12" t="s">
        <v>43</v>
      </c>
      <c r="L1950" s="13">
        <v>41.2</v>
      </c>
      <c r="M1950" s="13">
        <v>25</v>
      </c>
      <c r="N1950" s="13">
        <v>1.6479999999999999</v>
      </c>
      <c r="O1950" s="13" t="s">
        <v>30</v>
      </c>
      <c r="P1950" s="13">
        <v>62</v>
      </c>
      <c r="Q1950" s="13">
        <v>0</v>
      </c>
      <c r="R1950" s="14">
        <v>1550</v>
      </c>
      <c r="S1950" s="15">
        <v>0</v>
      </c>
      <c r="T1950" s="15">
        <v>0</v>
      </c>
      <c r="U1950" s="15">
        <v>1550</v>
      </c>
      <c r="V1950" s="15">
        <v>0</v>
      </c>
      <c r="W1950" s="15">
        <v>1550</v>
      </c>
      <c r="X1950" s="15">
        <v>0</v>
      </c>
      <c r="Y1950" s="16">
        <v>0</v>
      </c>
      <c r="Z1950" s="67" t="s">
        <v>26</v>
      </c>
      <c r="AA1950" s="12" t="s">
        <v>31</v>
      </c>
    </row>
    <row r="1951" spans="1:27" x14ac:dyDescent="0.25">
      <c r="A1951" s="10">
        <v>45686</v>
      </c>
      <c r="B1951" s="11" t="s">
        <v>4087</v>
      </c>
      <c r="C1951" s="11" t="s">
        <v>4088</v>
      </c>
      <c r="D1951" s="11" t="s">
        <v>26</v>
      </c>
      <c r="E1951" s="11" t="s">
        <v>567</v>
      </c>
      <c r="F1951" s="11" t="s">
        <v>26</v>
      </c>
      <c r="G1951" s="11">
        <v>112389</v>
      </c>
      <c r="H1951" s="12" t="s">
        <v>4446</v>
      </c>
      <c r="I1951" s="12" t="s">
        <v>27</v>
      </c>
      <c r="J1951" s="12" t="s">
        <v>33</v>
      </c>
      <c r="K1951" s="12" t="s">
        <v>34</v>
      </c>
      <c r="L1951" s="13">
        <v>35.4</v>
      </c>
      <c r="M1951" s="13">
        <v>25</v>
      </c>
      <c r="N1951" s="13">
        <v>1.4159999999999999</v>
      </c>
      <c r="O1951" s="13">
        <v>44</v>
      </c>
      <c r="P1951" s="13" t="s">
        <v>30</v>
      </c>
      <c r="Q1951" s="13">
        <v>0</v>
      </c>
      <c r="R1951" s="14">
        <v>1557.6</v>
      </c>
      <c r="S1951" s="15">
        <v>0</v>
      </c>
      <c r="T1951" s="15">
        <v>0</v>
      </c>
      <c r="U1951" s="15">
        <v>1557.6</v>
      </c>
      <c r="V1951" s="15">
        <v>1557.6</v>
      </c>
      <c r="W1951" s="15">
        <v>0</v>
      </c>
      <c r="X1951" s="15">
        <v>0</v>
      </c>
      <c r="Y1951" s="16">
        <v>0</v>
      </c>
      <c r="Z1951" s="67" t="s">
        <v>26</v>
      </c>
      <c r="AA1951" s="12" t="s">
        <v>31</v>
      </c>
    </row>
    <row r="1952" spans="1:27" x14ac:dyDescent="0.25">
      <c r="A1952" s="10">
        <v>45686</v>
      </c>
      <c r="B1952" s="11" t="s">
        <v>723</v>
      </c>
      <c r="C1952" s="11" t="s">
        <v>4089</v>
      </c>
      <c r="D1952" s="11" t="s">
        <v>26</v>
      </c>
      <c r="E1952" s="11" t="s">
        <v>551</v>
      </c>
      <c r="F1952" s="11" t="s">
        <v>26</v>
      </c>
      <c r="G1952" s="11" t="s">
        <v>35</v>
      </c>
      <c r="H1952" s="12" t="s">
        <v>36</v>
      </c>
      <c r="I1952" s="12" t="s">
        <v>55</v>
      </c>
      <c r="J1952" s="12" t="s">
        <v>55</v>
      </c>
      <c r="K1952" s="12" t="s">
        <v>56</v>
      </c>
      <c r="L1952" s="13">
        <v>34.380000000000003</v>
      </c>
      <c r="M1952" s="13">
        <v>25</v>
      </c>
      <c r="N1952" s="13">
        <v>1.3752</v>
      </c>
      <c r="O1952" s="13">
        <v>20</v>
      </c>
      <c r="P1952" s="13" t="s">
        <v>30</v>
      </c>
      <c r="Q1952" s="13">
        <v>0</v>
      </c>
      <c r="R1952" s="14">
        <v>687.6</v>
      </c>
      <c r="S1952" s="15">
        <v>0</v>
      </c>
      <c r="T1952" s="15">
        <v>0</v>
      </c>
      <c r="U1952" s="15">
        <v>687.6</v>
      </c>
      <c r="V1952" s="15">
        <v>0</v>
      </c>
      <c r="W1952" s="15">
        <v>687.6</v>
      </c>
      <c r="X1952" s="15">
        <v>0</v>
      </c>
      <c r="Y1952" s="16">
        <v>0</v>
      </c>
      <c r="Z1952" s="67" t="s">
        <v>26</v>
      </c>
      <c r="AA1952" s="12" t="s">
        <v>31</v>
      </c>
    </row>
    <row r="1953" spans="1:27" x14ac:dyDescent="0.25">
      <c r="A1953" s="10">
        <v>45686</v>
      </c>
      <c r="B1953" s="11" t="s">
        <v>404</v>
      </c>
      <c r="C1953" s="11" t="s">
        <v>4090</v>
      </c>
      <c r="D1953" s="11" t="s">
        <v>26</v>
      </c>
      <c r="E1953" s="11" t="s">
        <v>77</v>
      </c>
      <c r="F1953" s="11" t="s">
        <v>26</v>
      </c>
      <c r="G1953" s="11">
        <v>2410</v>
      </c>
      <c r="H1953" s="12" t="s">
        <v>4449</v>
      </c>
      <c r="I1953" s="12" t="s">
        <v>55</v>
      </c>
      <c r="J1953" s="12" t="s">
        <v>55</v>
      </c>
      <c r="K1953" s="12" t="s">
        <v>56</v>
      </c>
      <c r="L1953" s="13">
        <v>38</v>
      </c>
      <c r="M1953" s="13">
        <v>25</v>
      </c>
      <c r="N1953" s="13">
        <v>1.52</v>
      </c>
      <c r="O1953" s="13">
        <v>15</v>
      </c>
      <c r="P1953" s="13" t="s">
        <v>30</v>
      </c>
      <c r="Q1953" s="13">
        <v>0</v>
      </c>
      <c r="R1953" s="14">
        <v>570</v>
      </c>
      <c r="S1953" s="15">
        <v>0</v>
      </c>
      <c r="T1953" s="15">
        <v>0</v>
      </c>
      <c r="U1953" s="15">
        <v>570</v>
      </c>
      <c r="V1953" s="15">
        <v>570</v>
      </c>
      <c r="W1953" s="15">
        <v>0</v>
      </c>
      <c r="X1953" s="15">
        <v>0</v>
      </c>
      <c r="Y1953" s="16">
        <v>0</v>
      </c>
      <c r="Z1953" s="67" t="s">
        <v>26</v>
      </c>
      <c r="AA1953" s="12" t="s">
        <v>31</v>
      </c>
    </row>
    <row r="1954" spans="1:27" x14ac:dyDescent="0.25">
      <c r="A1954" s="10">
        <v>45686</v>
      </c>
      <c r="B1954" s="11" t="s">
        <v>419</v>
      </c>
      <c r="C1954" s="11" t="s">
        <v>4091</v>
      </c>
      <c r="D1954" s="11" t="s">
        <v>26</v>
      </c>
      <c r="E1954" s="11" t="s">
        <v>3938</v>
      </c>
      <c r="F1954" s="11" t="s">
        <v>26</v>
      </c>
      <c r="G1954" s="11" t="s">
        <v>35</v>
      </c>
      <c r="H1954" s="12" t="s">
        <v>36</v>
      </c>
      <c r="I1954" s="12" t="s">
        <v>55</v>
      </c>
      <c r="J1954" s="12" t="s">
        <v>55</v>
      </c>
      <c r="K1954" s="12" t="s">
        <v>56</v>
      </c>
      <c r="L1954" s="13">
        <v>10.38</v>
      </c>
      <c r="M1954" s="13">
        <v>6</v>
      </c>
      <c r="N1954" s="13">
        <v>1.73</v>
      </c>
      <c r="O1954" s="13">
        <v>20</v>
      </c>
      <c r="P1954" s="13" t="s">
        <v>30</v>
      </c>
      <c r="Q1954" s="13">
        <v>0</v>
      </c>
      <c r="R1954" s="14">
        <v>207.60000000000002</v>
      </c>
      <c r="S1954" s="15">
        <v>0</v>
      </c>
      <c r="T1954" s="15">
        <v>0</v>
      </c>
      <c r="U1954" s="15">
        <v>207.60000000000002</v>
      </c>
      <c r="V1954" s="15">
        <v>0</v>
      </c>
      <c r="W1954" s="15">
        <v>207.60000000000002</v>
      </c>
      <c r="X1954" s="15">
        <v>0</v>
      </c>
      <c r="Y1954" s="16">
        <v>0</v>
      </c>
      <c r="Z1954" s="67" t="s">
        <v>26</v>
      </c>
      <c r="AA1954" s="12" t="s">
        <v>31</v>
      </c>
    </row>
    <row r="1955" spans="1:27" x14ac:dyDescent="0.25">
      <c r="A1955" s="10">
        <v>45686</v>
      </c>
      <c r="B1955" s="11" t="s">
        <v>4092</v>
      </c>
      <c r="C1955" s="11" t="s">
        <v>4093</v>
      </c>
      <c r="D1955" s="11" t="s">
        <v>26</v>
      </c>
      <c r="E1955" s="11" t="s">
        <v>534</v>
      </c>
      <c r="F1955" s="11" t="s">
        <v>26</v>
      </c>
      <c r="G1955" s="11">
        <v>2569</v>
      </c>
      <c r="H1955" s="12" t="s">
        <v>163</v>
      </c>
      <c r="I1955" s="12" t="s">
        <v>27</v>
      </c>
      <c r="J1955" s="12" t="s">
        <v>33</v>
      </c>
      <c r="K1955" s="12" t="s">
        <v>34</v>
      </c>
      <c r="L1955" s="13">
        <v>36.659999999999997</v>
      </c>
      <c r="M1955" s="13">
        <v>25</v>
      </c>
      <c r="N1955" s="13">
        <v>1.4663999999999999</v>
      </c>
      <c r="O1955" s="13" t="s">
        <v>30</v>
      </c>
      <c r="P1955" s="13">
        <v>58</v>
      </c>
      <c r="Q1955" s="13">
        <v>0</v>
      </c>
      <c r="R1955" s="14">
        <v>1450</v>
      </c>
      <c r="S1955" s="15">
        <v>0</v>
      </c>
      <c r="T1955" s="15">
        <v>0</v>
      </c>
      <c r="U1955" s="15">
        <v>1450</v>
      </c>
      <c r="V1955" s="15">
        <v>0</v>
      </c>
      <c r="W1955" s="15">
        <v>1450</v>
      </c>
      <c r="X1955" s="15">
        <v>0</v>
      </c>
      <c r="Y1955" s="16">
        <v>0</v>
      </c>
      <c r="Z1955" s="67" t="s">
        <v>26</v>
      </c>
      <c r="AA1955" s="12" t="s">
        <v>31</v>
      </c>
    </row>
    <row r="1956" spans="1:27" x14ac:dyDescent="0.25">
      <c r="A1956" s="10">
        <v>45686</v>
      </c>
      <c r="B1956" s="11" t="s">
        <v>351</v>
      </c>
      <c r="C1956" s="11" t="s">
        <v>4094</v>
      </c>
      <c r="D1956" s="11" t="s">
        <v>26</v>
      </c>
      <c r="E1956" s="11" t="s">
        <v>75</v>
      </c>
      <c r="F1956" s="11" t="s">
        <v>26</v>
      </c>
      <c r="G1956" s="11">
        <v>42037</v>
      </c>
      <c r="H1956" s="12" t="s">
        <v>565</v>
      </c>
      <c r="I1956" s="12" t="s">
        <v>55</v>
      </c>
      <c r="J1956" s="12" t="s">
        <v>55</v>
      </c>
      <c r="K1956" s="12" t="s">
        <v>56</v>
      </c>
      <c r="L1956" s="13">
        <v>37.82</v>
      </c>
      <c r="M1956" s="13">
        <v>25</v>
      </c>
      <c r="N1956" s="13">
        <v>1.5127999999999999</v>
      </c>
      <c r="O1956" s="13"/>
      <c r="P1956" s="13">
        <v>24</v>
      </c>
      <c r="Q1956" s="13">
        <v>0</v>
      </c>
      <c r="R1956" s="14">
        <v>600</v>
      </c>
      <c r="S1956" s="15">
        <v>0</v>
      </c>
      <c r="T1956" s="15">
        <v>0</v>
      </c>
      <c r="U1956" s="15">
        <v>600</v>
      </c>
      <c r="V1956" s="15">
        <v>0</v>
      </c>
      <c r="W1956" s="15">
        <v>600</v>
      </c>
      <c r="X1956" s="15">
        <v>0</v>
      </c>
      <c r="Y1956" s="16">
        <v>0</v>
      </c>
      <c r="Z1956" s="67" t="s">
        <v>26</v>
      </c>
      <c r="AA1956" s="12" t="s">
        <v>31</v>
      </c>
    </row>
    <row r="1957" spans="1:27" x14ac:dyDescent="0.25">
      <c r="A1957" s="10">
        <v>45686</v>
      </c>
      <c r="B1957" s="11" t="s">
        <v>4095</v>
      </c>
      <c r="C1957" s="11" t="s">
        <v>4096</v>
      </c>
      <c r="D1957" s="11" t="s">
        <v>26</v>
      </c>
      <c r="E1957" s="11" t="s">
        <v>444</v>
      </c>
      <c r="F1957" s="11" t="s">
        <v>26</v>
      </c>
      <c r="G1957" s="11">
        <v>2106</v>
      </c>
      <c r="H1957" s="12" t="s">
        <v>4449</v>
      </c>
      <c r="I1957" s="12" t="s">
        <v>55</v>
      </c>
      <c r="J1957" s="12" t="s">
        <v>55</v>
      </c>
      <c r="K1957" s="12" t="s">
        <v>56</v>
      </c>
      <c r="L1957" s="13">
        <v>34.04</v>
      </c>
      <c r="M1957" s="13">
        <v>21</v>
      </c>
      <c r="N1957" s="13">
        <v>1.6209523809523809</v>
      </c>
      <c r="O1957" s="13">
        <v>15</v>
      </c>
      <c r="P1957" s="13" t="s">
        <v>30</v>
      </c>
      <c r="Q1957" s="13">
        <v>0</v>
      </c>
      <c r="R1957" s="14">
        <v>510.59999999999997</v>
      </c>
      <c r="S1957" s="15">
        <v>0</v>
      </c>
      <c r="T1957" s="15">
        <v>0</v>
      </c>
      <c r="U1957" s="15">
        <v>510.59999999999997</v>
      </c>
      <c r="V1957" s="15">
        <v>510.59999999999997</v>
      </c>
      <c r="W1957" s="15">
        <v>0</v>
      </c>
      <c r="X1957" s="15">
        <v>0</v>
      </c>
      <c r="Y1957" s="16">
        <v>0</v>
      </c>
      <c r="Z1957" s="67" t="s">
        <v>26</v>
      </c>
      <c r="AA1957" s="12" t="s">
        <v>31</v>
      </c>
    </row>
    <row r="1958" spans="1:27" x14ac:dyDescent="0.25">
      <c r="A1958" s="10">
        <v>45686</v>
      </c>
      <c r="B1958" s="11" t="s">
        <v>4097</v>
      </c>
      <c r="C1958" s="11" t="s">
        <v>4098</v>
      </c>
      <c r="D1958" s="11" t="s">
        <v>26</v>
      </c>
      <c r="E1958" s="11" t="s">
        <v>32</v>
      </c>
      <c r="F1958" s="11" t="s">
        <v>26</v>
      </c>
      <c r="G1958" s="11">
        <v>1524</v>
      </c>
      <c r="H1958" s="12" t="s">
        <v>45</v>
      </c>
      <c r="I1958" s="12" t="s">
        <v>27</v>
      </c>
      <c r="J1958" s="12" t="s">
        <v>42</v>
      </c>
      <c r="K1958" s="12" t="s">
        <v>43</v>
      </c>
      <c r="L1958" s="13">
        <v>41.62</v>
      </c>
      <c r="M1958" s="13">
        <v>25</v>
      </c>
      <c r="N1958" s="13">
        <v>1.6648000000000001</v>
      </c>
      <c r="O1958" s="13" t="s">
        <v>30</v>
      </c>
      <c r="P1958" s="13">
        <v>62</v>
      </c>
      <c r="Q1958" s="13">
        <v>0</v>
      </c>
      <c r="R1958" s="14">
        <v>1550</v>
      </c>
      <c r="S1958" s="15">
        <v>0</v>
      </c>
      <c r="T1958" s="15">
        <v>0</v>
      </c>
      <c r="U1958" s="15">
        <v>1550</v>
      </c>
      <c r="V1958" s="15">
        <v>0</v>
      </c>
      <c r="W1958" s="15">
        <v>1550</v>
      </c>
      <c r="X1958" s="15">
        <v>0</v>
      </c>
      <c r="Y1958" s="16">
        <v>0</v>
      </c>
      <c r="Z1958" s="67" t="s">
        <v>26</v>
      </c>
      <c r="AA1958" s="12" t="s">
        <v>31</v>
      </c>
    </row>
    <row r="1959" spans="1:27" x14ac:dyDescent="0.25">
      <c r="A1959" s="10">
        <v>45686</v>
      </c>
      <c r="B1959" s="11" t="s">
        <v>1664</v>
      </c>
      <c r="C1959" s="11" t="s">
        <v>4099</v>
      </c>
      <c r="D1959" s="11" t="s">
        <v>26</v>
      </c>
      <c r="E1959" s="11" t="s">
        <v>3938</v>
      </c>
      <c r="F1959" s="11" t="s">
        <v>26</v>
      </c>
      <c r="G1959" s="11" t="s">
        <v>35</v>
      </c>
      <c r="H1959" s="12" t="s">
        <v>36</v>
      </c>
      <c r="I1959" s="12" t="s">
        <v>55</v>
      </c>
      <c r="J1959" s="12" t="s">
        <v>55</v>
      </c>
      <c r="K1959" s="12" t="s">
        <v>56</v>
      </c>
      <c r="L1959" s="13">
        <v>11</v>
      </c>
      <c r="M1959" s="13">
        <v>8</v>
      </c>
      <c r="N1959" s="13">
        <v>1.375</v>
      </c>
      <c r="O1959" s="13">
        <v>20</v>
      </c>
      <c r="P1959" s="13" t="s">
        <v>30</v>
      </c>
      <c r="Q1959" s="13">
        <v>0</v>
      </c>
      <c r="R1959" s="14">
        <v>220</v>
      </c>
      <c r="S1959" s="15">
        <v>0</v>
      </c>
      <c r="T1959" s="15">
        <v>0</v>
      </c>
      <c r="U1959" s="15">
        <v>220</v>
      </c>
      <c r="V1959" s="15">
        <v>0</v>
      </c>
      <c r="W1959" s="15">
        <v>220</v>
      </c>
      <c r="X1959" s="15">
        <v>0</v>
      </c>
      <c r="Y1959" s="16">
        <v>0</v>
      </c>
      <c r="Z1959" s="67" t="s">
        <v>26</v>
      </c>
      <c r="AA1959" s="12" t="s">
        <v>31</v>
      </c>
    </row>
    <row r="1960" spans="1:27" x14ac:dyDescent="0.25">
      <c r="A1960" s="10">
        <v>45686</v>
      </c>
      <c r="B1960" s="11" t="s">
        <v>4100</v>
      </c>
      <c r="C1960" s="11" t="s">
        <v>4101</v>
      </c>
      <c r="D1960" s="11" t="s">
        <v>26</v>
      </c>
      <c r="E1960" s="11" t="s">
        <v>80</v>
      </c>
      <c r="F1960" s="11" t="s">
        <v>26</v>
      </c>
      <c r="G1960" s="11">
        <v>10664</v>
      </c>
      <c r="H1960" s="12" t="s">
        <v>140</v>
      </c>
      <c r="I1960" s="12" t="s">
        <v>27</v>
      </c>
      <c r="J1960" s="12" t="s">
        <v>33</v>
      </c>
      <c r="K1960" s="12" t="s">
        <v>34</v>
      </c>
      <c r="L1960" s="13">
        <v>42.42</v>
      </c>
      <c r="M1960" s="13">
        <v>29</v>
      </c>
      <c r="N1960" s="13">
        <v>1.462758620689655</v>
      </c>
      <c r="O1960" s="13">
        <v>40</v>
      </c>
      <c r="P1960" s="13"/>
      <c r="Q1960" s="13">
        <v>0</v>
      </c>
      <c r="R1960" s="14">
        <v>1696.8000000000002</v>
      </c>
      <c r="S1960" s="15">
        <v>0</v>
      </c>
      <c r="T1960" s="15">
        <v>0</v>
      </c>
      <c r="U1960" s="15">
        <v>1696.8000000000002</v>
      </c>
      <c r="V1960" s="15">
        <v>0</v>
      </c>
      <c r="W1960" s="15">
        <v>1696.8000000000002</v>
      </c>
      <c r="X1960" s="15">
        <v>0</v>
      </c>
      <c r="Y1960" s="16">
        <v>0</v>
      </c>
      <c r="Z1960" s="67" t="s">
        <v>26</v>
      </c>
      <c r="AA1960" s="12" t="s">
        <v>31</v>
      </c>
    </row>
    <row r="1961" spans="1:27" x14ac:dyDescent="0.25">
      <c r="A1961" s="10">
        <v>45686</v>
      </c>
      <c r="B1961" s="11" t="s">
        <v>282</v>
      </c>
      <c r="C1961" s="11" t="s">
        <v>4102</v>
      </c>
      <c r="D1961" s="11" t="s">
        <v>26</v>
      </c>
      <c r="E1961" s="11" t="s">
        <v>480</v>
      </c>
      <c r="F1961" s="11" t="s">
        <v>26</v>
      </c>
      <c r="G1961" s="11">
        <v>70402</v>
      </c>
      <c r="H1961" s="12" t="s">
        <v>4448</v>
      </c>
      <c r="I1961" s="12" t="s">
        <v>55</v>
      </c>
      <c r="J1961" s="12" t="s">
        <v>55</v>
      </c>
      <c r="K1961" s="12" t="s">
        <v>56</v>
      </c>
      <c r="L1961" s="13">
        <v>37.14</v>
      </c>
      <c r="M1961" s="13">
        <v>25</v>
      </c>
      <c r="N1961" s="13">
        <v>1.4856</v>
      </c>
      <c r="O1961" s="13">
        <v>15</v>
      </c>
      <c r="P1961" s="13" t="s">
        <v>30</v>
      </c>
      <c r="Q1961" s="13">
        <v>0</v>
      </c>
      <c r="R1961" s="15">
        <v>557.1</v>
      </c>
      <c r="S1961" s="15">
        <v>0</v>
      </c>
      <c r="T1961" s="15">
        <v>0</v>
      </c>
      <c r="U1961" s="15">
        <v>557.1</v>
      </c>
      <c r="V1961" s="15">
        <v>417.82500000000005</v>
      </c>
      <c r="W1961" s="15">
        <v>139.27499999999998</v>
      </c>
      <c r="X1961" s="15">
        <v>0</v>
      </c>
      <c r="Y1961" s="16">
        <v>0</v>
      </c>
      <c r="Z1961" s="67" t="s">
        <v>26</v>
      </c>
      <c r="AA1961" s="12" t="s">
        <v>31</v>
      </c>
    </row>
    <row r="1962" spans="1:27" x14ac:dyDescent="0.25">
      <c r="A1962" s="10">
        <v>45686</v>
      </c>
      <c r="B1962" s="11" t="s">
        <v>4103</v>
      </c>
      <c r="C1962" s="11" t="s">
        <v>4104</v>
      </c>
      <c r="D1962" s="11" t="s">
        <v>26</v>
      </c>
      <c r="E1962" s="11" t="s">
        <v>593</v>
      </c>
      <c r="F1962" s="11" t="s">
        <v>26</v>
      </c>
      <c r="G1962" s="11">
        <v>44310</v>
      </c>
      <c r="H1962" s="12" t="s">
        <v>4423</v>
      </c>
      <c r="I1962" s="12" t="s">
        <v>27</v>
      </c>
      <c r="J1962" s="12" t="s">
        <v>47</v>
      </c>
      <c r="K1962" s="12" t="s">
        <v>48</v>
      </c>
      <c r="L1962" s="13">
        <v>34.020000000000003</v>
      </c>
      <c r="M1962" s="13">
        <v>25</v>
      </c>
      <c r="N1962" s="13">
        <v>1.3608</v>
      </c>
      <c r="O1962" s="13">
        <v>46</v>
      </c>
      <c r="P1962" s="13" t="s">
        <v>30</v>
      </c>
      <c r="Q1962" s="13">
        <v>0</v>
      </c>
      <c r="R1962" s="14">
        <v>1564.92</v>
      </c>
      <c r="S1962" s="15">
        <v>0</v>
      </c>
      <c r="T1962" s="15">
        <v>0</v>
      </c>
      <c r="U1962" s="15">
        <v>1564.92</v>
      </c>
      <c r="V1962" s="15">
        <v>1564.92</v>
      </c>
      <c r="W1962" s="15">
        <v>0</v>
      </c>
      <c r="X1962" s="15">
        <v>0</v>
      </c>
      <c r="Y1962" s="16">
        <v>0</v>
      </c>
      <c r="Z1962" s="67" t="s">
        <v>26</v>
      </c>
      <c r="AA1962" s="12" t="s">
        <v>31</v>
      </c>
    </row>
    <row r="1963" spans="1:27" x14ac:dyDescent="0.25">
      <c r="A1963" s="10">
        <v>45686</v>
      </c>
      <c r="B1963" s="11" t="s">
        <v>383</v>
      </c>
      <c r="C1963" s="11" t="s">
        <v>4105</v>
      </c>
      <c r="D1963" s="11" t="s">
        <v>26</v>
      </c>
      <c r="E1963" s="11" t="s">
        <v>570</v>
      </c>
      <c r="F1963" s="11" t="s">
        <v>26</v>
      </c>
      <c r="G1963" s="11">
        <v>10339</v>
      </c>
      <c r="H1963" s="12" t="s">
        <v>140</v>
      </c>
      <c r="I1963" s="12" t="s">
        <v>27</v>
      </c>
      <c r="J1963" s="12" t="s">
        <v>42</v>
      </c>
      <c r="K1963" s="12" t="s">
        <v>43</v>
      </c>
      <c r="L1963" s="13">
        <v>43.2</v>
      </c>
      <c r="M1963" s="13">
        <v>25</v>
      </c>
      <c r="N1963" s="13">
        <v>1.728</v>
      </c>
      <c r="O1963" s="13">
        <v>35</v>
      </c>
      <c r="P1963" s="13"/>
      <c r="Q1963" s="13">
        <v>0</v>
      </c>
      <c r="R1963" s="15">
        <v>1512</v>
      </c>
      <c r="S1963" s="15">
        <v>0</v>
      </c>
      <c r="T1963" s="15">
        <v>0</v>
      </c>
      <c r="U1963" s="15">
        <v>1512</v>
      </c>
      <c r="V1963" s="15">
        <v>0</v>
      </c>
      <c r="W1963" s="15">
        <v>1512</v>
      </c>
      <c r="X1963" s="15">
        <v>0</v>
      </c>
      <c r="Y1963" s="16">
        <v>0</v>
      </c>
      <c r="Z1963" s="67" t="s">
        <v>26</v>
      </c>
      <c r="AA1963" s="12" t="s">
        <v>31</v>
      </c>
    </row>
    <row r="1964" spans="1:27" x14ac:dyDescent="0.25">
      <c r="A1964" s="10">
        <v>45686</v>
      </c>
      <c r="B1964" s="11" t="s">
        <v>4106</v>
      </c>
      <c r="C1964" s="11" t="s">
        <v>4107</v>
      </c>
      <c r="D1964" s="11" t="s">
        <v>26</v>
      </c>
      <c r="E1964" s="11" t="s">
        <v>67</v>
      </c>
      <c r="F1964" s="11" t="s">
        <v>26</v>
      </c>
      <c r="G1964" s="11">
        <v>1623</v>
      </c>
      <c r="H1964" s="12" t="s">
        <v>66</v>
      </c>
      <c r="I1964" s="12" t="s">
        <v>37</v>
      </c>
      <c r="J1964" s="12" t="s">
        <v>1909</v>
      </c>
      <c r="K1964" s="12" t="s">
        <v>82</v>
      </c>
      <c r="L1964" s="13">
        <v>37.44</v>
      </c>
      <c r="M1964" s="13">
        <v>25</v>
      </c>
      <c r="N1964" s="13">
        <v>1.4976</v>
      </c>
      <c r="O1964" s="13" t="s">
        <v>30</v>
      </c>
      <c r="P1964" s="13">
        <v>54</v>
      </c>
      <c r="Q1964" s="13">
        <v>0</v>
      </c>
      <c r="R1964" s="14">
        <v>1350</v>
      </c>
      <c r="S1964" s="15">
        <v>0</v>
      </c>
      <c r="T1964" s="15">
        <v>0</v>
      </c>
      <c r="U1964" s="15">
        <v>1350</v>
      </c>
      <c r="V1964" s="15">
        <v>1350</v>
      </c>
      <c r="W1964" s="15">
        <v>0</v>
      </c>
      <c r="X1964" s="15">
        <v>0</v>
      </c>
      <c r="Y1964" s="16">
        <v>0</v>
      </c>
      <c r="Z1964" s="67" t="s">
        <v>26</v>
      </c>
      <c r="AA1964" s="12" t="s">
        <v>31</v>
      </c>
    </row>
    <row r="1965" spans="1:27" x14ac:dyDescent="0.25">
      <c r="A1965" s="10">
        <v>45686</v>
      </c>
      <c r="B1965" s="11" t="s">
        <v>469</v>
      </c>
      <c r="C1965" s="11" t="s">
        <v>4108</v>
      </c>
      <c r="D1965" s="11" t="s">
        <v>26</v>
      </c>
      <c r="E1965" s="11" t="s">
        <v>1200</v>
      </c>
      <c r="F1965" s="11" t="s">
        <v>26</v>
      </c>
      <c r="G1965" s="11">
        <v>2576</v>
      </c>
      <c r="H1965" s="12" t="s">
        <v>163</v>
      </c>
      <c r="I1965" s="12" t="s">
        <v>27</v>
      </c>
      <c r="J1965" s="12" t="s">
        <v>42</v>
      </c>
      <c r="K1965" s="12" t="s">
        <v>43</v>
      </c>
      <c r="L1965" s="13">
        <v>42.96</v>
      </c>
      <c r="M1965" s="13">
        <v>25</v>
      </c>
      <c r="N1965" s="13">
        <v>1.7183999999999999</v>
      </c>
      <c r="O1965" s="13" t="s">
        <v>30</v>
      </c>
      <c r="P1965" s="13">
        <v>56</v>
      </c>
      <c r="Q1965" s="13">
        <v>0</v>
      </c>
      <c r="R1965" s="15">
        <v>1400</v>
      </c>
      <c r="S1965" s="15">
        <v>0</v>
      </c>
      <c r="T1965" s="15">
        <v>0</v>
      </c>
      <c r="U1965" s="15">
        <v>1400</v>
      </c>
      <c r="V1965" s="15">
        <v>0</v>
      </c>
      <c r="W1965" s="15">
        <v>1400</v>
      </c>
      <c r="X1965" s="15">
        <v>0</v>
      </c>
      <c r="Y1965" s="16">
        <v>0</v>
      </c>
      <c r="Z1965" s="67" t="s">
        <v>26</v>
      </c>
      <c r="AA1965" s="12" t="s">
        <v>31</v>
      </c>
    </row>
    <row r="1966" spans="1:27" x14ac:dyDescent="0.25">
      <c r="A1966" s="10">
        <v>45686</v>
      </c>
      <c r="B1966" s="11" t="s">
        <v>4109</v>
      </c>
      <c r="C1966" s="11" t="s">
        <v>4110</v>
      </c>
      <c r="D1966" s="11" t="s">
        <v>26</v>
      </c>
      <c r="E1966" s="11" t="s">
        <v>50</v>
      </c>
      <c r="F1966" s="11" t="s">
        <v>26</v>
      </c>
      <c r="G1966" s="11">
        <v>922</v>
      </c>
      <c r="H1966" s="12" t="s">
        <v>163</v>
      </c>
      <c r="I1966" s="12" t="s">
        <v>27</v>
      </c>
      <c r="J1966" s="12" t="s">
        <v>33</v>
      </c>
      <c r="K1966" s="12" t="s">
        <v>34</v>
      </c>
      <c r="L1966" s="13">
        <v>37.74</v>
      </c>
      <c r="M1966" s="13">
        <v>25</v>
      </c>
      <c r="N1966" s="13">
        <v>1.5096000000000001</v>
      </c>
      <c r="O1966" s="13" t="s">
        <v>30</v>
      </c>
      <c r="P1966" s="13">
        <v>58</v>
      </c>
      <c r="Q1966" s="13">
        <v>0</v>
      </c>
      <c r="R1966" s="15">
        <v>1450</v>
      </c>
      <c r="S1966" s="15">
        <v>0</v>
      </c>
      <c r="T1966" s="15">
        <v>0</v>
      </c>
      <c r="U1966" s="15">
        <v>1450</v>
      </c>
      <c r="V1966" s="15">
        <v>0</v>
      </c>
      <c r="W1966" s="15">
        <v>1450</v>
      </c>
      <c r="X1966" s="15">
        <v>0</v>
      </c>
      <c r="Y1966" s="16">
        <v>0</v>
      </c>
      <c r="Z1966" s="67" t="s">
        <v>26</v>
      </c>
      <c r="AA1966" s="12" t="s">
        <v>31</v>
      </c>
    </row>
    <row r="1967" spans="1:27" x14ac:dyDescent="0.25">
      <c r="A1967" s="10">
        <v>45686</v>
      </c>
      <c r="B1967" s="11" t="s">
        <v>633</v>
      </c>
      <c r="C1967" s="11" t="s">
        <v>4111</v>
      </c>
      <c r="D1967" s="11" t="s">
        <v>26</v>
      </c>
      <c r="E1967" s="11" t="s">
        <v>65</v>
      </c>
      <c r="F1967" s="11" t="s">
        <v>26</v>
      </c>
      <c r="G1967" s="11">
        <v>1597</v>
      </c>
      <c r="H1967" s="12" t="s">
        <v>66</v>
      </c>
      <c r="I1967" s="12" t="s">
        <v>37</v>
      </c>
      <c r="J1967" s="12" t="s">
        <v>1909</v>
      </c>
      <c r="K1967" s="12" t="s">
        <v>82</v>
      </c>
      <c r="L1967" s="13">
        <v>37.380000000000003</v>
      </c>
      <c r="M1967" s="13">
        <v>25</v>
      </c>
      <c r="N1967" s="13">
        <v>1.4952000000000001</v>
      </c>
      <c r="O1967" s="13" t="s">
        <v>30</v>
      </c>
      <c r="P1967" s="13">
        <v>54</v>
      </c>
      <c r="Q1967" s="13">
        <v>0</v>
      </c>
      <c r="R1967" s="14">
        <v>1350</v>
      </c>
      <c r="S1967" s="15">
        <v>0</v>
      </c>
      <c r="T1967" s="15">
        <v>0</v>
      </c>
      <c r="U1967" s="15">
        <v>1350</v>
      </c>
      <c r="V1967" s="15">
        <v>1350</v>
      </c>
      <c r="W1967" s="15">
        <v>0</v>
      </c>
      <c r="X1967" s="15">
        <v>0</v>
      </c>
      <c r="Y1967" s="16">
        <v>0</v>
      </c>
      <c r="Z1967" s="67" t="s">
        <v>26</v>
      </c>
      <c r="AA1967" s="12" t="s">
        <v>31</v>
      </c>
    </row>
    <row r="1968" spans="1:27" x14ac:dyDescent="0.25">
      <c r="A1968" s="10">
        <v>45686</v>
      </c>
      <c r="B1968" s="11" t="s">
        <v>337</v>
      </c>
      <c r="C1968" s="11" t="s">
        <v>4112</v>
      </c>
      <c r="D1968" s="11" t="s">
        <v>26</v>
      </c>
      <c r="E1968" s="11" t="s">
        <v>77</v>
      </c>
      <c r="F1968" s="11" t="s">
        <v>26</v>
      </c>
      <c r="G1968" s="11">
        <v>2411</v>
      </c>
      <c r="H1968" s="12" t="s">
        <v>4449</v>
      </c>
      <c r="I1968" s="12" t="s">
        <v>55</v>
      </c>
      <c r="J1968" s="12" t="s">
        <v>55</v>
      </c>
      <c r="K1968" s="12" t="s">
        <v>56</v>
      </c>
      <c r="L1968" s="13">
        <v>37.46</v>
      </c>
      <c r="M1968" s="13">
        <v>25</v>
      </c>
      <c r="N1968" s="13">
        <v>1.4984</v>
      </c>
      <c r="O1968" s="13">
        <v>15</v>
      </c>
      <c r="P1968" s="13" t="s">
        <v>30</v>
      </c>
      <c r="Q1968" s="13">
        <v>0</v>
      </c>
      <c r="R1968" s="15">
        <v>561.9</v>
      </c>
      <c r="S1968" s="15">
        <v>0</v>
      </c>
      <c r="T1968" s="15">
        <v>0</v>
      </c>
      <c r="U1968" s="15">
        <v>561.9</v>
      </c>
      <c r="V1968" s="15">
        <v>561.9</v>
      </c>
      <c r="W1968" s="15">
        <v>0</v>
      </c>
      <c r="X1968" s="15">
        <v>0</v>
      </c>
      <c r="Y1968" s="16">
        <v>0</v>
      </c>
      <c r="Z1968" s="67" t="s">
        <v>26</v>
      </c>
      <c r="AA1968" s="12" t="s">
        <v>31</v>
      </c>
    </row>
    <row r="1969" spans="1:27" x14ac:dyDescent="0.25">
      <c r="A1969" s="10">
        <v>45686</v>
      </c>
      <c r="B1969" s="11" t="s">
        <v>4113</v>
      </c>
      <c r="C1969" s="11" t="s">
        <v>4114</v>
      </c>
      <c r="D1969" s="11" t="s">
        <v>26</v>
      </c>
      <c r="E1969" s="11" t="s">
        <v>224</v>
      </c>
      <c r="F1969" s="11" t="s">
        <v>26</v>
      </c>
      <c r="G1969" s="11">
        <v>55338</v>
      </c>
      <c r="H1969" s="12" t="s">
        <v>4423</v>
      </c>
      <c r="I1969" s="12" t="s">
        <v>27</v>
      </c>
      <c r="J1969" s="12" t="s">
        <v>33</v>
      </c>
      <c r="K1969" s="12" t="s">
        <v>34</v>
      </c>
      <c r="L1969" s="13">
        <v>35.4</v>
      </c>
      <c r="M1969" s="13">
        <v>25</v>
      </c>
      <c r="N1969" s="13">
        <v>1.4159999999999999</v>
      </c>
      <c r="O1969" s="13">
        <v>45</v>
      </c>
      <c r="P1969" s="13" t="s">
        <v>30</v>
      </c>
      <c r="Q1969" s="13">
        <v>0</v>
      </c>
      <c r="R1969" s="14">
        <v>1593</v>
      </c>
      <c r="S1969" s="15">
        <v>0</v>
      </c>
      <c r="T1969" s="15">
        <v>0</v>
      </c>
      <c r="U1969" s="15">
        <v>1593</v>
      </c>
      <c r="V1969" s="15">
        <v>1593</v>
      </c>
      <c r="W1969" s="15">
        <v>0</v>
      </c>
      <c r="X1969" s="15">
        <v>0</v>
      </c>
      <c r="Y1969" s="16">
        <v>0</v>
      </c>
      <c r="Z1969" s="67" t="s">
        <v>26</v>
      </c>
      <c r="AA1969" s="12" t="s">
        <v>31</v>
      </c>
    </row>
    <row r="1970" spans="1:27" x14ac:dyDescent="0.25">
      <c r="A1970" s="10">
        <v>45686</v>
      </c>
      <c r="B1970" s="11" t="s">
        <v>3726</v>
      </c>
      <c r="C1970" s="11" t="s">
        <v>4115</v>
      </c>
      <c r="D1970" s="11" t="s">
        <v>26</v>
      </c>
      <c r="E1970" s="11" t="s">
        <v>444</v>
      </c>
      <c r="F1970" s="11" t="s">
        <v>26</v>
      </c>
      <c r="G1970" s="11">
        <v>2107</v>
      </c>
      <c r="H1970" s="12" t="s">
        <v>4449</v>
      </c>
      <c r="I1970" s="12" t="s">
        <v>55</v>
      </c>
      <c r="J1970" s="12" t="s">
        <v>55</v>
      </c>
      <c r="K1970" s="12" t="s">
        <v>56</v>
      </c>
      <c r="L1970" s="13">
        <v>33.96</v>
      </c>
      <c r="M1970" s="13">
        <v>21</v>
      </c>
      <c r="N1970" s="13">
        <v>1.617142857142857</v>
      </c>
      <c r="O1970" s="13">
        <v>15</v>
      </c>
      <c r="P1970" s="13" t="s">
        <v>30</v>
      </c>
      <c r="Q1970" s="13">
        <v>0</v>
      </c>
      <c r="R1970" s="14">
        <v>509.40000000000003</v>
      </c>
      <c r="S1970" s="15">
        <v>0</v>
      </c>
      <c r="T1970" s="15">
        <v>0</v>
      </c>
      <c r="U1970" s="15">
        <v>509.40000000000003</v>
      </c>
      <c r="V1970" s="15">
        <v>509.40000000000003</v>
      </c>
      <c r="W1970" s="15">
        <v>0</v>
      </c>
      <c r="X1970" s="15">
        <v>0</v>
      </c>
      <c r="Y1970" s="16">
        <v>0</v>
      </c>
      <c r="Z1970" s="67" t="s">
        <v>26</v>
      </c>
      <c r="AA1970" s="12" t="s">
        <v>31</v>
      </c>
    </row>
    <row r="1971" spans="1:27" x14ac:dyDescent="0.25">
      <c r="A1971" s="10">
        <v>45686</v>
      </c>
      <c r="B1971" s="11" t="s">
        <v>130</v>
      </c>
      <c r="C1971" s="11" t="s">
        <v>4116</v>
      </c>
      <c r="D1971" s="11" t="s">
        <v>26</v>
      </c>
      <c r="E1971" s="11" t="s">
        <v>3938</v>
      </c>
      <c r="F1971" s="11" t="s">
        <v>26</v>
      </c>
      <c r="G1971" s="11" t="s">
        <v>35</v>
      </c>
      <c r="H1971" s="12" t="s">
        <v>36</v>
      </c>
      <c r="I1971" s="12" t="s">
        <v>55</v>
      </c>
      <c r="J1971" s="12" t="s">
        <v>55</v>
      </c>
      <c r="K1971" s="12" t="s">
        <v>56</v>
      </c>
      <c r="L1971" s="13">
        <v>9.16</v>
      </c>
      <c r="M1971" s="13">
        <v>6</v>
      </c>
      <c r="N1971" s="13">
        <v>1.5266666666666671</v>
      </c>
      <c r="O1971" s="13">
        <v>20</v>
      </c>
      <c r="P1971" s="13" t="s">
        <v>30</v>
      </c>
      <c r="Q1971" s="13">
        <v>0</v>
      </c>
      <c r="R1971" s="15">
        <v>183.2</v>
      </c>
      <c r="S1971" s="15">
        <v>0</v>
      </c>
      <c r="T1971" s="15">
        <v>0</v>
      </c>
      <c r="U1971" s="15">
        <v>183.2</v>
      </c>
      <c r="V1971" s="15">
        <v>0</v>
      </c>
      <c r="W1971" s="15">
        <v>183.2</v>
      </c>
      <c r="X1971" s="15">
        <v>0</v>
      </c>
      <c r="Y1971" s="16">
        <v>0</v>
      </c>
      <c r="Z1971" s="67" t="s">
        <v>26</v>
      </c>
      <c r="AA1971" s="12" t="s">
        <v>31</v>
      </c>
    </row>
    <row r="1972" spans="1:27" x14ac:dyDescent="0.25">
      <c r="A1972" s="10">
        <v>45686</v>
      </c>
      <c r="B1972" s="11" t="s">
        <v>290</v>
      </c>
      <c r="C1972" s="11" t="s">
        <v>4117</v>
      </c>
      <c r="D1972" s="11" t="s">
        <v>26</v>
      </c>
      <c r="E1972" s="11" t="s">
        <v>240</v>
      </c>
      <c r="F1972" s="11" t="s">
        <v>26</v>
      </c>
      <c r="G1972" s="11">
        <v>2948</v>
      </c>
      <c r="H1972" s="12" t="s">
        <v>41</v>
      </c>
      <c r="I1972" s="12" t="s">
        <v>55</v>
      </c>
      <c r="J1972" s="12" t="s">
        <v>55</v>
      </c>
      <c r="K1972" s="12" t="s">
        <v>56</v>
      </c>
      <c r="L1972" s="13">
        <v>35.44</v>
      </c>
      <c r="M1972" s="13">
        <v>22</v>
      </c>
      <c r="N1972" s="13">
        <v>1.6109090909090911</v>
      </c>
      <c r="O1972" s="13"/>
      <c r="P1972" s="13">
        <v>24</v>
      </c>
      <c r="Q1972" s="13">
        <v>0</v>
      </c>
      <c r="R1972" s="14">
        <v>528</v>
      </c>
      <c r="S1972" s="15">
        <v>0</v>
      </c>
      <c r="T1972" s="15">
        <v>0</v>
      </c>
      <c r="U1972" s="15">
        <v>528</v>
      </c>
      <c r="V1972" s="15">
        <v>0</v>
      </c>
      <c r="W1972" s="15">
        <v>528</v>
      </c>
      <c r="X1972" s="15">
        <v>0</v>
      </c>
      <c r="Y1972" s="16">
        <v>0</v>
      </c>
      <c r="Z1972" s="67" t="s">
        <v>26</v>
      </c>
      <c r="AA1972" s="12" t="s">
        <v>31</v>
      </c>
    </row>
    <row r="1973" spans="1:27" x14ac:dyDescent="0.25">
      <c r="A1973" s="10">
        <v>45686</v>
      </c>
      <c r="B1973" s="11" t="s">
        <v>292</v>
      </c>
      <c r="C1973" s="11" t="s">
        <v>4118</v>
      </c>
      <c r="D1973" s="11" t="s">
        <v>26</v>
      </c>
      <c r="E1973" s="11" t="s">
        <v>57</v>
      </c>
      <c r="F1973" s="11" t="s">
        <v>26</v>
      </c>
      <c r="G1973" s="11">
        <v>3667</v>
      </c>
      <c r="H1973" s="12" t="s">
        <v>41</v>
      </c>
      <c r="I1973" s="12" t="s">
        <v>37</v>
      </c>
      <c r="J1973" s="12" t="s">
        <v>228</v>
      </c>
      <c r="K1973" s="12" t="s">
        <v>38</v>
      </c>
      <c r="L1973" s="13">
        <v>38.32</v>
      </c>
      <c r="M1973" s="13">
        <v>23</v>
      </c>
      <c r="N1973" s="13">
        <v>1.6660869565217391</v>
      </c>
      <c r="O1973" s="13"/>
      <c r="P1973" s="13">
        <v>43.5</v>
      </c>
      <c r="Q1973" s="13">
        <v>0</v>
      </c>
      <c r="R1973" s="14">
        <v>1000.5</v>
      </c>
      <c r="S1973" s="15">
        <v>0</v>
      </c>
      <c r="T1973" s="15">
        <v>0</v>
      </c>
      <c r="U1973" s="15">
        <v>1000.5</v>
      </c>
      <c r="V1973" s="15">
        <v>0</v>
      </c>
      <c r="W1973" s="15">
        <v>1000.5</v>
      </c>
      <c r="X1973" s="15">
        <v>0</v>
      </c>
      <c r="Y1973" s="16">
        <v>0</v>
      </c>
      <c r="Z1973" s="67" t="s">
        <v>26</v>
      </c>
      <c r="AA1973" s="12" t="s">
        <v>31</v>
      </c>
    </row>
    <row r="1974" spans="1:27" x14ac:dyDescent="0.25">
      <c r="A1974" s="10">
        <v>45686</v>
      </c>
      <c r="B1974" s="11" t="s">
        <v>453</v>
      </c>
      <c r="C1974" s="11" t="s">
        <v>4119</v>
      </c>
      <c r="D1974" s="11" t="s">
        <v>26</v>
      </c>
      <c r="E1974" s="11" t="s">
        <v>238</v>
      </c>
      <c r="F1974" s="11" t="s">
        <v>26</v>
      </c>
      <c r="G1974" s="11" t="s">
        <v>35</v>
      </c>
      <c r="H1974" s="12" t="s">
        <v>36</v>
      </c>
      <c r="I1974" s="12" t="s">
        <v>55</v>
      </c>
      <c r="J1974" s="12" t="s">
        <v>55</v>
      </c>
      <c r="K1974" s="12" t="s">
        <v>56</v>
      </c>
      <c r="L1974" s="13">
        <v>32.86</v>
      </c>
      <c r="M1974" s="13">
        <v>22</v>
      </c>
      <c r="N1974" s="13">
        <v>1.4936363636363641</v>
      </c>
      <c r="O1974" s="13">
        <v>20</v>
      </c>
      <c r="P1974" s="13" t="s">
        <v>30</v>
      </c>
      <c r="Q1974" s="13">
        <v>0</v>
      </c>
      <c r="R1974" s="15">
        <v>657.2</v>
      </c>
      <c r="S1974" s="15">
        <v>0</v>
      </c>
      <c r="T1974" s="15">
        <v>0</v>
      </c>
      <c r="U1974" s="15">
        <v>657.2</v>
      </c>
      <c r="V1974" s="15">
        <v>0</v>
      </c>
      <c r="W1974" s="15">
        <v>657.2</v>
      </c>
      <c r="X1974" s="15">
        <v>0</v>
      </c>
      <c r="Y1974" s="16">
        <v>0</v>
      </c>
      <c r="Z1974" s="67" t="s">
        <v>26</v>
      </c>
      <c r="AA1974" s="12" t="s">
        <v>31</v>
      </c>
    </row>
    <row r="1975" spans="1:27" x14ac:dyDescent="0.25">
      <c r="A1975" s="10">
        <v>45686</v>
      </c>
      <c r="B1975" s="11" t="s">
        <v>4120</v>
      </c>
      <c r="C1975" s="11" t="s">
        <v>4121</v>
      </c>
      <c r="D1975" s="11" t="s">
        <v>26</v>
      </c>
      <c r="E1975" s="11" t="s">
        <v>183</v>
      </c>
      <c r="F1975" s="11" t="s">
        <v>26</v>
      </c>
      <c r="G1975" s="11">
        <v>4682</v>
      </c>
      <c r="H1975" s="12" t="s">
        <v>41</v>
      </c>
      <c r="I1975" s="12" t="s">
        <v>55</v>
      </c>
      <c r="J1975" s="12" t="s">
        <v>55</v>
      </c>
      <c r="K1975" s="12" t="s">
        <v>56</v>
      </c>
      <c r="L1975" s="13">
        <v>32.340000000000003</v>
      </c>
      <c r="M1975" s="13">
        <v>20</v>
      </c>
      <c r="N1975" s="13">
        <v>1.617</v>
      </c>
      <c r="O1975" s="13"/>
      <c r="P1975" s="13">
        <v>24</v>
      </c>
      <c r="Q1975" s="13">
        <v>0</v>
      </c>
      <c r="R1975" s="14">
        <v>480</v>
      </c>
      <c r="S1975" s="15">
        <v>0</v>
      </c>
      <c r="T1975" s="15">
        <v>0</v>
      </c>
      <c r="U1975" s="15">
        <v>480</v>
      </c>
      <c r="V1975" s="15">
        <v>0</v>
      </c>
      <c r="W1975" s="15">
        <v>480</v>
      </c>
      <c r="X1975" s="16">
        <v>0</v>
      </c>
      <c r="Y1975" s="16">
        <v>0</v>
      </c>
      <c r="Z1975" s="67" t="s">
        <v>26</v>
      </c>
      <c r="AA1975" s="12" t="s">
        <v>31</v>
      </c>
    </row>
    <row r="1976" spans="1:27" x14ac:dyDescent="0.25">
      <c r="A1976" s="10">
        <v>45686</v>
      </c>
      <c r="B1976" s="11" t="s">
        <v>300</v>
      </c>
      <c r="C1976" s="11" t="s">
        <v>4122</v>
      </c>
      <c r="D1976" s="11" t="s">
        <v>26</v>
      </c>
      <c r="E1976" s="11" t="s">
        <v>3938</v>
      </c>
      <c r="F1976" s="11" t="s">
        <v>26</v>
      </c>
      <c r="G1976" s="11" t="s">
        <v>35</v>
      </c>
      <c r="H1976" s="12" t="s">
        <v>36</v>
      </c>
      <c r="I1976" s="12" t="s">
        <v>55</v>
      </c>
      <c r="J1976" s="12" t="s">
        <v>55</v>
      </c>
      <c r="K1976" s="12" t="s">
        <v>56</v>
      </c>
      <c r="L1976" s="13">
        <v>9.76</v>
      </c>
      <c r="M1976" s="13">
        <v>6</v>
      </c>
      <c r="N1976" s="13">
        <v>1.6266666666666669</v>
      </c>
      <c r="O1976" s="13">
        <v>20</v>
      </c>
      <c r="P1976" s="13" t="s">
        <v>30</v>
      </c>
      <c r="Q1976" s="13">
        <v>0</v>
      </c>
      <c r="R1976" s="15">
        <v>195.2</v>
      </c>
      <c r="S1976" s="15">
        <v>0</v>
      </c>
      <c r="T1976" s="15">
        <v>0</v>
      </c>
      <c r="U1976" s="15">
        <v>195.2</v>
      </c>
      <c r="V1976" s="15">
        <v>0</v>
      </c>
      <c r="W1976" s="15">
        <v>195.2</v>
      </c>
      <c r="X1976" s="15">
        <v>0</v>
      </c>
      <c r="Y1976" s="16">
        <v>0</v>
      </c>
      <c r="Z1976" s="67" t="s">
        <v>26</v>
      </c>
      <c r="AA1976" s="12" t="s">
        <v>31</v>
      </c>
    </row>
    <row r="1977" spans="1:27" x14ac:dyDescent="0.25">
      <c r="A1977" s="10">
        <v>45686</v>
      </c>
      <c r="B1977" s="11" t="s">
        <v>2470</v>
      </c>
      <c r="C1977" s="11" t="s">
        <v>4123</v>
      </c>
      <c r="D1977" s="11" t="s">
        <v>26</v>
      </c>
      <c r="E1977" s="11" t="s">
        <v>539</v>
      </c>
      <c r="F1977" s="11" t="s">
        <v>26</v>
      </c>
      <c r="G1977" s="11">
        <v>3836</v>
      </c>
      <c r="H1977" s="12" t="s">
        <v>41</v>
      </c>
      <c r="I1977" s="12" t="s">
        <v>55</v>
      </c>
      <c r="J1977" s="12" t="s">
        <v>55</v>
      </c>
      <c r="K1977" s="12" t="s">
        <v>56</v>
      </c>
      <c r="L1977" s="13">
        <v>35.1</v>
      </c>
      <c r="M1977" s="13">
        <v>22</v>
      </c>
      <c r="N1977" s="13">
        <v>1.595454545454545</v>
      </c>
      <c r="O1977" s="13"/>
      <c r="P1977" s="13">
        <v>24</v>
      </c>
      <c r="Q1977" s="13">
        <v>0</v>
      </c>
      <c r="R1977" s="14">
        <v>528</v>
      </c>
      <c r="S1977" s="15">
        <v>0</v>
      </c>
      <c r="T1977" s="15">
        <v>0</v>
      </c>
      <c r="U1977" s="15">
        <v>528</v>
      </c>
      <c r="V1977" s="15">
        <v>0</v>
      </c>
      <c r="W1977" s="15">
        <v>528</v>
      </c>
      <c r="X1977" s="16">
        <v>0</v>
      </c>
      <c r="Y1977" s="16">
        <v>0</v>
      </c>
      <c r="Z1977" s="67" t="s">
        <v>26</v>
      </c>
      <c r="AA1977" s="12" t="s">
        <v>31</v>
      </c>
    </row>
    <row r="1978" spans="1:27" x14ac:dyDescent="0.25">
      <c r="A1978" s="10">
        <v>45686</v>
      </c>
      <c r="B1978" s="11" t="s">
        <v>4124</v>
      </c>
      <c r="C1978" s="11" t="s">
        <v>4125</v>
      </c>
      <c r="D1978" s="11" t="s">
        <v>26</v>
      </c>
      <c r="E1978" s="11" t="s">
        <v>246</v>
      </c>
      <c r="F1978" s="11" t="s">
        <v>26</v>
      </c>
      <c r="G1978" s="11">
        <v>2977</v>
      </c>
      <c r="H1978" s="12" t="s">
        <v>41</v>
      </c>
      <c r="I1978" s="12" t="s">
        <v>55</v>
      </c>
      <c r="J1978" s="12" t="s">
        <v>55</v>
      </c>
      <c r="K1978" s="12" t="s">
        <v>56</v>
      </c>
      <c r="L1978" s="13">
        <v>36.28</v>
      </c>
      <c r="M1978" s="13">
        <v>22</v>
      </c>
      <c r="N1978" s="13">
        <v>1.6490909090909089</v>
      </c>
      <c r="O1978" s="13"/>
      <c r="P1978" s="13">
        <v>24</v>
      </c>
      <c r="Q1978" s="13">
        <v>0</v>
      </c>
      <c r="R1978" s="14">
        <v>528</v>
      </c>
      <c r="S1978" s="15">
        <v>0</v>
      </c>
      <c r="T1978" s="15">
        <v>0</v>
      </c>
      <c r="U1978" s="15">
        <v>528</v>
      </c>
      <c r="V1978" s="15">
        <v>0</v>
      </c>
      <c r="W1978" s="15">
        <v>528</v>
      </c>
      <c r="X1978" s="15">
        <v>0</v>
      </c>
      <c r="Y1978" s="16">
        <v>0</v>
      </c>
      <c r="Z1978" s="67" t="s">
        <v>26</v>
      </c>
      <c r="AA1978" s="12" t="s">
        <v>31</v>
      </c>
    </row>
    <row r="1979" spans="1:27" x14ac:dyDescent="0.25">
      <c r="A1979" s="10">
        <v>45686</v>
      </c>
      <c r="B1979" s="11" t="s">
        <v>612</v>
      </c>
      <c r="C1979" s="11" t="s">
        <v>4126</v>
      </c>
      <c r="D1979" s="11" t="s">
        <v>26</v>
      </c>
      <c r="E1979" s="11" t="s">
        <v>444</v>
      </c>
      <c r="F1979" s="11" t="s">
        <v>26</v>
      </c>
      <c r="G1979" s="11">
        <v>2108</v>
      </c>
      <c r="H1979" s="12" t="s">
        <v>4449</v>
      </c>
      <c r="I1979" s="12" t="s">
        <v>55</v>
      </c>
      <c r="J1979" s="12" t="s">
        <v>55</v>
      </c>
      <c r="K1979" s="12" t="s">
        <v>56</v>
      </c>
      <c r="L1979" s="13">
        <v>34.020000000000003</v>
      </c>
      <c r="M1979" s="13">
        <v>21</v>
      </c>
      <c r="N1979" s="13">
        <v>1.62</v>
      </c>
      <c r="O1979" s="13">
        <v>15</v>
      </c>
      <c r="P1979" s="13" t="s">
        <v>30</v>
      </c>
      <c r="Q1979" s="13">
        <v>0</v>
      </c>
      <c r="R1979" s="14">
        <v>510.30000000000007</v>
      </c>
      <c r="S1979" s="15">
        <v>0</v>
      </c>
      <c r="T1979" s="15">
        <v>0</v>
      </c>
      <c r="U1979" s="15">
        <v>510.30000000000007</v>
      </c>
      <c r="V1979" s="15">
        <v>510.30000000000007</v>
      </c>
      <c r="W1979" s="15">
        <v>0</v>
      </c>
      <c r="X1979" s="15">
        <v>0</v>
      </c>
      <c r="Y1979" s="16">
        <v>0</v>
      </c>
      <c r="Z1979" s="67" t="s">
        <v>26</v>
      </c>
      <c r="AA1979" s="12" t="s">
        <v>31</v>
      </c>
    </row>
    <row r="1980" spans="1:27" x14ac:dyDescent="0.25">
      <c r="A1980" s="10">
        <v>45686</v>
      </c>
      <c r="B1980" s="11" t="s">
        <v>3498</v>
      </c>
      <c r="C1980" s="11" t="s">
        <v>4127</v>
      </c>
      <c r="D1980" s="11" t="s">
        <v>26</v>
      </c>
      <c r="E1980" s="11" t="s">
        <v>559</v>
      </c>
      <c r="F1980" s="11" t="s">
        <v>26</v>
      </c>
      <c r="G1980" s="11">
        <v>2575</v>
      </c>
      <c r="H1980" s="12" t="s">
        <v>41</v>
      </c>
      <c r="I1980" s="12" t="s">
        <v>55</v>
      </c>
      <c r="J1980" s="12" t="s">
        <v>55</v>
      </c>
      <c r="K1980" s="12" t="s">
        <v>56</v>
      </c>
      <c r="L1980" s="13">
        <v>33.94</v>
      </c>
      <c r="M1980" s="13">
        <v>20</v>
      </c>
      <c r="N1980" s="13">
        <v>1.6970000000000001</v>
      </c>
      <c r="O1980" s="13"/>
      <c r="P1980" s="13">
        <v>24</v>
      </c>
      <c r="Q1980" s="13">
        <v>0</v>
      </c>
      <c r="R1980" s="15">
        <v>480</v>
      </c>
      <c r="S1980" s="15">
        <v>0</v>
      </c>
      <c r="T1980" s="15">
        <v>0</v>
      </c>
      <c r="U1980" s="15">
        <v>480</v>
      </c>
      <c r="V1980" s="15">
        <v>0</v>
      </c>
      <c r="W1980" s="15">
        <v>480</v>
      </c>
      <c r="X1980" s="15">
        <v>0</v>
      </c>
      <c r="Y1980" s="16">
        <v>0</v>
      </c>
      <c r="Z1980" s="67" t="s">
        <v>26</v>
      </c>
      <c r="AA1980" s="12" t="s">
        <v>31</v>
      </c>
    </row>
    <row r="1981" spans="1:27" x14ac:dyDescent="0.25">
      <c r="A1981" s="10">
        <v>45686</v>
      </c>
      <c r="B1981" s="11" t="s">
        <v>4128</v>
      </c>
      <c r="C1981" s="11" t="s">
        <v>4129</v>
      </c>
      <c r="D1981" s="11" t="s">
        <v>26</v>
      </c>
      <c r="E1981" s="11" t="s">
        <v>60</v>
      </c>
      <c r="F1981" s="11" t="s">
        <v>26</v>
      </c>
      <c r="G1981" s="11" t="s">
        <v>35</v>
      </c>
      <c r="H1981" s="12" t="s">
        <v>36</v>
      </c>
      <c r="I1981" s="12" t="s">
        <v>27</v>
      </c>
      <c r="J1981" s="12" t="s">
        <v>42</v>
      </c>
      <c r="K1981" s="12" t="s">
        <v>43</v>
      </c>
      <c r="L1981" s="13">
        <v>9.6199999999999992</v>
      </c>
      <c r="M1981" s="13">
        <v>6</v>
      </c>
      <c r="N1981" s="13">
        <v>1.6033333333333331</v>
      </c>
      <c r="O1981" s="13">
        <v>45</v>
      </c>
      <c r="P1981" s="13" t="s">
        <v>30</v>
      </c>
      <c r="Q1981" s="13">
        <v>0</v>
      </c>
      <c r="R1981" s="14">
        <v>432.9</v>
      </c>
      <c r="S1981" s="15">
        <v>0</v>
      </c>
      <c r="T1981" s="15">
        <v>0</v>
      </c>
      <c r="U1981" s="15">
        <v>432.9</v>
      </c>
      <c r="V1981" s="15">
        <v>0</v>
      </c>
      <c r="W1981" s="15">
        <v>432.9</v>
      </c>
      <c r="X1981" s="16">
        <v>0</v>
      </c>
      <c r="Y1981" s="16">
        <v>0</v>
      </c>
      <c r="Z1981" s="67" t="s">
        <v>26</v>
      </c>
      <c r="AA1981" s="12" t="s">
        <v>31</v>
      </c>
    </row>
    <row r="1982" spans="1:27" x14ac:dyDescent="0.25">
      <c r="A1982" s="10">
        <v>45686</v>
      </c>
      <c r="B1982" s="11" t="s">
        <v>4130</v>
      </c>
      <c r="C1982" s="11" t="s">
        <v>4131</v>
      </c>
      <c r="D1982" s="11" t="s">
        <v>26</v>
      </c>
      <c r="E1982" s="11" t="s">
        <v>527</v>
      </c>
      <c r="F1982" s="11" t="s">
        <v>26</v>
      </c>
      <c r="G1982" s="11">
        <v>2568</v>
      </c>
      <c r="H1982" s="12" t="s">
        <v>163</v>
      </c>
      <c r="I1982" s="12" t="s">
        <v>27</v>
      </c>
      <c r="J1982" s="12" t="s">
        <v>42</v>
      </c>
      <c r="K1982" s="12" t="s">
        <v>43</v>
      </c>
      <c r="L1982" s="13">
        <v>43.16</v>
      </c>
      <c r="M1982" s="13">
        <v>25</v>
      </c>
      <c r="N1982" s="13">
        <v>1.7263999999999999</v>
      </c>
      <c r="O1982" s="13" t="s">
        <v>30</v>
      </c>
      <c r="P1982" s="13">
        <v>56</v>
      </c>
      <c r="Q1982" s="13">
        <v>0</v>
      </c>
      <c r="R1982" s="14">
        <v>1400</v>
      </c>
      <c r="S1982" s="15">
        <v>0</v>
      </c>
      <c r="T1982" s="15">
        <v>0</v>
      </c>
      <c r="U1982" s="15">
        <v>1400</v>
      </c>
      <c r="V1982" s="15">
        <v>0</v>
      </c>
      <c r="W1982" s="15">
        <v>1400</v>
      </c>
      <c r="X1982" s="15">
        <v>0</v>
      </c>
      <c r="Y1982" s="16">
        <v>0</v>
      </c>
      <c r="Z1982" s="67" t="s">
        <v>26</v>
      </c>
      <c r="AA1982" s="12" t="s">
        <v>31</v>
      </c>
    </row>
    <row r="1983" spans="1:27" x14ac:dyDescent="0.25">
      <c r="A1983" s="10">
        <v>45686</v>
      </c>
      <c r="B1983" s="11" t="s">
        <v>4132</v>
      </c>
      <c r="C1983" s="11" t="s">
        <v>4133</v>
      </c>
      <c r="D1983" s="11" t="s">
        <v>26</v>
      </c>
      <c r="E1983" s="11" t="s">
        <v>53</v>
      </c>
      <c r="F1983" s="11" t="s">
        <v>26</v>
      </c>
      <c r="G1983" s="11">
        <v>3779</v>
      </c>
      <c r="H1983" s="12" t="s">
        <v>41</v>
      </c>
      <c r="I1983" s="12" t="s">
        <v>27</v>
      </c>
      <c r="J1983" s="12" t="s">
        <v>47</v>
      </c>
      <c r="K1983" s="12" t="s">
        <v>48</v>
      </c>
      <c r="L1983" s="13">
        <v>36.880000000000003</v>
      </c>
      <c r="M1983" s="13">
        <v>25</v>
      </c>
      <c r="N1983" s="13">
        <v>1.4752000000000001</v>
      </c>
      <c r="O1983" s="13"/>
      <c r="P1983" s="13">
        <v>60</v>
      </c>
      <c r="Q1983" s="13">
        <v>0</v>
      </c>
      <c r="R1983" s="14">
        <v>1500</v>
      </c>
      <c r="S1983" s="15">
        <v>0</v>
      </c>
      <c r="T1983" s="15">
        <v>0</v>
      </c>
      <c r="U1983" s="15">
        <v>1500</v>
      </c>
      <c r="V1983" s="15">
        <v>0</v>
      </c>
      <c r="W1983" s="15">
        <v>1500</v>
      </c>
      <c r="X1983" s="15">
        <v>0</v>
      </c>
      <c r="Y1983" s="16">
        <v>0</v>
      </c>
      <c r="Z1983" s="67" t="s">
        <v>26</v>
      </c>
      <c r="AA1983" s="12" t="s">
        <v>31</v>
      </c>
    </row>
    <row r="1984" spans="1:27" x14ac:dyDescent="0.25">
      <c r="A1984" s="10">
        <v>45686</v>
      </c>
      <c r="B1984" s="11" t="s">
        <v>311</v>
      </c>
      <c r="C1984" s="11" t="s">
        <v>4134</v>
      </c>
      <c r="D1984" s="11" t="s">
        <v>26</v>
      </c>
      <c r="E1984" s="11" t="s">
        <v>567</v>
      </c>
      <c r="F1984" s="11" t="s">
        <v>26</v>
      </c>
      <c r="G1984" s="11">
        <v>112393</v>
      </c>
      <c r="H1984" s="12" t="s">
        <v>4446</v>
      </c>
      <c r="I1984" s="12" t="s">
        <v>27</v>
      </c>
      <c r="J1984" s="12" t="s">
        <v>33</v>
      </c>
      <c r="K1984" s="12" t="s">
        <v>34</v>
      </c>
      <c r="L1984" s="13">
        <v>35.54</v>
      </c>
      <c r="M1984" s="13">
        <v>24</v>
      </c>
      <c r="N1984" s="13">
        <v>1.480833333333333</v>
      </c>
      <c r="O1984" s="13">
        <v>44</v>
      </c>
      <c r="P1984" s="13" t="s">
        <v>30</v>
      </c>
      <c r="Q1984" s="13">
        <v>0</v>
      </c>
      <c r="R1984" s="14">
        <v>1563.76</v>
      </c>
      <c r="S1984" s="15">
        <v>0</v>
      </c>
      <c r="T1984" s="15">
        <v>0</v>
      </c>
      <c r="U1984" s="15">
        <v>1563.76</v>
      </c>
      <c r="V1984" s="15">
        <v>1563.76</v>
      </c>
      <c r="W1984" s="15">
        <v>0</v>
      </c>
      <c r="X1984" s="15">
        <v>0</v>
      </c>
      <c r="Y1984" s="16">
        <v>0</v>
      </c>
      <c r="Z1984" s="67" t="s">
        <v>26</v>
      </c>
      <c r="AA1984" s="12" t="s">
        <v>31</v>
      </c>
    </row>
    <row r="1985" spans="1:27" x14ac:dyDescent="0.25">
      <c r="A1985" s="10">
        <v>45687</v>
      </c>
      <c r="B1985" s="11" t="s">
        <v>4135</v>
      </c>
      <c r="C1985" s="11" t="s">
        <v>4136</v>
      </c>
      <c r="D1985" s="11" t="s">
        <v>26</v>
      </c>
      <c r="E1985" s="11" t="s">
        <v>50</v>
      </c>
      <c r="F1985" s="11" t="s">
        <v>26</v>
      </c>
      <c r="G1985" s="11">
        <v>923</v>
      </c>
      <c r="H1985" s="12" t="s">
        <v>163</v>
      </c>
      <c r="I1985" s="12" t="s">
        <v>27</v>
      </c>
      <c r="J1985" s="12" t="s">
        <v>33</v>
      </c>
      <c r="K1985" s="12" t="s">
        <v>34</v>
      </c>
      <c r="L1985" s="13">
        <v>37.28</v>
      </c>
      <c r="M1985" s="13">
        <v>25</v>
      </c>
      <c r="N1985" s="13">
        <v>1.4912000000000001</v>
      </c>
      <c r="O1985" s="13" t="s">
        <v>30</v>
      </c>
      <c r="P1985" s="13">
        <v>58</v>
      </c>
      <c r="Q1985" s="13">
        <v>0</v>
      </c>
      <c r="R1985" s="14">
        <v>1450</v>
      </c>
      <c r="S1985" s="15">
        <v>0</v>
      </c>
      <c r="T1985" s="15">
        <v>0</v>
      </c>
      <c r="U1985" s="15">
        <v>1450</v>
      </c>
      <c r="V1985" s="15">
        <v>0</v>
      </c>
      <c r="W1985" s="15">
        <v>1450</v>
      </c>
      <c r="X1985" s="15">
        <v>0</v>
      </c>
      <c r="Y1985" s="16">
        <v>0</v>
      </c>
      <c r="Z1985" s="67" t="s">
        <v>26</v>
      </c>
      <c r="AA1985" s="12" t="s">
        <v>31</v>
      </c>
    </row>
    <row r="1986" spans="1:27" x14ac:dyDescent="0.25">
      <c r="A1986" s="10">
        <v>45687</v>
      </c>
      <c r="B1986" s="11" t="s">
        <v>2892</v>
      </c>
      <c r="C1986" s="11" t="s">
        <v>4137</v>
      </c>
      <c r="D1986" s="11" t="s">
        <v>26</v>
      </c>
      <c r="E1986" s="11" t="s">
        <v>224</v>
      </c>
      <c r="F1986" s="11" t="s">
        <v>26</v>
      </c>
      <c r="G1986" s="11">
        <v>55339</v>
      </c>
      <c r="H1986" s="12" t="s">
        <v>4423</v>
      </c>
      <c r="I1986" s="12" t="s">
        <v>27</v>
      </c>
      <c r="J1986" s="12" t="s">
        <v>47</v>
      </c>
      <c r="K1986" s="12" t="s">
        <v>48</v>
      </c>
      <c r="L1986" s="13">
        <v>34.979999999999997</v>
      </c>
      <c r="M1986" s="13">
        <v>25</v>
      </c>
      <c r="N1986" s="13">
        <v>1.3992</v>
      </c>
      <c r="O1986" s="13">
        <v>46</v>
      </c>
      <c r="P1986" s="13" t="s">
        <v>30</v>
      </c>
      <c r="Q1986" s="13">
        <v>0</v>
      </c>
      <c r="R1986" s="14">
        <v>1609.08</v>
      </c>
      <c r="S1986" s="15">
        <v>0</v>
      </c>
      <c r="T1986" s="15">
        <v>0</v>
      </c>
      <c r="U1986" s="15">
        <v>1609.08</v>
      </c>
      <c r="V1986" s="15">
        <v>1609.08</v>
      </c>
      <c r="W1986" s="15">
        <v>0</v>
      </c>
      <c r="X1986" s="15">
        <v>0</v>
      </c>
      <c r="Y1986" s="16">
        <v>0</v>
      </c>
      <c r="Z1986" s="67" t="s">
        <v>26</v>
      </c>
      <c r="AA1986" s="12" t="s">
        <v>31</v>
      </c>
    </row>
    <row r="1987" spans="1:27" x14ac:dyDescent="0.25">
      <c r="A1987" s="10">
        <v>45687</v>
      </c>
      <c r="B1987" s="11" t="s">
        <v>4138</v>
      </c>
      <c r="C1987" s="11" t="s">
        <v>4139</v>
      </c>
      <c r="D1987" s="11" t="s">
        <v>26</v>
      </c>
      <c r="E1987" s="11" t="s">
        <v>496</v>
      </c>
      <c r="F1987" s="11" t="s">
        <v>26</v>
      </c>
      <c r="G1987" s="11">
        <v>22915</v>
      </c>
      <c r="H1987" s="12" t="s">
        <v>4448</v>
      </c>
      <c r="I1987" s="12" t="s">
        <v>27</v>
      </c>
      <c r="J1987" s="12" t="s">
        <v>33</v>
      </c>
      <c r="K1987" s="12" t="s">
        <v>34</v>
      </c>
      <c r="L1987" s="13">
        <v>37.78</v>
      </c>
      <c r="M1987" s="13">
        <v>25</v>
      </c>
      <c r="N1987" s="13">
        <v>1.5112000000000001</v>
      </c>
      <c r="O1987" s="13">
        <v>45.33</v>
      </c>
      <c r="P1987" s="13" t="s">
        <v>30</v>
      </c>
      <c r="Q1987" s="13">
        <v>0</v>
      </c>
      <c r="R1987" s="15">
        <v>1712.5673999999999</v>
      </c>
      <c r="S1987" s="15">
        <v>0</v>
      </c>
      <c r="T1987" s="15">
        <v>0</v>
      </c>
      <c r="U1987" s="15">
        <v>1712.5673999999999</v>
      </c>
      <c r="V1987" s="15">
        <v>1284.4255499999999</v>
      </c>
      <c r="W1987" s="15">
        <v>428.14184999999998</v>
      </c>
      <c r="X1987" s="15">
        <v>0</v>
      </c>
      <c r="Y1987" s="16">
        <v>0</v>
      </c>
      <c r="Z1987" s="67" t="s">
        <v>26</v>
      </c>
      <c r="AA1987" s="12" t="s">
        <v>31</v>
      </c>
    </row>
    <row r="1988" spans="1:27" x14ac:dyDescent="0.25">
      <c r="A1988" s="10">
        <v>45687</v>
      </c>
      <c r="B1988" s="11" t="s">
        <v>4140</v>
      </c>
      <c r="C1988" s="11" t="s">
        <v>4141</v>
      </c>
      <c r="D1988" s="11" t="s">
        <v>26</v>
      </c>
      <c r="E1988" s="11" t="s">
        <v>100</v>
      </c>
      <c r="F1988" s="11" t="s">
        <v>26</v>
      </c>
      <c r="G1988" s="11">
        <v>21733</v>
      </c>
      <c r="H1988" s="12" t="s">
        <v>4448</v>
      </c>
      <c r="I1988" s="12" t="s">
        <v>27</v>
      </c>
      <c r="J1988" s="12" t="s">
        <v>47</v>
      </c>
      <c r="K1988" s="12" t="s">
        <v>48</v>
      </c>
      <c r="L1988" s="13">
        <v>37.42</v>
      </c>
      <c r="M1988" s="13">
        <v>25</v>
      </c>
      <c r="N1988" s="13">
        <v>1.4967999999999999</v>
      </c>
      <c r="O1988" s="13">
        <v>46.66</v>
      </c>
      <c r="P1988" s="13" t="s">
        <v>30</v>
      </c>
      <c r="Q1988" s="13">
        <v>0</v>
      </c>
      <c r="R1988" s="15">
        <v>1746.0172</v>
      </c>
      <c r="S1988" s="15">
        <v>0</v>
      </c>
      <c r="T1988" s="15">
        <v>0</v>
      </c>
      <c r="U1988" s="15">
        <v>1746.0172</v>
      </c>
      <c r="V1988" s="15">
        <v>1309.5128999999999</v>
      </c>
      <c r="W1988" s="15">
        <v>436.50430000000006</v>
      </c>
      <c r="X1988" s="15">
        <v>0</v>
      </c>
      <c r="Y1988" s="16">
        <v>0</v>
      </c>
      <c r="Z1988" s="67" t="s">
        <v>26</v>
      </c>
      <c r="AA1988" s="12" t="s">
        <v>31</v>
      </c>
    </row>
    <row r="1989" spans="1:27" x14ac:dyDescent="0.25">
      <c r="A1989" s="10">
        <v>45687</v>
      </c>
      <c r="B1989" s="11" t="s">
        <v>678</v>
      </c>
      <c r="C1989" s="11" t="s">
        <v>4142</v>
      </c>
      <c r="D1989" s="11" t="s">
        <v>26</v>
      </c>
      <c r="E1989" s="11" t="s">
        <v>53</v>
      </c>
      <c r="F1989" s="11" t="s">
        <v>26</v>
      </c>
      <c r="G1989" s="11" t="s">
        <v>26</v>
      </c>
      <c r="H1989" s="12" t="s">
        <v>4422</v>
      </c>
      <c r="I1989" s="12" t="s">
        <v>27</v>
      </c>
      <c r="J1989" s="12" t="s">
        <v>33</v>
      </c>
      <c r="K1989" s="12" t="s">
        <v>34</v>
      </c>
      <c r="L1989" s="13">
        <v>42.94</v>
      </c>
      <c r="M1989" s="13">
        <v>29</v>
      </c>
      <c r="N1989" s="13">
        <v>1.480689655172414</v>
      </c>
      <c r="O1989" s="13">
        <v>85</v>
      </c>
      <c r="P1989" s="13" t="s">
        <v>30</v>
      </c>
      <c r="Q1989" s="13">
        <v>0</v>
      </c>
      <c r="R1989" s="14">
        <v>3649.8999999999996</v>
      </c>
      <c r="S1989" s="15">
        <v>38</v>
      </c>
      <c r="T1989" s="15">
        <v>1631.7199999999998</v>
      </c>
      <c r="U1989" s="15">
        <v>2018.1799999999998</v>
      </c>
      <c r="V1989" s="15">
        <v>2018.1799999999998</v>
      </c>
      <c r="W1989" s="15">
        <v>0</v>
      </c>
      <c r="X1989" s="15">
        <v>1588.78</v>
      </c>
      <c r="Y1989" s="16">
        <v>42.939999999999827</v>
      </c>
      <c r="Z1989" s="67" t="s">
        <v>41</v>
      </c>
      <c r="AA1989" s="12" t="s">
        <v>78</v>
      </c>
    </row>
    <row r="1990" spans="1:27" x14ac:dyDescent="0.25">
      <c r="A1990" s="10">
        <v>45687</v>
      </c>
      <c r="B1990" s="11" t="s">
        <v>3655</v>
      </c>
      <c r="C1990" s="11" t="s">
        <v>4143</v>
      </c>
      <c r="D1990" s="11" t="s">
        <v>26</v>
      </c>
      <c r="E1990" s="11" t="s">
        <v>57</v>
      </c>
      <c r="F1990" s="11" t="s">
        <v>26</v>
      </c>
      <c r="G1990" s="11">
        <v>3669</v>
      </c>
      <c r="H1990" s="12" t="s">
        <v>41</v>
      </c>
      <c r="I1990" s="12" t="s">
        <v>27</v>
      </c>
      <c r="J1990" s="12" t="s">
        <v>33</v>
      </c>
      <c r="K1990" s="12" t="s">
        <v>34</v>
      </c>
      <c r="L1990" s="13">
        <v>37.799999999999997</v>
      </c>
      <c r="M1990" s="13">
        <v>25</v>
      </c>
      <c r="N1990" s="13">
        <v>1.512</v>
      </c>
      <c r="O1990" s="13" t="s">
        <v>30</v>
      </c>
      <c r="P1990" s="13">
        <v>60</v>
      </c>
      <c r="Q1990" s="13">
        <v>0</v>
      </c>
      <c r="R1990" s="14">
        <v>1500</v>
      </c>
      <c r="S1990" s="15">
        <v>0</v>
      </c>
      <c r="T1990" s="15">
        <v>0</v>
      </c>
      <c r="U1990" s="15">
        <v>1500</v>
      </c>
      <c r="V1990" s="15">
        <v>0</v>
      </c>
      <c r="W1990" s="15">
        <v>1500</v>
      </c>
      <c r="X1990" s="15">
        <v>0</v>
      </c>
      <c r="Y1990" s="16">
        <v>0</v>
      </c>
      <c r="Z1990" s="67" t="s">
        <v>26</v>
      </c>
      <c r="AA1990" s="12" t="s">
        <v>31</v>
      </c>
    </row>
    <row r="1991" spans="1:27" x14ac:dyDescent="0.25">
      <c r="A1991" s="10">
        <v>45687</v>
      </c>
      <c r="B1991" s="11" t="s">
        <v>4135</v>
      </c>
      <c r="C1991" s="11" t="s">
        <v>4144</v>
      </c>
      <c r="D1991" s="11" t="s">
        <v>26</v>
      </c>
      <c r="E1991" s="11" t="s">
        <v>44</v>
      </c>
      <c r="F1991" s="11" t="s">
        <v>26</v>
      </c>
      <c r="G1991" s="11" t="s">
        <v>26</v>
      </c>
      <c r="H1991" s="12" t="s">
        <v>4422</v>
      </c>
      <c r="I1991" s="12" t="s">
        <v>27</v>
      </c>
      <c r="J1991" s="12" t="s">
        <v>47</v>
      </c>
      <c r="K1991" s="12" t="s">
        <v>48</v>
      </c>
      <c r="L1991" s="13">
        <v>42.94</v>
      </c>
      <c r="M1991" s="13">
        <v>29</v>
      </c>
      <c r="N1991" s="13">
        <v>1.480689655172414</v>
      </c>
      <c r="O1991" s="13">
        <v>87</v>
      </c>
      <c r="P1991" s="13" t="s">
        <v>30</v>
      </c>
      <c r="Q1991" s="13">
        <v>0</v>
      </c>
      <c r="R1991" s="14">
        <v>3735.7799999999997</v>
      </c>
      <c r="S1991" s="15">
        <v>38</v>
      </c>
      <c r="T1991" s="15">
        <v>1631.7199999999998</v>
      </c>
      <c r="U1991" s="15">
        <v>2104.06</v>
      </c>
      <c r="V1991" s="15">
        <v>2104.06</v>
      </c>
      <c r="W1991" s="15"/>
      <c r="X1991" s="15">
        <v>1545.84</v>
      </c>
      <c r="Y1991" s="16">
        <v>85.879999999999882</v>
      </c>
      <c r="Z1991" s="67" t="s">
        <v>45</v>
      </c>
      <c r="AA1991" s="12" t="s">
        <v>78</v>
      </c>
    </row>
    <row r="1992" spans="1:27" x14ac:dyDescent="0.25">
      <c r="A1992" s="10">
        <v>45687</v>
      </c>
      <c r="B1992" s="11" t="s">
        <v>4145</v>
      </c>
      <c r="C1992" s="11" t="s">
        <v>4146</v>
      </c>
      <c r="D1992" s="11" t="s">
        <v>26</v>
      </c>
      <c r="E1992" s="11" t="s">
        <v>539</v>
      </c>
      <c r="F1992" s="11" t="s">
        <v>26</v>
      </c>
      <c r="G1992" s="11" t="s">
        <v>26</v>
      </c>
      <c r="H1992" s="12" t="s">
        <v>4422</v>
      </c>
      <c r="I1992" s="12" t="s">
        <v>27</v>
      </c>
      <c r="J1992" s="12" t="s">
        <v>42</v>
      </c>
      <c r="K1992" s="12" t="s">
        <v>43</v>
      </c>
      <c r="L1992" s="13">
        <v>41.96</v>
      </c>
      <c r="M1992" s="13">
        <v>25</v>
      </c>
      <c r="N1992" s="13">
        <v>1.6783999999999999</v>
      </c>
      <c r="O1992" s="13">
        <v>83</v>
      </c>
      <c r="P1992" s="13" t="s">
        <v>30</v>
      </c>
      <c r="Q1992" s="13">
        <v>0</v>
      </c>
      <c r="R1992" s="14">
        <v>3482.6800000000003</v>
      </c>
      <c r="S1992" s="15">
        <v>38</v>
      </c>
      <c r="T1992" s="15">
        <v>1594.48</v>
      </c>
      <c r="U1992" s="15">
        <v>1888.2000000000003</v>
      </c>
      <c r="V1992" s="15">
        <v>1888.2000000000003</v>
      </c>
      <c r="W1992" s="15"/>
      <c r="X1992" s="15">
        <v>1552.52</v>
      </c>
      <c r="Y1992" s="16">
        <v>41.960000000000036</v>
      </c>
      <c r="Z1992" s="67" t="s">
        <v>41</v>
      </c>
      <c r="AA1992" s="12" t="s">
        <v>78</v>
      </c>
    </row>
    <row r="1993" spans="1:27" x14ac:dyDescent="0.25">
      <c r="A1993" s="10">
        <v>45687</v>
      </c>
      <c r="B1993" s="11" t="s">
        <v>4147</v>
      </c>
      <c r="C1993" s="11" t="s">
        <v>4148</v>
      </c>
      <c r="D1993" s="11" t="s">
        <v>26</v>
      </c>
      <c r="E1993" s="11" t="s">
        <v>246</v>
      </c>
      <c r="F1993" s="11" t="s">
        <v>26</v>
      </c>
      <c r="G1993" s="11" t="s">
        <v>26</v>
      </c>
      <c r="H1993" s="12" t="s">
        <v>4422</v>
      </c>
      <c r="I1993" s="12" t="s">
        <v>27</v>
      </c>
      <c r="J1993" s="12" t="s">
        <v>42</v>
      </c>
      <c r="K1993" s="12" t="s">
        <v>43</v>
      </c>
      <c r="L1993" s="13">
        <v>41.94</v>
      </c>
      <c r="M1993" s="13">
        <v>25</v>
      </c>
      <c r="N1993" s="13">
        <v>1.6776</v>
      </c>
      <c r="O1993" s="13">
        <v>83</v>
      </c>
      <c r="P1993" s="13" t="s">
        <v>30</v>
      </c>
      <c r="Q1993" s="13">
        <v>0</v>
      </c>
      <c r="R1993" s="14">
        <v>3481.02</v>
      </c>
      <c r="S1993" s="15">
        <v>38</v>
      </c>
      <c r="T1993" s="15">
        <v>1593.7199999999998</v>
      </c>
      <c r="U1993" s="15">
        <v>1887.3000000000002</v>
      </c>
      <c r="V1993" s="15">
        <v>1887.3000000000002</v>
      </c>
      <c r="W1993" s="15"/>
      <c r="X1993" s="15">
        <v>1551.78</v>
      </c>
      <c r="Y1993" s="16">
        <v>41.939999999999827</v>
      </c>
      <c r="Z1993" s="67" t="s">
        <v>41</v>
      </c>
      <c r="AA1993" s="12" t="s">
        <v>78</v>
      </c>
    </row>
    <row r="1994" spans="1:27" x14ac:dyDescent="0.25">
      <c r="A1994" s="10">
        <v>45687</v>
      </c>
      <c r="B1994" s="11" t="s">
        <v>4149</v>
      </c>
      <c r="C1994" s="11" t="s">
        <v>4150</v>
      </c>
      <c r="D1994" s="11" t="s">
        <v>26</v>
      </c>
      <c r="E1994" s="11" t="s">
        <v>49</v>
      </c>
      <c r="F1994" s="11" t="s">
        <v>26</v>
      </c>
      <c r="G1994" s="11" t="s">
        <v>26</v>
      </c>
      <c r="H1994" s="12" t="s">
        <v>4422</v>
      </c>
      <c r="I1994" s="12" t="s">
        <v>27</v>
      </c>
      <c r="J1994" s="12" t="s">
        <v>33</v>
      </c>
      <c r="K1994" s="12" t="s">
        <v>34</v>
      </c>
      <c r="L1994" s="13">
        <v>40.28</v>
      </c>
      <c r="M1994" s="13">
        <v>28</v>
      </c>
      <c r="N1994" s="13">
        <v>1.4385714285714291</v>
      </c>
      <c r="O1994" s="13">
        <v>85</v>
      </c>
      <c r="P1994" s="13" t="s">
        <v>30</v>
      </c>
      <c r="Q1994" s="13">
        <v>0</v>
      </c>
      <c r="R1994" s="14">
        <v>3423.8</v>
      </c>
      <c r="S1994" s="15">
        <v>38</v>
      </c>
      <c r="T1994" s="15">
        <v>1530.64</v>
      </c>
      <c r="U1994" s="15">
        <v>1893.16</v>
      </c>
      <c r="V1994" s="15">
        <v>1893.16</v>
      </c>
      <c r="W1994" s="15">
        <v>0</v>
      </c>
      <c r="X1994" s="15">
        <v>1450.08</v>
      </c>
      <c r="Y1994" s="16">
        <v>80.560000000000173</v>
      </c>
      <c r="Z1994" s="67" t="s">
        <v>45</v>
      </c>
      <c r="AA1994" s="12" t="s">
        <v>78</v>
      </c>
    </row>
    <row r="1995" spans="1:27" x14ac:dyDescent="0.25">
      <c r="A1995" s="10">
        <v>45687</v>
      </c>
      <c r="B1995" s="11" t="s">
        <v>610</v>
      </c>
      <c r="C1995" s="11" t="s">
        <v>4151</v>
      </c>
      <c r="D1995" s="11" t="s">
        <v>26</v>
      </c>
      <c r="E1995" s="11" t="s">
        <v>482</v>
      </c>
      <c r="F1995" s="11" t="s">
        <v>26</v>
      </c>
      <c r="G1995" s="11">
        <v>74899</v>
      </c>
      <c r="H1995" s="12" t="s">
        <v>4448</v>
      </c>
      <c r="I1995" s="12" t="s">
        <v>55</v>
      </c>
      <c r="J1995" s="12" t="s">
        <v>55</v>
      </c>
      <c r="K1995" s="12" t="s">
        <v>56</v>
      </c>
      <c r="L1995" s="13">
        <v>39.1</v>
      </c>
      <c r="M1995" s="13">
        <v>25</v>
      </c>
      <c r="N1995" s="13">
        <v>1.5640000000000001</v>
      </c>
      <c r="O1995" s="13">
        <v>15</v>
      </c>
      <c r="P1995" s="13" t="s">
        <v>30</v>
      </c>
      <c r="Q1995" s="13">
        <v>0</v>
      </c>
      <c r="R1995" s="15">
        <v>586.5</v>
      </c>
      <c r="S1995" s="15">
        <v>0</v>
      </c>
      <c r="T1995" s="15">
        <v>0</v>
      </c>
      <c r="U1995" s="15">
        <v>586.5</v>
      </c>
      <c r="V1995" s="15">
        <v>439.875</v>
      </c>
      <c r="W1995" s="15">
        <v>146.625</v>
      </c>
      <c r="X1995" s="15">
        <v>0</v>
      </c>
      <c r="Y1995" s="16">
        <v>0</v>
      </c>
      <c r="Z1995" s="67" t="s">
        <v>26</v>
      </c>
      <c r="AA1995" s="12" t="s">
        <v>31</v>
      </c>
    </row>
    <row r="1996" spans="1:27" x14ac:dyDescent="0.25">
      <c r="A1996" s="10">
        <v>45687</v>
      </c>
      <c r="B1996" s="11" t="s">
        <v>112</v>
      </c>
      <c r="C1996" s="11" t="s">
        <v>4152</v>
      </c>
      <c r="D1996" s="11" t="s">
        <v>26</v>
      </c>
      <c r="E1996" s="11" t="s">
        <v>40</v>
      </c>
      <c r="F1996" s="11" t="s">
        <v>26</v>
      </c>
      <c r="G1996" s="11" t="s">
        <v>26</v>
      </c>
      <c r="H1996" s="12" t="s">
        <v>4422</v>
      </c>
      <c r="I1996" s="12" t="s">
        <v>27</v>
      </c>
      <c r="J1996" s="12" t="s">
        <v>42</v>
      </c>
      <c r="K1996" s="12" t="s">
        <v>43</v>
      </c>
      <c r="L1996" s="13">
        <v>42.28</v>
      </c>
      <c r="M1996" s="13">
        <v>25</v>
      </c>
      <c r="N1996" s="13">
        <v>1.6912</v>
      </c>
      <c r="O1996" s="13">
        <v>83</v>
      </c>
      <c r="P1996" s="13" t="s">
        <v>30</v>
      </c>
      <c r="Q1996" s="13">
        <v>0</v>
      </c>
      <c r="R1996" s="14">
        <v>3509.2400000000002</v>
      </c>
      <c r="S1996" s="15">
        <v>38</v>
      </c>
      <c r="T1996" s="15">
        <v>1606.64</v>
      </c>
      <c r="U1996" s="15">
        <v>1902.6000000000001</v>
      </c>
      <c r="V1996" s="15">
        <v>1902.6000000000001</v>
      </c>
      <c r="W1996" s="15"/>
      <c r="X1996" s="15">
        <v>1564.3600000000001</v>
      </c>
      <c r="Y1996" s="16">
        <v>42.279999999999973</v>
      </c>
      <c r="Z1996" s="67" t="s">
        <v>41</v>
      </c>
      <c r="AA1996" s="12" t="s">
        <v>78</v>
      </c>
    </row>
    <row r="1997" spans="1:27" x14ac:dyDescent="0.25">
      <c r="A1997" s="10">
        <v>45687</v>
      </c>
      <c r="B1997" s="11" t="s">
        <v>4153</v>
      </c>
      <c r="C1997" s="11" t="s">
        <v>4154</v>
      </c>
      <c r="D1997" s="11" t="s">
        <v>26</v>
      </c>
      <c r="E1997" s="11" t="s">
        <v>3786</v>
      </c>
      <c r="F1997" s="11" t="s">
        <v>26</v>
      </c>
      <c r="G1997" s="11">
        <v>24326</v>
      </c>
      <c r="H1997" s="12" t="s">
        <v>4448</v>
      </c>
      <c r="I1997" s="12" t="s">
        <v>55</v>
      </c>
      <c r="J1997" s="12" t="s">
        <v>55</v>
      </c>
      <c r="K1997" s="12" t="s">
        <v>56</v>
      </c>
      <c r="L1997" s="13">
        <v>38.08</v>
      </c>
      <c r="M1997" s="13">
        <v>25</v>
      </c>
      <c r="N1997" s="13">
        <v>1.5232000000000001</v>
      </c>
      <c r="O1997" s="13">
        <v>15</v>
      </c>
      <c r="P1997" s="13" t="s">
        <v>30</v>
      </c>
      <c r="Q1997" s="13">
        <v>0</v>
      </c>
      <c r="R1997" s="14">
        <v>571.19999999999993</v>
      </c>
      <c r="S1997" s="15">
        <v>0</v>
      </c>
      <c r="T1997" s="15">
        <v>0</v>
      </c>
      <c r="U1997" s="15">
        <v>571.19999999999993</v>
      </c>
      <c r="V1997" s="15">
        <v>428.4</v>
      </c>
      <c r="W1997" s="15">
        <v>142.79999999999995</v>
      </c>
      <c r="X1997" s="15">
        <v>0</v>
      </c>
      <c r="Y1997" s="16">
        <v>0</v>
      </c>
      <c r="Z1997" s="67" t="s">
        <v>26</v>
      </c>
      <c r="AA1997" s="12" t="s">
        <v>31</v>
      </c>
    </row>
    <row r="1998" spans="1:27" x14ac:dyDescent="0.25">
      <c r="A1998" s="10">
        <v>45687</v>
      </c>
      <c r="B1998" s="11" t="s">
        <v>634</v>
      </c>
      <c r="C1998" s="11" t="s">
        <v>4155</v>
      </c>
      <c r="D1998" s="11" t="s">
        <v>26</v>
      </c>
      <c r="E1998" s="11" t="s">
        <v>105</v>
      </c>
      <c r="F1998" s="11" t="s">
        <v>26</v>
      </c>
      <c r="G1998" s="11">
        <v>2613</v>
      </c>
      <c r="H1998" s="12" t="s">
        <v>41</v>
      </c>
      <c r="I1998" s="12" t="s">
        <v>55</v>
      </c>
      <c r="J1998" s="12" t="s">
        <v>55</v>
      </c>
      <c r="K1998" s="12" t="s">
        <v>56</v>
      </c>
      <c r="L1998" s="13">
        <v>34.020000000000003</v>
      </c>
      <c r="M1998" s="13">
        <v>20</v>
      </c>
      <c r="N1998" s="13">
        <v>1.7010000000000001</v>
      </c>
      <c r="O1998" s="13" t="s">
        <v>30</v>
      </c>
      <c r="P1998" s="13">
        <v>24</v>
      </c>
      <c r="Q1998" s="13">
        <v>0</v>
      </c>
      <c r="R1998" s="15">
        <v>480</v>
      </c>
      <c r="S1998" s="15">
        <v>0</v>
      </c>
      <c r="T1998" s="15">
        <v>0</v>
      </c>
      <c r="U1998" s="15">
        <v>480</v>
      </c>
      <c r="V1998" s="15">
        <v>0</v>
      </c>
      <c r="W1998" s="15">
        <v>480</v>
      </c>
      <c r="X1998" s="15">
        <v>0</v>
      </c>
      <c r="Y1998" s="16">
        <v>0</v>
      </c>
      <c r="Z1998" s="67" t="s">
        <v>26</v>
      </c>
      <c r="AA1998" s="12" t="s">
        <v>31</v>
      </c>
    </row>
    <row r="1999" spans="1:27" x14ac:dyDescent="0.25">
      <c r="A1999" s="10">
        <v>45687</v>
      </c>
      <c r="B1999" s="11" t="s">
        <v>4156</v>
      </c>
      <c r="C1999" s="11" t="s">
        <v>4157</v>
      </c>
      <c r="D1999" s="11" t="s">
        <v>26</v>
      </c>
      <c r="E1999" s="11" t="s">
        <v>68</v>
      </c>
      <c r="F1999" s="11" t="s">
        <v>26</v>
      </c>
      <c r="G1999" s="11">
        <v>76361</v>
      </c>
      <c r="H1999" s="12" t="s">
        <v>4448</v>
      </c>
      <c r="I1999" s="12" t="s">
        <v>55</v>
      </c>
      <c r="J1999" s="12" t="s">
        <v>55</v>
      </c>
      <c r="K1999" s="12" t="s">
        <v>56</v>
      </c>
      <c r="L1999" s="13">
        <v>37.700000000000003</v>
      </c>
      <c r="M1999" s="13">
        <v>25</v>
      </c>
      <c r="N1999" s="13">
        <v>1.508</v>
      </c>
      <c r="O1999" s="13">
        <v>15</v>
      </c>
      <c r="P1999" s="13" t="s">
        <v>30</v>
      </c>
      <c r="Q1999" s="13">
        <v>0</v>
      </c>
      <c r="R1999" s="14">
        <v>565.5</v>
      </c>
      <c r="S1999" s="15">
        <v>0</v>
      </c>
      <c r="T1999" s="15">
        <v>0</v>
      </c>
      <c r="U1999" s="15">
        <v>565.5</v>
      </c>
      <c r="V1999" s="15">
        <v>424.125</v>
      </c>
      <c r="W1999" s="15">
        <v>141.375</v>
      </c>
      <c r="X1999" s="15">
        <v>0</v>
      </c>
      <c r="Y1999" s="16">
        <v>0</v>
      </c>
      <c r="Z1999" s="67" t="s">
        <v>26</v>
      </c>
      <c r="AA1999" s="12" t="s">
        <v>31</v>
      </c>
    </row>
    <row r="2000" spans="1:27" x14ac:dyDescent="0.25">
      <c r="A2000" s="10">
        <v>45687</v>
      </c>
      <c r="B2000" s="11" t="s">
        <v>691</v>
      </c>
      <c r="C2000" s="11" t="s">
        <v>4158</v>
      </c>
      <c r="D2000" s="11" t="s">
        <v>26</v>
      </c>
      <c r="E2000" s="11" t="s">
        <v>593</v>
      </c>
      <c r="F2000" s="11" t="s">
        <v>26</v>
      </c>
      <c r="G2000" s="11">
        <v>44311</v>
      </c>
      <c r="H2000" s="12" t="s">
        <v>4423</v>
      </c>
      <c r="I2000" s="12" t="s">
        <v>27</v>
      </c>
      <c r="J2000" s="12" t="s">
        <v>33</v>
      </c>
      <c r="K2000" s="12" t="s">
        <v>34</v>
      </c>
      <c r="L2000" s="13">
        <v>36.68</v>
      </c>
      <c r="M2000" s="13">
        <v>25</v>
      </c>
      <c r="N2000" s="13">
        <v>1.4672000000000001</v>
      </c>
      <c r="O2000" s="13">
        <v>45</v>
      </c>
      <c r="P2000" s="13" t="s">
        <v>30</v>
      </c>
      <c r="Q2000" s="13">
        <v>0</v>
      </c>
      <c r="R2000" s="14">
        <v>1650.6</v>
      </c>
      <c r="S2000" s="15">
        <v>0</v>
      </c>
      <c r="T2000" s="15">
        <v>0</v>
      </c>
      <c r="U2000" s="15">
        <v>1650.6</v>
      </c>
      <c r="V2000" s="15">
        <v>1650.6</v>
      </c>
      <c r="W2000" s="15">
        <v>0</v>
      </c>
      <c r="X2000" s="15">
        <v>0</v>
      </c>
      <c r="Y2000" s="16">
        <v>0</v>
      </c>
      <c r="Z2000" s="67" t="s">
        <v>26</v>
      </c>
      <c r="AA2000" s="12" t="s">
        <v>31</v>
      </c>
    </row>
    <row r="2001" spans="1:27" x14ac:dyDescent="0.25">
      <c r="A2001" s="10">
        <v>45687</v>
      </c>
      <c r="B2001" s="11" t="s">
        <v>4159</v>
      </c>
      <c r="C2001" s="11" t="s">
        <v>4160</v>
      </c>
      <c r="D2001" s="11" t="s">
        <v>26</v>
      </c>
      <c r="E2001" s="11" t="s">
        <v>4161</v>
      </c>
      <c r="F2001" s="11" t="s">
        <v>26</v>
      </c>
      <c r="G2001" s="11">
        <v>2614</v>
      </c>
      <c r="H2001" s="12" t="s">
        <v>41</v>
      </c>
      <c r="I2001" s="12" t="s">
        <v>55</v>
      </c>
      <c r="J2001" s="12" t="s">
        <v>55</v>
      </c>
      <c r="K2001" s="12" t="s">
        <v>56</v>
      </c>
      <c r="L2001" s="13">
        <v>32.380000000000003</v>
      </c>
      <c r="M2001" s="13">
        <v>20</v>
      </c>
      <c r="N2001" s="13">
        <v>1.619</v>
      </c>
      <c r="O2001" s="13" t="s">
        <v>30</v>
      </c>
      <c r="P2001" s="13">
        <v>24</v>
      </c>
      <c r="Q2001" s="13">
        <v>0</v>
      </c>
      <c r="R2001" s="14">
        <v>480</v>
      </c>
      <c r="S2001" s="15">
        <v>0</v>
      </c>
      <c r="T2001" s="15">
        <v>0</v>
      </c>
      <c r="U2001" s="15">
        <v>480</v>
      </c>
      <c r="V2001" s="15">
        <v>0</v>
      </c>
      <c r="W2001" s="15">
        <v>480</v>
      </c>
      <c r="X2001" s="15">
        <v>0</v>
      </c>
      <c r="Y2001" s="16">
        <v>0</v>
      </c>
      <c r="Z2001" s="67" t="s">
        <v>26</v>
      </c>
      <c r="AA2001" s="12" t="s">
        <v>31</v>
      </c>
    </row>
    <row r="2002" spans="1:27" x14ac:dyDescent="0.25">
      <c r="A2002" s="10">
        <v>45687</v>
      </c>
      <c r="B2002" s="11" t="s">
        <v>1713</v>
      </c>
      <c r="C2002" s="11" t="s">
        <v>4162</v>
      </c>
      <c r="D2002" s="11" t="s">
        <v>26</v>
      </c>
      <c r="E2002" s="11" t="s">
        <v>63</v>
      </c>
      <c r="F2002" s="11" t="s">
        <v>26</v>
      </c>
      <c r="G2002" s="11">
        <v>10174</v>
      </c>
      <c r="H2002" s="12" t="s">
        <v>140</v>
      </c>
      <c r="I2002" s="12" t="s">
        <v>55</v>
      </c>
      <c r="J2002" s="12" t="s">
        <v>55</v>
      </c>
      <c r="K2002" s="12" t="s">
        <v>56</v>
      </c>
      <c r="L2002" s="13">
        <v>36.700000000000003</v>
      </c>
      <c r="M2002" s="13">
        <v>25</v>
      </c>
      <c r="N2002" s="13">
        <v>1.468</v>
      </c>
      <c r="O2002" s="13">
        <v>15</v>
      </c>
      <c r="P2002" s="13"/>
      <c r="Q2002" s="13">
        <v>0</v>
      </c>
      <c r="R2002" s="14">
        <v>550.5</v>
      </c>
      <c r="S2002" s="15">
        <v>0</v>
      </c>
      <c r="T2002" s="15">
        <v>0</v>
      </c>
      <c r="U2002" s="15">
        <v>550.5</v>
      </c>
      <c r="V2002" s="15">
        <v>0</v>
      </c>
      <c r="W2002" s="15">
        <v>550.5</v>
      </c>
      <c r="X2002" s="15">
        <v>0</v>
      </c>
      <c r="Y2002" s="16">
        <v>0</v>
      </c>
      <c r="Z2002" s="67" t="s">
        <v>26</v>
      </c>
      <c r="AA2002" s="12" t="s">
        <v>31</v>
      </c>
    </row>
    <row r="2003" spans="1:27" x14ac:dyDescent="0.25">
      <c r="A2003" s="10">
        <v>45687</v>
      </c>
      <c r="B2003" s="11" t="s">
        <v>1360</v>
      </c>
      <c r="C2003" s="11" t="s">
        <v>4163</v>
      </c>
      <c r="D2003" s="11" t="s">
        <v>26</v>
      </c>
      <c r="E2003" s="11" t="s">
        <v>183</v>
      </c>
      <c r="F2003" s="11" t="s">
        <v>26</v>
      </c>
      <c r="G2003" s="11">
        <v>4684</v>
      </c>
      <c r="H2003" s="12" t="s">
        <v>41</v>
      </c>
      <c r="I2003" s="12" t="s">
        <v>55</v>
      </c>
      <c r="J2003" s="12" t="s">
        <v>55</v>
      </c>
      <c r="K2003" s="12" t="s">
        <v>56</v>
      </c>
      <c r="L2003" s="13">
        <v>31.44</v>
      </c>
      <c r="M2003" s="13">
        <v>20</v>
      </c>
      <c r="N2003" s="13">
        <v>1.5720000000000001</v>
      </c>
      <c r="O2003" s="13" t="s">
        <v>30</v>
      </c>
      <c r="P2003" s="13">
        <v>24</v>
      </c>
      <c r="Q2003" s="13">
        <v>0</v>
      </c>
      <c r="R2003" s="15">
        <v>480</v>
      </c>
      <c r="S2003" s="15">
        <v>0</v>
      </c>
      <c r="T2003" s="15">
        <v>0</v>
      </c>
      <c r="U2003" s="15">
        <v>480</v>
      </c>
      <c r="V2003" s="15">
        <v>0</v>
      </c>
      <c r="W2003" s="15">
        <v>480</v>
      </c>
      <c r="X2003" s="15">
        <v>0</v>
      </c>
      <c r="Y2003" s="16">
        <v>0</v>
      </c>
      <c r="Z2003" s="67" t="s">
        <v>26</v>
      </c>
      <c r="AA2003" s="12" t="s">
        <v>31</v>
      </c>
    </row>
    <row r="2004" spans="1:27" x14ac:dyDescent="0.25">
      <c r="A2004" s="10">
        <v>45687</v>
      </c>
      <c r="B2004" s="11" t="s">
        <v>421</v>
      </c>
      <c r="C2004" s="11" t="s">
        <v>4164</v>
      </c>
      <c r="D2004" s="11" t="s">
        <v>26</v>
      </c>
      <c r="E2004" s="11" t="s">
        <v>3834</v>
      </c>
      <c r="F2004" s="11" t="s">
        <v>26</v>
      </c>
      <c r="G2004" s="11">
        <v>2615</v>
      </c>
      <c r="H2004" s="12" t="s">
        <v>41</v>
      </c>
      <c r="I2004" s="12" t="s">
        <v>55</v>
      </c>
      <c r="J2004" s="12" t="s">
        <v>55</v>
      </c>
      <c r="K2004" s="12" t="s">
        <v>56</v>
      </c>
      <c r="L2004" s="13">
        <v>32.36</v>
      </c>
      <c r="M2004" s="13">
        <v>20</v>
      </c>
      <c r="N2004" s="13">
        <v>1.6180000000000001</v>
      </c>
      <c r="O2004" s="13" t="s">
        <v>30</v>
      </c>
      <c r="P2004" s="13">
        <v>24</v>
      </c>
      <c r="Q2004" s="13">
        <v>0</v>
      </c>
      <c r="R2004" s="15">
        <v>480</v>
      </c>
      <c r="S2004" s="15">
        <v>0</v>
      </c>
      <c r="T2004" s="15">
        <v>0</v>
      </c>
      <c r="U2004" s="15">
        <v>480</v>
      </c>
      <c r="V2004" s="15">
        <v>0</v>
      </c>
      <c r="W2004" s="15">
        <v>480</v>
      </c>
      <c r="X2004" s="15">
        <v>0</v>
      </c>
      <c r="Y2004" s="16">
        <v>0</v>
      </c>
      <c r="Z2004" s="67" t="s">
        <v>26</v>
      </c>
      <c r="AA2004" s="12" t="s">
        <v>31</v>
      </c>
    </row>
    <row r="2005" spans="1:27" x14ac:dyDescent="0.25">
      <c r="A2005" s="10">
        <v>45687</v>
      </c>
      <c r="B2005" s="11" t="s">
        <v>661</v>
      </c>
      <c r="C2005" s="11" t="s">
        <v>4165</v>
      </c>
      <c r="D2005" s="11" t="s">
        <v>26</v>
      </c>
      <c r="E2005" s="11" t="s">
        <v>91</v>
      </c>
      <c r="F2005" s="11" t="s">
        <v>26</v>
      </c>
      <c r="G2005" s="11">
        <v>2466</v>
      </c>
      <c r="H2005" s="12" t="s">
        <v>41</v>
      </c>
      <c r="I2005" s="12" t="s">
        <v>55</v>
      </c>
      <c r="J2005" s="12" t="s">
        <v>55</v>
      </c>
      <c r="K2005" s="12" t="s">
        <v>56</v>
      </c>
      <c r="L2005" s="13">
        <v>33.020000000000003</v>
      </c>
      <c r="M2005" s="13">
        <v>20</v>
      </c>
      <c r="N2005" s="13">
        <v>1.651</v>
      </c>
      <c r="O2005" s="13" t="s">
        <v>30</v>
      </c>
      <c r="P2005" s="13">
        <v>24</v>
      </c>
      <c r="Q2005" s="13">
        <v>0</v>
      </c>
      <c r="R2005" s="14">
        <v>480</v>
      </c>
      <c r="S2005" s="15">
        <v>0</v>
      </c>
      <c r="T2005" s="15">
        <v>0</v>
      </c>
      <c r="U2005" s="15">
        <v>480</v>
      </c>
      <c r="V2005" s="15">
        <v>0</v>
      </c>
      <c r="W2005" s="15">
        <v>480</v>
      </c>
      <c r="X2005" s="15">
        <v>0</v>
      </c>
      <c r="Y2005" s="16">
        <v>0</v>
      </c>
      <c r="Z2005" s="67" t="s">
        <v>26</v>
      </c>
      <c r="AA2005" s="12" t="s">
        <v>31</v>
      </c>
    </row>
    <row r="2006" spans="1:27" x14ac:dyDescent="0.25">
      <c r="A2006" s="10">
        <v>45687</v>
      </c>
      <c r="B2006" s="11" t="s">
        <v>744</v>
      </c>
      <c r="C2006" s="11" t="s">
        <v>4166</v>
      </c>
      <c r="D2006" s="11" t="s">
        <v>26</v>
      </c>
      <c r="E2006" s="11" t="s">
        <v>240</v>
      </c>
      <c r="F2006" s="11" t="s">
        <v>26</v>
      </c>
      <c r="G2006" s="11" t="s">
        <v>26</v>
      </c>
      <c r="H2006" s="12" t="s">
        <v>4422</v>
      </c>
      <c r="I2006" s="12" t="s">
        <v>27</v>
      </c>
      <c r="J2006" s="12" t="s">
        <v>47</v>
      </c>
      <c r="K2006" s="12" t="s">
        <v>48</v>
      </c>
      <c r="L2006" s="13">
        <v>42.12</v>
      </c>
      <c r="M2006" s="13">
        <v>28</v>
      </c>
      <c r="N2006" s="13">
        <v>1.504285714285714</v>
      </c>
      <c r="O2006" s="13">
        <v>87</v>
      </c>
      <c r="P2006" s="13" t="s">
        <v>30</v>
      </c>
      <c r="Q2006" s="13">
        <v>0</v>
      </c>
      <c r="R2006" s="14">
        <v>3664.4399999999996</v>
      </c>
      <c r="S2006" s="15">
        <v>38</v>
      </c>
      <c r="T2006" s="15">
        <v>1600.56</v>
      </c>
      <c r="U2006" s="15">
        <v>2063.8799999999997</v>
      </c>
      <c r="V2006" s="15">
        <v>2063.8799999999997</v>
      </c>
      <c r="W2006" s="15"/>
      <c r="X2006" s="15">
        <v>1558.4399999999998</v>
      </c>
      <c r="Y2006" s="16">
        <v>42.120000000000118</v>
      </c>
      <c r="Z2006" s="67" t="s">
        <v>41</v>
      </c>
      <c r="AA2006" s="12" t="s">
        <v>78</v>
      </c>
    </row>
    <row r="2007" spans="1:27" x14ac:dyDescent="0.25">
      <c r="A2007" s="10">
        <v>45687</v>
      </c>
      <c r="B2007" s="11" t="s">
        <v>134</v>
      </c>
      <c r="C2007" s="11" t="s">
        <v>4167</v>
      </c>
      <c r="D2007" s="11" t="s">
        <v>26</v>
      </c>
      <c r="E2007" s="11" t="s">
        <v>67</v>
      </c>
      <c r="F2007" s="11" t="s">
        <v>26</v>
      </c>
      <c r="G2007" s="11">
        <v>1624</v>
      </c>
      <c r="H2007" s="12" t="s">
        <v>66</v>
      </c>
      <c r="I2007" s="12" t="s">
        <v>37</v>
      </c>
      <c r="J2007" s="12" t="s">
        <v>1909</v>
      </c>
      <c r="K2007" s="12" t="s">
        <v>82</v>
      </c>
      <c r="L2007" s="13">
        <v>39.18</v>
      </c>
      <c r="M2007" s="13">
        <v>25</v>
      </c>
      <c r="N2007" s="13">
        <v>1.5671999999999999</v>
      </c>
      <c r="O2007" s="13" t="s">
        <v>30</v>
      </c>
      <c r="P2007" s="13">
        <v>54</v>
      </c>
      <c r="Q2007" s="13">
        <v>0</v>
      </c>
      <c r="R2007" s="14">
        <v>1350</v>
      </c>
      <c r="S2007" s="15">
        <v>0</v>
      </c>
      <c r="T2007" s="15">
        <v>0</v>
      </c>
      <c r="U2007" s="15">
        <v>1350</v>
      </c>
      <c r="V2007" s="15">
        <v>1350</v>
      </c>
      <c r="W2007" s="15">
        <v>0</v>
      </c>
      <c r="X2007" s="15">
        <v>0</v>
      </c>
      <c r="Y2007" s="16">
        <v>0</v>
      </c>
      <c r="Z2007" s="67" t="s">
        <v>26</v>
      </c>
      <c r="AA2007" s="12" t="s">
        <v>31</v>
      </c>
    </row>
    <row r="2008" spans="1:27" x14ac:dyDescent="0.25">
      <c r="A2008" s="10">
        <v>45687</v>
      </c>
      <c r="B2008" s="11" t="s">
        <v>103</v>
      </c>
      <c r="C2008" s="11" t="s">
        <v>4168</v>
      </c>
      <c r="D2008" s="11" t="s">
        <v>26</v>
      </c>
      <c r="E2008" s="11" t="s">
        <v>435</v>
      </c>
      <c r="F2008" s="11" t="s">
        <v>26</v>
      </c>
      <c r="G2008" s="11">
        <v>3532</v>
      </c>
      <c r="H2008" s="12" t="s">
        <v>41</v>
      </c>
      <c r="I2008" s="12" t="s">
        <v>55</v>
      </c>
      <c r="J2008" s="12" t="s">
        <v>55</v>
      </c>
      <c r="K2008" s="12" t="s">
        <v>56</v>
      </c>
      <c r="L2008" s="13">
        <v>39.159999999999997</v>
      </c>
      <c r="M2008" s="13">
        <v>25</v>
      </c>
      <c r="N2008" s="13">
        <v>1.5664</v>
      </c>
      <c r="O2008" s="13" t="s">
        <v>30</v>
      </c>
      <c r="P2008" s="13">
        <v>24</v>
      </c>
      <c r="Q2008" s="13">
        <v>0</v>
      </c>
      <c r="R2008" s="14">
        <v>600</v>
      </c>
      <c r="S2008" s="15">
        <v>0</v>
      </c>
      <c r="T2008" s="15">
        <v>0</v>
      </c>
      <c r="U2008" s="15">
        <v>600</v>
      </c>
      <c r="V2008" s="15">
        <v>0</v>
      </c>
      <c r="W2008" s="15">
        <v>600</v>
      </c>
      <c r="X2008" s="15">
        <v>0</v>
      </c>
      <c r="Y2008" s="16">
        <v>0</v>
      </c>
      <c r="Z2008" s="67" t="s">
        <v>26</v>
      </c>
      <c r="AA2008" s="12" t="s">
        <v>31</v>
      </c>
    </row>
    <row r="2009" spans="1:27" x14ac:dyDescent="0.25">
      <c r="A2009" s="10">
        <v>45687</v>
      </c>
      <c r="B2009" s="11" t="s">
        <v>4169</v>
      </c>
      <c r="C2009" s="11" t="s">
        <v>4170</v>
      </c>
      <c r="D2009" s="11" t="s">
        <v>26</v>
      </c>
      <c r="E2009" s="11" t="s">
        <v>60</v>
      </c>
      <c r="F2009" s="11" t="s">
        <v>26</v>
      </c>
      <c r="G2009" s="11" t="s">
        <v>35</v>
      </c>
      <c r="H2009" s="12" t="s">
        <v>36</v>
      </c>
      <c r="I2009" s="12" t="s">
        <v>27</v>
      </c>
      <c r="J2009" s="12" t="s">
        <v>33</v>
      </c>
      <c r="K2009" s="12" t="s">
        <v>34</v>
      </c>
      <c r="L2009" s="13">
        <v>6.08</v>
      </c>
      <c r="M2009" s="13">
        <v>4</v>
      </c>
      <c r="N2009" s="13">
        <v>1.52</v>
      </c>
      <c r="O2009" s="13">
        <v>50</v>
      </c>
      <c r="P2009" s="13" t="s">
        <v>30</v>
      </c>
      <c r="Q2009" s="13">
        <v>0</v>
      </c>
      <c r="R2009" s="15">
        <v>304</v>
      </c>
      <c r="S2009" s="15">
        <v>0</v>
      </c>
      <c r="T2009" s="15">
        <v>0</v>
      </c>
      <c r="U2009" s="15">
        <v>304</v>
      </c>
      <c r="V2009" s="15">
        <v>0</v>
      </c>
      <c r="W2009" s="15">
        <v>304</v>
      </c>
      <c r="X2009" s="15">
        <v>0</v>
      </c>
      <c r="Y2009" s="16">
        <v>0</v>
      </c>
      <c r="Z2009" s="67" t="s">
        <v>26</v>
      </c>
      <c r="AA2009" s="12" t="s">
        <v>31</v>
      </c>
    </row>
    <row r="2010" spans="1:27" x14ac:dyDescent="0.25">
      <c r="A2010" s="10">
        <v>45687</v>
      </c>
      <c r="B2010" s="11" t="s">
        <v>4171</v>
      </c>
      <c r="C2010" s="11" t="s">
        <v>4172</v>
      </c>
      <c r="D2010" s="11" t="s">
        <v>26</v>
      </c>
      <c r="E2010" s="11" t="s">
        <v>567</v>
      </c>
      <c r="F2010" s="11" t="s">
        <v>26</v>
      </c>
      <c r="G2010" s="11">
        <v>112396</v>
      </c>
      <c r="H2010" s="12" t="s">
        <v>4446</v>
      </c>
      <c r="I2010" s="12" t="s">
        <v>27</v>
      </c>
      <c r="J2010" s="12" t="s">
        <v>33</v>
      </c>
      <c r="K2010" s="12" t="s">
        <v>34</v>
      </c>
      <c r="L2010" s="13">
        <v>34.659999999999997</v>
      </c>
      <c r="M2010" s="13">
        <v>25</v>
      </c>
      <c r="N2010" s="13">
        <v>1.3864000000000001</v>
      </c>
      <c r="O2010" s="13">
        <v>44</v>
      </c>
      <c r="P2010" s="13" t="s">
        <v>30</v>
      </c>
      <c r="Q2010" s="13">
        <v>0</v>
      </c>
      <c r="R2010" s="14">
        <v>1525.04</v>
      </c>
      <c r="S2010" s="15">
        <v>0</v>
      </c>
      <c r="T2010" s="15">
        <v>0</v>
      </c>
      <c r="U2010" s="15">
        <v>1525.04</v>
      </c>
      <c r="V2010" s="15">
        <v>1525.04</v>
      </c>
      <c r="W2010" s="15">
        <v>0</v>
      </c>
      <c r="X2010" s="16">
        <v>0</v>
      </c>
      <c r="Y2010" s="16">
        <v>0</v>
      </c>
      <c r="Z2010" s="67" t="s">
        <v>26</v>
      </c>
      <c r="AA2010" s="12" t="s">
        <v>31</v>
      </c>
    </row>
    <row r="2011" spans="1:27" x14ac:dyDescent="0.25">
      <c r="A2011" s="10">
        <v>45687</v>
      </c>
      <c r="B2011" s="11" t="s">
        <v>125</v>
      </c>
      <c r="C2011" s="11" t="s">
        <v>4173</v>
      </c>
      <c r="D2011" s="11" t="s">
        <v>26</v>
      </c>
      <c r="E2011" s="11" t="s">
        <v>440</v>
      </c>
      <c r="F2011" s="11" t="s">
        <v>26</v>
      </c>
      <c r="G2011" s="11" t="s">
        <v>35</v>
      </c>
      <c r="H2011" s="12" t="s">
        <v>36</v>
      </c>
      <c r="I2011" s="12" t="s">
        <v>55</v>
      </c>
      <c r="J2011" s="12" t="s">
        <v>55</v>
      </c>
      <c r="K2011" s="12" t="s">
        <v>56</v>
      </c>
      <c r="L2011" s="13">
        <v>32.54</v>
      </c>
      <c r="M2011" s="13">
        <v>22</v>
      </c>
      <c r="N2011" s="13">
        <v>1.479090909090909</v>
      </c>
      <c r="O2011" s="13">
        <v>20</v>
      </c>
      <c r="P2011" s="13" t="s">
        <v>30</v>
      </c>
      <c r="Q2011" s="13">
        <v>0</v>
      </c>
      <c r="R2011" s="14">
        <v>650.79999999999995</v>
      </c>
      <c r="S2011" s="15">
        <v>0</v>
      </c>
      <c r="T2011" s="15">
        <v>0</v>
      </c>
      <c r="U2011" s="15">
        <v>650.79999999999995</v>
      </c>
      <c r="V2011" s="15">
        <v>0</v>
      </c>
      <c r="W2011" s="15">
        <v>650.79999999999995</v>
      </c>
      <c r="X2011" s="15">
        <v>0</v>
      </c>
      <c r="Y2011" s="16">
        <v>0</v>
      </c>
      <c r="Z2011" s="67" t="s">
        <v>26</v>
      </c>
      <c r="AA2011" s="12" t="s">
        <v>31</v>
      </c>
    </row>
    <row r="2012" spans="1:27" x14ac:dyDescent="0.25">
      <c r="A2012" s="10">
        <v>45687</v>
      </c>
      <c r="B2012" s="11" t="s">
        <v>689</v>
      </c>
      <c r="C2012" s="11" t="s">
        <v>4174</v>
      </c>
      <c r="D2012" s="11" t="s">
        <v>26</v>
      </c>
      <c r="E2012" s="11" t="s">
        <v>46</v>
      </c>
      <c r="F2012" s="11" t="s">
        <v>26</v>
      </c>
      <c r="G2012" s="11">
        <v>112386</v>
      </c>
      <c r="H2012" s="12" t="s">
        <v>4446</v>
      </c>
      <c r="I2012" s="12" t="s">
        <v>27</v>
      </c>
      <c r="J2012" s="12" t="s">
        <v>33</v>
      </c>
      <c r="K2012" s="12" t="s">
        <v>34</v>
      </c>
      <c r="L2012" s="13">
        <v>33.6</v>
      </c>
      <c r="M2012" s="13">
        <v>25</v>
      </c>
      <c r="N2012" s="13">
        <v>1.3440000000000001</v>
      </c>
      <c r="O2012" s="13">
        <v>44</v>
      </c>
      <c r="P2012" s="13" t="s">
        <v>30</v>
      </c>
      <c r="Q2012" s="13">
        <v>0</v>
      </c>
      <c r="R2012" s="14">
        <v>1478.4</v>
      </c>
      <c r="S2012" s="15">
        <v>0</v>
      </c>
      <c r="T2012" s="15">
        <v>0</v>
      </c>
      <c r="U2012" s="15">
        <v>1478.4</v>
      </c>
      <c r="V2012" s="15">
        <v>1478.4</v>
      </c>
      <c r="W2012" s="15">
        <v>0</v>
      </c>
      <c r="X2012" s="15">
        <v>0</v>
      </c>
      <c r="Y2012" s="16">
        <v>0</v>
      </c>
      <c r="Z2012" s="67" t="s">
        <v>26</v>
      </c>
      <c r="AA2012" s="12" t="s">
        <v>31</v>
      </c>
    </row>
    <row r="2013" spans="1:27" x14ac:dyDescent="0.25">
      <c r="A2013" s="10">
        <v>45687</v>
      </c>
      <c r="B2013" s="11" t="s">
        <v>1223</v>
      </c>
      <c r="C2013" s="11" t="s">
        <v>4175</v>
      </c>
      <c r="D2013" s="11" t="s">
        <v>26</v>
      </c>
      <c r="E2013" s="11" t="s">
        <v>1200</v>
      </c>
      <c r="F2013" s="11" t="s">
        <v>26</v>
      </c>
      <c r="G2013" s="11">
        <v>2577</v>
      </c>
      <c r="H2013" s="12" t="s">
        <v>163</v>
      </c>
      <c r="I2013" s="12" t="s">
        <v>55</v>
      </c>
      <c r="J2013" s="12" t="s">
        <v>55</v>
      </c>
      <c r="K2013" s="12" t="s">
        <v>56</v>
      </c>
      <c r="L2013" s="13">
        <v>40.06</v>
      </c>
      <c r="M2013" s="13">
        <v>25</v>
      </c>
      <c r="N2013" s="13">
        <v>1.6024</v>
      </c>
      <c r="O2013" s="13" t="s">
        <v>30</v>
      </c>
      <c r="P2013" s="13">
        <v>22</v>
      </c>
      <c r="Q2013" s="13">
        <v>0</v>
      </c>
      <c r="R2013" s="14">
        <v>550</v>
      </c>
      <c r="S2013" s="15">
        <v>0</v>
      </c>
      <c r="T2013" s="15">
        <v>0</v>
      </c>
      <c r="U2013" s="15">
        <v>550</v>
      </c>
      <c r="V2013" s="15">
        <v>0</v>
      </c>
      <c r="W2013" s="15">
        <v>550</v>
      </c>
      <c r="X2013" s="16">
        <v>0</v>
      </c>
      <c r="Y2013" s="16">
        <v>0</v>
      </c>
      <c r="Z2013" s="67" t="s">
        <v>26</v>
      </c>
      <c r="AA2013" s="12" t="s">
        <v>31</v>
      </c>
    </row>
    <row r="2014" spans="1:27" x14ac:dyDescent="0.25">
      <c r="A2014" s="10">
        <v>45687</v>
      </c>
      <c r="B2014" s="11" t="s">
        <v>4176</v>
      </c>
      <c r="C2014" s="11" t="s">
        <v>4177</v>
      </c>
      <c r="D2014" s="11" t="s">
        <v>26</v>
      </c>
      <c r="E2014" s="11" t="s">
        <v>53</v>
      </c>
      <c r="F2014" s="11" t="s">
        <v>26</v>
      </c>
      <c r="G2014" s="11">
        <v>3780</v>
      </c>
      <c r="H2014" s="12" t="s">
        <v>41</v>
      </c>
      <c r="I2014" s="12" t="s">
        <v>55</v>
      </c>
      <c r="J2014" s="12" t="s">
        <v>55</v>
      </c>
      <c r="K2014" s="12" t="s">
        <v>56</v>
      </c>
      <c r="L2014" s="13">
        <v>41.26</v>
      </c>
      <c r="M2014" s="13">
        <v>25</v>
      </c>
      <c r="N2014" s="13">
        <v>1.6504000000000001</v>
      </c>
      <c r="O2014" s="13" t="s">
        <v>30</v>
      </c>
      <c r="P2014" s="13">
        <v>24</v>
      </c>
      <c r="Q2014" s="13">
        <v>0</v>
      </c>
      <c r="R2014" s="14">
        <v>600</v>
      </c>
      <c r="S2014" s="15">
        <v>0</v>
      </c>
      <c r="T2014" s="15">
        <v>0</v>
      </c>
      <c r="U2014" s="15">
        <v>600</v>
      </c>
      <c r="V2014" s="15">
        <v>0</v>
      </c>
      <c r="W2014" s="15">
        <v>600</v>
      </c>
      <c r="X2014" s="15">
        <v>0</v>
      </c>
      <c r="Y2014" s="16">
        <v>0</v>
      </c>
      <c r="Z2014" s="67" t="s">
        <v>26</v>
      </c>
      <c r="AA2014" s="12" t="s">
        <v>31</v>
      </c>
    </row>
    <row r="2015" spans="1:27" x14ac:dyDescent="0.25">
      <c r="A2015" s="10">
        <v>45687</v>
      </c>
      <c r="B2015" s="11" t="s">
        <v>669</v>
      </c>
      <c r="C2015" s="11" t="s">
        <v>4178</v>
      </c>
      <c r="D2015" s="11" t="s">
        <v>26</v>
      </c>
      <c r="E2015" s="11" t="s">
        <v>50</v>
      </c>
      <c r="F2015" s="11" t="s">
        <v>26</v>
      </c>
      <c r="G2015" s="11">
        <v>924</v>
      </c>
      <c r="H2015" s="12" t="s">
        <v>163</v>
      </c>
      <c r="I2015" s="12" t="s">
        <v>27</v>
      </c>
      <c r="J2015" s="12" t="s">
        <v>42</v>
      </c>
      <c r="K2015" s="12" t="s">
        <v>43</v>
      </c>
      <c r="L2015" s="13">
        <v>38.06</v>
      </c>
      <c r="M2015" s="13">
        <v>25</v>
      </c>
      <c r="N2015" s="13">
        <v>1.5224</v>
      </c>
      <c r="O2015" s="13" t="s">
        <v>30</v>
      </c>
      <c r="P2015" s="13">
        <v>56</v>
      </c>
      <c r="Q2015" s="13">
        <v>0</v>
      </c>
      <c r="R2015" s="14">
        <v>1400</v>
      </c>
      <c r="S2015" s="15">
        <v>0</v>
      </c>
      <c r="T2015" s="15">
        <v>0</v>
      </c>
      <c r="U2015" s="15">
        <v>1400</v>
      </c>
      <c r="V2015" s="15">
        <v>0</v>
      </c>
      <c r="W2015" s="15">
        <v>1400</v>
      </c>
      <c r="X2015" s="15">
        <v>0</v>
      </c>
      <c r="Y2015" s="16">
        <v>0</v>
      </c>
      <c r="Z2015" s="67" t="s">
        <v>26</v>
      </c>
      <c r="AA2015" s="12" t="s">
        <v>31</v>
      </c>
    </row>
    <row r="2016" spans="1:27" x14ac:dyDescent="0.25">
      <c r="A2016" s="10">
        <v>45687</v>
      </c>
      <c r="B2016" s="11" t="s">
        <v>4179</v>
      </c>
      <c r="C2016" s="11" t="s">
        <v>4180</v>
      </c>
      <c r="D2016" s="11" t="s">
        <v>26</v>
      </c>
      <c r="E2016" s="11" t="s">
        <v>529</v>
      </c>
      <c r="F2016" s="11" t="s">
        <v>26</v>
      </c>
      <c r="G2016" s="11">
        <v>2578</v>
      </c>
      <c r="H2016" s="12" t="s">
        <v>163</v>
      </c>
      <c r="I2016" s="12" t="s">
        <v>27</v>
      </c>
      <c r="J2016" s="12" t="s">
        <v>42</v>
      </c>
      <c r="K2016" s="12" t="s">
        <v>43</v>
      </c>
      <c r="L2016" s="13">
        <v>39.78</v>
      </c>
      <c r="M2016" s="13">
        <v>25</v>
      </c>
      <c r="N2016" s="13">
        <v>1.5911999999999999</v>
      </c>
      <c r="O2016" s="13" t="s">
        <v>30</v>
      </c>
      <c r="P2016" s="13">
        <v>56</v>
      </c>
      <c r="Q2016" s="13">
        <v>0</v>
      </c>
      <c r="R2016" s="14">
        <v>1400</v>
      </c>
      <c r="S2016" s="15">
        <v>0</v>
      </c>
      <c r="T2016" s="15">
        <v>0</v>
      </c>
      <c r="U2016" s="15">
        <v>1400</v>
      </c>
      <c r="V2016" s="15">
        <v>0</v>
      </c>
      <c r="W2016" s="15">
        <v>1400</v>
      </c>
      <c r="X2016" s="15">
        <v>0</v>
      </c>
      <c r="Y2016" s="16">
        <v>0</v>
      </c>
      <c r="Z2016" s="67" t="s">
        <v>26</v>
      </c>
      <c r="AA2016" s="12" t="s">
        <v>31</v>
      </c>
    </row>
    <row r="2017" spans="1:27" x14ac:dyDescent="0.25">
      <c r="A2017" s="10">
        <v>45687</v>
      </c>
      <c r="B2017" s="11" t="s">
        <v>4181</v>
      </c>
      <c r="C2017" s="11" t="s">
        <v>4182</v>
      </c>
      <c r="D2017" s="11" t="s">
        <v>26</v>
      </c>
      <c r="E2017" s="11" t="s">
        <v>44</v>
      </c>
      <c r="F2017" s="11" t="s">
        <v>26</v>
      </c>
      <c r="G2017" s="11">
        <v>1585</v>
      </c>
      <c r="H2017" s="12" t="s">
        <v>45</v>
      </c>
      <c r="I2017" s="12" t="s">
        <v>27</v>
      </c>
      <c r="J2017" s="12" t="s">
        <v>28</v>
      </c>
      <c r="K2017" s="12" t="s">
        <v>29</v>
      </c>
      <c r="L2017" s="13">
        <v>37.299999999999997</v>
      </c>
      <c r="M2017" s="13">
        <v>25</v>
      </c>
      <c r="N2017" s="13">
        <v>1.492</v>
      </c>
      <c r="O2017" s="13" t="s">
        <v>30</v>
      </c>
      <c r="P2017" s="13">
        <v>40</v>
      </c>
      <c r="Q2017" s="13">
        <v>0</v>
      </c>
      <c r="R2017" s="14">
        <v>1000</v>
      </c>
      <c r="S2017" s="15">
        <v>0</v>
      </c>
      <c r="T2017" s="15">
        <v>0</v>
      </c>
      <c r="U2017" s="15">
        <v>1000</v>
      </c>
      <c r="V2017" s="15">
        <v>0</v>
      </c>
      <c r="W2017" s="15">
        <v>1000</v>
      </c>
      <c r="X2017" s="15">
        <v>0</v>
      </c>
      <c r="Y2017" s="16">
        <v>0</v>
      </c>
      <c r="Z2017" s="67" t="s">
        <v>26</v>
      </c>
      <c r="AA2017" s="12" t="s">
        <v>31</v>
      </c>
    </row>
    <row r="2018" spans="1:27" x14ac:dyDescent="0.25">
      <c r="A2018" s="10">
        <v>45687</v>
      </c>
      <c r="B2018" s="11" t="s">
        <v>4183</v>
      </c>
      <c r="C2018" s="11" t="s">
        <v>4184</v>
      </c>
      <c r="D2018" s="11" t="s">
        <v>26</v>
      </c>
      <c r="E2018" s="11" t="s">
        <v>418</v>
      </c>
      <c r="F2018" s="11" t="s">
        <v>26</v>
      </c>
      <c r="G2018" s="11">
        <v>2580</v>
      </c>
      <c r="H2018" s="12" t="s">
        <v>163</v>
      </c>
      <c r="I2018" s="12" t="s">
        <v>27</v>
      </c>
      <c r="J2018" s="12" t="s">
        <v>42</v>
      </c>
      <c r="K2018" s="12" t="s">
        <v>43</v>
      </c>
      <c r="L2018" s="13">
        <v>39.82</v>
      </c>
      <c r="M2018" s="13">
        <v>25</v>
      </c>
      <c r="N2018" s="13">
        <v>1.5928</v>
      </c>
      <c r="O2018" s="13" t="s">
        <v>30</v>
      </c>
      <c r="P2018" s="13">
        <v>56</v>
      </c>
      <c r="Q2018" s="13">
        <v>0</v>
      </c>
      <c r="R2018" s="14">
        <v>1400</v>
      </c>
      <c r="S2018" s="15">
        <v>0</v>
      </c>
      <c r="T2018" s="15">
        <v>0</v>
      </c>
      <c r="U2018" s="15">
        <v>1400</v>
      </c>
      <c r="V2018" s="15">
        <v>0</v>
      </c>
      <c r="W2018" s="15">
        <v>1400</v>
      </c>
      <c r="X2018" s="15">
        <v>0</v>
      </c>
      <c r="Y2018" s="16">
        <v>0</v>
      </c>
      <c r="Z2018" s="67" t="s">
        <v>26</v>
      </c>
      <c r="AA2018" s="12" t="s">
        <v>31</v>
      </c>
    </row>
    <row r="2019" spans="1:27" x14ac:dyDescent="0.25">
      <c r="A2019" s="10">
        <v>45687</v>
      </c>
      <c r="B2019" s="11" t="s">
        <v>299</v>
      </c>
      <c r="C2019" s="11" t="s">
        <v>4185</v>
      </c>
      <c r="D2019" s="11" t="s">
        <v>26</v>
      </c>
      <c r="E2019" s="11" t="s">
        <v>539</v>
      </c>
      <c r="F2019" s="11" t="s">
        <v>26</v>
      </c>
      <c r="G2019" s="11">
        <v>3838</v>
      </c>
      <c r="H2019" s="12" t="s">
        <v>41</v>
      </c>
      <c r="I2019" s="12" t="s">
        <v>55</v>
      </c>
      <c r="J2019" s="12" t="s">
        <v>55</v>
      </c>
      <c r="K2019" s="12" t="s">
        <v>56</v>
      </c>
      <c r="L2019" s="13">
        <v>37.86</v>
      </c>
      <c r="M2019" s="13">
        <v>25</v>
      </c>
      <c r="N2019" s="13">
        <v>1.5144</v>
      </c>
      <c r="O2019" s="13" t="s">
        <v>30</v>
      </c>
      <c r="P2019" s="13">
        <v>24</v>
      </c>
      <c r="Q2019" s="13">
        <v>0</v>
      </c>
      <c r="R2019" s="14">
        <v>600</v>
      </c>
      <c r="S2019" s="15">
        <v>0</v>
      </c>
      <c r="T2019" s="15">
        <v>0</v>
      </c>
      <c r="U2019" s="15">
        <v>600</v>
      </c>
      <c r="V2019" s="15">
        <v>0</v>
      </c>
      <c r="W2019" s="15">
        <v>600</v>
      </c>
      <c r="X2019" s="15">
        <v>0</v>
      </c>
      <c r="Y2019" s="16">
        <v>0</v>
      </c>
      <c r="Z2019" s="67" t="s">
        <v>26</v>
      </c>
      <c r="AA2019" s="12" t="s">
        <v>31</v>
      </c>
    </row>
    <row r="2020" spans="1:27" x14ac:dyDescent="0.25">
      <c r="A2020" s="10">
        <v>45687</v>
      </c>
      <c r="B2020" s="11" t="s">
        <v>4186</v>
      </c>
      <c r="C2020" s="11" t="s">
        <v>4187</v>
      </c>
      <c r="D2020" s="11" t="s">
        <v>26</v>
      </c>
      <c r="E2020" s="11" t="s">
        <v>60</v>
      </c>
      <c r="F2020" s="11" t="s">
        <v>26</v>
      </c>
      <c r="G2020" s="11" t="s">
        <v>35</v>
      </c>
      <c r="H2020" s="12" t="s">
        <v>36</v>
      </c>
      <c r="I2020" s="12" t="s">
        <v>27</v>
      </c>
      <c r="J2020" s="12" t="s">
        <v>42</v>
      </c>
      <c r="K2020" s="12" t="s">
        <v>43</v>
      </c>
      <c r="L2020" s="13">
        <v>5.74</v>
      </c>
      <c r="M2020" s="13">
        <v>4</v>
      </c>
      <c r="N2020" s="13">
        <v>1.4350000000000001</v>
      </c>
      <c r="O2020" s="13">
        <v>45</v>
      </c>
      <c r="P2020" s="13" t="s">
        <v>30</v>
      </c>
      <c r="Q2020" s="13">
        <v>0</v>
      </c>
      <c r="R2020" s="14">
        <v>258.3</v>
      </c>
      <c r="S2020" s="15">
        <v>0</v>
      </c>
      <c r="T2020" s="15">
        <v>0</v>
      </c>
      <c r="U2020" s="15">
        <v>258.3</v>
      </c>
      <c r="V2020" s="15">
        <v>0</v>
      </c>
      <c r="W2020" s="15">
        <v>258.3</v>
      </c>
      <c r="X2020" s="15">
        <v>0</v>
      </c>
      <c r="Y2020" s="16">
        <v>0</v>
      </c>
      <c r="Z2020" s="67" t="s">
        <v>26</v>
      </c>
      <c r="AA2020" s="12" t="s">
        <v>31</v>
      </c>
    </row>
    <row r="2021" spans="1:27" x14ac:dyDescent="0.25">
      <c r="A2021" s="10">
        <v>45687</v>
      </c>
      <c r="B2021" s="11" t="s">
        <v>2764</v>
      </c>
      <c r="C2021" s="11" t="s">
        <v>4188</v>
      </c>
      <c r="D2021" s="11" t="s">
        <v>26</v>
      </c>
      <c r="E2021" s="11" t="s">
        <v>534</v>
      </c>
      <c r="F2021" s="11" t="s">
        <v>26</v>
      </c>
      <c r="G2021" s="11">
        <v>2579</v>
      </c>
      <c r="H2021" s="12" t="s">
        <v>163</v>
      </c>
      <c r="I2021" s="12" t="s">
        <v>27</v>
      </c>
      <c r="J2021" s="12" t="s">
        <v>42</v>
      </c>
      <c r="K2021" s="12" t="s">
        <v>43</v>
      </c>
      <c r="L2021" s="13">
        <v>37.58</v>
      </c>
      <c r="M2021" s="13">
        <v>25</v>
      </c>
      <c r="N2021" s="13">
        <v>1.5032000000000001</v>
      </c>
      <c r="O2021" s="13" t="s">
        <v>30</v>
      </c>
      <c r="P2021" s="13">
        <v>56</v>
      </c>
      <c r="Q2021" s="13">
        <v>0</v>
      </c>
      <c r="R2021" s="14">
        <v>1400</v>
      </c>
      <c r="S2021" s="15">
        <v>0</v>
      </c>
      <c r="T2021" s="15">
        <v>0</v>
      </c>
      <c r="U2021" s="15">
        <v>1400</v>
      </c>
      <c r="V2021" s="15">
        <v>0</v>
      </c>
      <c r="W2021" s="15">
        <v>1400</v>
      </c>
      <c r="X2021" s="15">
        <v>0</v>
      </c>
      <c r="Y2021" s="16">
        <v>0</v>
      </c>
      <c r="Z2021" s="67" t="s">
        <v>26</v>
      </c>
      <c r="AA2021" s="12" t="s">
        <v>31</v>
      </c>
    </row>
    <row r="2022" spans="1:27" x14ac:dyDescent="0.25">
      <c r="A2022" s="10">
        <v>45687</v>
      </c>
      <c r="B2022" s="11" t="s">
        <v>4189</v>
      </c>
      <c r="C2022" s="11" t="s">
        <v>4190</v>
      </c>
      <c r="D2022" s="11" t="s">
        <v>26</v>
      </c>
      <c r="E2022" s="11" t="s">
        <v>57</v>
      </c>
      <c r="F2022" s="11" t="s">
        <v>26</v>
      </c>
      <c r="G2022" s="11">
        <v>3670</v>
      </c>
      <c r="H2022" s="12" t="s">
        <v>41</v>
      </c>
      <c r="I2022" s="12" t="s">
        <v>55</v>
      </c>
      <c r="J2022" s="12" t="s">
        <v>55</v>
      </c>
      <c r="K2022" s="12" t="s">
        <v>56</v>
      </c>
      <c r="L2022" s="13">
        <v>35.479999999999997</v>
      </c>
      <c r="M2022" s="13">
        <v>25</v>
      </c>
      <c r="N2022" s="13">
        <v>1.4192</v>
      </c>
      <c r="O2022" s="13" t="s">
        <v>30</v>
      </c>
      <c r="P2022" s="13">
        <v>24</v>
      </c>
      <c r="Q2022" s="13">
        <v>0</v>
      </c>
      <c r="R2022" s="14">
        <v>600</v>
      </c>
      <c r="S2022" s="15">
        <v>0</v>
      </c>
      <c r="T2022" s="15">
        <v>0</v>
      </c>
      <c r="U2022" s="15">
        <v>600</v>
      </c>
      <c r="V2022" s="15">
        <v>0</v>
      </c>
      <c r="W2022" s="15">
        <v>600</v>
      </c>
      <c r="X2022" s="15">
        <v>0</v>
      </c>
      <c r="Y2022" s="16">
        <v>0</v>
      </c>
      <c r="Z2022" s="67" t="s">
        <v>26</v>
      </c>
      <c r="AA2022" s="12" t="s">
        <v>31</v>
      </c>
    </row>
    <row r="2023" spans="1:27" x14ac:dyDescent="0.25">
      <c r="A2023" s="10">
        <v>45687</v>
      </c>
      <c r="B2023" s="11" t="s">
        <v>403</v>
      </c>
      <c r="C2023" s="11" t="s">
        <v>4191</v>
      </c>
      <c r="D2023" s="11" t="s">
        <v>26</v>
      </c>
      <c r="E2023" s="11" t="s">
        <v>40</v>
      </c>
      <c r="F2023" s="11" t="s">
        <v>26</v>
      </c>
      <c r="G2023" s="11">
        <v>3725</v>
      </c>
      <c r="H2023" s="12" t="s">
        <v>41</v>
      </c>
      <c r="I2023" s="12" t="s">
        <v>55</v>
      </c>
      <c r="J2023" s="12" t="s">
        <v>55</v>
      </c>
      <c r="K2023" s="12" t="s">
        <v>56</v>
      </c>
      <c r="L2023" s="13">
        <v>37.159999999999997</v>
      </c>
      <c r="M2023" s="13">
        <v>25</v>
      </c>
      <c r="N2023" s="13">
        <v>1.4863999999999999</v>
      </c>
      <c r="O2023" s="13" t="s">
        <v>30</v>
      </c>
      <c r="P2023" s="13">
        <v>24</v>
      </c>
      <c r="Q2023" s="13">
        <v>0</v>
      </c>
      <c r="R2023" s="14">
        <v>600</v>
      </c>
      <c r="S2023" s="15">
        <v>0</v>
      </c>
      <c r="T2023" s="15">
        <v>0</v>
      </c>
      <c r="U2023" s="15">
        <v>600</v>
      </c>
      <c r="V2023" s="15">
        <v>0</v>
      </c>
      <c r="W2023" s="15">
        <v>600</v>
      </c>
      <c r="X2023" s="15">
        <v>0</v>
      </c>
      <c r="Y2023" s="16">
        <v>0</v>
      </c>
      <c r="Z2023" s="67" t="s">
        <v>26</v>
      </c>
      <c r="AA2023" s="12" t="s">
        <v>31</v>
      </c>
    </row>
    <row r="2024" spans="1:27" x14ac:dyDescent="0.25">
      <c r="A2024" s="10">
        <v>45687</v>
      </c>
      <c r="B2024" s="11" t="s">
        <v>3502</v>
      </c>
      <c r="C2024" s="11" t="s">
        <v>4192</v>
      </c>
      <c r="D2024" s="11" t="s">
        <v>26</v>
      </c>
      <c r="E2024" s="11" t="s">
        <v>246</v>
      </c>
      <c r="F2024" s="11" t="s">
        <v>26</v>
      </c>
      <c r="G2024" s="11">
        <v>2979</v>
      </c>
      <c r="H2024" s="12" t="s">
        <v>41</v>
      </c>
      <c r="I2024" s="12" t="s">
        <v>55</v>
      </c>
      <c r="J2024" s="12" t="s">
        <v>55</v>
      </c>
      <c r="K2024" s="12" t="s">
        <v>56</v>
      </c>
      <c r="L2024" s="13">
        <v>37.26</v>
      </c>
      <c r="M2024" s="13">
        <v>25</v>
      </c>
      <c r="N2024" s="13">
        <v>1.4903999999999999</v>
      </c>
      <c r="O2024" s="13" t="s">
        <v>30</v>
      </c>
      <c r="P2024" s="13">
        <v>24</v>
      </c>
      <c r="Q2024" s="13">
        <v>0</v>
      </c>
      <c r="R2024" s="14">
        <v>600</v>
      </c>
      <c r="S2024" s="15">
        <v>0</v>
      </c>
      <c r="T2024" s="15">
        <v>0</v>
      </c>
      <c r="U2024" s="15">
        <v>600</v>
      </c>
      <c r="V2024" s="15">
        <v>0</v>
      </c>
      <c r="W2024" s="15">
        <v>600</v>
      </c>
      <c r="X2024" s="15">
        <v>0</v>
      </c>
      <c r="Y2024" s="16">
        <v>0</v>
      </c>
      <c r="Z2024" s="67" t="s">
        <v>26</v>
      </c>
      <c r="AA2024" s="12" t="s">
        <v>31</v>
      </c>
    </row>
    <row r="2025" spans="1:27" x14ac:dyDescent="0.25">
      <c r="A2025" s="10">
        <v>45687</v>
      </c>
      <c r="B2025" s="11" t="s">
        <v>196</v>
      </c>
      <c r="C2025" s="11" t="s">
        <v>4193</v>
      </c>
      <c r="D2025" s="11" t="s">
        <v>26</v>
      </c>
      <c r="E2025" s="11" t="s">
        <v>525</v>
      </c>
      <c r="F2025" s="11" t="s">
        <v>26</v>
      </c>
      <c r="G2025" s="11">
        <v>26334</v>
      </c>
      <c r="H2025" s="12" t="s">
        <v>4448</v>
      </c>
      <c r="I2025" s="12" t="s">
        <v>27</v>
      </c>
      <c r="J2025" s="12" t="s">
        <v>42</v>
      </c>
      <c r="K2025" s="12" t="s">
        <v>43</v>
      </c>
      <c r="L2025" s="13">
        <v>44.62</v>
      </c>
      <c r="M2025" s="13">
        <v>25</v>
      </c>
      <c r="N2025" s="13">
        <v>1.7847999999999999</v>
      </c>
      <c r="O2025" s="13">
        <v>42.5</v>
      </c>
      <c r="P2025" s="13" t="s">
        <v>30</v>
      </c>
      <c r="Q2025" s="13">
        <v>0</v>
      </c>
      <c r="R2025" s="14">
        <v>1896.35</v>
      </c>
      <c r="S2025" s="15">
        <v>0</v>
      </c>
      <c r="T2025" s="15">
        <v>0</v>
      </c>
      <c r="U2025" s="15">
        <v>1896.35</v>
      </c>
      <c r="V2025" s="15">
        <v>1422.2624999999998</v>
      </c>
      <c r="W2025" s="15">
        <v>474.08750000000009</v>
      </c>
      <c r="X2025" s="15">
        <v>0</v>
      </c>
      <c r="Y2025" s="16">
        <v>0</v>
      </c>
      <c r="Z2025" s="67" t="s">
        <v>26</v>
      </c>
      <c r="AA2025" s="12" t="s">
        <v>31</v>
      </c>
    </row>
    <row r="2026" spans="1:27" x14ac:dyDescent="0.25">
      <c r="A2026" s="10">
        <v>45687</v>
      </c>
      <c r="B2026" s="11" t="s">
        <v>4194</v>
      </c>
      <c r="C2026" s="11" t="s">
        <v>4195</v>
      </c>
      <c r="D2026" s="11" t="s">
        <v>26</v>
      </c>
      <c r="E2026" s="11" t="s">
        <v>49</v>
      </c>
      <c r="F2026" s="11" t="s">
        <v>26</v>
      </c>
      <c r="G2026" s="11">
        <v>1584</v>
      </c>
      <c r="H2026" s="12" t="s">
        <v>45</v>
      </c>
      <c r="I2026" s="12" t="s">
        <v>27</v>
      </c>
      <c r="J2026" s="12" t="s">
        <v>33</v>
      </c>
      <c r="K2026" s="12" t="s">
        <v>34</v>
      </c>
      <c r="L2026" s="13">
        <v>36.700000000000003</v>
      </c>
      <c r="M2026" s="13">
        <v>25</v>
      </c>
      <c r="N2026" s="13">
        <v>1.468</v>
      </c>
      <c r="O2026" s="13" t="s">
        <v>30</v>
      </c>
      <c r="P2026" s="13">
        <v>58</v>
      </c>
      <c r="Q2026" s="13">
        <v>0</v>
      </c>
      <c r="R2026" s="14">
        <v>1450</v>
      </c>
      <c r="S2026" s="15">
        <v>0</v>
      </c>
      <c r="T2026" s="15">
        <v>0</v>
      </c>
      <c r="U2026" s="15">
        <v>1450</v>
      </c>
      <c r="V2026" s="15">
        <v>0</v>
      </c>
      <c r="W2026" s="15">
        <v>1450</v>
      </c>
      <c r="X2026" s="15">
        <v>0</v>
      </c>
      <c r="Y2026" s="16">
        <v>0</v>
      </c>
      <c r="Z2026" s="67" t="s">
        <v>26</v>
      </c>
      <c r="AA2026" s="12" t="s">
        <v>31</v>
      </c>
    </row>
    <row r="2027" spans="1:27" x14ac:dyDescent="0.25">
      <c r="A2027" s="10">
        <v>45687</v>
      </c>
      <c r="B2027" s="11" t="s">
        <v>249</v>
      </c>
      <c r="C2027" s="11" t="s">
        <v>4196</v>
      </c>
      <c r="D2027" s="11" t="s">
        <v>26</v>
      </c>
      <c r="E2027" s="11" t="s">
        <v>98</v>
      </c>
      <c r="F2027" s="11" t="s">
        <v>26</v>
      </c>
      <c r="G2027" s="11">
        <v>10704</v>
      </c>
      <c r="H2027" s="12" t="s">
        <v>140</v>
      </c>
      <c r="I2027" s="12" t="s">
        <v>27</v>
      </c>
      <c r="J2027" s="12" t="s">
        <v>42</v>
      </c>
      <c r="K2027" s="12" t="s">
        <v>43</v>
      </c>
      <c r="L2027" s="13">
        <v>39.78</v>
      </c>
      <c r="M2027" s="13">
        <v>25</v>
      </c>
      <c r="N2027" s="13">
        <v>1.5911999999999999</v>
      </c>
      <c r="O2027" s="13">
        <v>35</v>
      </c>
      <c r="P2027" s="13"/>
      <c r="Q2027" s="13">
        <v>0</v>
      </c>
      <c r="R2027" s="15">
        <v>1392.3</v>
      </c>
      <c r="S2027" s="15">
        <v>0</v>
      </c>
      <c r="T2027" s="15">
        <v>0</v>
      </c>
      <c r="U2027" s="15">
        <v>1392.3</v>
      </c>
      <c r="V2027" s="15">
        <v>0</v>
      </c>
      <c r="W2027" s="15">
        <v>1392.3</v>
      </c>
      <c r="X2027" s="15">
        <v>0</v>
      </c>
      <c r="Y2027" s="16">
        <v>0</v>
      </c>
      <c r="Z2027" s="67" t="s">
        <v>26</v>
      </c>
      <c r="AA2027" s="12" t="s">
        <v>31</v>
      </c>
    </row>
    <row r="2028" spans="1:27" x14ac:dyDescent="0.25">
      <c r="A2028" s="10">
        <v>45687</v>
      </c>
      <c r="B2028" s="11" t="s">
        <v>351</v>
      </c>
      <c r="C2028" s="11" t="s">
        <v>4197</v>
      </c>
      <c r="D2028" s="11" t="s">
        <v>26</v>
      </c>
      <c r="E2028" s="11" t="s">
        <v>224</v>
      </c>
      <c r="F2028" s="11" t="s">
        <v>26</v>
      </c>
      <c r="G2028" s="11">
        <v>55340</v>
      </c>
      <c r="H2028" s="12" t="s">
        <v>4423</v>
      </c>
      <c r="I2028" s="12" t="s">
        <v>27</v>
      </c>
      <c r="J2028" s="12" t="s">
        <v>42</v>
      </c>
      <c r="K2028" s="12" t="s">
        <v>43</v>
      </c>
      <c r="L2028" s="13">
        <v>37.1</v>
      </c>
      <c r="M2028" s="13">
        <v>25</v>
      </c>
      <c r="N2028" s="13">
        <v>1.484</v>
      </c>
      <c r="O2028" s="13">
        <v>42</v>
      </c>
      <c r="P2028" s="13" t="s">
        <v>30</v>
      </c>
      <c r="Q2028" s="13">
        <v>0</v>
      </c>
      <c r="R2028" s="14">
        <v>1558.2</v>
      </c>
      <c r="S2028" s="15">
        <v>0</v>
      </c>
      <c r="T2028" s="15">
        <v>0</v>
      </c>
      <c r="U2028" s="15">
        <v>1558.2</v>
      </c>
      <c r="V2028" s="15">
        <v>1558.2</v>
      </c>
      <c r="W2028" s="15">
        <v>0</v>
      </c>
      <c r="X2028" s="15">
        <v>0</v>
      </c>
      <c r="Y2028" s="16">
        <v>0</v>
      </c>
      <c r="Z2028" s="67" t="s">
        <v>26</v>
      </c>
      <c r="AA2028" s="12" t="s">
        <v>31</v>
      </c>
    </row>
    <row r="2029" spans="1:27" x14ac:dyDescent="0.25">
      <c r="A2029" s="10">
        <v>45687</v>
      </c>
      <c r="B2029" s="11" t="s">
        <v>648</v>
      </c>
      <c r="C2029" s="11" t="s">
        <v>4198</v>
      </c>
      <c r="D2029" s="11" t="s">
        <v>26</v>
      </c>
      <c r="E2029" s="11" t="s">
        <v>100</v>
      </c>
      <c r="F2029" s="11" t="s">
        <v>26</v>
      </c>
      <c r="G2029" s="11">
        <v>21736</v>
      </c>
      <c r="H2029" s="12" t="s">
        <v>4448</v>
      </c>
      <c r="I2029" s="12" t="s">
        <v>27</v>
      </c>
      <c r="J2029" s="12" t="s">
        <v>42</v>
      </c>
      <c r="K2029" s="12" t="s">
        <v>43</v>
      </c>
      <c r="L2029" s="13">
        <v>40.64</v>
      </c>
      <c r="M2029" s="13">
        <v>25</v>
      </c>
      <c r="N2029" s="13">
        <v>1.6255999999999999</v>
      </c>
      <c r="O2029" s="13">
        <v>42.5</v>
      </c>
      <c r="P2029" s="13" t="s">
        <v>30</v>
      </c>
      <c r="Q2029" s="13">
        <v>0</v>
      </c>
      <c r="R2029" s="14">
        <v>1727.2</v>
      </c>
      <c r="S2029" s="15">
        <v>0</v>
      </c>
      <c r="T2029" s="15">
        <v>0</v>
      </c>
      <c r="U2029" s="15">
        <v>1727.2</v>
      </c>
      <c r="V2029" s="15">
        <v>1295.4000000000001</v>
      </c>
      <c r="W2029" s="15">
        <v>431.79999999999995</v>
      </c>
      <c r="X2029" s="15">
        <v>0</v>
      </c>
      <c r="Y2029" s="16">
        <v>0</v>
      </c>
      <c r="Z2029" s="67" t="s">
        <v>26</v>
      </c>
      <c r="AA2029" s="12" t="s">
        <v>31</v>
      </c>
    </row>
    <row r="2030" spans="1:27" x14ac:dyDescent="0.25">
      <c r="A2030" s="10">
        <v>45687</v>
      </c>
      <c r="B2030" s="11" t="s">
        <v>733</v>
      </c>
      <c r="C2030" s="11" t="s">
        <v>4199</v>
      </c>
      <c r="D2030" s="11" t="s">
        <v>26</v>
      </c>
      <c r="E2030" s="11" t="s">
        <v>597</v>
      </c>
      <c r="F2030" s="11" t="s">
        <v>26</v>
      </c>
      <c r="G2030" s="11">
        <v>2577</v>
      </c>
      <c r="H2030" s="12" t="s">
        <v>41</v>
      </c>
      <c r="I2030" s="12" t="s">
        <v>55</v>
      </c>
      <c r="J2030" s="12" t="s">
        <v>55</v>
      </c>
      <c r="K2030" s="12" t="s">
        <v>56</v>
      </c>
      <c r="L2030" s="13">
        <v>33.78</v>
      </c>
      <c r="M2030" s="13">
        <v>20</v>
      </c>
      <c r="N2030" s="13">
        <v>1.6890000000000001</v>
      </c>
      <c r="O2030" s="13" t="s">
        <v>30</v>
      </c>
      <c r="P2030" s="13">
        <v>24</v>
      </c>
      <c r="Q2030" s="13">
        <v>0</v>
      </c>
      <c r="R2030" s="14">
        <v>480</v>
      </c>
      <c r="S2030" s="15">
        <v>0</v>
      </c>
      <c r="T2030" s="15">
        <v>0</v>
      </c>
      <c r="U2030" s="15">
        <v>480</v>
      </c>
      <c r="V2030" s="15">
        <v>0</v>
      </c>
      <c r="W2030" s="15">
        <v>480</v>
      </c>
      <c r="X2030" s="15">
        <v>0</v>
      </c>
      <c r="Y2030" s="16">
        <v>0</v>
      </c>
      <c r="Z2030" s="67" t="s">
        <v>26</v>
      </c>
      <c r="AA2030" s="12" t="s">
        <v>31</v>
      </c>
    </row>
    <row r="2031" spans="1:27" x14ac:dyDescent="0.25">
      <c r="A2031" s="10">
        <v>45687</v>
      </c>
      <c r="B2031" s="11" t="s">
        <v>4200</v>
      </c>
      <c r="C2031" s="11" t="s">
        <v>4201</v>
      </c>
      <c r="D2031" s="11" t="s">
        <v>26</v>
      </c>
      <c r="E2031" s="11" t="s">
        <v>89</v>
      </c>
      <c r="F2031" s="11" t="s">
        <v>26</v>
      </c>
      <c r="G2031" s="11">
        <v>60469</v>
      </c>
      <c r="H2031" s="12" t="s">
        <v>4423</v>
      </c>
      <c r="I2031" s="12" t="s">
        <v>27</v>
      </c>
      <c r="J2031" s="12" t="s">
        <v>42</v>
      </c>
      <c r="K2031" s="12" t="s">
        <v>43</v>
      </c>
      <c r="L2031" s="13">
        <v>37.42</v>
      </c>
      <c r="M2031" s="13">
        <v>25</v>
      </c>
      <c r="N2031" s="13">
        <v>1.4967999999999999</v>
      </c>
      <c r="O2031" s="13">
        <v>42</v>
      </c>
      <c r="P2031" s="13" t="s">
        <v>30</v>
      </c>
      <c r="Q2031" s="13">
        <v>0</v>
      </c>
      <c r="R2031" s="14">
        <v>1571.64</v>
      </c>
      <c r="S2031" s="15">
        <v>0</v>
      </c>
      <c r="T2031" s="15">
        <v>0</v>
      </c>
      <c r="U2031" s="15">
        <v>1571.64</v>
      </c>
      <c r="V2031" s="15">
        <v>1571.64</v>
      </c>
      <c r="W2031" s="15">
        <v>0</v>
      </c>
      <c r="X2031" s="15">
        <v>0</v>
      </c>
      <c r="Y2031" s="16">
        <v>0</v>
      </c>
      <c r="Z2031" s="67" t="s">
        <v>26</v>
      </c>
      <c r="AA2031" s="12" t="s">
        <v>31</v>
      </c>
    </row>
    <row r="2032" spans="1:27" x14ac:dyDescent="0.25">
      <c r="A2032" s="10">
        <v>45687</v>
      </c>
      <c r="B2032" s="11" t="s">
        <v>1664</v>
      </c>
      <c r="C2032" s="11" t="s">
        <v>4202</v>
      </c>
      <c r="D2032" s="11" t="s">
        <v>26</v>
      </c>
      <c r="E2032" s="11" t="s">
        <v>559</v>
      </c>
      <c r="F2032" s="11" t="s">
        <v>26</v>
      </c>
      <c r="G2032" s="11">
        <v>2578</v>
      </c>
      <c r="H2032" s="12" t="s">
        <v>41</v>
      </c>
      <c r="I2032" s="12" t="s">
        <v>55</v>
      </c>
      <c r="J2032" s="12" t="s">
        <v>55</v>
      </c>
      <c r="K2032" s="12" t="s">
        <v>56</v>
      </c>
      <c r="L2032" s="13">
        <v>34.06</v>
      </c>
      <c r="M2032" s="13">
        <v>20</v>
      </c>
      <c r="N2032" s="13">
        <v>1.7030000000000001</v>
      </c>
      <c r="O2032" s="13" t="s">
        <v>30</v>
      </c>
      <c r="P2032" s="13">
        <v>24</v>
      </c>
      <c r="Q2032" s="13">
        <v>0</v>
      </c>
      <c r="R2032" s="14">
        <v>480</v>
      </c>
      <c r="S2032" s="15">
        <v>0</v>
      </c>
      <c r="T2032" s="15">
        <v>0</v>
      </c>
      <c r="U2032" s="15">
        <v>480</v>
      </c>
      <c r="V2032" s="15">
        <v>0</v>
      </c>
      <c r="W2032" s="15">
        <v>480</v>
      </c>
      <c r="X2032" s="15">
        <v>0</v>
      </c>
      <c r="Y2032" s="16">
        <v>0</v>
      </c>
      <c r="Z2032" s="67" t="s">
        <v>26</v>
      </c>
      <c r="AA2032" s="12" t="s">
        <v>31</v>
      </c>
    </row>
    <row r="2033" spans="1:27" x14ac:dyDescent="0.25">
      <c r="A2033" s="10">
        <v>45687</v>
      </c>
      <c r="B2033" s="11" t="s">
        <v>627</v>
      </c>
      <c r="C2033" s="11" t="s">
        <v>4203</v>
      </c>
      <c r="D2033" s="11" t="s">
        <v>26</v>
      </c>
      <c r="E2033" s="11" t="s">
        <v>65</v>
      </c>
      <c r="F2033" s="11" t="s">
        <v>26</v>
      </c>
      <c r="G2033" s="11">
        <v>1598</v>
      </c>
      <c r="H2033" s="12" t="s">
        <v>66</v>
      </c>
      <c r="I2033" s="12" t="s">
        <v>37</v>
      </c>
      <c r="J2033" s="12" t="s">
        <v>1909</v>
      </c>
      <c r="K2033" s="12" t="s">
        <v>82</v>
      </c>
      <c r="L2033" s="13">
        <v>39.24</v>
      </c>
      <c r="M2033" s="13">
        <v>25</v>
      </c>
      <c r="N2033" s="13">
        <v>1.5696000000000001</v>
      </c>
      <c r="O2033" s="13" t="s">
        <v>30</v>
      </c>
      <c r="P2033" s="13">
        <v>54</v>
      </c>
      <c r="Q2033" s="13">
        <v>0</v>
      </c>
      <c r="R2033" s="14">
        <v>1350</v>
      </c>
      <c r="S2033" s="15">
        <v>0</v>
      </c>
      <c r="T2033" s="15">
        <v>0</v>
      </c>
      <c r="U2033" s="15">
        <v>1350</v>
      </c>
      <c r="V2033" s="15">
        <v>1350</v>
      </c>
      <c r="W2033" s="15">
        <v>0</v>
      </c>
      <c r="X2033" s="15">
        <v>0</v>
      </c>
      <c r="Y2033" s="16">
        <v>0</v>
      </c>
      <c r="Z2033" s="67" t="s">
        <v>26</v>
      </c>
      <c r="AA2033" s="12" t="s">
        <v>31</v>
      </c>
    </row>
    <row r="2034" spans="1:27" x14ac:dyDescent="0.25">
      <c r="A2034" s="10">
        <v>45687</v>
      </c>
      <c r="B2034" s="11" t="s">
        <v>4204</v>
      </c>
      <c r="C2034" s="11" t="s">
        <v>4205</v>
      </c>
      <c r="D2034" s="11" t="s">
        <v>26</v>
      </c>
      <c r="E2034" s="11" t="s">
        <v>80</v>
      </c>
      <c r="F2034" s="11" t="s">
        <v>26</v>
      </c>
      <c r="G2034" s="11">
        <v>10666</v>
      </c>
      <c r="H2034" s="12" t="s">
        <v>140</v>
      </c>
      <c r="I2034" s="12" t="s">
        <v>27</v>
      </c>
      <c r="J2034" s="12" t="s">
        <v>47</v>
      </c>
      <c r="K2034" s="12" t="s">
        <v>48</v>
      </c>
      <c r="L2034" s="13">
        <v>44.46</v>
      </c>
      <c r="M2034" s="13">
        <v>30</v>
      </c>
      <c r="N2034" s="13">
        <v>1.482</v>
      </c>
      <c r="O2034" s="13">
        <v>40</v>
      </c>
      <c r="P2034" s="13"/>
      <c r="Q2034" s="13">
        <v>0</v>
      </c>
      <c r="R2034" s="14">
        <v>1778.4</v>
      </c>
      <c r="S2034" s="15">
        <v>0</v>
      </c>
      <c r="T2034" s="15">
        <v>0</v>
      </c>
      <c r="U2034" s="15">
        <v>1778.4</v>
      </c>
      <c r="V2034" s="15">
        <v>0</v>
      </c>
      <c r="W2034" s="15">
        <v>1778.4</v>
      </c>
      <c r="X2034" s="15">
        <v>0</v>
      </c>
      <c r="Y2034" s="16">
        <v>0</v>
      </c>
      <c r="Z2034" s="67" t="s">
        <v>26</v>
      </c>
      <c r="AA2034" s="12" t="s">
        <v>31</v>
      </c>
    </row>
    <row r="2035" spans="1:27" x14ac:dyDescent="0.25">
      <c r="A2035" s="10">
        <v>45687</v>
      </c>
      <c r="B2035" s="11" t="s">
        <v>402</v>
      </c>
      <c r="C2035" s="11" t="s">
        <v>4206</v>
      </c>
      <c r="D2035" s="11" t="s">
        <v>26</v>
      </c>
      <c r="E2035" s="11" t="s">
        <v>240</v>
      </c>
      <c r="F2035" s="11" t="s">
        <v>26</v>
      </c>
      <c r="G2035" s="11">
        <v>2950</v>
      </c>
      <c r="H2035" s="12" t="s">
        <v>41</v>
      </c>
      <c r="I2035" s="12" t="s">
        <v>27</v>
      </c>
      <c r="J2035" s="12" t="s">
        <v>33</v>
      </c>
      <c r="K2035" s="12" t="s">
        <v>34</v>
      </c>
      <c r="L2035" s="13">
        <v>37.36</v>
      </c>
      <c r="M2035" s="13">
        <v>25</v>
      </c>
      <c r="N2035" s="13">
        <v>1.4944</v>
      </c>
      <c r="O2035" s="13" t="s">
        <v>30</v>
      </c>
      <c r="P2035" s="13">
        <v>60</v>
      </c>
      <c r="Q2035" s="13">
        <v>0</v>
      </c>
      <c r="R2035" s="14">
        <v>1500</v>
      </c>
      <c r="S2035" s="15">
        <v>0</v>
      </c>
      <c r="T2035" s="15">
        <v>0</v>
      </c>
      <c r="U2035" s="15">
        <v>1500</v>
      </c>
      <c r="V2035" s="15">
        <v>0</v>
      </c>
      <c r="W2035" s="15">
        <v>1500</v>
      </c>
      <c r="X2035" s="15">
        <v>0</v>
      </c>
      <c r="Y2035" s="16">
        <v>0</v>
      </c>
      <c r="Z2035" s="67" t="s">
        <v>26</v>
      </c>
      <c r="AA2035" s="12" t="s">
        <v>31</v>
      </c>
    </row>
    <row r="2036" spans="1:27" x14ac:dyDescent="0.25">
      <c r="A2036" s="10">
        <v>45687</v>
      </c>
      <c r="B2036" s="11" t="s">
        <v>1360</v>
      </c>
      <c r="C2036" s="11" t="s">
        <v>4207</v>
      </c>
      <c r="D2036" s="11" t="s">
        <v>26</v>
      </c>
      <c r="E2036" s="11" t="s">
        <v>67</v>
      </c>
      <c r="F2036" s="11" t="s">
        <v>26</v>
      </c>
      <c r="G2036" s="11">
        <v>1625</v>
      </c>
      <c r="H2036" s="12" t="s">
        <v>66</v>
      </c>
      <c r="I2036" s="12" t="s">
        <v>37</v>
      </c>
      <c r="J2036" s="12" t="s">
        <v>1909</v>
      </c>
      <c r="K2036" s="12" t="s">
        <v>82</v>
      </c>
      <c r="L2036" s="13">
        <v>38.46</v>
      </c>
      <c r="M2036" s="13">
        <v>25</v>
      </c>
      <c r="N2036" s="13">
        <v>1.5384</v>
      </c>
      <c r="O2036" s="13" t="s">
        <v>30</v>
      </c>
      <c r="P2036" s="13">
        <v>54</v>
      </c>
      <c r="Q2036" s="13">
        <v>0</v>
      </c>
      <c r="R2036" s="14">
        <v>1350</v>
      </c>
      <c r="S2036" s="15">
        <v>0</v>
      </c>
      <c r="T2036" s="15">
        <v>0</v>
      </c>
      <c r="U2036" s="15">
        <v>1350</v>
      </c>
      <c r="V2036" s="15">
        <v>1350</v>
      </c>
      <c r="W2036" s="15">
        <v>0</v>
      </c>
      <c r="X2036" s="15">
        <v>0</v>
      </c>
      <c r="Y2036" s="16">
        <v>0</v>
      </c>
      <c r="Z2036" s="67" t="s">
        <v>26</v>
      </c>
      <c r="AA2036" s="12" t="s">
        <v>31</v>
      </c>
    </row>
    <row r="2037" spans="1:27" x14ac:dyDescent="0.25">
      <c r="A2037" s="10">
        <v>45687</v>
      </c>
      <c r="B2037" s="11" t="s">
        <v>4208</v>
      </c>
      <c r="C2037" s="11" t="s">
        <v>4209</v>
      </c>
      <c r="D2037" s="11" t="s">
        <v>26</v>
      </c>
      <c r="E2037" s="11" t="s">
        <v>570</v>
      </c>
      <c r="F2037" s="11" t="s">
        <v>26</v>
      </c>
      <c r="G2037" s="11">
        <v>10340</v>
      </c>
      <c r="H2037" s="12" t="s">
        <v>140</v>
      </c>
      <c r="I2037" s="12" t="s">
        <v>27</v>
      </c>
      <c r="J2037" s="12" t="s">
        <v>42</v>
      </c>
      <c r="K2037" s="12" t="s">
        <v>43</v>
      </c>
      <c r="L2037" s="13">
        <v>43.16</v>
      </c>
      <c r="M2037" s="13">
        <v>25</v>
      </c>
      <c r="N2037" s="13">
        <v>1.7263999999999999</v>
      </c>
      <c r="O2037" s="13">
        <v>35</v>
      </c>
      <c r="P2037" s="13"/>
      <c r="Q2037" s="13">
        <v>0</v>
      </c>
      <c r="R2037" s="14">
        <v>1510.6</v>
      </c>
      <c r="S2037" s="15">
        <v>0</v>
      </c>
      <c r="T2037" s="15">
        <v>0</v>
      </c>
      <c r="U2037" s="15">
        <v>1510.6</v>
      </c>
      <c r="V2037" s="15">
        <v>0</v>
      </c>
      <c r="W2037" s="15">
        <v>1510.6</v>
      </c>
      <c r="X2037" s="15">
        <v>0</v>
      </c>
      <c r="Y2037" s="16">
        <v>0</v>
      </c>
      <c r="Z2037" s="67" t="s">
        <v>26</v>
      </c>
      <c r="AA2037" s="12" t="s">
        <v>31</v>
      </c>
    </row>
    <row r="2038" spans="1:27" x14ac:dyDescent="0.25">
      <c r="A2038" s="10">
        <v>45687</v>
      </c>
      <c r="B2038" s="11" t="s">
        <v>1853</v>
      </c>
      <c r="C2038" s="11" t="s">
        <v>4210</v>
      </c>
      <c r="D2038" s="11" t="s">
        <v>26</v>
      </c>
      <c r="E2038" s="11" t="s">
        <v>60</v>
      </c>
      <c r="F2038" s="11" t="s">
        <v>26</v>
      </c>
      <c r="G2038" s="11" t="s">
        <v>35</v>
      </c>
      <c r="H2038" s="12" t="s">
        <v>36</v>
      </c>
      <c r="I2038" s="12" t="s">
        <v>27</v>
      </c>
      <c r="J2038" s="12" t="s">
        <v>42</v>
      </c>
      <c r="K2038" s="12" t="s">
        <v>43</v>
      </c>
      <c r="L2038" s="13">
        <v>9.34</v>
      </c>
      <c r="M2038" s="13">
        <v>6</v>
      </c>
      <c r="N2038" s="13">
        <v>1.5566666666666671</v>
      </c>
      <c r="O2038" s="13">
        <v>45</v>
      </c>
      <c r="P2038" s="13" t="s">
        <v>30</v>
      </c>
      <c r="Q2038" s="13">
        <v>0</v>
      </c>
      <c r="R2038" s="14">
        <v>420.3</v>
      </c>
      <c r="S2038" s="15">
        <v>0</v>
      </c>
      <c r="T2038" s="15">
        <v>0</v>
      </c>
      <c r="U2038" s="15">
        <v>420.3</v>
      </c>
      <c r="V2038" s="15">
        <v>0</v>
      </c>
      <c r="W2038" s="15">
        <v>420.3</v>
      </c>
      <c r="X2038" s="15">
        <v>0</v>
      </c>
      <c r="Y2038" s="16">
        <v>0</v>
      </c>
      <c r="Z2038" s="67" t="s">
        <v>26</v>
      </c>
      <c r="AA2038" s="12" t="s">
        <v>31</v>
      </c>
    </row>
    <row r="2039" spans="1:27" x14ac:dyDescent="0.25">
      <c r="A2039" s="10">
        <v>45687</v>
      </c>
      <c r="B2039" s="11" t="s">
        <v>4211</v>
      </c>
      <c r="C2039" s="11" t="s">
        <v>4212</v>
      </c>
      <c r="D2039" s="11" t="s">
        <v>26</v>
      </c>
      <c r="E2039" s="11" t="s">
        <v>75</v>
      </c>
      <c r="F2039" s="11" t="s">
        <v>26</v>
      </c>
      <c r="G2039" s="11">
        <v>42038</v>
      </c>
      <c r="H2039" s="12" t="s">
        <v>565</v>
      </c>
      <c r="I2039" s="12" t="s">
        <v>27</v>
      </c>
      <c r="J2039" s="12" t="s">
        <v>33</v>
      </c>
      <c r="K2039" s="12" t="s">
        <v>34</v>
      </c>
      <c r="L2039" s="13">
        <v>41.9</v>
      </c>
      <c r="M2039" s="13">
        <v>28</v>
      </c>
      <c r="N2039" s="13">
        <v>1.496428571428571</v>
      </c>
      <c r="O2039" s="13"/>
      <c r="P2039" s="13">
        <v>60</v>
      </c>
      <c r="Q2039" s="13">
        <v>0</v>
      </c>
      <c r="R2039" s="14">
        <v>1680</v>
      </c>
      <c r="S2039" s="15">
        <v>0</v>
      </c>
      <c r="T2039" s="15">
        <v>0</v>
      </c>
      <c r="U2039" s="15">
        <v>1680</v>
      </c>
      <c r="V2039" s="15">
        <v>0</v>
      </c>
      <c r="W2039" s="15">
        <v>1680</v>
      </c>
      <c r="X2039" s="15">
        <v>0</v>
      </c>
      <c r="Y2039" s="16">
        <v>0</v>
      </c>
      <c r="Z2039" s="67" t="s">
        <v>26</v>
      </c>
      <c r="AA2039" s="12" t="s">
        <v>31</v>
      </c>
    </row>
    <row r="2040" spans="1:27" x14ac:dyDescent="0.25">
      <c r="A2040" s="10">
        <v>45687</v>
      </c>
      <c r="B2040" s="11" t="s">
        <v>423</v>
      </c>
      <c r="C2040" s="11" t="s">
        <v>4213</v>
      </c>
      <c r="D2040" s="11" t="s">
        <v>26</v>
      </c>
      <c r="E2040" s="11" t="s">
        <v>69</v>
      </c>
      <c r="F2040" s="11" t="s">
        <v>26</v>
      </c>
      <c r="G2040" s="11">
        <v>2105</v>
      </c>
      <c r="H2040" s="12" t="s">
        <v>70</v>
      </c>
      <c r="I2040" s="12" t="s">
        <v>27</v>
      </c>
      <c r="J2040" s="12" t="s">
        <v>42</v>
      </c>
      <c r="K2040" s="12" t="s">
        <v>43</v>
      </c>
      <c r="L2040" s="13">
        <v>39.1</v>
      </c>
      <c r="M2040" s="13">
        <v>25</v>
      </c>
      <c r="N2040" s="13">
        <v>1.5640000000000001</v>
      </c>
      <c r="O2040" s="13" t="s">
        <v>30</v>
      </c>
      <c r="P2040" s="13">
        <v>64</v>
      </c>
      <c r="Q2040" s="13">
        <v>0</v>
      </c>
      <c r="R2040" s="15">
        <v>1600</v>
      </c>
      <c r="S2040" s="15">
        <v>0</v>
      </c>
      <c r="T2040" s="15">
        <v>0</v>
      </c>
      <c r="U2040" s="15">
        <v>1600</v>
      </c>
      <c r="V2040" s="15">
        <v>0</v>
      </c>
      <c r="W2040" s="15">
        <v>1600</v>
      </c>
      <c r="X2040" s="15">
        <v>0</v>
      </c>
      <c r="Y2040" s="16">
        <v>0</v>
      </c>
      <c r="Z2040" s="67" t="s">
        <v>26</v>
      </c>
      <c r="AA2040" s="12" t="s">
        <v>31</v>
      </c>
    </row>
    <row r="2041" spans="1:27" x14ac:dyDescent="0.25">
      <c r="A2041" s="10">
        <v>45687</v>
      </c>
      <c r="B2041" s="11" t="s">
        <v>121</v>
      </c>
      <c r="C2041" s="11" t="s">
        <v>4214</v>
      </c>
      <c r="D2041" s="11" t="s">
        <v>26</v>
      </c>
      <c r="E2041" s="11" t="s">
        <v>552</v>
      </c>
      <c r="F2041" s="11" t="s">
        <v>26</v>
      </c>
      <c r="G2041" s="11">
        <v>69140</v>
      </c>
      <c r="H2041" s="12" t="s">
        <v>4423</v>
      </c>
      <c r="I2041" s="12" t="s">
        <v>27</v>
      </c>
      <c r="J2041" s="12" t="s">
        <v>42</v>
      </c>
      <c r="K2041" s="12" t="s">
        <v>43</v>
      </c>
      <c r="L2041" s="13">
        <v>35.26</v>
      </c>
      <c r="M2041" s="13">
        <v>25</v>
      </c>
      <c r="N2041" s="13">
        <v>1.4104000000000001</v>
      </c>
      <c r="O2041" s="13">
        <v>42</v>
      </c>
      <c r="P2041" s="13" t="s">
        <v>30</v>
      </c>
      <c r="Q2041" s="13">
        <v>0</v>
      </c>
      <c r="R2041" s="15">
        <v>1480.9199999999998</v>
      </c>
      <c r="S2041" s="15">
        <v>0</v>
      </c>
      <c r="T2041" s="15">
        <v>0</v>
      </c>
      <c r="U2041" s="15">
        <v>1480.9199999999998</v>
      </c>
      <c r="V2041" s="15">
        <v>1480.9199999999998</v>
      </c>
      <c r="W2041" s="15">
        <v>0</v>
      </c>
      <c r="X2041" s="15">
        <v>0</v>
      </c>
      <c r="Y2041" s="16">
        <v>0</v>
      </c>
      <c r="Z2041" s="67" t="s">
        <v>26</v>
      </c>
      <c r="AA2041" s="12" t="s">
        <v>31</v>
      </c>
    </row>
    <row r="2042" spans="1:27" x14ac:dyDescent="0.25">
      <c r="A2042" s="10">
        <v>45687</v>
      </c>
      <c r="B2042" s="11" t="s">
        <v>190</v>
      </c>
      <c r="C2042" s="11" t="s">
        <v>4215</v>
      </c>
      <c r="D2042" s="11" t="s">
        <v>26</v>
      </c>
      <c r="E2042" s="11" t="s">
        <v>506</v>
      </c>
      <c r="F2042" s="11" t="s">
        <v>26</v>
      </c>
      <c r="G2042" s="11">
        <v>1545</v>
      </c>
      <c r="H2042" s="12" t="s">
        <v>45</v>
      </c>
      <c r="I2042" s="12" t="s">
        <v>27</v>
      </c>
      <c r="J2042" s="12" t="s">
        <v>33</v>
      </c>
      <c r="K2042" s="12" t="s">
        <v>34</v>
      </c>
      <c r="L2042" s="13">
        <v>38.42</v>
      </c>
      <c r="M2042" s="13">
        <v>25</v>
      </c>
      <c r="N2042" s="13">
        <v>1.5367999999999999</v>
      </c>
      <c r="O2042" s="13" t="s">
        <v>30</v>
      </c>
      <c r="P2042" s="13">
        <v>58</v>
      </c>
      <c r="Q2042" s="13">
        <v>0</v>
      </c>
      <c r="R2042" s="14">
        <v>1450</v>
      </c>
      <c r="S2042" s="15">
        <v>0</v>
      </c>
      <c r="T2042" s="15">
        <v>0</v>
      </c>
      <c r="U2042" s="15">
        <v>1450</v>
      </c>
      <c r="V2042" s="15">
        <v>0</v>
      </c>
      <c r="W2042" s="15">
        <v>1450</v>
      </c>
      <c r="X2042" s="15">
        <v>0</v>
      </c>
      <c r="Y2042" s="16">
        <v>0</v>
      </c>
      <c r="Z2042" s="67" t="s">
        <v>26</v>
      </c>
      <c r="AA2042" s="12" t="s">
        <v>31</v>
      </c>
    </row>
    <row r="2043" spans="1:27" x14ac:dyDescent="0.25">
      <c r="A2043" s="10">
        <v>45687</v>
      </c>
      <c r="B2043" s="11" t="s">
        <v>380</v>
      </c>
      <c r="C2043" s="11" t="s">
        <v>4216</v>
      </c>
      <c r="D2043" s="11" t="s">
        <v>26</v>
      </c>
      <c r="E2043" s="11" t="s">
        <v>589</v>
      </c>
      <c r="F2043" s="11" t="s">
        <v>26</v>
      </c>
      <c r="G2043" s="11">
        <v>52649</v>
      </c>
      <c r="H2043" s="12" t="s">
        <v>4423</v>
      </c>
      <c r="I2043" s="12" t="s">
        <v>27</v>
      </c>
      <c r="J2043" s="12" t="s">
        <v>42</v>
      </c>
      <c r="K2043" s="12" t="s">
        <v>43</v>
      </c>
      <c r="L2043" s="13">
        <v>36.1</v>
      </c>
      <c r="M2043" s="13">
        <v>25</v>
      </c>
      <c r="N2043" s="13">
        <v>1.444</v>
      </c>
      <c r="O2043" s="13">
        <v>42</v>
      </c>
      <c r="P2043" s="13" t="s">
        <v>30</v>
      </c>
      <c r="Q2043" s="13">
        <v>0</v>
      </c>
      <c r="R2043" s="14">
        <v>1516.2</v>
      </c>
      <c r="S2043" s="15">
        <v>0</v>
      </c>
      <c r="T2043" s="15">
        <v>0</v>
      </c>
      <c r="U2043" s="15">
        <v>1516.2</v>
      </c>
      <c r="V2043" s="15">
        <v>1516.2</v>
      </c>
      <c r="W2043" s="15">
        <v>0</v>
      </c>
      <c r="X2043" s="15">
        <v>0</v>
      </c>
      <c r="Y2043" s="16">
        <v>0</v>
      </c>
      <c r="Z2043" s="67" t="s">
        <v>26</v>
      </c>
      <c r="AA2043" s="12" t="s">
        <v>31</v>
      </c>
    </row>
    <row r="2044" spans="1:27" x14ac:dyDescent="0.25">
      <c r="A2044" s="10">
        <v>45687</v>
      </c>
      <c r="B2044" s="11" t="s">
        <v>4217</v>
      </c>
      <c r="C2044" s="11" t="s">
        <v>4218</v>
      </c>
      <c r="D2044" s="11" t="s">
        <v>26</v>
      </c>
      <c r="E2044" s="11" t="s">
        <v>593</v>
      </c>
      <c r="F2044" s="11" t="s">
        <v>26</v>
      </c>
      <c r="G2044" s="11">
        <v>44312</v>
      </c>
      <c r="H2044" s="12" t="s">
        <v>4423</v>
      </c>
      <c r="I2044" s="12" t="s">
        <v>27</v>
      </c>
      <c r="J2044" s="12" t="s">
        <v>33</v>
      </c>
      <c r="K2044" s="12" t="s">
        <v>34</v>
      </c>
      <c r="L2044" s="13">
        <v>33.4</v>
      </c>
      <c r="M2044" s="13">
        <v>25</v>
      </c>
      <c r="N2044" s="13">
        <v>1.3360000000000001</v>
      </c>
      <c r="O2044" s="13">
        <v>45</v>
      </c>
      <c r="P2044" s="13" t="s">
        <v>30</v>
      </c>
      <c r="Q2044" s="13">
        <v>0</v>
      </c>
      <c r="R2044" s="14">
        <v>1503</v>
      </c>
      <c r="S2044" s="15">
        <v>0</v>
      </c>
      <c r="T2044" s="15">
        <v>0</v>
      </c>
      <c r="U2044" s="15">
        <v>1503</v>
      </c>
      <c r="V2044" s="15">
        <v>1503</v>
      </c>
      <c r="W2044" s="15">
        <v>0</v>
      </c>
      <c r="X2044" s="15">
        <v>0</v>
      </c>
      <c r="Y2044" s="16">
        <v>0</v>
      </c>
      <c r="Z2044" s="67" t="s">
        <v>26</v>
      </c>
      <c r="AA2044" s="12" t="s">
        <v>31</v>
      </c>
    </row>
    <row r="2045" spans="1:27" x14ac:dyDescent="0.25">
      <c r="A2045" s="10">
        <v>45687</v>
      </c>
      <c r="B2045" s="11" t="s">
        <v>4219</v>
      </c>
      <c r="C2045" s="11" t="s">
        <v>4220</v>
      </c>
      <c r="D2045" s="11" t="s">
        <v>26</v>
      </c>
      <c r="E2045" s="11" t="s">
        <v>483</v>
      </c>
      <c r="F2045" s="11" t="s">
        <v>26</v>
      </c>
      <c r="G2045" s="11" t="s">
        <v>26</v>
      </c>
      <c r="H2045" s="12" t="s">
        <v>146</v>
      </c>
      <c r="I2045" s="12" t="s">
        <v>27</v>
      </c>
      <c r="J2045" s="12" t="s">
        <v>47</v>
      </c>
      <c r="K2045" s="12" t="s">
        <v>48</v>
      </c>
      <c r="L2045" s="13">
        <v>42.34</v>
      </c>
      <c r="M2045" s="13">
        <v>28</v>
      </c>
      <c r="N2045" s="13">
        <v>1.512142857142857</v>
      </c>
      <c r="O2045" s="13">
        <v>91</v>
      </c>
      <c r="P2045" s="13" t="s">
        <v>30</v>
      </c>
      <c r="Q2045" s="13">
        <v>0</v>
      </c>
      <c r="R2045" s="14">
        <v>3852.9400000000005</v>
      </c>
      <c r="S2045" s="15">
        <v>40</v>
      </c>
      <c r="T2045" s="15">
        <v>1693.6000000000001</v>
      </c>
      <c r="U2045" s="15">
        <v>2159.34</v>
      </c>
      <c r="V2045" s="15">
        <v>2159.34</v>
      </c>
      <c r="W2045" s="15">
        <v>0</v>
      </c>
      <c r="X2045" s="15">
        <v>1566.5800000000002</v>
      </c>
      <c r="Y2045" s="16">
        <v>127.01999999999998</v>
      </c>
      <c r="Z2045" s="67" t="s">
        <v>41</v>
      </c>
      <c r="AA2045" s="12" t="s">
        <v>79</v>
      </c>
    </row>
    <row r="2046" spans="1:27" x14ac:dyDescent="0.25">
      <c r="A2046" s="10">
        <v>45687</v>
      </c>
      <c r="B2046" s="11" t="s">
        <v>3579</v>
      </c>
      <c r="C2046" s="11" t="s">
        <v>4221</v>
      </c>
      <c r="D2046" s="11" t="s">
        <v>26</v>
      </c>
      <c r="E2046" s="11" t="s">
        <v>3938</v>
      </c>
      <c r="F2046" s="11" t="s">
        <v>26</v>
      </c>
      <c r="G2046" s="11" t="s">
        <v>35</v>
      </c>
      <c r="H2046" s="12" t="s">
        <v>36</v>
      </c>
      <c r="I2046" s="12" t="s">
        <v>55</v>
      </c>
      <c r="J2046" s="12" t="s">
        <v>55</v>
      </c>
      <c r="K2046" s="12" t="s">
        <v>56</v>
      </c>
      <c r="L2046" s="13">
        <v>9.08</v>
      </c>
      <c r="M2046" s="13">
        <v>6</v>
      </c>
      <c r="N2046" s="13">
        <v>1.513333333333333</v>
      </c>
      <c r="O2046" s="13">
        <v>20</v>
      </c>
      <c r="P2046" s="13" t="s">
        <v>30</v>
      </c>
      <c r="Q2046" s="13">
        <v>0</v>
      </c>
      <c r="R2046" s="14">
        <v>181.6</v>
      </c>
      <c r="S2046" s="15">
        <v>0</v>
      </c>
      <c r="T2046" s="15">
        <v>0</v>
      </c>
      <c r="U2046" s="15">
        <v>181.6</v>
      </c>
      <c r="V2046" s="15">
        <v>0</v>
      </c>
      <c r="W2046" s="15">
        <v>181.6</v>
      </c>
      <c r="X2046" s="15">
        <v>0</v>
      </c>
      <c r="Y2046" s="16">
        <v>0</v>
      </c>
      <c r="Z2046" s="67" t="s">
        <v>26</v>
      </c>
      <c r="AA2046" s="12" t="s">
        <v>31</v>
      </c>
    </row>
    <row r="2047" spans="1:27" x14ac:dyDescent="0.25">
      <c r="A2047" s="10">
        <v>45687</v>
      </c>
      <c r="B2047" s="11" t="s">
        <v>4222</v>
      </c>
      <c r="C2047" s="11" t="s">
        <v>4223</v>
      </c>
      <c r="D2047" s="11" t="s">
        <v>26</v>
      </c>
      <c r="E2047" s="11" t="s">
        <v>561</v>
      </c>
      <c r="F2047" s="11" t="s">
        <v>26</v>
      </c>
      <c r="G2047" s="11">
        <v>2851</v>
      </c>
      <c r="H2047" s="12" t="s">
        <v>41</v>
      </c>
      <c r="I2047" s="12" t="s">
        <v>55</v>
      </c>
      <c r="J2047" s="12" t="s">
        <v>55</v>
      </c>
      <c r="K2047" s="12" t="s">
        <v>56</v>
      </c>
      <c r="L2047" s="13">
        <v>35.1</v>
      </c>
      <c r="M2047" s="13">
        <v>25</v>
      </c>
      <c r="N2047" s="13">
        <v>1.4039999999999999</v>
      </c>
      <c r="O2047" s="13" t="s">
        <v>30</v>
      </c>
      <c r="P2047" s="13">
        <v>24</v>
      </c>
      <c r="Q2047" s="13">
        <v>0</v>
      </c>
      <c r="R2047" s="14">
        <v>600</v>
      </c>
      <c r="S2047" s="15">
        <v>0</v>
      </c>
      <c r="T2047" s="15">
        <v>0</v>
      </c>
      <c r="U2047" s="15">
        <v>600</v>
      </c>
      <c r="V2047" s="15">
        <v>0</v>
      </c>
      <c r="W2047" s="15">
        <v>600</v>
      </c>
      <c r="X2047" s="15">
        <v>0</v>
      </c>
      <c r="Y2047" s="16">
        <v>0</v>
      </c>
      <c r="Z2047" s="67" t="s">
        <v>26</v>
      </c>
      <c r="AA2047" s="12" t="s">
        <v>31</v>
      </c>
    </row>
    <row r="2048" spans="1:27" x14ac:dyDescent="0.25">
      <c r="A2048" s="10">
        <v>45687</v>
      </c>
      <c r="B2048" s="11" t="s">
        <v>4224</v>
      </c>
      <c r="C2048" s="11" t="s">
        <v>4225</v>
      </c>
      <c r="D2048" s="11" t="s">
        <v>26</v>
      </c>
      <c r="E2048" s="11" t="s">
        <v>1200</v>
      </c>
      <c r="F2048" s="11" t="s">
        <v>26</v>
      </c>
      <c r="G2048" s="11">
        <v>2581</v>
      </c>
      <c r="H2048" s="12" t="s">
        <v>163</v>
      </c>
      <c r="I2048" s="12" t="s">
        <v>27</v>
      </c>
      <c r="J2048" s="12" t="s">
        <v>42</v>
      </c>
      <c r="K2048" s="12" t="s">
        <v>43</v>
      </c>
      <c r="L2048" s="13">
        <v>44.88</v>
      </c>
      <c r="M2048" s="13">
        <v>25</v>
      </c>
      <c r="N2048" s="13">
        <v>1.7951999999999999</v>
      </c>
      <c r="O2048" s="13" t="s">
        <v>30</v>
      </c>
      <c r="P2048" s="13">
        <v>56</v>
      </c>
      <c r="Q2048" s="13">
        <v>0</v>
      </c>
      <c r="R2048" s="14">
        <v>1400</v>
      </c>
      <c r="S2048" s="15">
        <v>0</v>
      </c>
      <c r="T2048" s="15">
        <v>0</v>
      </c>
      <c r="U2048" s="15">
        <v>1400</v>
      </c>
      <c r="V2048" s="15">
        <v>0</v>
      </c>
      <c r="W2048" s="15">
        <v>1400</v>
      </c>
      <c r="X2048" s="15">
        <v>0</v>
      </c>
      <c r="Y2048" s="16">
        <v>0</v>
      </c>
      <c r="Z2048" s="67" t="s">
        <v>26</v>
      </c>
      <c r="AA2048" s="12" t="s">
        <v>31</v>
      </c>
    </row>
    <row r="2049" spans="1:27" x14ac:dyDescent="0.25">
      <c r="A2049" s="10">
        <v>45687</v>
      </c>
      <c r="B2049" s="11" t="s">
        <v>4226</v>
      </c>
      <c r="C2049" s="11" t="s">
        <v>4227</v>
      </c>
      <c r="D2049" s="11" t="s">
        <v>26</v>
      </c>
      <c r="E2049" s="11" t="s">
        <v>435</v>
      </c>
      <c r="F2049" s="11" t="s">
        <v>26</v>
      </c>
      <c r="G2049" s="11">
        <v>3534</v>
      </c>
      <c r="H2049" s="12" t="s">
        <v>41</v>
      </c>
      <c r="I2049" s="12" t="s">
        <v>27</v>
      </c>
      <c r="J2049" s="12" t="s">
        <v>33</v>
      </c>
      <c r="K2049" s="12" t="s">
        <v>34</v>
      </c>
      <c r="L2049" s="13">
        <v>38.880000000000003</v>
      </c>
      <c r="M2049" s="13">
        <v>25</v>
      </c>
      <c r="N2049" s="13">
        <v>1.5551999999999999</v>
      </c>
      <c r="O2049" s="13" t="s">
        <v>30</v>
      </c>
      <c r="P2049" s="13">
        <v>60</v>
      </c>
      <c r="Q2049" s="13">
        <v>0</v>
      </c>
      <c r="R2049" s="14">
        <v>1500</v>
      </c>
      <c r="S2049" s="15">
        <v>0</v>
      </c>
      <c r="T2049" s="15">
        <v>0</v>
      </c>
      <c r="U2049" s="15">
        <v>1500</v>
      </c>
      <c r="V2049" s="15">
        <v>0</v>
      </c>
      <c r="W2049" s="15">
        <v>1500</v>
      </c>
      <c r="X2049" s="15">
        <v>0</v>
      </c>
      <c r="Y2049" s="16">
        <v>0</v>
      </c>
      <c r="Z2049" s="67" t="s">
        <v>26</v>
      </c>
      <c r="AA2049" s="12" t="s">
        <v>31</v>
      </c>
    </row>
    <row r="2050" spans="1:27" x14ac:dyDescent="0.25">
      <c r="A2050" s="10">
        <v>45687</v>
      </c>
      <c r="B2050" s="11" t="s">
        <v>260</v>
      </c>
      <c r="C2050" s="11" t="s">
        <v>4228</v>
      </c>
      <c r="D2050" s="11" t="s">
        <v>26</v>
      </c>
      <c r="E2050" s="11" t="s">
        <v>529</v>
      </c>
      <c r="F2050" s="11" t="s">
        <v>26</v>
      </c>
      <c r="G2050" s="11">
        <v>2583</v>
      </c>
      <c r="H2050" s="12" t="s">
        <v>163</v>
      </c>
      <c r="I2050" s="12" t="s">
        <v>27</v>
      </c>
      <c r="J2050" s="12" t="s">
        <v>42</v>
      </c>
      <c r="K2050" s="12" t="s">
        <v>43</v>
      </c>
      <c r="L2050" s="13">
        <v>40.76</v>
      </c>
      <c r="M2050" s="13">
        <v>25</v>
      </c>
      <c r="N2050" s="13">
        <v>1.6304000000000001</v>
      </c>
      <c r="O2050" s="13" t="s">
        <v>30</v>
      </c>
      <c r="P2050" s="13">
        <v>56</v>
      </c>
      <c r="Q2050" s="13">
        <v>0</v>
      </c>
      <c r="R2050" s="14">
        <v>1400</v>
      </c>
      <c r="S2050" s="15">
        <v>0</v>
      </c>
      <c r="T2050" s="15">
        <v>0</v>
      </c>
      <c r="U2050" s="15">
        <v>1400</v>
      </c>
      <c r="V2050" s="15">
        <v>0</v>
      </c>
      <c r="W2050" s="15">
        <v>1400</v>
      </c>
      <c r="X2050" s="15">
        <v>0</v>
      </c>
      <c r="Y2050" s="16">
        <v>0</v>
      </c>
      <c r="Z2050" s="67" t="s">
        <v>26</v>
      </c>
      <c r="AA2050" s="12" t="s">
        <v>31</v>
      </c>
    </row>
    <row r="2051" spans="1:27" x14ac:dyDescent="0.25">
      <c r="A2051" s="10">
        <v>45687</v>
      </c>
      <c r="B2051" s="11" t="s">
        <v>409</v>
      </c>
      <c r="C2051" s="11" t="s">
        <v>4229</v>
      </c>
      <c r="D2051" s="11" t="s">
        <v>26</v>
      </c>
      <c r="E2051" s="11" t="s">
        <v>246</v>
      </c>
      <c r="F2051" s="11" t="s">
        <v>26</v>
      </c>
      <c r="G2051" s="11">
        <v>2981</v>
      </c>
      <c r="H2051" s="12" t="s">
        <v>41</v>
      </c>
      <c r="I2051" s="12" t="s">
        <v>55</v>
      </c>
      <c r="J2051" s="12" t="s">
        <v>566</v>
      </c>
      <c r="K2051" s="12" t="s">
        <v>550</v>
      </c>
      <c r="L2051" s="13">
        <v>35.08</v>
      </c>
      <c r="M2051" s="13">
        <v>22</v>
      </c>
      <c r="N2051" s="13">
        <v>1.594545454545454</v>
      </c>
      <c r="O2051" s="13">
        <v>25</v>
      </c>
      <c r="P2051" s="13"/>
      <c r="Q2051" s="13">
        <v>0</v>
      </c>
      <c r="R2051" s="14">
        <v>877</v>
      </c>
      <c r="S2051" s="15">
        <v>0</v>
      </c>
      <c r="T2051" s="15">
        <v>0</v>
      </c>
      <c r="U2051" s="15">
        <v>877</v>
      </c>
      <c r="V2051" s="15">
        <v>0</v>
      </c>
      <c r="W2051" s="15">
        <v>877</v>
      </c>
      <c r="X2051" s="15">
        <v>0</v>
      </c>
      <c r="Y2051" s="16">
        <v>0</v>
      </c>
      <c r="Z2051" s="67" t="s">
        <v>26</v>
      </c>
      <c r="AA2051" s="12" t="s">
        <v>31</v>
      </c>
    </row>
    <row r="2052" spans="1:27" x14ac:dyDescent="0.25">
      <c r="A2052" s="10">
        <v>45687</v>
      </c>
      <c r="B2052" s="11" t="s">
        <v>2535</v>
      </c>
      <c r="C2052" s="11" t="s">
        <v>4230</v>
      </c>
      <c r="D2052" s="11" t="s">
        <v>26</v>
      </c>
      <c r="E2052" s="11" t="s">
        <v>3938</v>
      </c>
      <c r="F2052" s="11" t="s">
        <v>26</v>
      </c>
      <c r="G2052" s="11" t="s">
        <v>35</v>
      </c>
      <c r="H2052" s="12" t="s">
        <v>36</v>
      </c>
      <c r="I2052" s="12" t="s">
        <v>55</v>
      </c>
      <c r="J2052" s="12" t="s">
        <v>55</v>
      </c>
      <c r="K2052" s="12" t="s">
        <v>56</v>
      </c>
      <c r="L2052" s="13">
        <v>10.14</v>
      </c>
      <c r="M2052" s="13">
        <v>7</v>
      </c>
      <c r="N2052" s="13">
        <v>1.4485714285714291</v>
      </c>
      <c r="O2052" s="13">
        <v>20</v>
      </c>
      <c r="P2052" s="13" t="s">
        <v>30</v>
      </c>
      <c r="Q2052" s="13">
        <v>0</v>
      </c>
      <c r="R2052" s="14">
        <v>202.8</v>
      </c>
      <c r="S2052" s="15">
        <v>0</v>
      </c>
      <c r="T2052" s="15">
        <v>0</v>
      </c>
      <c r="U2052" s="15">
        <v>202.8</v>
      </c>
      <c r="V2052" s="15">
        <v>0</v>
      </c>
      <c r="W2052" s="15">
        <v>202.8</v>
      </c>
      <c r="X2052" s="15">
        <v>0</v>
      </c>
      <c r="Y2052" s="16">
        <v>0</v>
      </c>
      <c r="Z2052" s="67" t="s">
        <v>26</v>
      </c>
      <c r="AA2052" s="12" t="s">
        <v>31</v>
      </c>
    </row>
    <row r="2053" spans="1:27" x14ac:dyDescent="0.25">
      <c r="A2053" s="10">
        <v>45687</v>
      </c>
      <c r="B2053" s="11" t="s">
        <v>4231</v>
      </c>
      <c r="C2053" s="11" t="s">
        <v>4232</v>
      </c>
      <c r="D2053" s="11" t="s">
        <v>26</v>
      </c>
      <c r="E2053" s="11" t="s">
        <v>230</v>
      </c>
      <c r="F2053" s="11" t="s">
        <v>26</v>
      </c>
      <c r="G2053" s="11">
        <v>23149</v>
      </c>
      <c r="H2053" s="12" t="s">
        <v>565</v>
      </c>
      <c r="I2053" s="12" t="s">
        <v>27</v>
      </c>
      <c r="J2053" s="12" t="s">
        <v>33</v>
      </c>
      <c r="K2053" s="12" t="s">
        <v>34</v>
      </c>
      <c r="L2053" s="13">
        <v>43.5</v>
      </c>
      <c r="M2053" s="13">
        <v>29</v>
      </c>
      <c r="N2053" s="13">
        <v>1.5</v>
      </c>
      <c r="O2053" s="13"/>
      <c r="P2053" s="13">
        <v>60</v>
      </c>
      <c r="Q2053" s="13">
        <v>0</v>
      </c>
      <c r="R2053" s="15">
        <v>1740</v>
      </c>
      <c r="S2053" s="15">
        <v>0</v>
      </c>
      <c r="T2053" s="15">
        <v>0</v>
      </c>
      <c r="U2053" s="15">
        <v>1740</v>
      </c>
      <c r="V2053" s="15">
        <v>0</v>
      </c>
      <c r="W2053" s="15">
        <v>1740</v>
      </c>
      <c r="X2053" s="15">
        <v>0</v>
      </c>
      <c r="Y2053" s="16">
        <v>0</v>
      </c>
      <c r="Z2053" s="67" t="s">
        <v>26</v>
      </c>
      <c r="AA2053" s="12" t="s">
        <v>31</v>
      </c>
    </row>
    <row r="2054" spans="1:27" x14ac:dyDescent="0.25">
      <c r="A2054" s="10">
        <v>45687</v>
      </c>
      <c r="B2054" s="11" t="s">
        <v>1956</v>
      </c>
      <c r="C2054" s="11" t="s">
        <v>4233</v>
      </c>
      <c r="D2054" s="11" t="s">
        <v>26</v>
      </c>
      <c r="E2054" s="11" t="s">
        <v>69</v>
      </c>
      <c r="F2054" s="11" t="s">
        <v>26</v>
      </c>
      <c r="G2054" s="11">
        <v>2106</v>
      </c>
      <c r="H2054" s="12" t="s">
        <v>70</v>
      </c>
      <c r="I2054" s="12" t="s">
        <v>27</v>
      </c>
      <c r="J2054" s="12" t="s">
        <v>42</v>
      </c>
      <c r="K2054" s="12" t="s">
        <v>43</v>
      </c>
      <c r="L2054" s="13">
        <v>44.12</v>
      </c>
      <c r="M2054" s="13">
        <v>25</v>
      </c>
      <c r="N2054" s="13">
        <v>1.7647999999999999</v>
      </c>
      <c r="O2054" s="13" t="s">
        <v>30</v>
      </c>
      <c r="P2054" s="13">
        <v>64</v>
      </c>
      <c r="Q2054" s="13">
        <v>0</v>
      </c>
      <c r="R2054" s="14">
        <v>1600</v>
      </c>
      <c r="S2054" s="15">
        <v>0</v>
      </c>
      <c r="T2054" s="15">
        <v>0</v>
      </c>
      <c r="U2054" s="15">
        <v>1600</v>
      </c>
      <c r="V2054" s="15">
        <v>0</v>
      </c>
      <c r="W2054" s="15">
        <v>1600</v>
      </c>
      <c r="X2054" s="15">
        <v>0</v>
      </c>
      <c r="Y2054" s="16">
        <v>0</v>
      </c>
      <c r="Z2054" s="67" t="s">
        <v>26</v>
      </c>
      <c r="AA2054" s="12" t="s">
        <v>31</v>
      </c>
    </row>
    <row r="2055" spans="1:27" x14ac:dyDescent="0.25">
      <c r="A2055" s="10">
        <v>45687</v>
      </c>
      <c r="B2055" s="11" t="s">
        <v>257</v>
      </c>
      <c r="C2055" s="11" t="s">
        <v>4234</v>
      </c>
      <c r="D2055" s="11" t="s">
        <v>26</v>
      </c>
      <c r="E2055" s="11" t="s">
        <v>98</v>
      </c>
      <c r="F2055" s="11" t="s">
        <v>26</v>
      </c>
      <c r="G2055" s="11">
        <v>10705</v>
      </c>
      <c r="H2055" s="12" t="s">
        <v>140</v>
      </c>
      <c r="I2055" s="12" t="s">
        <v>27</v>
      </c>
      <c r="J2055" s="12" t="s">
        <v>42</v>
      </c>
      <c r="K2055" s="12" t="s">
        <v>43</v>
      </c>
      <c r="L2055" s="13">
        <v>42.2</v>
      </c>
      <c r="M2055" s="13">
        <v>25</v>
      </c>
      <c r="N2055" s="13">
        <v>1.6879999999999999</v>
      </c>
      <c r="O2055" s="13">
        <v>35</v>
      </c>
      <c r="P2055" s="13"/>
      <c r="Q2055" s="13">
        <v>0</v>
      </c>
      <c r="R2055" s="14">
        <v>1477</v>
      </c>
      <c r="S2055" s="15">
        <v>0</v>
      </c>
      <c r="T2055" s="15">
        <v>0</v>
      </c>
      <c r="U2055" s="15">
        <v>1477</v>
      </c>
      <c r="V2055" s="15">
        <v>0</v>
      </c>
      <c r="W2055" s="15">
        <v>1477</v>
      </c>
      <c r="X2055" s="15">
        <v>0</v>
      </c>
      <c r="Y2055" s="16">
        <v>0</v>
      </c>
      <c r="Z2055" s="67" t="s">
        <v>26</v>
      </c>
      <c r="AA2055" s="12" t="s">
        <v>31</v>
      </c>
    </row>
    <row r="2056" spans="1:27" x14ac:dyDescent="0.25">
      <c r="A2056" s="10">
        <v>45687</v>
      </c>
      <c r="B2056" s="11" t="s">
        <v>4235</v>
      </c>
      <c r="C2056" s="11" t="s">
        <v>4236</v>
      </c>
      <c r="D2056" s="11" t="s">
        <v>26</v>
      </c>
      <c r="E2056" s="11" t="s">
        <v>534</v>
      </c>
      <c r="F2056" s="11" t="s">
        <v>26</v>
      </c>
      <c r="G2056" s="11">
        <v>2584</v>
      </c>
      <c r="H2056" s="12" t="s">
        <v>163</v>
      </c>
      <c r="I2056" s="12" t="s">
        <v>27</v>
      </c>
      <c r="J2056" s="12" t="s">
        <v>33</v>
      </c>
      <c r="K2056" s="12" t="s">
        <v>34</v>
      </c>
      <c r="L2056" s="13">
        <v>37.76</v>
      </c>
      <c r="M2056" s="13">
        <v>25</v>
      </c>
      <c r="N2056" s="13">
        <v>1.5104</v>
      </c>
      <c r="O2056" s="13" t="s">
        <v>30</v>
      </c>
      <c r="P2056" s="13">
        <v>58</v>
      </c>
      <c r="Q2056" s="13">
        <v>0</v>
      </c>
      <c r="R2056" s="14">
        <v>1450</v>
      </c>
      <c r="S2056" s="15">
        <v>0</v>
      </c>
      <c r="T2056" s="15">
        <v>0</v>
      </c>
      <c r="U2056" s="15">
        <v>1450</v>
      </c>
      <c r="V2056" s="15">
        <v>0</v>
      </c>
      <c r="W2056" s="15">
        <v>1450</v>
      </c>
      <c r="X2056" s="16">
        <v>0</v>
      </c>
      <c r="Y2056" s="16">
        <v>0</v>
      </c>
      <c r="Z2056" s="67" t="s">
        <v>26</v>
      </c>
      <c r="AA2056" s="12" t="s">
        <v>31</v>
      </c>
    </row>
    <row r="2057" spans="1:27" x14ac:dyDescent="0.25">
      <c r="A2057" s="10">
        <v>45687</v>
      </c>
      <c r="B2057" s="11" t="s">
        <v>3028</v>
      </c>
      <c r="C2057" s="11" t="s">
        <v>4237</v>
      </c>
      <c r="D2057" s="11" t="s">
        <v>26</v>
      </c>
      <c r="E2057" s="11" t="s">
        <v>65</v>
      </c>
      <c r="F2057" s="11" t="s">
        <v>26</v>
      </c>
      <c r="G2057" s="11">
        <v>1599</v>
      </c>
      <c r="H2057" s="12" t="s">
        <v>66</v>
      </c>
      <c r="I2057" s="12" t="s">
        <v>37</v>
      </c>
      <c r="J2057" s="12" t="s">
        <v>1909</v>
      </c>
      <c r="K2057" s="12" t="s">
        <v>82</v>
      </c>
      <c r="L2057" s="13">
        <v>38.619999999999997</v>
      </c>
      <c r="M2057" s="13">
        <v>25</v>
      </c>
      <c r="N2057" s="13">
        <v>1.5448</v>
      </c>
      <c r="O2057" s="13" t="s">
        <v>30</v>
      </c>
      <c r="P2057" s="13">
        <v>54</v>
      </c>
      <c r="Q2057" s="13">
        <v>0</v>
      </c>
      <c r="R2057" s="14">
        <v>1350</v>
      </c>
      <c r="S2057" s="15">
        <v>0</v>
      </c>
      <c r="T2057" s="15">
        <v>0</v>
      </c>
      <c r="U2057" s="15">
        <v>1350</v>
      </c>
      <c r="V2057" s="15">
        <v>1350</v>
      </c>
      <c r="W2057" s="15">
        <v>0</v>
      </c>
      <c r="X2057" s="15">
        <v>0</v>
      </c>
      <c r="Y2057" s="16">
        <v>0</v>
      </c>
      <c r="Z2057" s="67" t="s">
        <v>26</v>
      </c>
      <c r="AA2057" s="12" t="s">
        <v>31</v>
      </c>
    </row>
    <row r="2058" spans="1:27" x14ac:dyDescent="0.25">
      <c r="A2058" s="10">
        <v>45687</v>
      </c>
      <c r="B2058" s="11" t="s">
        <v>4238</v>
      </c>
      <c r="C2058" s="11" t="s">
        <v>4239</v>
      </c>
      <c r="D2058" s="11" t="s">
        <v>26</v>
      </c>
      <c r="E2058" s="11" t="s">
        <v>3938</v>
      </c>
      <c r="F2058" s="11" t="s">
        <v>26</v>
      </c>
      <c r="G2058" s="11" t="s">
        <v>35</v>
      </c>
      <c r="H2058" s="12" t="s">
        <v>36</v>
      </c>
      <c r="I2058" s="12" t="s">
        <v>55</v>
      </c>
      <c r="J2058" s="12" t="s">
        <v>55</v>
      </c>
      <c r="K2058" s="12" t="s">
        <v>56</v>
      </c>
      <c r="L2058" s="13">
        <v>10.58</v>
      </c>
      <c r="M2058" s="13">
        <v>7</v>
      </c>
      <c r="N2058" s="13">
        <v>1.5114285714285709</v>
      </c>
      <c r="O2058" s="13">
        <v>20</v>
      </c>
      <c r="P2058" s="13" t="s">
        <v>30</v>
      </c>
      <c r="Q2058" s="13">
        <v>0</v>
      </c>
      <c r="R2058" s="14">
        <v>211.6</v>
      </c>
      <c r="S2058" s="15">
        <v>0</v>
      </c>
      <c r="T2058" s="15">
        <v>0</v>
      </c>
      <c r="U2058" s="15">
        <v>211.6</v>
      </c>
      <c r="V2058" s="15">
        <v>0</v>
      </c>
      <c r="W2058" s="15">
        <v>211.6</v>
      </c>
      <c r="X2058" s="16">
        <v>0</v>
      </c>
      <c r="Y2058" s="16">
        <v>0</v>
      </c>
      <c r="Z2058" s="67" t="s">
        <v>26</v>
      </c>
      <c r="AA2058" s="12" t="s">
        <v>31</v>
      </c>
    </row>
    <row r="2059" spans="1:27" x14ac:dyDescent="0.25">
      <c r="A2059" s="10">
        <v>45687</v>
      </c>
      <c r="B2059" s="11" t="s">
        <v>4240</v>
      </c>
      <c r="C2059" s="11" t="s">
        <v>4241</v>
      </c>
      <c r="D2059" s="11" t="s">
        <v>26</v>
      </c>
      <c r="E2059" s="11" t="s">
        <v>527</v>
      </c>
      <c r="F2059" s="11" t="s">
        <v>26</v>
      </c>
      <c r="G2059" s="11">
        <v>2585</v>
      </c>
      <c r="H2059" s="12" t="s">
        <v>163</v>
      </c>
      <c r="I2059" s="12" t="s">
        <v>27</v>
      </c>
      <c r="J2059" s="12" t="s">
        <v>42</v>
      </c>
      <c r="K2059" s="12" t="s">
        <v>43</v>
      </c>
      <c r="L2059" s="13">
        <v>44.12</v>
      </c>
      <c r="M2059" s="13">
        <v>25</v>
      </c>
      <c r="N2059" s="13">
        <v>1.7647999999999999</v>
      </c>
      <c r="O2059" s="13" t="s">
        <v>30</v>
      </c>
      <c r="P2059" s="13">
        <v>56</v>
      </c>
      <c r="Q2059" s="13">
        <v>0</v>
      </c>
      <c r="R2059" s="14">
        <v>1400</v>
      </c>
      <c r="S2059" s="15">
        <v>0</v>
      </c>
      <c r="T2059" s="15">
        <v>0</v>
      </c>
      <c r="U2059" s="15">
        <v>1400</v>
      </c>
      <c r="V2059" s="15">
        <v>0</v>
      </c>
      <c r="W2059" s="15">
        <v>1400</v>
      </c>
      <c r="X2059" s="15">
        <v>0</v>
      </c>
      <c r="Y2059" s="16">
        <v>0</v>
      </c>
      <c r="Z2059" s="67" t="s">
        <v>26</v>
      </c>
      <c r="AA2059" s="12" t="s">
        <v>31</v>
      </c>
    </row>
    <row r="2060" spans="1:27" x14ac:dyDescent="0.25">
      <c r="A2060" s="10">
        <v>45687</v>
      </c>
      <c r="B2060" s="11" t="s">
        <v>4242</v>
      </c>
      <c r="C2060" s="11" t="s">
        <v>4243</v>
      </c>
      <c r="D2060" s="11" t="s">
        <v>26</v>
      </c>
      <c r="E2060" s="11" t="s">
        <v>40</v>
      </c>
      <c r="F2060" s="11" t="s">
        <v>26</v>
      </c>
      <c r="G2060" s="11" t="s">
        <v>26</v>
      </c>
      <c r="H2060" s="12" t="s">
        <v>146</v>
      </c>
      <c r="I2060" s="12" t="s">
        <v>27</v>
      </c>
      <c r="J2060" s="12" t="s">
        <v>47</v>
      </c>
      <c r="K2060" s="12" t="s">
        <v>48</v>
      </c>
      <c r="L2060" s="13">
        <v>42.96</v>
      </c>
      <c r="M2060" s="13">
        <v>29</v>
      </c>
      <c r="N2060" s="13">
        <v>1.4813793103448281</v>
      </c>
      <c r="O2060" s="13">
        <v>91</v>
      </c>
      <c r="P2060" s="13" t="s">
        <v>30</v>
      </c>
      <c r="Q2060" s="13">
        <v>0</v>
      </c>
      <c r="R2060" s="14">
        <v>3909.36</v>
      </c>
      <c r="S2060" s="15">
        <v>40</v>
      </c>
      <c r="T2060" s="15">
        <v>1718.4</v>
      </c>
      <c r="U2060" s="15">
        <v>2190.96</v>
      </c>
      <c r="V2060" s="15">
        <v>2190.96</v>
      </c>
      <c r="W2060" s="15">
        <v>0</v>
      </c>
      <c r="X2060" s="15">
        <v>1589.52</v>
      </c>
      <c r="Y2060" s="16">
        <v>128.88000000000011</v>
      </c>
      <c r="Z2060" s="67" t="s">
        <v>41</v>
      </c>
      <c r="AA2060" s="12" t="s">
        <v>79</v>
      </c>
    </row>
    <row r="2061" spans="1:27" x14ac:dyDescent="0.25">
      <c r="A2061" s="10">
        <v>45687</v>
      </c>
      <c r="B2061" s="11" t="s">
        <v>645</v>
      </c>
      <c r="C2061" s="11" t="s">
        <v>4244</v>
      </c>
      <c r="D2061" s="11" t="s">
        <v>26</v>
      </c>
      <c r="E2061" s="11" t="s">
        <v>96</v>
      </c>
      <c r="F2061" s="11" t="s">
        <v>26</v>
      </c>
      <c r="G2061" s="11">
        <v>1532</v>
      </c>
      <c r="H2061" s="12" t="s">
        <v>45</v>
      </c>
      <c r="I2061" s="12" t="s">
        <v>27</v>
      </c>
      <c r="J2061" s="12" t="s">
        <v>42</v>
      </c>
      <c r="K2061" s="12" t="s">
        <v>43</v>
      </c>
      <c r="L2061" s="13">
        <v>40.4</v>
      </c>
      <c r="M2061" s="13">
        <v>25</v>
      </c>
      <c r="N2061" s="13">
        <v>1.6160000000000001</v>
      </c>
      <c r="O2061" s="13" t="s">
        <v>30</v>
      </c>
      <c r="P2061" s="13">
        <v>62</v>
      </c>
      <c r="Q2061" s="13">
        <v>0</v>
      </c>
      <c r="R2061" s="15">
        <v>1550</v>
      </c>
      <c r="S2061" s="15">
        <v>0</v>
      </c>
      <c r="T2061" s="15">
        <v>0</v>
      </c>
      <c r="U2061" s="15">
        <v>1550</v>
      </c>
      <c r="V2061" s="15">
        <v>0</v>
      </c>
      <c r="W2061" s="15">
        <v>1550</v>
      </c>
      <c r="X2061" s="15">
        <v>0</v>
      </c>
      <c r="Y2061" s="16">
        <v>0</v>
      </c>
      <c r="Z2061" s="67" t="s">
        <v>26</v>
      </c>
      <c r="AA2061" s="12" t="s">
        <v>31</v>
      </c>
    </row>
    <row r="2062" spans="1:27" x14ac:dyDescent="0.25">
      <c r="A2062" s="10">
        <v>45687</v>
      </c>
      <c r="B2062" s="11" t="s">
        <v>4245</v>
      </c>
      <c r="C2062" s="11" t="s">
        <v>4246</v>
      </c>
      <c r="D2062" s="11" t="s">
        <v>26</v>
      </c>
      <c r="E2062" s="11" t="s">
        <v>539</v>
      </c>
      <c r="F2062" s="11" t="s">
        <v>26</v>
      </c>
      <c r="G2062" s="11">
        <v>3840</v>
      </c>
      <c r="H2062" s="12" t="s">
        <v>41</v>
      </c>
      <c r="I2062" s="12" t="s">
        <v>27</v>
      </c>
      <c r="J2062" s="12" t="s">
        <v>33</v>
      </c>
      <c r="K2062" s="12" t="s">
        <v>34</v>
      </c>
      <c r="L2062" s="13">
        <v>38.44</v>
      </c>
      <c r="M2062" s="13">
        <v>25</v>
      </c>
      <c r="N2062" s="13">
        <v>1.5376000000000001</v>
      </c>
      <c r="O2062" s="13" t="s">
        <v>30</v>
      </c>
      <c r="P2062" s="13">
        <v>60</v>
      </c>
      <c r="Q2062" s="13">
        <v>0</v>
      </c>
      <c r="R2062" s="14">
        <v>1500</v>
      </c>
      <c r="S2062" s="15">
        <v>0</v>
      </c>
      <c r="T2062" s="15">
        <v>0</v>
      </c>
      <c r="U2062" s="15">
        <v>1500</v>
      </c>
      <c r="V2062" s="15">
        <v>0</v>
      </c>
      <c r="W2062" s="15">
        <v>1500</v>
      </c>
      <c r="X2062" s="15">
        <v>0</v>
      </c>
      <c r="Y2062" s="16">
        <v>0</v>
      </c>
      <c r="Z2062" s="67" t="s">
        <v>26</v>
      </c>
      <c r="AA2062" s="12" t="s">
        <v>31</v>
      </c>
    </row>
    <row r="2063" spans="1:27" x14ac:dyDescent="0.25">
      <c r="A2063" s="10">
        <v>45687</v>
      </c>
      <c r="B2063" s="11" t="s">
        <v>4247</v>
      </c>
      <c r="C2063" s="11" t="s">
        <v>4248</v>
      </c>
      <c r="D2063" s="11" t="s">
        <v>26</v>
      </c>
      <c r="E2063" s="11" t="s">
        <v>75</v>
      </c>
      <c r="F2063" s="11" t="s">
        <v>26</v>
      </c>
      <c r="G2063" s="11">
        <v>42039</v>
      </c>
      <c r="H2063" s="12" t="s">
        <v>565</v>
      </c>
      <c r="I2063" s="12" t="s">
        <v>55</v>
      </c>
      <c r="J2063" s="12" t="s">
        <v>55</v>
      </c>
      <c r="K2063" s="12" t="s">
        <v>56</v>
      </c>
      <c r="L2063" s="13">
        <v>35.78</v>
      </c>
      <c r="M2063" s="13">
        <v>25</v>
      </c>
      <c r="N2063" s="13">
        <v>1.4312</v>
      </c>
      <c r="O2063" s="13"/>
      <c r="P2063" s="13">
        <v>24</v>
      </c>
      <c r="Q2063" s="13">
        <v>0</v>
      </c>
      <c r="R2063" s="14">
        <v>600</v>
      </c>
      <c r="S2063" s="15">
        <v>0</v>
      </c>
      <c r="T2063" s="15">
        <v>0</v>
      </c>
      <c r="U2063" s="15">
        <v>600</v>
      </c>
      <c r="V2063" s="15">
        <v>0</v>
      </c>
      <c r="W2063" s="15">
        <v>600</v>
      </c>
      <c r="X2063" s="15">
        <v>0</v>
      </c>
      <c r="Y2063" s="16">
        <v>0</v>
      </c>
      <c r="Z2063" s="67" t="s">
        <v>26</v>
      </c>
      <c r="AA2063" s="12" t="s">
        <v>31</v>
      </c>
    </row>
    <row r="2064" spans="1:27" x14ac:dyDescent="0.25">
      <c r="A2064" s="10">
        <v>45687</v>
      </c>
      <c r="B2064" s="11" t="s">
        <v>323</v>
      </c>
      <c r="C2064" s="11" t="s">
        <v>4249</v>
      </c>
      <c r="D2064" s="11" t="s">
        <v>26</v>
      </c>
      <c r="E2064" s="11" t="s">
        <v>3938</v>
      </c>
      <c r="F2064" s="11" t="s">
        <v>26</v>
      </c>
      <c r="G2064" s="11" t="s">
        <v>35</v>
      </c>
      <c r="H2064" s="12" t="s">
        <v>36</v>
      </c>
      <c r="I2064" s="12" t="s">
        <v>55</v>
      </c>
      <c r="J2064" s="12" t="s">
        <v>55</v>
      </c>
      <c r="K2064" s="12" t="s">
        <v>56</v>
      </c>
      <c r="L2064" s="13">
        <v>10.62</v>
      </c>
      <c r="M2064" s="13">
        <v>7</v>
      </c>
      <c r="N2064" s="13">
        <v>1.5171428571428569</v>
      </c>
      <c r="O2064" s="13">
        <v>20</v>
      </c>
      <c r="P2064" s="13" t="s">
        <v>30</v>
      </c>
      <c r="Q2064" s="13">
        <v>0</v>
      </c>
      <c r="R2064" s="14">
        <v>212.39999999999998</v>
      </c>
      <c r="S2064" s="15">
        <v>0</v>
      </c>
      <c r="T2064" s="15">
        <v>0</v>
      </c>
      <c r="U2064" s="15">
        <v>212.39999999999998</v>
      </c>
      <c r="V2064" s="15">
        <v>0</v>
      </c>
      <c r="W2064" s="15">
        <v>212.39999999999998</v>
      </c>
      <c r="X2064" s="15">
        <v>0</v>
      </c>
      <c r="Y2064" s="16">
        <v>0</v>
      </c>
      <c r="Z2064" s="67" t="s">
        <v>26</v>
      </c>
      <c r="AA2064" s="12" t="s">
        <v>31</v>
      </c>
    </row>
    <row r="2065" spans="1:27" x14ac:dyDescent="0.25">
      <c r="A2065" s="10">
        <v>45687</v>
      </c>
      <c r="B2065" s="11" t="s">
        <v>4250</v>
      </c>
      <c r="C2065" s="11" t="s">
        <v>4251</v>
      </c>
      <c r="D2065" s="11" t="s">
        <v>26</v>
      </c>
      <c r="E2065" s="11" t="s">
        <v>67</v>
      </c>
      <c r="F2065" s="11" t="s">
        <v>26</v>
      </c>
      <c r="G2065" s="11">
        <v>1626</v>
      </c>
      <c r="H2065" s="12" t="s">
        <v>66</v>
      </c>
      <c r="I2065" s="12" t="s">
        <v>37</v>
      </c>
      <c r="J2065" s="12" t="s">
        <v>1909</v>
      </c>
      <c r="K2065" s="12" t="s">
        <v>82</v>
      </c>
      <c r="L2065" s="13">
        <v>38.76</v>
      </c>
      <c r="M2065" s="13">
        <v>25</v>
      </c>
      <c r="N2065" s="13">
        <v>1.5504</v>
      </c>
      <c r="O2065" s="13" t="s">
        <v>30</v>
      </c>
      <c r="P2065" s="13">
        <v>54</v>
      </c>
      <c r="Q2065" s="13">
        <v>0</v>
      </c>
      <c r="R2065" s="14">
        <v>1350</v>
      </c>
      <c r="S2065" s="15">
        <v>0</v>
      </c>
      <c r="T2065" s="15">
        <v>0</v>
      </c>
      <c r="U2065" s="15">
        <v>1350</v>
      </c>
      <c r="V2065" s="15">
        <v>1350</v>
      </c>
      <c r="W2065" s="15">
        <v>0</v>
      </c>
      <c r="X2065" s="15">
        <v>0</v>
      </c>
      <c r="Y2065" s="16">
        <v>0</v>
      </c>
      <c r="Z2065" s="67" t="s">
        <v>26</v>
      </c>
      <c r="AA2065" s="12" t="s">
        <v>31</v>
      </c>
    </row>
    <row r="2066" spans="1:27" x14ac:dyDescent="0.25">
      <c r="A2066" s="10">
        <v>45687</v>
      </c>
      <c r="B2066" s="11" t="s">
        <v>4252</v>
      </c>
      <c r="C2066" s="11" t="s">
        <v>4253</v>
      </c>
      <c r="D2066" s="11" t="s">
        <v>26</v>
      </c>
      <c r="E2066" s="11" t="s">
        <v>224</v>
      </c>
      <c r="F2066" s="11" t="s">
        <v>26</v>
      </c>
      <c r="G2066" s="11">
        <v>55341</v>
      </c>
      <c r="H2066" s="12" t="s">
        <v>4423</v>
      </c>
      <c r="I2066" s="12" t="s">
        <v>27</v>
      </c>
      <c r="J2066" s="12" t="s">
        <v>42</v>
      </c>
      <c r="K2066" s="12" t="s">
        <v>43</v>
      </c>
      <c r="L2066" s="13">
        <v>37.56</v>
      </c>
      <c r="M2066" s="13">
        <v>25</v>
      </c>
      <c r="N2066" s="13">
        <v>1.5024</v>
      </c>
      <c r="O2066" s="13">
        <v>42</v>
      </c>
      <c r="P2066" s="13" t="s">
        <v>30</v>
      </c>
      <c r="Q2066" s="13">
        <v>0</v>
      </c>
      <c r="R2066" s="14">
        <v>1577.52</v>
      </c>
      <c r="S2066" s="15">
        <v>0</v>
      </c>
      <c r="T2066" s="15">
        <v>0</v>
      </c>
      <c r="U2066" s="15">
        <v>1577.52</v>
      </c>
      <c r="V2066" s="15">
        <v>1577.52</v>
      </c>
      <c r="W2066" s="15">
        <v>0</v>
      </c>
      <c r="X2066" s="15">
        <v>0</v>
      </c>
      <c r="Y2066" s="16">
        <v>0</v>
      </c>
      <c r="Z2066" s="67" t="s">
        <v>26</v>
      </c>
      <c r="AA2066" s="12" t="s">
        <v>31</v>
      </c>
    </row>
    <row r="2067" spans="1:27" x14ac:dyDescent="0.25">
      <c r="A2067" s="10">
        <v>45687</v>
      </c>
      <c r="B2067" s="11" t="s">
        <v>175</v>
      </c>
      <c r="C2067" s="11" t="s">
        <v>4254</v>
      </c>
      <c r="D2067" s="11" t="s">
        <v>26</v>
      </c>
      <c r="E2067" s="11" t="s">
        <v>57</v>
      </c>
      <c r="F2067" s="11" t="s">
        <v>26</v>
      </c>
      <c r="G2067" s="11">
        <v>3671</v>
      </c>
      <c r="H2067" s="12" t="s">
        <v>41</v>
      </c>
      <c r="I2067" s="12" t="s">
        <v>55</v>
      </c>
      <c r="J2067" s="12" t="s">
        <v>566</v>
      </c>
      <c r="K2067" s="12" t="s">
        <v>550</v>
      </c>
      <c r="L2067" s="13">
        <v>34.380000000000003</v>
      </c>
      <c r="M2067" s="13">
        <v>22</v>
      </c>
      <c r="N2067" s="13">
        <v>1.562727272727273</v>
      </c>
      <c r="O2067" s="13">
        <v>25</v>
      </c>
      <c r="P2067" s="13"/>
      <c r="Q2067" s="13">
        <v>0</v>
      </c>
      <c r="R2067" s="14">
        <v>859.50000000000011</v>
      </c>
      <c r="S2067" s="15">
        <v>0</v>
      </c>
      <c r="T2067" s="15">
        <v>0</v>
      </c>
      <c r="U2067" s="15">
        <v>859.50000000000011</v>
      </c>
      <c r="V2067" s="15">
        <v>0</v>
      </c>
      <c r="W2067" s="15">
        <v>859.50000000000011</v>
      </c>
      <c r="X2067" s="15">
        <v>0</v>
      </c>
      <c r="Y2067" s="16">
        <v>0</v>
      </c>
      <c r="Z2067" s="67" t="s">
        <v>26</v>
      </c>
      <c r="AA2067" s="12" t="s">
        <v>31</v>
      </c>
    </row>
    <row r="2068" spans="1:27" x14ac:dyDescent="0.25">
      <c r="A2068" s="10">
        <v>45687</v>
      </c>
      <c r="B2068" s="11" t="s">
        <v>4255</v>
      </c>
      <c r="C2068" s="11" t="s">
        <v>4256</v>
      </c>
      <c r="D2068" s="11" t="s">
        <v>26</v>
      </c>
      <c r="E2068" s="11" t="s">
        <v>50</v>
      </c>
      <c r="F2068" s="11" t="s">
        <v>26</v>
      </c>
      <c r="G2068" s="11">
        <v>925</v>
      </c>
      <c r="H2068" s="12" t="s">
        <v>163</v>
      </c>
      <c r="I2068" s="12" t="s">
        <v>27</v>
      </c>
      <c r="J2068" s="12" t="s">
        <v>33</v>
      </c>
      <c r="K2068" s="12" t="s">
        <v>34</v>
      </c>
      <c r="L2068" s="13">
        <v>34.94</v>
      </c>
      <c r="M2068" s="13">
        <v>25</v>
      </c>
      <c r="N2068" s="13">
        <v>1.3976</v>
      </c>
      <c r="O2068" s="13" t="s">
        <v>30</v>
      </c>
      <c r="P2068" s="13">
        <v>58</v>
      </c>
      <c r="Q2068" s="13">
        <v>0</v>
      </c>
      <c r="R2068" s="14">
        <v>1450</v>
      </c>
      <c r="S2068" s="15">
        <v>0</v>
      </c>
      <c r="T2068" s="15">
        <v>0</v>
      </c>
      <c r="U2068" s="15">
        <v>1450</v>
      </c>
      <c r="V2068" s="15">
        <v>0</v>
      </c>
      <c r="W2068" s="15">
        <v>1450</v>
      </c>
      <c r="X2068" s="16">
        <v>0</v>
      </c>
      <c r="Y2068" s="16">
        <v>0</v>
      </c>
      <c r="Z2068" s="67" t="s">
        <v>26</v>
      </c>
      <c r="AA2068" s="12" t="s">
        <v>31</v>
      </c>
    </row>
    <row r="2069" spans="1:27" x14ac:dyDescent="0.25">
      <c r="A2069" s="10">
        <v>45687</v>
      </c>
      <c r="B2069" s="11" t="s">
        <v>4257</v>
      </c>
      <c r="C2069" s="11" t="s">
        <v>4258</v>
      </c>
      <c r="D2069" s="11" t="s">
        <v>26</v>
      </c>
      <c r="E2069" s="11" t="s">
        <v>53</v>
      </c>
      <c r="F2069" s="11" t="s">
        <v>26</v>
      </c>
      <c r="G2069" s="11">
        <v>3782</v>
      </c>
      <c r="H2069" s="12" t="s">
        <v>41</v>
      </c>
      <c r="I2069" s="12" t="s">
        <v>27</v>
      </c>
      <c r="J2069" s="12" t="s">
        <v>47</v>
      </c>
      <c r="K2069" s="12" t="s">
        <v>48</v>
      </c>
      <c r="L2069" s="13">
        <v>35.74</v>
      </c>
      <c r="M2069" s="13">
        <v>22</v>
      </c>
      <c r="N2069" s="13">
        <v>1.624545454545455</v>
      </c>
      <c r="O2069" s="13" t="s">
        <v>30</v>
      </c>
      <c r="P2069" s="13">
        <v>60</v>
      </c>
      <c r="Q2069" s="13">
        <v>0</v>
      </c>
      <c r="R2069" s="14">
        <v>1320</v>
      </c>
      <c r="S2069" s="15">
        <v>0</v>
      </c>
      <c r="T2069" s="15">
        <v>0</v>
      </c>
      <c r="U2069" s="15">
        <v>1320</v>
      </c>
      <c r="V2069" s="15">
        <v>0</v>
      </c>
      <c r="W2069" s="15">
        <v>1320</v>
      </c>
      <c r="X2069" s="15">
        <v>0</v>
      </c>
      <c r="Y2069" s="16">
        <v>0</v>
      </c>
      <c r="Z2069" s="67" t="s">
        <v>26</v>
      </c>
      <c r="AA2069" s="12" t="s">
        <v>31</v>
      </c>
    </row>
    <row r="2070" spans="1:27" x14ac:dyDescent="0.25">
      <c r="A2070" s="10">
        <v>45687</v>
      </c>
      <c r="B2070" s="11" t="s">
        <v>4259</v>
      </c>
      <c r="C2070" s="11" t="s">
        <v>4260</v>
      </c>
      <c r="D2070" s="11" t="s">
        <v>26</v>
      </c>
      <c r="E2070" s="11" t="s">
        <v>552</v>
      </c>
      <c r="F2070" s="11" t="s">
        <v>26</v>
      </c>
      <c r="G2070" s="11">
        <v>69141</v>
      </c>
      <c r="H2070" s="12" t="s">
        <v>4423</v>
      </c>
      <c r="I2070" s="12" t="s">
        <v>27</v>
      </c>
      <c r="J2070" s="12" t="s">
        <v>42</v>
      </c>
      <c r="K2070" s="12" t="s">
        <v>43</v>
      </c>
      <c r="L2070" s="13">
        <v>35.08</v>
      </c>
      <c r="M2070" s="13">
        <v>25</v>
      </c>
      <c r="N2070" s="13">
        <v>1.4032</v>
      </c>
      <c r="O2070" s="13">
        <v>42</v>
      </c>
      <c r="P2070" s="13" t="s">
        <v>30</v>
      </c>
      <c r="Q2070" s="13">
        <v>0</v>
      </c>
      <c r="R2070" s="14">
        <v>1473.36</v>
      </c>
      <c r="S2070" s="15">
        <v>0</v>
      </c>
      <c r="T2070" s="15">
        <v>0</v>
      </c>
      <c r="U2070" s="15">
        <v>1473.36</v>
      </c>
      <c r="V2070" s="15">
        <v>1473.36</v>
      </c>
      <c r="W2070" s="15">
        <v>0</v>
      </c>
      <c r="X2070" s="15">
        <v>0</v>
      </c>
      <c r="Y2070" s="16">
        <v>0</v>
      </c>
      <c r="Z2070" s="67" t="s">
        <v>26</v>
      </c>
      <c r="AA2070" s="12" t="s">
        <v>31</v>
      </c>
    </row>
    <row r="2071" spans="1:27" x14ac:dyDescent="0.25">
      <c r="A2071" s="10">
        <v>45687</v>
      </c>
      <c r="B2071" s="11" t="s">
        <v>4261</v>
      </c>
      <c r="C2071" s="11" t="s">
        <v>4262</v>
      </c>
      <c r="D2071" s="11" t="s">
        <v>26</v>
      </c>
      <c r="E2071" s="11" t="s">
        <v>3637</v>
      </c>
      <c r="F2071" s="11" t="s">
        <v>26</v>
      </c>
      <c r="G2071" s="11" t="s">
        <v>35</v>
      </c>
      <c r="H2071" s="12" t="s">
        <v>36</v>
      </c>
      <c r="I2071" s="12" t="s">
        <v>27</v>
      </c>
      <c r="J2071" s="12" t="s">
        <v>33</v>
      </c>
      <c r="K2071" s="12" t="s">
        <v>34</v>
      </c>
      <c r="L2071" s="13">
        <v>8.5</v>
      </c>
      <c r="M2071" s="13">
        <v>6</v>
      </c>
      <c r="N2071" s="13">
        <v>1.416666666666667</v>
      </c>
      <c r="O2071" s="13">
        <v>50</v>
      </c>
      <c r="P2071" s="13" t="s">
        <v>30</v>
      </c>
      <c r="Q2071" s="13">
        <v>0</v>
      </c>
      <c r="R2071" s="14">
        <v>425</v>
      </c>
      <c r="S2071" s="15">
        <v>0</v>
      </c>
      <c r="T2071" s="15">
        <v>0</v>
      </c>
      <c r="U2071" s="15">
        <v>425</v>
      </c>
      <c r="V2071" s="15">
        <v>0</v>
      </c>
      <c r="W2071" s="15">
        <v>425</v>
      </c>
      <c r="X2071" s="15">
        <v>0</v>
      </c>
      <c r="Y2071" s="16">
        <v>0</v>
      </c>
      <c r="Z2071" s="67" t="s">
        <v>26</v>
      </c>
      <c r="AA2071" s="12" t="s">
        <v>31</v>
      </c>
    </row>
    <row r="2072" spans="1:27" x14ac:dyDescent="0.25">
      <c r="A2072" s="10">
        <v>45687</v>
      </c>
      <c r="B2072" s="11" t="s">
        <v>4263</v>
      </c>
      <c r="C2072" s="11" t="s">
        <v>4264</v>
      </c>
      <c r="D2072" s="11" t="s">
        <v>26</v>
      </c>
      <c r="E2072" s="11" t="s">
        <v>418</v>
      </c>
      <c r="F2072" s="11" t="s">
        <v>26</v>
      </c>
      <c r="G2072" s="11">
        <v>2586</v>
      </c>
      <c r="H2072" s="12" t="s">
        <v>163</v>
      </c>
      <c r="I2072" s="12" t="s">
        <v>27</v>
      </c>
      <c r="J2072" s="12" t="s">
        <v>33</v>
      </c>
      <c r="K2072" s="12" t="s">
        <v>34</v>
      </c>
      <c r="L2072" s="13">
        <v>36.08</v>
      </c>
      <c r="M2072" s="13">
        <v>25</v>
      </c>
      <c r="N2072" s="13">
        <v>1.4432</v>
      </c>
      <c r="O2072" s="13" t="s">
        <v>30</v>
      </c>
      <c r="P2072" s="13">
        <v>58</v>
      </c>
      <c r="Q2072" s="13">
        <v>0</v>
      </c>
      <c r="R2072" s="15">
        <v>1450</v>
      </c>
      <c r="S2072" s="15">
        <v>0</v>
      </c>
      <c r="T2072" s="15">
        <v>0</v>
      </c>
      <c r="U2072" s="15">
        <v>1450</v>
      </c>
      <c r="V2072" s="15">
        <v>0</v>
      </c>
      <c r="W2072" s="15">
        <v>1450</v>
      </c>
      <c r="X2072" s="15">
        <v>0</v>
      </c>
      <c r="Y2072" s="16">
        <v>0</v>
      </c>
      <c r="Z2072" s="67" t="s">
        <v>26</v>
      </c>
      <c r="AA2072" s="12" t="s">
        <v>31</v>
      </c>
    </row>
    <row r="2073" spans="1:27" x14ac:dyDescent="0.25">
      <c r="A2073" s="10">
        <v>45687</v>
      </c>
      <c r="B2073" s="11" t="s">
        <v>384</v>
      </c>
      <c r="C2073" s="11" t="s">
        <v>4265</v>
      </c>
      <c r="D2073" s="11" t="s">
        <v>26</v>
      </c>
      <c r="E2073" s="11" t="s">
        <v>3938</v>
      </c>
      <c r="F2073" s="11" t="s">
        <v>26</v>
      </c>
      <c r="G2073" s="11" t="s">
        <v>35</v>
      </c>
      <c r="H2073" s="12" t="s">
        <v>36</v>
      </c>
      <c r="I2073" s="12" t="s">
        <v>55</v>
      </c>
      <c r="J2073" s="12" t="s">
        <v>55</v>
      </c>
      <c r="K2073" s="12" t="s">
        <v>56</v>
      </c>
      <c r="L2073" s="13">
        <v>10.46</v>
      </c>
      <c r="M2073" s="13">
        <v>7</v>
      </c>
      <c r="N2073" s="13">
        <v>1.494285714285714</v>
      </c>
      <c r="O2073" s="13">
        <v>20</v>
      </c>
      <c r="P2073" s="13" t="s">
        <v>30</v>
      </c>
      <c r="Q2073" s="13">
        <v>0</v>
      </c>
      <c r="R2073" s="14">
        <v>209.20000000000002</v>
      </c>
      <c r="S2073" s="15">
        <v>0</v>
      </c>
      <c r="T2073" s="15">
        <v>0</v>
      </c>
      <c r="U2073" s="15">
        <v>209.20000000000002</v>
      </c>
      <c r="V2073" s="15">
        <v>0</v>
      </c>
      <c r="W2073" s="15">
        <v>209.20000000000002</v>
      </c>
      <c r="X2073" s="15">
        <v>0</v>
      </c>
      <c r="Y2073" s="16">
        <v>0</v>
      </c>
      <c r="Z2073" s="67" t="s">
        <v>26</v>
      </c>
      <c r="AA2073" s="12" t="s">
        <v>31</v>
      </c>
    </row>
    <row r="2074" spans="1:27" x14ac:dyDescent="0.25">
      <c r="A2074" s="10">
        <v>45687</v>
      </c>
      <c r="B2074" s="11" t="s">
        <v>4266</v>
      </c>
      <c r="C2074" s="11" t="s">
        <v>4267</v>
      </c>
      <c r="D2074" s="11" t="s">
        <v>26</v>
      </c>
      <c r="E2074" s="11" t="s">
        <v>80</v>
      </c>
      <c r="F2074" s="11" t="s">
        <v>26</v>
      </c>
      <c r="G2074" s="11">
        <v>10667</v>
      </c>
      <c r="H2074" s="12" t="s">
        <v>140</v>
      </c>
      <c r="I2074" s="12" t="s">
        <v>27</v>
      </c>
      <c r="J2074" s="12" t="s">
        <v>47</v>
      </c>
      <c r="K2074" s="12" t="s">
        <v>48</v>
      </c>
      <c r="L2074" s="13">
        <v>40.22</v>
      </c>
      <c r="M2074" s="13">
        <v>28</v>
      </c>
      <c r="N2074" s="13">
        <v>1.4364285714285709</v>
      </c>
      <c r="O2074" s="13">
        <v>40</v>
      </c>
      <c r="P2074" s="13"/>
      <c r="Q2074" s="13">
        <v>0</v>
      </c>
      <c r="R2074" s="14">
        <v>1608.8</v>
      </c>
      <c r="S2074" s="15">
        <v>0</v>
      </c>
      <c r="T2074" s="15">
        <v>0</v>
      </c>
      <c r="U2074" s="15">
        <v>1608.8</v>
      </c>
      <c r="V2074" s="15">
        <v>0</v>
      </c>
      <c r="W2074" s="15">
        <v>1608.8</v>
      </c>
      <c r="X2074" s="15">
        <v>0</v>
      </c>
      <c r="Y2074" s="16">
        <v>0</v>
      </c>
      <c r="Z2074" s="67" t="s">
        <v>26</v>
      </c>
      <c r="AA2074" s="12" t="s">
        <v>31</v>
      </c>
    </row>
    <row r="2075" spans="1:27" x14ac:dyDescent="0.25">
      <c r="A2075" s="10">
        <v>45687</v>
      </c>
      <c r="B2075" s="11" t="s">
        <v>3776</v>
      </c>
      <c r="C2075" s="11" t="s">
        <v>4268</v>
      </c>
      <c r="D2075" s="11" t="s">
        <v>26</v>
      </c>
      <c r="E2075" s="11" t="s">
        <v>1200</v>
      </c>
      <c r="F2075" s="11" t="s">
        <v>26</v>
      </c>
      <c r="G2075" s="11">
        <v>2582</v>
      </c>
      <c r="H2075" s="12" t="s">
        <v>163</v>
      </c>
      <c r="I2075" s="12" t="s">
        <v>27</v>
      </c>
      <c r="J2075" s="12" t="s">
        <v>33</v>
      </c>
      <c r="K2075" s="12" t="s">
        <v>34</v>
      </c>
      <c r="L2075" s="13">
        <v>37.9</v>
      </c>
      <c r="M2075" s="13">
        <v>25</v>
      </c>
      <c r="N2075" s="13">
        <v>1.516</v>
      </c>
      <c r="O2075" s="13" t="s">
        <v>30</v>
      </c>
      <c r="P2075" s="13">
        <v>58</v>
      </c>
      <c r="Q2075" s="13">
        <v>0</v>
      </c>
      <c r="R2075" s="14">
        <v>1450</v>
      </c>
      <c r="S2075" s="15">
        <v>0</v>
      </c>
      <c r="T2075" s="15">
        <v>0</v>
      </c>
      <c r="U2075" s="15">
        <v>1450</v>
      </c>
      <c r="V2075" s="15">
        <v>0</v>
      </c>
      <c r="W2075" s="15">
        <v>1450</v>
      </c>
      <c r="X2075" s="15">
        <v>0</v>
      </c>
      <c r="Y2075" s="16">
        <v>0</v>
      </c>
      <c r="Z2075" s="67" t="s">
        <v>26</v>
      </c>
      <c r="AA2075" s="12" t="s">
        <v>31</v>
      </c>
    </row>
    <row r="2076" spans="1:27" x14ac:dyDescent="0.25">
      <c r="A2076" s="10">
        <v>45687</v>
      </c>
      <c r="B2076" s="11" t="s">
        <v>3774</v>
      </c>
      <c r="C2076" s="11" t="s">
        <v>4269</v>
      </c>
      <c r="D2076" s="11" t="s">
        <v>26</v>
      </c>
      <c r="E2076" s="11" t="s">
        <v>3938</v>
      </c>
      <c r="F2076" s="11" t="s">
        <v>26</v>
      </c>
      <c r="G2076" s="11" t="s">
        <v>35</v>
      </c>
      <c r="H2076" s="12" t="s">
        <v>36</v>
      </c>
      <c r="I2076" s="12" t="s">
        <v>55</v>
      </c>
      <c r="J2076" s="12" t="s">
        <v>55</v>
      </c>
      <c r="K2076" s="12" t="s">
        <v>56</v>
      </c>
      <c r="L2076" s="13">
        <v>10.7</v>
      </c>
      <c r="M2076" s="13">
        <v>7</v>
      </c>
      <c r="N2076" s="13">
        <v>1.528571428571428</v>
      </c>
      <c r="O2076" s="13">
        <v>20</v>
      </c>
      <c r="P2076" s="13" t="s">
        <v>30</v>
      </c>
      <c r="Q2076" s="13">
        <v>0</v>
      </c>
      <c r="R2076" s="14">
        <v>214</v>
      </c>
      <c r="S2076" s="15">
        <v>0</v>
      </c>
      <c r="T2076" s="15">
        <v>0</v>
      </c>
      <c r="U2076" s="15">
        <v>214</v>
      </c>
      <c r="V2076" s="15">
        <v>0</v>
      </c>
      <c r="W2076" s="15">
        <v>214</v>
      </c>
      <c r="X2076" s="15">
        <v>0</v>
      </c>
      <c r="Y2076" s="16">
        <v>0</v>
      </c>
      <c r="Z2076" s="67" t="s">
        <v>26</v>
      </c>
      <c r="AA2076" s="12" t="s">
        <v>31</v>
      </c>
    </row>
    <row r="2077" spans="1:27" x14ac:dyDescent="0.25">
      <c r="A2077" s="10">
        <v>45688</v>
      </c>
      <c r="B2077" s="11" t="s">
        <v>4270</v>
      </c>
      <c r="C2077" s="11" t="s">
        <v>4271</v>
      </c>
      <c r="D2077" s="11" t="s">
        <v>26</v>
      </c>
      <c r="E2077" s="11" t="s">
        <v>496</v>
      </c>
      <c r="F2077" s="11" t="s">
        <v>26</v>
      </c>
      <c r="G2077" s="11">
        <v>22916</v>
      </c>
      <c r="H2077" s="12" t="s">
        <v>4448</v>
      </c>
      <c r="I2077" s="12" t="s">
        <v>27</v>
      </c>
      <c r="J2077" s="12" t="s">
        <v>47</v>
      </c>
      <c r="K2077" s="12" t="s">
        <v>48</v>
      </c>
      <c r="L2077" s="13">
        <v>38.28</v>
      </c>
      <c r="M2077" s="13">
        <v>25</v>
      </c>
      <c r="N2077" s="13">
        <v>1.5311999999999999</v>
      </c>
      <c r="O2077" s="13">
        <v>46.66</v>
      </c>
      <c r="P2077" s="13" t="s">
        <v>30</v>
      </c>
      <c r="Q2077" s="13">
        <v>0</v>
      </c>
      <c r="R2077" s="14">
        <v>1786.1448</v>
      </c>
      <c r="S2077" s="15">
        <v>0</v>
      </c>
      <c r="T2077" s="15">
        <v>0</v>
      </c>
      <c r="U2077" s="15">
        <v>1786.1448</v>
      </c>
      <c r="V2077" s="15">
        <v>1339.6086</v>
      </c>
      <c r="W2077" s="15">
        <v>446.53620000000001</v>
      </c>
      <c r="X2077" s="15">
        <v>0</v>
      </c>
      <c r="Y2077" s="16">
        <v>0</v>
      </c>
      <c r="Z2077" s="67" t="s">
        <v>26</v>
      </c>
      <c r="AA2077" s="12" t="s">
        <v>31</v>
      </c>
    </row>
    <row r="2078" spans="1:27" x14ac:dyDescent="0.25">
      <c r="A2078" s="10">
        <v>45688</v>
      </c>
      <c r="B2078" s="11" t="s">
        <v>1223</v>
      </c>
      <c r="C2078" s="11" t="s">
        <v>4272</v>
      </c>
      <c r="D2078" s="11" t="s">
        <v>26</v>
      </c>
      <c r="E2078" s="11" t="s">
        <v>100</v>
      </c>
      <c r="F2078" s="11" t="s">
        <v>26</v>
      </c>
      <c r="G2078" s="11">
        <v>21737</v>
      </c>
      <c r="H2078" s="12" t="s">
        <v>4448</v>
      </c>
      <c r="I2078" s="12" t="s">
        <v>27</v>
      </c>
      <c r="J2078" s="12" t="s">
        <v>47</v>
      </c>
      <c r="K2078" s="12" t="s">
        <v>48</v>
      </c>
      <c r="L2078" s="13">
        <v>39.36</v>
      </c>
      <c r="M2078" s="13">
        <v>27</v>
      </c>
      <c r="N2078" s="13">
        <v>1.4577777777777781</v>
      </c>
      <c r="O2078" s="13">
        <v>46.66</v>
      </c>
      <c r="P2078" s="13" t="s">
        <v>30</v>
      </c>
      <c r="Q2078" s="13">
        <v>0</v>
      </c>
      <c r="R2078" s="14">
        <v>1836.5375999999999</v>
      </c>
      <c r="S2078" s="15">
        <v>0</v>
      </c>
      <c r="T2078" s="15">
        <v>0</v>
      </c>
      <c r="U2078" s="15">
        <v>1836.5375999999999</v>
      </c>
      <c r="V2078" s="15">
        <v>1377.4032</v>
      </c>
      <c r="W2078" s="15">
        <v>459.13439999999991</v>
      </c>
      <c r="X2078" s="15">
        <v>0</v>
      </c>
      <c r="Y2078" s="16">
        <v>0</v>
      </c>
      <c r="Z2078" s="67" t="s">
        <v>26</v>
      </c>
      <c r="AA2078" s="12" t="s">
        <v>31</v>
      </c>
    </row>
    <row r="2079" spans="1:27" x14ac:dyDescent="0.25">
      <c r="A2079" s="10">
        <v>45688</v>
      </c>
      <c r="B2079" s="11" t="s">
        <v>1122</v>
      </c>
      <c r="C2079" s="11" t="s">
        <v>4273</v>
      </c>
      <c r="D2079" s="11" t="s">
        <v>26</v>
      </c>
      <c r="E2079" s="11" t="s">
        <v>553</v>
      </c>
      <c r="F2079" s="11" t="s">
        <v>26</v>
      </c>
      <c r="G2079" s="11">
        <v>4671</v>
      </c>
      <c r="H2079" s="12" t="s">
        <v>4423</v>
      </c>
      <c r="I2079" s="12" t="s">
        <v>27</v>
      </c>
      <c r="J2079" s="12" t="s">
        <v>33</v>
      </c>
      <c r="K2079" s="12" t="s">
        <v>34</v>
      </c>
      <c r="L2079" s="13">
        <v>33.82</v>
      </c>
      <c r="M2079" s="13">
        <v>25</v>
      </c>
      <c r="N2079" s="13">
        <v>1.3528</v>
      </c>
      <c r="O2079" s="13">
        <v>45</v>
      </c>
      <c r="P2079" s="13" t="s">
        <v>30</v>
      </c>
      <c r="Q2079" s="13">
        <v>0</v>
      </c>
      <c r="R2079" s="14">
        <v>1521.9</v>
      </c>
      <c r="S2079" s="15">
        <v>0</v>
      </c>
      <c r="T2079" s="15">
        <v>0</v>
      </c>
      <c r="U2079" s="15">
        <v>1521.9</v>
      </c>
      <c r="V2079" s="15">
        <v>1521.9</v>
      </c>
      <c r="W2079" s="15">
        <v>0</v>
      </c>
      <c r="X2079" s="15">
        <v>0</v>
      </c>
      <c r="Y2079" s="16">
        <v>0</v>
      </c>
      <c r="Z2079" s="67" t="s">
        <v>26</v>
      </c>
      <c r="AA2079" s="12" t="s">
        <v>31</v>
      </c>
    </row>
    <row r="2080" spans="1:27" x14ac:dyDescent="0.25">
      <c r="A2080" s="10">
        <v>45688</v>
      </c>
      <c r="B2080" s="11" t="s">
        <v>298</v>
      </c>
      <c r="C2080" s="11" t="s">
        <v>4274</v>
      </c>
      <c r="D2080" s="11" t="s">
        <v>26</v>
      </c>
      <c r="E2080" s="11" t="s">
        <v>50</v>
      </c>
      <c r="F2080" s="11" t="s">
        <v>26</v>
      </c>
      <c r="G2080" s="11">
        <v>926</v>
      </c>
      <c r="H2080" s="12" t="s">
        <v>163</v>
      </c>
      <c r="I2080" s="12" t="s">
        <v>27</v>
      </c>
      <c r="J2080" s="12" t="s">
        <v>33</v>
      </c>
      <c r="K2080" s="12" t="s">
        <v>34</v>
      </c>
      <c r="L2080" s="13">
        <v>38.56</v>
      </c>
      <c r="M2080" s="13">
        <v>25</v>
      </c>
      <c r="N2080" s="13">
        <v>1.5424</v>
      </c>
      <c r="O2080" s="13" t="s">
        <v>30</v>
      </c>
      <c r="P2080" s="13">
        <v>58</v>
      </c>
      <c r="Q2080" s="13">
        <v>0</v>
      </c>
      <c r="R2080" s="15">
        <v>1450</v>
      </c>
      <c r="S2080" s="15">
        <v>0</v>
      </c>
      <c r="T2080" s="15">
        <v>0</v>
      </c>
      <c r="U2080" s="15">
        <v>1450</v>
      </c>
      <c r="V2080" s="15">
        <v>0</v>
      </c>
      <c r="W2080" s="15">
        <v>1450</v>
      </c>
      <c r="X2080" s="15">
        <v>0</v>
      </c>
      <c r="Y2080" s="16">
        <v>0</v>
      </c>
      <c r="Z2080" s="67" t="s">
        <v>26</v>
      </c>
      <c r="AA2080" s="12" t="s">
        <v>31</v>
      </c>
    </row>
    <row r="2081" spans="1:27" x14ac:dyDescent="0.25">
      <c r="A2081" s="10">
        <v>45688</v>
      </c>
      <c r="B2081" s="11" t="s">
        <v>470</v>
      </c>
      <c r="C2081" s="11" t="s">
        <v>4275</v>
      </c>
      <c r="D2081" s="11" t="s">
        <v>26</v>
      </c>
      <c r="E2081" s="11" t="s">
        <v>224</v>
      </c>
      <c r="F2081" s="11" t="s">
        <v>26</v>
      </c>
      <c r="G2081" s="11">
        <v>55342</v>
      </c>
      <c r="H2081" s="12" t="s">
        <v>4423</v>
      </c>
      <c r="I2081" s="12" t="s">
        <v>27</v>
      </c>
      <c r="J2081" s="12" t="s">
        <v>33</v>
      </c>
      <c r="K2081" s="12" t="s">
        <v>34</v>
      </c>
      <c r="L2081" s="13">
        <v>37.4</v>
      </c>
      <c r="M2081" s="13">
        <v>25</v>
      </c>
      <c r="N2081" s="13">
        <v>1.496</v>
      </c>
      <c r="O2081" s="13">
        <v>45</v>
      </c>
      <c r="P2081" s="13" t="s">
        <v>30</v>
      </c>
      <c r="Q2081" s="13">
        <v>0</v>
      </c>
      <c r="R2081" s="14">
        <v>1683</v>
      </c>
      <c r="S2081" s="15">
        <v>0</v>
      </c>
      <c r="T2081" s="15">
        <v>0</v>
      </c>
      <c r="U2081" s="15">
        <v>1683</v>
      </c>
      <c r="V2081" s="15">
        <v>1683</v>
      </c>
      <c r="W2081" s="15">
        <v>0</v>
      </c>
      <c r="X2081" s="15">
        <v>0</v>
      </c>
      <c r="Y2081" s="16">
        <v>0</v>
      </c>
      <c r="Z2081" s="67" t="s">
        <v>26</v>
      </c>
      <c r="AA2081" s="12" t="s">
        <v>31</v>
      </c>
    </row>
    <row r="2082" spans="1:27" x14ac:dyDescent="0.25">
      <c r="A2082" s="10">
        <v>45688</v>
      </c>
      <c r="B2082" s="11" t="s">
        <v>279</v>
      </c>
      <c r="C2082" s="11" t="s">
        <v>4276</v>
      </c>
      <c r="D2082" s="11" t="s">
        <v>26</v>
      </c>
      <c r="E2082" s="11" t="s">
        <v>53</v>
      </c>
      <c r="F2082" s="11" t="s">
        <v>26</v>
      </c>
      <c r="G2082" s="11" t="s">
        <v>26</v>
      </c>
      <c r="H2082" s="12" t="s">
        <v>146</v>
      </c>
      <c r="I2082" s="12" t="s">
        <v>27</v>
      </c>
      <c r="J2082" s="12" t="s">
        <v>47</v>
      </c>
      <c r="K2082" s="12" t="s">
        <v>48</v>
      </c>
      <c r="L2082" s="13">
        <v>45.86</v>
      </c>
      <c r="M2082" s="13">
        <v>31</v>
      </c>
      <c r="N2082" s="13">
        <v>1.4793548387096771</v>
      </c>
      <c r="O2082" s="13">
        <v>91</v>
      </c>
      <c r="P2082" s="13" t="s">
        <v>30</v>
      </c>
      <c r="Q2082" s="13">
        <v>0</v>
      </c>
      <c r="R2082" s="14">
        <v>4173.26</v>
      </c>
      <c r="S2082" s="15">
        <v>40</v>
      </c>
      <c r="T2082" s="15">
        <v>1834.4</v>
      </c>
      <c r="U2082" s="15">
        <v>2338.86</v>
      </c>
      <c r="V2082" s="15">
        <v>2338.86</v>
      </c>
      <c r="W2082" s="15">
        <v>0</v>
      </c>
      <c r="X2082" s="15">
        <v>1696.82</v>
      </c>
      <c r="Y2082" s="16">
        <v>137.58000000000015</v>
      </c>
      <c r="Z2082" s="67" t="s">
        <v>41</v>
      </c>
      <c r="AA2082" s="12" t="s">
        <v>79</v>
      </c>
    </row>
    <row r="2083" spans="1:27" x14ac:dyDescent="0.25">
      <c r="A2083" s="10">
        <v>45688</v>
      </c>
      <c r="B2083" s="11" t="s">
        <v>679</v>
      </c>
      <c r="C2083" s="11" t="s">
        <v>4277</v>
      </c>
      <c r="D2083" s="11" t="s">
        <v>26</v>
      </c>
      <c r="E2083" s="11" t="s">
        <v>552</v>
      </c>
      <c r="F2083" s="11" t="s">
        <v>26</v>
      </c>
      <c r="G2083" s="11">
        <v>69142</v>
      </c>
      <c r="H2083" s="12" t="s">
        <v>4423</v>
      </c>
      <c r="I2083" s="12" t="s">
        <v>27</v>
      </c>
      <c r="J2083" s="12" t="s">
        <v>33</v>
      </c>
      <c r="K2083" s="12" t="s">
        <v>34</v>
      </c>
      <c r="L2083" s="13">
        <v>36.1</v>
      </c>
      <c r="M2083" s="13">
        <v>25</v>
      </c>
      <c r="N2083" s="13">
        <v>1.444</v>
      </c>
      <c r="O2083" s="13">
        <v>45</v>
      </c>
      <c r="P2083" s="13" t="s">
        <v>30</v>
      </c>
      <c r="Q2083" s="13">
        <v>0</v>
      </c>
      <c r="R2083" s="14">
        <v>1624.5</v>
      </c>
      <c r="S2083" s="15">
        <v>0</v>
      </c>
      <c r="T2083" s="15">
        <v>0</v>
      </c>
      <c r="U2083" s="15">
        <v>1624.5</v>
      </c>
      <c r="V2083" s="15">
        <v>1624.5</v>
      </c>
      <c r="W2083" s="15">
        <v>0</v>
      </c>
      <c r="X2083" s="15">
        <v>0</v>
      </c>
      <c r="Y2083" s="16">
        <v>0</v>
      </c>
      <c r="Z2083" s="67" t="s">
        <v>26</v>
      </c>
      <c r="AA2083" s="12" t="s">
        <v>31</v>
      </c>
    </row>
    <row r="2084" spans="1:27" x14ac:dyDescent="0.25">
      <c r="A2084" s="10">
        <v>45688</v>
      </c>
      <c r="B2084" s="11" t="s">
        <v>4278</v>
      </c>
      <c r="C2084" s="11" t="s">
        <v>4279</v>
      </c>
      <c r="D2084" s="11" t="s">
        <v>26</v>
      </c>
      <c r="E2084" s="11" t="s">
        <v>539</v>
      </c>
      <c r="F2084" s="11" t="s">
        <v>26</v>
      </c>
      <c r="G2084" s="11" t="s">
        <v>26</v>
      </c>
      <c r="H2084" s="12" t="s">
        <v>146</v>
      </c>
      <c r="I2084" s="12" t="s">
        <v>27</v>
      </c>
      <c r="J2084" s="12" t="s">
        <v>47</v>
      </c>
      <c r="K2084" s="12" t="s">
        <v>48</v>
      </c>
      <c r="L2084" s="13">
        <v>44.02</v>
      </c>
      <c r="M2084" s="13">
        <v>30</v>
      </c>
      <c r="N2084" s="13">
        <v>1.4673333333333329</v>
      </c>
      <c r="O2084" s="13">
        <v>91</v>
      </c>
      <c r="P2084" s="13" t="s">
        <v>30</v>
      </c>
      <c r="Q2084" s="13">
        <v>0</v>
      </c>
      <c r="R2084" s="14">
        <v>4005.82</v>
      </c>
      <c r="S2084" s="15">
        <v>40</v>
      </c>
      <c r="T2084" s="15">
        <v>1760.8000000000002</v>
      </c>
      <c r="U2084" s="15">
        <v>2245.02</v>
      </c>
      <c r="V2084" s="15">
        <v>2245.02</v>
      </c>
      <c r="W2084" s="15">
        <v>0</v>
      </c>
      <c r="X2084" s="15">
        <v>1628.74</v>
      </c>
      <c r="Y2084" s="16">
        <v>132.06000000000017</v>
      </c>
      <c r="Z2084" s="67" t="s">
        <v>41</v>
      </c>
      <c r="AA2084" s="12" t="s">
        <v>79</v>
      </c>
    </row>
    <row r="2085" spans="1:27" x14ac:dyDescent="0.25">
      <c r="A2085" s="10">
        <v>45688</v>
      </c>
      <c r="B2085" s="11" t="s">
        <v>2540</v>
      </c>
      <c r="C2085" s="11" t="s">
        <v>4280</v>
      </c>
      <c r="D2085" s="11" t="s">
        <v>26</v>
      </c>
      <c r="E2085" s="11" t="s">
        <v>2109</v>
      </c>
      <c r="F2085" s="11" t="s">
        <v>26</v>
      </c>
      <c r="G2085" s="11">
        <v>10613</v>
      </c>
      <c r="H2085" s="12" t="s">
        <v>140</v>
      </c>
      <c r="I2085" s="12" t="s">
        <v>27</v>
      </c>
      <c r="J2085" s="12" t="s">
        <v>33</v>
      </c>
      <c r="K2085" s="12" t="s">
        <v>34</v>
      </c>
      <c r="L2085" s="13">
        <v>43.26</v>
      </c>
      <c r="M2085" s="13">
        <v>30</v>
      </c>
      <c r="N2085" s="13">
        <v>1.4419999999999999</v>
      </c>
      <c r="O2085" s="13">
        <v>40</v>
      </c>
      <c r="P2085" s="13"/>
      <c r="Q2085" s="13">
        <v>0</v>
      </c>
      <c r="R2085" s="14">
        <v>1730.3999999999999</v>
      </c>
      <c r="S2085" s="15">
        <v>0</v>
      </c>
      <c r="T2085" s="15">
        <v>0</v>
      </c>
      <c r="U2085" s="15">
        <v>1730.3999999999999</v>
      </c>
      <c r="V2085" s="15">
        <v>0</v>
      </c>
      <c r="W2085" s="15">
        <v>1730.3999999999999</v>
      </c>
      <c r="X2085" s="15">
        <v>0</v>
      </c>
      <c r="Y2085" s="16">
        <v>0</v>
      </c>
      <c r="Z2085" s="67" t="s">
        <v>26</v>
      </c>
      <c r="AA2085" s="12" t="s">
        <v>31</v>
      </c>
    </row>
    <row r="2086" spans="1:27" x14ac:dyDescent="0.25">
      <c r="A2086" s="10">
        <v>45688</v>
      </c>
      <c r="B2086" s="11" t="s">
        <v>4281</v>
      </c>
      <c r="C2086" s="11" t="s">
        <v>4282</v>
      </c>
      <c r="D2086" s="11" t="s">
        <v>26</v>
      </c>
      <c r="E2086" s="11" t="s">
        <v>57</v>
      </c>
      <c r="F2086" s="11" t="s">
        <v>26</v>
      </c>
      <c r="G2086" s="11" t="s">
        <v>26</v>
      </c>
      <c r="H2086" s="12" t="s">
        <v>4422</v>
      </c>
      <c r="I2086" s="12" t="s">
        <v>27</v>
      </c>
      <c r="J2086" s="12" t="s">
        <v>33</v>
      </c>
      <c r="K2086" s="12" t="s">
        <v>34</v>
      </c>
      <c r="L2086" s="13">
        <v>43.08</v>
      </c>
      <c r="M2086" s="13">
        <v>29</v>
      </c>
      <c r="N2086" s="13">
        <v>1.4855172413793101</v>
      </c>
      <c r="O2086" s="13">
        <v>85</v>
      </c>
      <c r="P2086" s="13" t="s">
        <v>30</v>
      </c>
      <c r="Q2086" s="13">
        <v>0</v>
      </c>
      <c r="R2086" s="14">
        <v>3661.7999999999997</v>
      </c>
      <c r="S2086" s="15">
        <v>38</v>
      </c>
      <c r="T2086" s="15">
        <v>1637.04</v>
      </c>
      <c r="U2086" s="15">
        <v>2024.7599999999998</v>
      </c>
      <c r="V2086" s="15">
        <v>2024.7599999999998</v>
      </c>
      <c r="W2086" s="15">
        <v>0</v>
      </c>
      <c r="X2086" s="15">
        <v>1593.96</v>
      </c>
      <c r="Y2086" s="16">
        <v>43.079999999999927</v>
      </c>
      <c r="Z2086" s="67" t="s">
        <v>41</v>
      </c>
      <c r="AA2086" s="12" t="s">
        <v>78</v>
      </c>
    </row>
    <row r="2087" spans="1:27" x14ac:dyDescent="0.25">
      <c r="A2087" s="10">
        <v>45688</v>
      </c>
      <c r="B2087" s="11" t="s">
        <v>675</v>
      </c>
      <c r="C2087" s="11" t="s">
        <v>4283</v>
      </c>
      <c r="D2087" s="11" t="s">
        <v>26</v>
      </c>
      <c r="E2087" s="11" t="s">
        <v>529</v>
      </c>
      <c r="F2087" s="11" t="s">
        <v>26</v>
      </c>
      <c r="G2087" s="11">
        <v>2587</v>
      </c>
      <c r="H2087" s="12" t="s">
        <v>163</v>
      </c>
      <c r="I2087" s="12" t="s">
        <v>27</v>
      </c>
      <c r="J2087" s="12" t="s">
        <v>42</v>
      </c>
      <c r="K2087" s="12" t="s">
        <v>43</v>
      </c>
      <c r="L2087" s="13">
        <v>40.799999999999997</v>
      </c>
      <c r="M2087" s="13">
        <v>25</v>
      </c>
      <c r="N2087" s="13">
        <v>1.6319999999999999</v>
      </c>
      <c r="O2087" s="13" t="s">
        <v>30</v>
      </c>
      <c r="P2087" s="13">
        <v>56</v>
      </c>
      <c r="Q2087" s="13">
        <v>0</v>
      </c>
      <c r="R2087" s="14">
        <v>1400</v>
      </c>
      <c r="S2087" s="15">
        <v>0</v>
      </c>
      <c r="T2087" s="15">
        <v>0</v>
      </c>
      <c r="U2087" s="15">
        <v>1400</v>
      </c>
      <c r="V2087" s="15">
        <v>0</v>
      </c>
      <c r="W2087" s="15">
        <v>1400</v>
      </c>
      <c r="X2087" s="15">
        <v>0</v>
      </c>
      <c r="Y2087" s="16">
        <v>0</v>
      </c>
      <c r="Z2087" s="67" t="s">
        <v>26</v>
      </c>
      <c r="AA2087" s="12" t="s">
        <v>31</v>
      </c>
    </row>
    <row r="2088" spans="1:27" x14ac:dyDescent="0.25">
      <c r="A2088" s="10">
        <v>45688</v>
      </c>
      <c r="B2088" s="11" t="s">
        <v>4183</v>
      </c>
      <c r="C2088" s="11" t="s">
        <v>4284</v>
      </c>
      <c r="D2088" s="11" t="s">
        <v>26</v>
      </c>
      <c r="E2088" s="11" t="s">
        <v>489</v>
      </c>
      <c r="F2088" s="11" t="s">
        <v>26</v>
      </c>
      <c r="G2088" s="11">
        <v>77488</v>
      </c>
      <c r="H2088" s="12" t="s">
        <v>4448</v>
      </c>
      <c r="I2088" s="12" t="s">
        <v>55</v>
      </c>
      <c r="J2088" s="12" t="s">
        <v>55</v>
      </c>
      <c r="K2088" s="12" t="s">
        <v>56</v>
      </c>
      <c r="L2088" s="13">
        <v>37.619999999999997</v>
      </c>
      <c r="M2088" s="13">
        <v>25</v>
      </c>
      <c r="N2088" s="13">
        <v>1.5047999999999999</v>
      </c>
      <c r="O2088" s="13">
        <v>15</v>
      </c>
      <c r="P2088" s="13" t="s">
        <v>30</v>
      </c>
      <c r="Q2088" s="13">
        <v>0</v>
      </c>
      <c r="R2088" s="14">
        <v>564.29999999999995</v>
      </c>
      <c r="S2088" s="15">
        <v>0</v>
      </c>
      <c r="T2088" s="15">
        <v>0</v>
      </c>
      <c r="U2088" s="15">
        <v>564.29999999999995</v>
      </c>
      <c r="V2088" s="15">
        <v>423.22499999999997</v>
      </c>
      <c r="W2088" s="15">
        <v>141.07499999999999</v>
      </c>
      <c r="X2088" s="15">
        <v>0</v>
      </c>
      <c r="Y2088" s="16">
        <v>0</v>
      </c>
      <c r="Z2088" s="67" t="s">
        <v>26</v>
      </c>
      <c r="AA2088" s="12" t="s">
        <v>31</v>
      </c>
    </row>
    <row r="2089" spans="1:27" x14ac:dyDescent="0.25">
      <c r="A2089" s="10">
        <v>45688</v>
      </c>
      <c r="B2089" s="11" t="s">
        <v>278</v>
      </c>
      <c r="C2089" s="11" t="s">
        <v>4285</v>
      </c>
      <c r="D2089" s="11" t="s">
        <v>26</v>
      </c>
      <c r="E2089" s="11" t="s">
        <v>246</v>
      </c>
      <c r="F2089" s="11" t="s">
        <v>26</v>
      </c>
      <c r="G2089" s="11" t="s">
        <v>26</v>
      </c>
      <c r="H2089" s="12" t="s">
        <v>4422</v>
      </c>
      <c r="I2089" s="12" t="s">
        <v>27</v>
      </c>
      <c r="J2089" s="12" t="s">
        <v>42</v>
      </c>
      <c r="K2089" s="12" t="s">
        <v>43</v>
      </c>
      <c r="L2089" s="13">
        <v>45.42</v>
      </c>
      <c r="M2089" s="13">
        <v>28</v>
      </c>
      <c r="N2089" s="13">
        <v>1.6221428571428571</v>
      </c>
      <c r="O2089" s="13">
        <v>83</v>
      </c>
      <c r="P2089" s="13" t="s">
        <v>30</v>
      </c>
      <c r="Q2089" s="13">
        <v>0</v>
      </c>
      <c r="R2089" s="14">
        <v>3769.86</v>
      </c>
      <c r="S2089" s="15">
        <v>38</v>
      </c>
      <c r="T2089" s="15">
        <v>1725.96</v>
      </c>
      <c r="U2089" s="15">
        <v>2043.9</v>
      </c>
      <c r="V2089" s="15">
        <v>2043.9</v>
      </c>
      <c r="W2089" s="15"/>
      <c r="X2089" s="15">
        <v>1680.54</v>
      </c>
      <c r="Y2089" s="16">
        <v>45.420000000000073</v>
      </c>
      <c r="Z2089" s="67" t="s">
        <v>41</v>
      </c>
      <c r="AA2089" s="12" t="s">
        <v>78</v>
      </c>
    </row>
    <row r="2090" spans="1:27" x14ac:dyDescent="0.25">
      <c r="A2090" s="10">
        <v>45688</v>
      </c>
      <c r="B2090" s="11" t="s">
        <v>4286</v>
      </c>
      <c r="C2090" s="11" t="s">
        <v>4287</v>
      </c>
      <c r="D2090" s="11" t="s">
        <v>26</v>
      </c>
      <c r="E2090" s="11" t="s">
        <v>483</v>
      </c>
      <c r="F2090" s="11" t="s">
        <v>26</v>
      </c>
      <c r="G2090" s="11" t="s">
        <v>26</v>
      </c>
      <c r="H2090" s="12" t="s">
        <v>4422</v>
      </c>
      <c r="I2090" s="12" t="s">
        <v>27</v>
      </c>
      <c r="J2090" s="12" t="s">
        <v>42</v>
      </c>
      <c r="K2090" s="12" t="s">
        <v>43</v>
      </c>
      <c r="L2090" s="13">
        <v>43.52</v>
      </c>
      <c r="M2090" s="13">
        <v>25</v>
      </c>
      <c r="N2090" s="13">
        <v>1.7407999999999999</v>
      </c>
      <c r="O2090" s="13">
        <v>83</v>
      </c>
      <c r="P2090" s="13" t="s">
        <v>30</v>
      </c>
      <c r="Q2090" s="13">
        <v>0</v>
      </c>
      <c r="R2090" s="14">
        <v>3612.1600000000003</v>
      </c>
      <c r="S2090" s="15">
        <v>38</v>
      </c>
      <c r="T2090" s="15">
        <v>1653.7600000000002</v>
      </c>
      <c r="U2090" s="15">
        <v>1958.4</v>
      </c>
      <c r="V2090" s="15">
        <v>1958.4</v>
      </c>
      <c r="W2090" s="15"/>
      <c r="X2090" s="15">
        <v>1610.24</v>
      </c>
      <c r="Y2090" s="16">
        <v>43.520000000000209</v>
      </c>
      <c r="Z2090" s="67" t="s">
        <v>41</v>
      </c>
      <c r="AA2090" s="12" t="s">
        <v>78</v>
      </c>
    </row>
    <row r="2091" spans="1:27" x14ac:dyDescent="0.25">
      <c r="A2091" s="10">
        <v>45688</v>
      </c>
      <c r="B2091" s="11" t="s">
        <v>4288</v>
      </c>
      <c r="C2091" s="11" t="s">
        <v>4289</v>
      </c>
      <c r="D2091" s="11" t="s">
        <v>26</v>
      </c>
      <c r="E2091" s="11" t="s">
        <v>39</v>
      </c>
      <c r="F2091" s="11" t="s">
        <v>26</v>
      </c>
      <c r="G2091" s="11">
        <v>780</v>
      </c>
      <c r="H2091" s="12" t="s">
        <v>141</v>
      </c>
      <c r="I2091" s="12" t="s">
        <v>55</v>
      </c>
      <c r="J2091" s="12" t="s">
        <v>55</v>
      </c>
      <c r="K2091" s="12" t="s">
        <v>56</v>
      </c>
      <c r="L2091" s="13">
        <v>40.119999999999997</v>
      </c>
      <c r="M2091" s="13">
        <v>25</v>
      </c>
      <c r="N2091" s="13">
        <v>1.6048</v>
      </c>
      <c r="O2091" s="13">
        <v>15</v>
      </c>
      <c r="P2091" s="13" t="s">
        <v>30</v>
      </c>
      <c r="Q2091" s="13">
        <v>0</v>
      </c>
      <c r="R2091" s="14">
        <v>601.79999999999995</v>
      </c>
      <c r="S2091" s="15">
        <v>0</v>
      </c>
      <c r="T2091" s="15">
        <v>0</v>
      </c>
      <c r="U2091" s="15">
        <v>601.79999999999995</v>
      </c>
      <c r="V2091" s="15">
        <v>0</v>
      </c>
      <c r="W2091" s="15">
        <v>601.79999999999995</v>
      </c>
      <c r="X2091" s="15">
        <v>0</v>
      </c>
      <c r="Y2091" s="16">
        <v>0</v>
      </c>
      <c r="Z2091" s="67" t="s">
        <v>26</v>
      </c>
      <c r="AA2091" s="12" t="s">
        <v>31</v>
      </c>
    </row>
    <row r="2092" spans="1:27" x14ac:dyDescent="0.25">
      <c r="A2092" s="10">
        <v>45688</v>
      </c>
      <c r="B2092" s="11" t="s">
        <v>4290</v>
      </c>
      <c r="C2092" s="11" t="s">
        <v>4291</v>
      </c>
      <c r="D2092" s="11" t="s">
        <v>26</v>
      </c>
      <c r="E2092" s="11" t="s">
        <v>1725</v>
      </c>
      <c r="F2092" s="11" t="s">
        <v>26</v>
      </c>
      <c r="G2092" s="11">
        <v>3295</v>
      </c>
      <c r="H2092" s="12" t="s">
        <v>4448</v>
      </c>
      <c r="I2092" s="12" t="s">
        <v>55</v>
      </c>
      <c r="J2092" s="12" t="s">
        <v>55</v>
      </c>
      <c r="K2092" s="12" t="s">
        <v>56</v>
      </c>
      <c r="L2092" s="13">
        <v>39.700000000000003</v>
      </c>
      <c r="M2092" s="13">
        <v>25</v>
      </c>
      <c r="N2092" s="13">
        <v>1.5880000000000001</v>
      </c>
      <c r="O2092" s="13">
        <v>15</v>
      </c>
      <c r="P2092" s="13" t="s">
        <v>30</v>
      </c>
      <c r="Q2092" s="13">
        <v>0</v>
      </c>
      <c r="R2092" s="14">
        <v>595.5</v>
      </c>
      <c r="S2092" s="15">
        <v>0</v>
      </c>
      <c r="T2092" s="15">
        <v>0</v>
      </c>
      <c r="U2092" s="15">
        <v>595.5</v>
      </c>
      <c r="V2092" s="15">
        <v>446.625</v>
      </c>
      <c r="W2092" s="15">
        <v>148.875</v>
      </c>
      <c r="X2092" s="15">
        <v>0</v>
      </c>
      <c r="Y2092" s="16">
        <v>0</v>
      </c>
      <c r="Z2092" s="67" t="s">
        <v>26</v>
      </c>
      <c r="AA2092" s="12" t="s">
        <v>31</v>
      </c>
    </row>
    <row r="2093" spans="1:27" x14ac:dyDescent="0.25">
      <c r="A2093" s="10">
        <v>45688</v>
      </c>
      <c r="B2093" s="11" t="s">
        <v>4292</v>
      </c>
      <c r="C2093" s="11" t="s">
        <v>4293</v>
      </c>
      <c r="D2093" s="11" t="s">
        <v>26</v>
      </c>
      <c r="E2093" s="11" t="s">
        <v>240</v>
      </c>
      <c r="F2093" s="11" t="s">
        <v>26</v>
      </c>
      <c r="G2093" s="11" t="s">
        <v>26</v>
      </c>
      <c r="H2093" s="12" t="s">
        <v>4422</v>
      </c>
      <c r="I2093" s="12" t="s">
        <v>27</v>
      </c>
      <c r="J2093" s="12" t="s">
        <v>42</v>
      </c>
      <c r="K2093" s="12" t="s">
        <v>43</v>
      </c>
      <c r="L2093" s="13">
        <v>41.58</v>
      </c>
      <c r="M2093" s="13">
        <v>25</v>
      </c>
      <c r="N2093" s="13">
        <v>1.6632</v>
      </c>
      <c r="O2093" s="13">
        <v>83</v>
      </c>
      <c r="P2093" s="13" t="s">
        <v>30</v>
      </c>
      <c r="Q2093" s="13">
        <v>0</v>
      </c>
      <c r="R2093" s="14">
        <v>3451.14</v>
      </c>
      <c r="S2093" s="15">
        <v>38</v>
      </c>
      <c r="T2093" s="15">
        <v>1580.04</v>
      </c>
      <c r="U2093" s="15">
        <v>1871.1</v>
      </c>
      <c r="V2093" s="15">
        <v>1871.1</v>
      </c>
      <c r="W2093" s="15"/>
      <c r="X2093" s="15">
        <v>1538.46</v>
      </c>
      <c r="Y2093" s="16">
        <v>41.579999999999927</v>
      </c>
      <c r="Z2093" s="67" t="s">
        <v>41</v>
      </c>
      <c r="AA2093" s="12" t="s">
        <v>78</v>
      </c>
    </row>
    <row r="2094" spans="1:27" x14ac:dyDescent="0.25">
      <c r="A2094" s="10">
        <v>45688</v>
      </c>
      <c r="B2094" s="11" t="s">
        <v>4294</v>
      </c>
      <c r="C2094" s="11" t="s">
        <v>4295</v>
      </c>
      <c r="D2094" s="11" t="s">
        <v>26</v>
      </c>
      <c r="E2094" s="11" t="s">
        <v>52</v>
      </c>
      <c r="F2094" s="11" t="s">
        <v>26</v>
      </c>
      <c r="G2094" s="11">
        <v>781</v>
      </c>
      <c r="H2094" s="12" t="s">
        <v>141</v>
      </c>
      <c r="I2094" s="12" t="s">
        <v>55</v>
      </c>
      <c r="J2094" s="12" t="s">
        <v>55</v>
      </c>
      <c r="K2094" s="12" t="s">
        <v>56</v>
      </c>
      <c r="L2094" s="13">
        <v>39.44</v>
      </c>
      <c r="M2094" s="13">
        <v>25</v>
      </c>
      <c r="N2094" s="13">
        <v>1.5775999999999999</v>
      </c>
      <c r="O2094" s="13">
        <v>15</v>
      </c>
      <c r="P2094" s="13" t="s">
        <v>30</v>
      </c>
      <c r="Q2094" s="13">
        <v>0</v>
      </c>
      <c r="R2094" s="14">
        <v>591.59999999999991</v>
      </c>
      <c r="S2094" s="15">
        <v>0</v>
      </c>
      <c r="T2094" s="15">
        <v>0</v>
      </c>
      <c r="U2094" s="15">
        <v>591.59999999999991</v>
      </c>
      <c r="V2094" s="15">
        <v>0</v>
      </c>
      <c r="W2094" s="15">
        <v>591.59999999999991</v>
      </c>
      <c r="X2094" s="15">
        <v>0</v>
      </c>
      <c r="Y2094" s="16">
        <v>0</v>
      </c>
      <c r="Z2094" s="67" t="s">
        <v>26</v>
      </c>
      <c r="AA2094" s="12" t="s">
        <v>31</v>
      </c>
    </row>
    <row r="2095" spans="1:27" x14ac:dyDescent="0.25">
      <c r="A2095" s="10">
        <v>45688</v>
      </c>
      <c r="B2095" s="11" t="s">
        <v>4296</v>
      </c>
      <c r="C2095" s="11" t="s">
        <v>4297</v>
      </c>
      <c r="D2095" s="11" t="s">
        <v>26</v>
      </c>
      <c r="E2095" s="11" t="s">
        <v>98</v>
      </c>
      <c r="F2095" s="11" t="s">
        <v>26</v>
      </c>
      <c r="G2095" s="11">
        <v>10706</v>
      </c>
      <c r="H2095" s="12" t="s">
        <v>140</v>
      </c>
      <c r="I2095" s="12" t="s">
        <v>27</v>
      </c>
      <c r="J2095" s="12" t="s">
        <v>42</v>
      </c>
      <c r="K2095" s="12" t="s">
        <v>43</v>
      </c>
      <c r="L2095" s="13">
        <v>42.6</v>
      </c>
      <c r="M2095" s="13">
        <v>25</v>
      </c>
      <c r="N2095" s="13">
        <v>1.704</v>
      </c>
      <c r="O2095" s="13">
        <v>35</v>
      </c>
      <c r="P2095" s="13"/>
      <c r="Q2095" s="13">
        <v>0</v>
      </c>
      <c r="R2095" s="14">
        <v>1491</v>
      </c>
      <c r="S2095" s="15">
        <v>0</v>
      </c>
      <c r="T2095" s="15">
        <v>0</v>
      </c>
      <c r="U2095" s="15">
        <v>1491</v>
      </c>
      <c r="V2095" s="15">
        <v>0</v>
      </c>
      <c r="W2095" s="15">
        <v>1491</v>
      </c>
      <c r="X2095" s="15">
        <v>0</v>
      </c>
      <c r="Y2095" s="16">
        <v>0</v>
      </c>
      <c r="Z2095" s="67" t="s">
        <v>26</v>
      </c>
      <c r="AA2095" s="12" t="s">
        <v>31</v>
      </c>
    </row>
    <row r="2096" spans="1:27" x14ac:dyDescent="0.25">
      <c r="A2096" s="10">
        <v>45688</v>
      </c>
      <c r="B2096" s="11" t="s">
        <v>4298</v>
      </c>
      <c r="C2096" s="11" t="s">
        <v>4299</v>
      </c>
      <c r="D2096" s="11" t="s">
        <v>26</v>
      </c>
      <c r="E2096" s="11" t="s">
        <v>40</v>
      </c>
      <c r="F2096" s="11" t="s">
        <v>26</v>
      </c>
      <c r="G2096" s="11">
        <v>3727</v>
      </c>
      <c r="H2096" s="12" t="s">
        <v>41</v>
      </c>
      <c r="I2096" s="12" t="s">
        <v>55</v>
      </c>
      <c r="J2096" s="12" t="s">
        <v>55</v>
      </c>
      <c r="K2096" s="12" t="s">
        <v>56</v>
      </c>
      <c r="L2096" s="13">
        <v>38.299999999999997</v>
      </c>
      <c r="M2096" s="13">
        <v>25</v>
      </c>
      <c r="N2096" s="13">
        <v>1.532</v>
      </c>
      <c r="O2096" s="13" t="s">
        <v>30</v>
      </c>
      <c r="P2096" s="13">
        <v>24</v>
      </c>
      <c r="Q2096" s="13">
        <v>0</v>
      </c>
      <c r="R2096" s="14">
        <v>600</v>
      </c>
      <c r="S2096" s="15">
        <v>0</v>
      </c>
      <c r="T2096" s="15">
        <v>0</v>
      </c>
      <c r="U2096" s="15">
        <v>600</v>
      </c>
      <c r="V2096" s="15">
        <v>0</v>
      </c>
      <c r="W2096" s="15">
        <v>600</v>
      </c>
      <c r="X2096" s="15">
        <v>0</v>
      </c>
      <c r="Y2096" s="16">
        <v>0</v>
      </c>
      <c r="Z2096" s="67" t="s">
        <v>26</v>
      </c>
      <c r="AA2096" s="12" t="s">
        <v>31</v>
      </c>
    </row>
    <row r="2097" spans="1:27" x14ac:dyDescent="0.25">
      <c r="A2097" s="10">
        <v>45688</v>
      </c>
      <c r="B2097" s="11" t="s">
        <v>1150</v>
      </c>
      <c r="C2097" s="11" t="s">
        <v>4300</v>
      </c>
      <c r="D2097" s="11" t="s">
        <v>26</v>
      </c>
      <c r="E2097" s="11" t="s">
        <v>177</v>
      </c>
      <c r="F2097" s="11" t="s">
        <v>26</v>
      </c>
      <c r="G2097" s="11">
        <v>782</v>
      </c>
      <c r="H2097" s="12" t="s">
        <v>141</v>
      </c>
      <c r="I2097" s="12" t="s">
        <v>55</v>
      </c>
      <c r="J2097" s="12" t="s">
        <v>55</v>
      </c>
      <c r="K2097" s="12" t="s">
        <v>56</v>
      </c>
      <c r="L2097" s="13">
        <v>39.28</v>
      </c>
      <c r="M2097" s="13">
        <v>25</v>
      </c>
      <c r="N2097" s="13">
        <v>1.5711999999999999</v>
      </c>
      <c r="O2097" s="13">
        <v>15</v>
      </c>
      <c r="P2097" s="13" t="s">
        <v>30</v>
      </c>
      <c r="Q2097" s="13">
        <v>0</v>
      </c>
      <c r="R2097" s="14">
        <v>589.20000000000005</v>
      </c>
      <c r="S2097" s="15">
        <v>0</v>
      </c>
      <c r="T2097" s="15">
        <v>0</v>
      </c>
      <c r="U2097" s="15">
        <v>589.20000000000005</v>
      </c>
      <c r="V2097" s="15">
        <v>0</v>
      </c>
      <c r="W2097" s="15">
        <v>589.20000000000005</v>
      </c>
      <c r="X2097" s="15">
        <v>0</v>
      </c>
      <c r="Y2097" s="16">
        <v>0</v>
      </c>
      <c r="Z2097" s="67" t="s">
        <v>26</v>
      </c>
      <c r="AA2097" s="12" t="s">
        <v>31</v>
      </c>
    </row>
    <row r="2098" spans="1:27" x14ac:dyDescent="0.25">
      <c r="A2098" s="10">
        <v>45688</v>
      </c>
      <c r="B2098" s="11" t="s">
        <v>4301</v>
      </c>
      <c r="C2098" s="11" t="s">
        <v>4302</v>
      </c>
      <c r="D2098" s="11" t="s">
        <v>26</v>
      </c>
      <c r="E2098" s="11" t="s">
        <v>589</v>
      </c>
      <c r="F2098" s="11" t="s">
        <v>26</v>
      </c>
      <c r="G2098" s="11">
        <v>52650</v>
      </c>
      <c r="H2098" s="12" t="s">
        <v>4423</v>
      </c>
      <c r="I2098" s="12" t="s">
        <v>27</v>
      </c>
      <c r="J2098" s="12" t="s">
        <v>33</v>
      </c>
      <c r="K2098" s="12" t="s">
        <v>34</v>
      </c>
      <c r="L2098" s="13">
        <v>36.82</v>
      </c>
      <c r="M2098" s="13">
        <v>25</v>
      </c>
      <c r="N2098" s="13">
        <v>1.4728000000000001</v>
      </c>
      <c r="O2098" s="13">
        <v>45</v>
      </c>
      <c r="P2098" s="13" t="s">
        <v>30</v>
      </c>
      <c r="Q2098" s="13">
        <v>0</v>
      </c>
      <c r="R2098" s="14">
        <v>1656.9</v>
      </c>
      <c r="S2098" s="15">
        <v>0</v>
      </c>
      <c r="T2098" s="15">
        <v>0</v>
      </c>
      <c r="U2098" s="15">
        <v>1656.9</v>
      </c>
      <c r="V2098" s="15">
        <v>1656.9</v>
      </c>
      <c r="W2098" s="15">
        <v>0</v>
      </c>
      <c r="X2098" s="15">
        <v>0</v>
      </c>
      <c r="Y2098" s="16">
        <v>0</v>
      </c>
      <c r="Z2098" s="67" t="s">
        <v>26</v>
      </c>
      <c r="AA2098" s="12" t="s">
        <v>31</v>
      </c>
    </row>
    <row r="2099" spans="1:27" x14ac:dyDescent="0.25">
      <c r="A2099" s="10">
        <v>45688</v>
      </c>
      <c r="B2099" s="11" t="s">
        <v>4303</v>
      </c>
      <c r="C2099" s="11" t="s">
        <v>4304</v>
      </c>
      <c r="D2099" s="11" t="s">
        <v>26</v>
      </c>
      <c r="E2099" s="11" t="s">
        <v>64</v>
      </c>
      <c r="F2099" s="11" t="s">
        <v>26</v>
      </c>
      <c r="G2099" s="11">
        <v>783</v>
      </c>
      <c r="H2099" s="12" t="s">
        <v>141</v>
      </c>
      <c r="I2099" s="12" t="s">
        <v>55</v>
      </c>
      <c r="J2099" s="12" t="s">
        <v>55</v>
      </c>
      <c r="K2099" s="12" t="s">
        <v>56</v>
      </c>
      <c r="L2099" s="13">
        <v>38.9</v>
      </c>
      <c r="M2099" s="13">
        <v>25</v>
      </c>
      <c r="N2099" s="13">
        <v>1.556</v>
      </c>
      <c r="O2099" s="13">
        <v>15</v>
      </c>
      <c r="P2099" s="13" t="s">
        <v>30</v>
      </c>
      <c r="Q2099" s="13">
        <v>0</v>
      </c>
      <c r="R2099" s="14">
        <v>583.5</v>
      </c>
      <c r="S2099" s="15">
        <v>0</v>
      </c>
      <c r="T2099" s="15">
        <v>0</v>
      </c>
      <c r="U2099" s="15">
        <v>583.5</v>
      </c>
      <c r="V2099" s="15">
        <v>0</v>
      </c>
      <c r="W2099" s="15">
        <v>583.5</v>
      </c>
      <c r="X2099" s="15">
        <v>0</v>
      </c>
      <c r="Y2099" s="16">
        <v>0</v>
      </c>
      <c r="Z2099" s="67" t="s">
        <v>26</v>
      </c>
      <c r="AA2099" s="12" t="s">
        <v>31</v>
      </c>
    </row>
    <row r="2100" spans="1:27" x14ac:dyDescent="0.25">
      <c r="A2100" s="10">
        <v>45688</v>
      </c>
      <c r="B2100" s="11" t="s">
        <v>625</v>
      </c>
      <c r="C2100" s="11" t="s">
        <v>4305</v>
      </c>
      <c r="D2100" s="11" t="s">
        <v>26</v>
      </c>
      <c r="E2100" s="11" t="s">
        <v>593</v>
      </c>
      <c r="F2100" s="11" t="s">
        <v>26</v>
      </c>
      <c r="G2100" s="11">
        <v>44313</v>
      </c>
      <c r="H2100" s="12" t="s">
        <v>4423</v>
      </c>
      <c r="I2100" s="12" t="s">
        <v>27</v>
      </c>
      <c r="J2100" s="12" t="s">
        <v>33</v>
      </c>
      <c r="K2100" s="12" t="s">
        <v>34</v>
      </c>
      <c r="L2100" s="13">
        <v>36.700000000000003</v>
      </c>
      <c r="M2100" s="13">
        <v>25</v>
      </c>
      <c r="N2100" s="13">
        <v>1.468</v>
      </c>
      <c r="O2100" s="13">
        <v>45</v>
      </c>
      <c r="P2100" s="13" t="s">
        <v>30</v>
      </c>
      <c r="Q2100" s="13">
        <v>0</v>
      </c>
      <c r="R2100" s="14">
        <v>1651.5000000000002</v>
      </c>
      <c r="S2100" s="15">
        <v>0</v>
      </c>
      <c r="T2100" s="15">
        <v>0</v>
      </c>
      <c r="U2100" s="15">
        <v>1651.5000000000002</v>
      </c>
      <c r="V2100" s="15">
        <v>1651.5000000000002</v>
      </c>
      <c r="W2100" s="15">
        <v>0</v>
      </c>
      <c r="X2100" s="15">
        <v>0</v>
      </c>
      <c r="Y2100" s="16">
        <v>0</v>
      </c>
      <c r="Z2100" s="67" t="s">
        <v>26</v>
      </c>
      <c r="AA2100" s="12" t="s">
        <v>31</v>
      </c>
    </row>
    <row r="2101" spans="1:27" x14ac:dyDescent="0.25">
      <c r="A2101" s="10">
        <v>45688</v>
      </c>
      <c r="B2101" s="11" t="s">
        <v>4306</v>
      </c>
      <c r="C2101" s="11" t="s">
        <v>4307</v>
      </c>
      <c r="D2101" s="11" t="s">
        <v>26</v>
      </c>
      <c r="E2101" s="11" t="s">
        <v>67</v>
      </c>
      <c r="F2101" s="11" t="s">
        <v>26</v>
      </c>
      <c r="G2101" s="11">
        <v>1627</v>
      </c>
      <c r="H2101" s="12" t="s">
        <v>66</v>
      </c>
      <c r="I2101" s="12" t="s">
        <v>37</v>
      </c>
      <c r="J2101" s="12" t="s">
        <v>1909</v>
      </c>
      <c r="K2101" s="12" t="s">
        <v>82</v>
      </c>
      <c r="L2101" s="13">
        <v>38.58</v>
      </c>
      <c r="M2101" s="13">
        <v>25</v>
      </c>
      <c r="N2101" s="13">
        <v>1.5431999999999999</v>
      </c>
      <c r="O2101" s="13" t="s">
        <v>30</v>
      </c>
      <c r="P2101" s="13">
        <v>54</v>
      </c>
      <c r="Q2101" s="13">
        <v>0</v>
      </c>
      <c r="R2101" s="14">
        <v>1350</v>
      </c>
      <c r="S2101" s="15">
        <v>0</v>
      </c>
      <c r="T2101" s="15">
        <v>0</v>
      </c>
      <c r="U2101" s="15">
        <v>1350</v>
      </c>
      <c r="V2101" s="15">
        <v>1350</v>
      </c>
      <c r="W2101" s="15">
        <v>0</v>
      </c>
      <c r="X2101" s="15">
        <v>0</v>
      </c>
      <c r="Y2101" s="16">
        <v>0</v>
      </c>
      <c r="Z2101" s="67" t="s">
        <v>26</v>
      </c>
      <c r="AA2101" s="12" t="s">
        <v>31</v>
      </c>
    </row>
    <row r="2102" spans="1:27" x14ac:dyDescent="0.25">
      <c r="A2102" s="10">
        <v>45688</v>
      </c>
      <c r="B2102" s="11" t="s">
        <v>4308</v>
      </c>
      <c r="C2102" s="11" t="s">
        <v>4309</v>
      </c>
      <c r="D2102" s="11" t="s">
        <v>26</v>
      </c>
      <c r="E2102" s="11" t="s">
        <v>99</v>
      </c>
      <c r="F2102" s="11" t="s">
        <v>26</v>
      </c>
      <c r="G2102" s="11">
        <v>3119</v>
      </c>
      <c r="H2102" s="12" t="s">
        <v>4423</v>
      </c>
      <c r="I2102" s="12" t="s">
        <v>27</v>
      </c>
      <c r="J2102" s="12" t="s">
        <v>42</v>
      </c>
      <c r="K2102" s="12" t="s">
        <v>43</v>
      </c>
      <c r="L2102" s="13">
        <v>38.22</v>
      </c>
      <c r="M2102" s="13">
        <v>25</v>
      </c>
      <c r="N2102" s="13">
        <v>1.5287999999999999</v>
      </c>
      <c r="O2102" s="13">
        <v>42</v>
      </c>
      <c r="P2102" s="13" t="s">
        <v>30</v>
      </c>
      <c r="Q2102" s="13">
        <v>0</v>
      </c>
      <c r="R2102" s="15">
        <v>1605.24</v>
      </c>
      <c r="S2102" s="15">
        <v>0</v>
      </c>
      <c r="T2102" s="15">
        <v>0</v>
      </c>
      <c r="U2102" s="15">
        <v>1605.24</v>
      </c>
      <c r="V2102" s="15">
        <v>1605.24</v>
      </c>
      <c r="W2102" s="15">
        <v>0</v>
      </c>
      <c r="X2102" s="15">
        <v>0</v>
      </c>
      <c r="Y2102" s="16">
        <v>0</v>
      </c>
      <c r="Z2102" s="67" t="s">
        <v>26</v>
      </c>
      <c r="AA2102" s="12" t="s">
        <v>31</v>
      </c>
    </row>
    <row r="2103" spans="1:27" x14ac:dyDescent="0.25">
      <c r="A2103" s="10">
        <v>45688</v>
      </c>
      <c r="B2103" s="11" t="s">
        <v>4310</v>
      </c>
      <c r="C2103" s="11" t="s">
        <v>4311</v>
      </c>
      <c r="D2103" s="11" t="s">
        <v>26</v>
      </c>
      <c r="E2103" s="11" t="s">
        <v>65</v>
      </c>
      <c r="F2103" s="11" t="s">
        <v>26</v>
      </c>
      <c r="G2103" s="11">
        <v>1600</v>
      </c>
      <c r="H2103" s="12" t="s">
        <v>66</v>
      </c>
      <c r="I2103" s="12" t="s">
        <v>37</v>
      </c>
      <c r="J2103" s="12" t="s">
        <v>1909</v>
      </c>
      <c r="K2103" s="12" t="s">
        <v>82</v>
      </c>
      <c r="L2103" s="13">
        <v>39.1</v>
      </c>
      <c r="M2103" s="13">
        <v>25</v>
      </c>
      <c r="N2103" s="13">
        <v>1.5640000000000001</v>
      </c>
      <c r="O2103" s="13" t="s">
        <v>30</v>
      </c>
      <c r="P2103" s="13">
        <v>54</v>
      </c>
      <c r="Q2103" s="13">
        <v>0</v>
      </c>
      <c r="R2103" s="15">
        <v>1350</v>
      </c>
      <c r="S2103" s="15">
        <v>0</v>
      </c>
      <c r="T2103" s="15">
        <v>0</v>
      </c>
      <c r="U2103" s="15">
        <v>1350</v>
      </c>
      <c r="V2103" s="15">
        <v>1350</v>
      </c>
      <c r="W2103" s="15">
        <v>0</v>
      </c>
      <c r="X2103" s="15">
        <v>0</v>
      </c>
      <c r="Y2103" s="16">
        <v>0</v>
      </c>
      <c r="Z2103" s="67" t="s">
        <v>26</v>
      </c>
      <c r="AA2103" s="12" t="s">
        <v>31</v>
      </c>
    </row>
    <row r="2104" spans="1:27" x14ac:dyDescent="0.25">
      <c r="A2104" s="10">
        <v>45688</v>
      </c>
      <c r="B2104" s="11" t="s">
        <v>109</v>
      </c>
      <c r="C2104" s="11" t="s">
        <v>4312</v>
      </c>
      <c r="D2104" s="11" t="s">
        <v>26</v>
      </c>
      <c r="E2104" s="11" t="s">
        <v>63</v>
      </c>
      <c r="F2104" s="11" t="s">
        <v>26</v>
      </c>
      <c r="G2104" s="11">
        <v>10175</v>
      </c>
      <c r="H2104" s="12" t="s">
        <v>140</v>
      </c>
      <c r="I2104" s="12" t="s">
        <v>27</v>
      </c>
      <c r="J2104" s="12" t="s">
        <v>42</v>
      </c>
      <c r="K2104" s="12" t="s">
        <v>43</v>
      </c>
      <c r="L2104" s="13">
        <v>41.72</v>
      </c>
      <c r="M2104" s="13">
        <v>25</v>
      </c>
      <c r="N2104" s="13">
        <v>1.6688000000000001</v>
      </c>
      <c r="O2104" s="13">
        <v>35</v>
      </c>
      <c r="P2104" s="13"/>
      <c r="Q2104" s="13">
        <v>0</v>
      </c>
      <c r="R2104" s="14">
        <v>1460.2</v>
      </c>
      <c r="S2104" s="15">
        <v>0</v>
      </c>
      <c r="T2104" s="15">
        <v>0</v>
      </c>
      <c r="U2104" s="15">
        <v>1460.2</v>
      </c>
      <c r="V2104" s="15">
        <v>0</v>
      </c>
      <c r="W2104" s="15">
        <v>1460.2</v>
      </c>
      <c r="X2104" s="15">
        <v>0</v>
      </c>
      <c r="Y2104" s="16">
        <v>0</v>
      </c>
      <c r="Z2104" s="67" t="s">
        <v>26</v>
      </c>
      <c r="AA2104" s="12" t="s">
        <v>31</v>
      </c>
    </row>
    <row r="2105" spans="1:27" x14ac:dyDescent="0.25">
      <c r="A2105" s="10">
        <v>45688</v>
      </c>
      <c r="B2105" s="11" t="s">
        <v>4313</v>
      </c>
      <c r="C2105" s="11" t="s">
        <v>4314</v>
      </c>
      <c r="D2105" s="11" t="s">
        <v>26</v>
      </c>
      <c r="E2105" s="11" t="s">
        <v>68</v>
      </c>
      <c r="F2105" s="11" t="s">
        <v>26</v>
      </c>
      <c r="G2105" s="11">
        <v>76362</v>
      </c>
      <c r="H2105" s="12" t="s">
        <v>4448</v>
      </c>
      <c r="I2105" s="12" t="s">
        <v>55</v>
      </c>
      <c r="J2105" s="12" t="s">
        <v>55</v>
      </c>
      <c r="K2105" s="12" t="s">
        <v>56</v>
      </c>
      <c r="L2105" s="13">
        <v>39.4</v>
      </c>
      <c r="M2105" s="13">
        <v>25</v>
      </c>
      <c r="N2105" s="13">
        <v>1.5760000000000001</v>
      </c>
      <c r="O2105" s="13">
        <v>15</v>
      </c>
      <c r="P2105" s="13" t="s">
        <v>30</v>
      </c>
      <c r="Q2105" s="13">
        <v>0</v>
      </c>
      <c r="R2105" s="14">
        <v>591</v>
      </c>
      <c r="S2105" s="15">
        <v>0</v>
      </c>
      <c r="T2105" s="15">
        <v>0</v>
      </c>
      <c r="U2105" s="15">
        <v>591</v>
      </c>
      <c r="V2105" s="15">
        <v>443.25</v>
      </c>
      <c r="W2105" s="15">
        <v>147.75</v>
      </c>
      <c r="X2105" s="16">
        <v>0</v>
      </c>
      <c r="Y2105" s="16">
        <v>0</v>
      </c>
      <c r="Z2105" s="67" t="s">
        <v>26</v>
      </c>
      <c r="AA2105" s="12" t="s">
        <v>31</v>
      </c>
    </row>
    <row r="2106" spans="1:27" x14ac:dyDescent="0.25">
      <c r="A2106" s="10">
        <v>45688</v>
      </c>
      <c r="B2106" s="11" t="s">
        <v>348</v>
      </c>
      <c r="C2106" s="11" t="s">
        <v>4315</v>
      </c>
      <c r="D2106" s="11" t="s">
        <v>26</v>
      </c>
      <c r="E2106" s="11" t="s">
        <v>520</v>
      </c>
      <c r="F2106" s="11" t="s">
        <v>26</v>
      </c>
      <c r="G2106" s="11">
        <v>4383</v>
      </c>
      <c r="H2106" s="12" t="s">
        <v>140</v>
      </c>
      <c r="I2106" s="12" t="s">
        <v>27</v>
      </c>
      <c r="J2106" s="12" t="s">
        <v>42</v>
      </c>
      <c r="K2106" s="12" t="s">
        <v>43</v>
      </c>
      <c r="L2106" s="13">
        <v>41.4</v>
      </c>
      <c r="M2106" s="13">
        <v>25</v>
      </c>
      <c r="N2106" s="13">
        <v>1.6559999999999999</v>
      </c>
      <c r="O2106" s="13">
        <v>35</v>
      </c>
      <c r="P2106" s="13"/>
      <c r="Q2106" s="13">
        <v>0</v>
      </c>
      <c r="R2106" s="14">
        <v>1449</v>
      </c>
      <c r="S2106" s="15">
        <v>0</v>
      </c>
      <c r="T2106" s="15">
        <v>0</v>
      </c>
      <c r="U2106" s="15">
        <v>1449</v>
      </c>
      <c r="V2106" s="15">
        <v>0</v>
      </c>
      <c r="W2106" s="15">
        <v>1449</v>
      </c>
      <c r="X2106" s="16">
        <v>0</v>
      </c>
      <c r="Y2106" s="16">
        <v>0</v>
      </c>
      <c r="Z2106" s="67" t="s">
        <v>26</v>
      </c>
      <c r="AA2106" s="12" t="s">
        <v>31</v>
      </c>
    </row>
    <row r="2107" spans="1:27" x14ac:dyDescent="0.25">
      <c r="A2107" s="10">
        <v>45688</v>
      </c>
      <c r="B2107" s="11" t="s">
        <v>4316</v>
      </c>
      <c r="C2107" s="11" t="s">
        <v>4317</v>
      </c>
      <c r="D2107" s="11" t="s">
        <v>26</v>
      </c>
      <c r="E2107" s="11" t="s">
        <v>418</v>
      </c>
      <c r="F2107" s="11" t="s">
        <v>26</v>
      </c>
      <c r="G2107" s="11">
        <v>2588</v>
      </c>
      <c r="H2107" s="12" t="s">
        <v>163</v>
      </c>
      <c r="I2107" s="12" t="s">
        <v>27</v>
      </c>
      <c r="J2107" s="12" t="s">
        <v>42</v>
      </c>
      <c r="K2107" s="12" t="s">
        <v>43</v>
      </c>
      <c r="L2107" s="13">
        <v>41.08</v>
      </c>
      <c r="M2107" s="13">
        <v>25</v>
      </c>
      <c r="N2107" s="13">
        <v>1.6432</v>
      </c>
      <c r="O2107" s="13" t="s">
        <v>30</v>
      </c>
      <c r="P2107" s="13">
        <v>56</v>
      </c>
      <c r="Q2107" s="13">
        <v>0</v>
      </c>
      <c r="R2107" s="14">
        <v>1400</v>
      </c>
      <c r="S2107" s="15">
        <v>0</v>
      </c>
      <c r="T2107" s="15">
        <v>0</v>
      </c>
      <c r="U2107" s="15">
        <v>1400</v>
      </c>
      <c r="V2107" s="15">
        <v>0</v>
      </c>
      <c r="W2107" s="15">
        <v>1400</v>
      </c>
      <c r="X2107" s="15">
        <v>0</v>
      </c>
      <c r="Y2107" s="16">
        <v>0</v>
      </c>
      <c r="Z2107" s="67" t="s">
        <v>26</v>
      </c>
      <c r="AA2107" s="12" t="s">
        <v>31</v>
      </c>
    </row>
    <row r="2108" spans="1:27" x14ac:dyDescent="0.25">
      <c r="A2108" s="10">
        <v>45688</v>
      </c>
      <c r="B2108" s="11" t="s">
        <v>4318</v>
      </c>
      <c r="C2108" s="11" t="s">
        <v>4319</v>
      </c>
      <c r="D2108" s="11" t="s">
        <v>26</v>
      </c>
      <c r="E2108" s="11" t="s">
        <v>534</v>
      </c>
      <c r="F2108" s="11" t="s">
        <v>26</v>
      </c>
      <c r="G2108" s="11">
        <v>2589</v>
      </c>
      <c r="H2108" s="12" t="s">
        <v>163</v>
      </c>
      <c r="I2108" s="12" t="s">
        <v>27</v>
      </c>
      <c r="J2108" s="12" t="s">
        <v>42</v>
      </c>
      <c r="K2108" s="12" t="s">
        <v>43</v>
      </c>
      <c r="L2108" s="13">
        <v>41.1</v>
      </c>
      <c r="M2108" s="13">
        <v>25</v>
      </c>
      <c r="N2108" s="13">
        <v>1.6439999999999999</v>
      </c>
      <c r="O2108" s="13" t="s">
        <v>30</v>
      </c>
      <c r="P2108" s="13">
        <v>56</v>
      </c>
      <c r="Q2108" s="13">
        <v>0</v>
      </c>
      <c r="R2108" s="14">
        <v>1400</v>
      </c>
      <c r="S2108" s="15">
        <v>0</v>
      </c>
      <c r="T2108" s="15">
        <v>0</v>
      </c>
      <c r="U2108" s="15">
        <v>1400</v>
      </c>
      <c r="V2108" s="15">
        <v>0</v>
      </c>
      <c r="W2108" s="15">
        <v>1400</v>
      </c>
      <c r="X2108" s="15">
        <v>0</v>
      </c>
      <c r="Y2108" s="16">
        <v>0</v>
      </c>
      <c r="Z2108" s="67" t="s">
        <v>26</v>
      </c>
      <c r="AA2108" s="12" t="s">
        <v>31</v>
      </c>
    </row>
    <row r="2109" spans="1:27" x14ac:dyDescent="0.25">
      <c r="A2109" s="10">
        <v>45688</v>
      </c>
      <c r="B2109" s="11" t="s">
        <v>196</v>
      </c>
      <c r="C2109" s="11" t="s">
        <v>4320</v>
      </c>
      <c r="D2109" s="11" t="s">
        <v>26</v>
      </c>
      <c r="E2109" s="11" t="s">
        <v>480</v>
      </c>
      <c r="F2109" s="11" t="s">
        <v>26</v>
      </c>
      <c r="G2109" s="11">
        <v>70405</v>
      </c>
      <c r="H2109" s="12" t="s">
        <v>4448</v>
      </c>
      <c r="I2109" s="12" t="s">
        <v>27</v>
      </c>
      <c r="J2109" s="12" t="s">
        <v>42</v>
      </c>
      <c r="K2109" s="12" t="s">
        <v>43</v>
      </c>
      <c r="L2109" s="13">
        <v>43.8</v>
      </c>
      <c r="M2109" s="13">
        <v>25</v>
      </c>
      <c r="N2109" s="13">
        <v>1.752</v>
      </c>
      <c r="O2109" s="13">
        <v>42.5</v>
      </c>
      <c r="P2109" s="13" t="s">
        <v>30</v>
      </c>
      <c r="Q2109" s="13">
        <v>0</v>
      </c>
      <c r="R2109" s="14">
        <v>1861.4999999999998</v>
      </c>
      <c r="S2109" s="15">
        <v>0</v>
      </c>
      <c r="T2109" s="15">
        <v>0</v>
      </c>
      <c r="U2109" s="15">
        <v>1861.4999999999998</v>
      </c>
      <c r="V2109" s="15">
        <v>1396.1249999999998</v>
      </c>
      <c r="W2109" s="15">
        <v>465.375</v>
      </c>
      <c r="X2109" s="15">
        <v>0</v>
      </c>
      <c r="Y2109" s="16">
        <v>0</v>
      </c>
      <c r="Z2109" s="67" t="s">
        <v>26</v>
      </c>
      <c r="AA2109" s="12" t="s">
        <v>31</v>
      </c>
    </row>
    <row r="2110" spans="1:27" x14ac:dyDescent="0.25">
      <c r="A2110" s="10">
        <v>45688</v>
      </c>
      <c r="B2110" s="11" t="s">
        <v>722</v>
      </c>
      <c r="C2110" s="11" t="s">
        <v>4321</v>
      </c>
      <c r="D2110" s="11" t="s">
        <v>26</v>
      </c>
      <c r="E2110" s="11" t="s">
        <v>69</v>
      </c>
      <c r="F2110" s="11" t="s">
        <v>26</v>
      </c>
      <c r="G2110" s="11" t="s">
        <v>26</v>
      </c>
      <c r="H2110" s="12" t="s">
        <v>4422</v>
      </c>
      <c r="I2110" s="12" t="s">
        <v>27</v>
      </c>
      <c r="J2110" s="12" t="s">
        <v>33</v>
      </c>
      <c r="K2110" s="12" t="s">
        <v>34</v>
      </c>
      <c r="L2110" s="13">
        <v>44.54</v>
      </c>
      <c r="M2110" s="13">
        <v>30</v>
      </c>
      <c r="N2110" s="13">
        <v>1.484666666666667</v>
      </c>
      <c r="O2110" s="13">
        <v>85</v>
      </c>
      <c r="P2110" s="13" t="s">
        <v>30</v>
      </c>
      <c r="Q2110" s="13">
        <v>0</v>
      </c>
      <c r="R2110" s="14">
        <v>3785.9</v>
      </c>
      <c r="S2110" s="15">
        <v>38</v>
      </c>
      <c r="T2110" s="15">
        <v>1692.52</v>
      </c>
      <c r="U2110" s="15">
        <v>2093.38</v>
      </c>
      <c r="V2110" s="15">
        <v>2093.38</v>
      </c>
      <c r="W2110" s="15">
        <v>0</v>
      </c>
      <c r="X2110" s="15">
        <v>1603.44</v>
      </c>
      <c r="Y2110" s="16">
        <v>89.079999999999927</v>
      </c>
      <c r="Z2110" s="67" t="s">
        <v>70</v>
      </c>
      <c r="AA2110" s="12" t="s">
        <v>78</v>
      </c>
    </row>
    <row r="2111" spans="1:27" x14ac:dyDescent="0.25">
      <c r="A2111" s="10">
        <v>45688</v>
      </c>
      <c r="B2111" s="11" t="s">
        <v>402</v>
      </c>
      <c r="C2111" s="11" t="s">
        <v>4322</v>
      </c>
      <c r="D2111" s="11" t="s">
        <v>26</v>
      </c>
      <c r="E2111" s="11" t="s">
        <v>4323</v>
      </c>
      <c r="F2111" s="11" t="s">
        <v>26</v>
      </c>
      <c r="G2111" s="11">
        <v>2955</v>
      </c>
      <c r="H2111" s="12" t="s">
        <v>4442</v>
      </c>
      <c r="I2111" s="12" t="s">
        <v>27</v>
      </c>
      <c r="J2111" s="12" t="s">
        <v>42</v>
      </c>
      <c r="K2111" s="12" t="s">
        <v>43</v>
      </c>
      <c r="L2111" s="13">
        <v>40.520000000000003</v>
      </c>
      <c r="M2111" s="13">
        <v>25</v>
      </c>
      <c r="N2111" s="13">
        <v>1.6208</v>
      </c>
      <c r="O2111" s="13">
        <v>41</v>
      </c>
      <c r="P2111" s="13" t="s">
        <v>30</v>
      </c>
      <c r="Q2111" s="13">
        <v>0</v>
      </c>
      <c r="R2111" s="14">
        <v>1661.3200000000002</v>
      </c>
      <c r="S2111" s="15">
        <v>0</v>
      </c>
      <c r="T2111" s="15">
        <v>0</v>
      </c>
      <c r="U2111" s="15">
        <v>1661.3200000000002</v>
      </c>
      <c r="V2111" s="15">
        <v>1661.3200000000002</v>
      </c>
      <c r="W2111" s="15">
        <v>0</v>
      </c>
      <c r="X2111" s="15">
        <v>0</v>
      </c>
      <c r="Y2111" s="16">
        <v>0</v>
      </c>
      <c r="Z2111" s="67" t="s">
        <v>26</v>
      </c>
      <c r="AA2111" s="12" t="s">
        <v>31</v>
      </c>
    </row>
    <row r="2112" spans="1:27" x14ac:dyDescent="0.25">
      <c r="A2112" s="10">
        <v>45688</v>
      </c>
      <c r="B2112" s="11" t="s">
        <v>271</v>
      </c>
      <c r="C2112" s="11" t="s">
        <v>4324</v>
      </c>
      <c r="D2112" s="11" t="s">
        <v>26</v>
      </c>
      <c r="E2112" s="11" t="s">
        <v>57</v>
      </c>
      <c r="F2112" s="11" t="s">
        <v>26</v>
      </c>
      <c r="G2112" s="11">
        <v>3672</v>
      </c>
      <c r="H2112" s="12" t="s">
        <v>41</v>
      </c>
      <c r="I2112" s="12" t="s">
        <v>55</v>
      </c>
      <c r="J2112" s="12" t="s">
        <v>566</v>
      </c>
      <c r="K2112" s="12" t="s">
        <v>550</v>
      </c>
      <c r="L2112" s="13">
        <v>40.72</v>
      </c>
      <c r="M2112" s="13">
        <v>25</v>
      </c>
      <c r="N2112" s="13">
        <v>1.6288</v>
      </c>
      <c r="O2112" s="13">
        <v>25</v>
      </c>
      <c r="P2112" s="13"/>
      <c r="Q2112" s="13">
        <v>0</v>
      </c>
      <c r="R2112" s="14">
        <v>1018</v>
      </c>
      <c r="S2112" s="15">
        <v>0</v>
      </c>
      <c r="T2112" s="15">
        <v>0</v>
      </c>
      <c r="U2112" s="15">
        <v>1018</v>
      </c>
      <c r="V2112" s="15">
        <v>0</v>
      </c>
      <c r="W2112" s="15">
        <v>1018</v>
      </c>
      <c r="X2112" s="15">
        <v>0</v>
      </c>
      <c r="Y2112" s="16">
        <v>0</v>
      </c>
      <c r="Z2112" s="67" t="s">
        <v>26</v>
      </c>
      <c r="AA2112" s="12" t="s">
        <v>31</v>
      </c>
    </row>
    <row r="2113" spans="1:27" x14ac:dyDescent="0.25">
      <c r="A2113" s="10">
        <v>45688</v>
      </c>
      <c r="B2113" s="11" t="s">
        <v>4325</v>
      </c>
      <c r="C2113" s="11" t="s">
        <v>4326</v>
      </c>
      <c r="D2113" s="11" t="s">
        <v>26</v>
      </c>
      <c r="E2113" s="11" t="s">
        <v>570</v>
      </c>
      <c r="F2113" s="11" t="s">
        <v>26</v>
      </c>
      <c r="G2113" s="11">
        <v>10341</v>
      </c>
      <c r="H2113" s="12" t="s">
        <v>140</v>
      </c>
      <c r="I2113" s="12" t="s">
        <v>27</v>
      </c>
      <c r="J2113" s="12" t="s">
        <v>47</v>
      </c>
      <c r="K2113" s="12" t="s">
        <v>48</v>
      </c>
      <c r="L2113" s="13">
        <v>43.94</v>
      </c>
      <c r="M2113" s="13">
        <v>30</v>
      </c>
      <c r="N2113" s="13">
        <v>1.464666666666667</v>
      </c>
      <c r="O2113" s="13">
        <v>40</v>
      </c>
      <c r="P2113" s="13"/>
      <c r="Q2113" s="13">
        <v>0</v>
      </c>
      <c r="R2113" s="15">
        <v>1757.6</v>
      </c>
      <c r="S2113" s="15">
        <v>0</v>
      </c>
      <c r="T2113" s="15">
        <v>0</v>
      </c>
      <c r="U2113" s="15">
        <v>1757.6</v>
      </c>
      <c r="V2113" s="15">
        <v>0</v>
      </c>
      <c r="W2113" s="15">
        <v>1757.6</v>
      </c>
      <c r="X2113" s="15">
        <v>0</v>
      </c>
      <c r="Y2113" s="16">
        <v>0</v>
      </c>
      <c r="Z2113" s="67" t="s">
        <v>26</v>
      </c>
      <c r="AA2113" s="12" t="s">
        <v>31</v>
      </c>
    </row>
    <row r="2114" spans="1:27" x14ac:dyDescent="0.25">
      <c r="A2114" s="10">
        <v>45688</v>
      </c>
      <c r="B2114" s="11" t="s">
        <v>638</v>
      </c>
      <c r="C2114" s="11" t="s">
        <v>4327</v>
      </c>
      <c r="D2114" s="11" t="s">
        <v>26</v>
      </c>
      <c r="E2114" s="11" t="s">
        <v>483</v>
      </c>
      <c r="F2114" s="11" t="s">
        <v>26</v>
      </c>
      <c r="G2114" s="11">
        <v>3565</v>
      </c>
      <c r="H2114" s="12" t="s">
        <v>41</v>
      </c>
      <c r="I2114" s="12" t="s">
        <v>55</v>
      </c>
      <c r="J2114" s="12" t="s">
        <v>566</v>
      </c>
      <c r="K2114" s="12" t="s">
        <v>550</v>
      </c>
      <c r="L2114" s="13">
        <v>42.26</v>
      </c>
      <c r="M2114" s="13">
        <v>25</v>
      </c>
      <c r="N2114" s="13">
        <v>1.6903999999999999</v>
      </c>
      <c r="O2114" s="13">
        <v>25</v>
      </c>
      <c r="P2114" s="13"/>
      <c r="Q2114" s="13">
        <v>0</v>
      </c>
      <c r="R2114" s="14">
        <v>1056.5</v>
      </c>
      <c r="S2114" s="15">
        <v>0</v>
      </c>
      <c r="T2114" s="15">
        <v>0</v>
      </c>
      <c r="U2114" s="15">
        <v>1056.5</v>
      </c>
      <c r="V2114" s="15">
        <v>0</v>
      </c>
      <c r="W2114" s="15">
        <v>1056.5</v>
      </c>
      <c r="X2114" s="15">
        <v>0</v>
      </c>
      <c r="Y2114" s="16">
        <v>0</v>
      </c>
      <c r="Z2114" s="67" t="s">
        <v>26</v>
      </c>
      <c r="AA2114" s="12" t="s">
        <v>31</v>
      </c>
    </row>
    <row r="2115" spans="1:27" x14ac:dyDescent="0.25">
      <c r="A2115" s="10">
        <v>45688</v>
      </c>
      <c r="B2115" s="11" t="s">
        <v>4328</v>
      </c>
      <c r="C2115" s="11" t="s">
        <v>4329</v>
      </c>
      <c r="D2115" s="11" t="s">
        <v>26</v>
      </c>
      <c r="E2115" s="11" t="s">
        <v>553</v>
      </c>
      <c r="F2115" s="11" t="s">
        <v>26</v>
      </c>
      <c r="G2115" s="11">
        <v>4672</v>
      </c>
      <c r="H2115" s="12" t="s">
        <v>4423</v>
      </c>
      <c r="I2115" s="12" t="s">
        <v>27</v>
      </c>
      <c r="J2115" s="12" t="s">
        <v>33</v>
      </c>
      <c r="K2115" s="12" t="s">
        <v>34</v>
      </c>
      <c r="L2115" s="13">
        <v>33.92</v>
      </c>
      <c r="M2115" s="13">
        <v>25</v>
      </c>
      <c r="N2115" s="13">
        <v>1.3568</v>
      </c>
      <c r="O2115" s="13">
        <v>45</v>
      </c>
      <c r="P2115" s="13" t="s">
        <v>30</v>
      </c>
      <c r="Q2115" s="13">
        <v>0</v>
      </c>
      <c r="R2115" s="14">
        <v>1526.4</v>
      </c>
      <c r="S2115" s="15">
        <v>0</v>
      </c>
      <c r="T2115" s="15">
        <v>0</v>
      </c>
      <c r="U2115" s="15">
        <v>1526.4</v>
      </c>
      <c r="V2115" s="15">
        <v>1526.4</v>
      </c>
      <c r="W2115" s="15">
        <v>0</v>
      </c>
      <c r="X2115" s="15">
        <v>0</v>
      </c>
      <c r="Y2115" s="16">
        <v>0</v>
      </c>
      <c r="Z2115" s="67" t="s">
        <v>26</v>
      </c>
      <c r="AA2115" s="12" t="s">
        <v>31</v>
      </c>
    </row>
    <row r="2116" spans="1:27" x14ac:dyDescent="0.25">
      <c r="A2116" s="10">
        <v>45688</v>
      </c>
      <c r="B2116" s="11" t="s">
        <v>234</v>
      </c>
      <c r="C2116" s="11" t="s">
        <v>4330</v>
      </c>
      <c r="D2116" s="11" t="s">
        <v>26</v>
      </c>
      <c r="E2116" s="11" t="s">
        <v>552</v>
      </c>
      <c r="F2116" s="11" t="s">
        <v>26</v>
      </c>
      <c r="G2116" s="11">
        <v>69143</v>
      </c>
      <c r="H2116" s="12" t="s">
        <v>4423</v>
      </c>
      <c r="I2116" s="12" t="s">
        <v>27</v>
      </c>
      <c r="J2116" s="12" t="s">
        <v>33</v>
      </c>
      <c r="K2116" s="12" t="s">
        <v>34</v>
      </c>
      <c r="L2116" s="13">
        <v>35.06</v>
      </c>
      <c r="M2116" s="13">
        <v>25</v>
      </c>
      <c r="N2116" s="13">
        <v>1.4024000000000001</v>
      </c>
      <c r="O2116" s="13">
        <v>45</v>
      </c>
      <c r="P2116" s="13" t="s">
        <v>30</v>
      </c>
      <c r="Q2116" s="13">
        <v>0</v>
      </c>
      <c r="R2116" s="15">
        <v>1577.7</v>
      </c>
      <c r="S2116" s="15">
        <v>0</v>
      </c>
      <c r="T2116" s="15">
        <v>0</v>
      </c>
      <c r="U2116" s="15">
        <v>1577.7</v>
      </c>
      <c r="V2116" s="15">
        <v>1577.7</v>
      </c>
      <c r="W2116" s="15">
        <v>0</v>
      </c>
      <c r="X2116" s="15">
        <v>0</v>
      </c>
      <c r="Y2116" s="16">
        <v>0</v>
      </c>
      <c r="Z2116" s="67" t="s">
        <v>26</v>
      </c>
      <c r="AA2116" s="12" t="s">
        <v>31</v>
      </c>
    </row>
    <row r="2117" spans="1:27" x14ac:dyDescent="0.25">
      <c r="A2117" s="10">
        <v>45688</v>
      </c>
      <c r="B2117" s="11" t="s">
        <v>1865</v>
      </c>
      <c r="C2117" s="11" t="s">
        <v>4331</v>
      </c>
      <c r="D2117" s="11" t="s">
        <v>26</v>
      </c>
      <c r="E2117" s="11" t="s">
        <v>240</v>
      </c>
      <c r="F2117" s="11" t="s">
        <v>26</v>
      </c>
      <c r="G2117" s="11">
        <v>2853</v>
      </c>
      <c r="H2117" s="12" t="s">
        <v>41</v>
      </c>
      <c r="I2117" s="12" t="s">
        <v>55</v>
      </c>
      <c r="J2117" s="12" t="s">
        <v>55</v>
      </c>
      <c r="K2117" s="12" t="s">
        <v>56</v>
      </c>
      <c r="L2117" s="13">
        <v>39.020000000000003</v>
      </c>
      <c r="M2117" s="13">
        <v>25</v>
      </c>
      <c r="N2117" s="13">
        <v>1.5608</v>
      </c>
      <c r="O2117" s="13" t="s">
        <v>30</v>
      </c>
      <c r="P2117" s="13">
        <v>24</v>
      </c>
      <c r="Q2117" s="13">
        <v>0</v>
      </c>
      <c r="R2117" s="14">
        <v>600</v>
      </c>
      <c r="S2117" s="15">
        <v>0</v>
      </c>
      <c r="T2117" s="15">
        <v>0</v>
      </c>
      <c r="U2117" s="15">
        <v>600</v>
      </c>
      <c r="V2117" s="15">
        <v>0</v>
      </c>
      <c r="W2117" s="15">
        <v>600</v>
      </c>
      <c r="X2117" s="15">
        <v>0</v>
      </c>
      <c r="Y2117" s="16">
        <v>0</v>
      </c>
      <c r="Z2117" s="67" t="s">
        <v>26</v>
      </c>
      <c r="AA2117" s="12" t="s">
        <v>31</v>
      </c>
    </row>
    <row r="2118" spans="1:27" x14ac:dyDescent="0.25">
      <c r="A2118" s="10">
        <v>45688</v>
      </c>
      <c r="B2118" s="11" t="s">
        <v>2710</v>
      </c>
      <c r="C2118" s="11" t="s">
        <v>4332</v>
      </c>
      <c r="D2118" s="11" t="s">
        <v>26</v>
      </c>
      <c r="E2118" s="11" t="s">
        <v>50</v>
      </c>
      <c r="F2118" s="11" t="s">
        <v>26</v>
      </c>
      <c r="G2118" s="11">
        <v>927</v>
      </c>
      <c r="H2118" s="12" t="s">
        <v>163</v>
      </c>
      <c r="I2118" s="12" t="s">
        <v>55</v>
      </c>
      <c r="J2118" s="12" t="s">
        <v>55</v>
      </c>
      <c r="K2118" s="12" t="s">
        <v>56</v>
      </c>
      <c r="L2118" s="13">
        <v>40.159999999999997</v>
      </c>
      <c r="M2118" s="13">
        <v>25</v>
      </c>
      <c r="N2118" s="13">
        <v>1.6064000000000001</v>
      </c>
      <c r="O2118" s="13" t="s">
        <v>30</v>
      </c>
      <c r="P2118" s="13">
        <v>22</v>
      </c>
      <c r="Q2118" s="13">
        <v>0</v>
      </c>
      <c r="R2118" s="15">
        <v>550</v>
      </c>
      <c r="S2118" s="15">
        <v>0</v>
      </c>
      <c r="T2118" s="15">
        <v>0</v>
      </c>
      <c r="U2118" s="15">
        <v>550</v>
      </c>
      <c r="V2118" s="15">
        <v>0</v>
      </c>
      <c r="W2118" s="15">
        <v>550</v>
      </c>
      <c r="X2118" s="15">
        <v>0</v>
      </c>
      <c r="Y2118" s="16">
        <v>0</v>
      </c>
      <c r="Z2118" s="67" t="s">
        <v>26</v>
      </c>
      <c r="AA2118" s="12" t="s">
        <v>31</v>
      </c>
    </row>
    <row r="2119" spans="1:27" x14ac:dyDescent="0.25">
      <c r="A2119" s="10">
        <v>45688</v>
      </c>
      <c r="B2119" s="11" t="s">
        <v>4081</v>
      </c>
      <c r="C2119" s="11" t="s">
        <v>4333</v>
      </c>
      <c r="D2119" s="11" t="s">
        <v>26</v>
      </c>
      <c r="E2119" s="11" t="s">
        <v>80</v>
      </c>
      <c r="F2119" s="11" t="s">
        <v>26</v>
      </c>
      <c r="G2119" s="11">
        <v>10668</v>
      </c>
      <c r="H2119" s="12" t="s">
        <v>140</v>
      </c>
      <c r="I2119" s="12" t="s">
        <v>27</v>
      </c>
      <c r="J2119" s="12" t="s">
        <v>33</v>
      </c>
      <c r="K2119" s="12" t="s">
        <v>34</v>
      </c>
      <c r="L2119" s="13">
        <v>42.48</v>
      </c>
      <c r="M2119" s="13">
        <v>29</v>
      </c>
      <c r="N2119" s="13">
        <v>1.464827586206896</v>
      </c>
      <c r="O2119" s="13">
        <v>40</v>
      </c>
      <c r="P2119" s="13"/>
      <c r="Q2119" s="13">
        <v>0</v>
      </c>
      <c r="R2119" s="14">
        <v>1699.1999999999998</v>
      </c>
      <c r="S2119" s="15">
        <v>0</v>
      </c>
      <c r="T2119" s="15">
        <v>0</v>
      </c>
      <c r="U2119" s="15">
        <v>1699.1999999999998</v>
      </c>
      <c r="V2119" s="15">
        <v>0</v>
      </c>
      <c r="W2119" s="15">
        <v>1699.1999999999998</v>
      </c>
      <c r="X2119" s="15">
        <v>0</v>
      </c>
      <c r="Y2119" s="16">
        <v>0</v>
      </c>
      <c r="Z2119" s="67" t="s">
        <v>26</v>
      </c>
      <c r="AA2119" s="12" t="s">
        <v>31</v>
      </c>
    </row>
    <row r="2120" spans="1:27" x14ac:dyDescent="0.25">
      <c r="A2120" s="10">
        <v>45688</v>
      </c>
      <c r="B2120" s="11" t="s">
        <v>4334</v>
      </c>
      <c r="C2120" s="11" t="s">
        <v>4335</v>
      </c>
      <c r="D2120" s="11" t="s">
        <v>26</v>
      </c>
      <c r="E2120" s="11" t="s">
        <v>40</v>
      </c>
      <c r="F2120" s="11" t="s">
        <v>26</v>
      </c>
      <c r="G2120" s="11">
        <v>3729</v>
      </c>
      <c r="H2120" s="12" t="s">
        <v>41</v>
      </c>
      <c r="I2120" s="12" t="s">
        <v>55</v>
      </c>
      <c r="J2120" s="12" t="s">
        <v>55</v>
      </c>
      <c r="K2120" s="12" t="s">
        <v>56</v>
      </c>
      <c r="L2120" s="13">
        <v>41.48</v>
      </c>
      <c r="M2120" s="13">
        <v>25</v>
      </c>
      <c r="N2120" s="13">
        <v>1.6592</v>
      </c>
      <c r="O2120" s="13" t="s">
        <v>30</v>
      </c>
      <c r="P2120" s="13">
        <v>24</v>
      </c>
      <c r="Q2120" s="13">
        <v>0</v>
      </c>
      <c r="R2120" s="14">
        <v>600</v>
      </c>
      <c r="S2120" s="15">
        <v>0</v>
      </c>
      <c r="T2120" s="15">
        <v>0</v>
      </c>
      <c r="U2120" s="15">
        <v>600</v>
      </c>
      <c r="V2120" s="15">
        <v>0</v>
      </c>
      <c r="W2120" s="15">
        <v>600</v>
      </c>
      <c r="X2120" s="15">
        <v>0</v>
      </c>
      <c r="Y2120" s="16">
        <v>0</v>
      </c>
      <c r="Z2120" s="67" t="s">
        <v>26</v>
      </c>
      <c r="AA2120" s="12" t="s">
        <v>31</v>
      </c>
    </row>
    <row r="2121" spans="1:27" x14ac:dyDescent="0.25">
      <c r="A2121" s="10">
        <v>45688</v>
      </c>
      <c r="B2121" s="11" t="s">
        <v>4336</v>
      </c>
      <c r="C2121" s="11" t="s">
        <v>4337</v>
      </c>
      <c r="D2121" s="11" t="s">
        <v>26</v>
      </c>
      <c r="E2121" s="11" t="s">
        <v>99</v>
      </c>
      <c r="F2121" s="11" t="s">
        <v>26</v>
      </c>
      <c r="G2121" s="11">
        <v>3116</v>
      </c>
      <c r="H2121" s="12" t="s">
        <v>4423</v>
      </c>
      <c r="I2121" s="12" t="s">
        <v>37</v>
      </c>
      <c r="J2121" s="12" t="s">
        <v>599</v>
      </c>
      <c r="K2121" s="12" t="s">
        <v>82</v>
      </c>
      <c r="L2121" s="13">
        <v>34.979999999999997</v>
      </c>
      <c r="M2121" s="13">
        <v>25</v>
      </c>
      <c r="N2121" s="13">
        <v>1.3992</v>
      </c>
      <c r="O2121" s="13">
        <v>34</v>
      </c>
      <c r="P2121" s="13" t="s">
        <v>30</v>
      </c>
      <c r="Q2121" s="13">
        <v>0</v>
      </c>
      <c r="R2121" s="14">
        <v>1189.32</v>
      </c>
      <c r="S2121" s="15">
        <v>0</v>
      </c>
      <c r="T2121" s="15">
        <v>0</v>
      </c>
      <c r="U2121" s="15">
        <v>1189.32</v>
      </c>
      <c r="V2121" s="15">
        <v>1189.32</v>
      </c>
      <c r="W2121" s="15">
        <v>0</v>
      </c>
      <c r="X2121" s="15">
        <v>0</v>
      </c>
      <c r="Y2121" s="16">
        <v>0</v>
      </c>
      <c r="Z2121" s="67" t="s">
        <v>26</v>
      </c>
      <c r="AA2121" s="12" t="s">
        <v>31</v>
      </c>
    </row>
    <row r="2122" spans="1:27" x14ac:dyDescent="0.25">
      <c r="A2122" s="10">
        <v>45688</v>
      </c>
      <c r="B2122" s="11" t="s">
        <v>4338</v>
      </c>
      <c r="C2122" s="11" t="s">
        <v>4339</v>
      </c>
      <c r="D2122" s="11" t="s">
        <v>26</v>
      </c>
      <c r="E2122" s="11" t="s">
        <v>98</v>
      </c>
      <c r="F2122" s="11" t="s">
        <v>26</v>
      </c>
      <c r="G2122" s="11">
        <v>10707</v>
      </c>
      <c r="H2122" s="12" t="s">
        <v>140</v>
      </c>
      <c r="I2122" s="12" t="s">
        <v>27</v>
      </c>
      <c r="J2122" s="12" t="s">
        <v>33</v>
      </c>
      <c r="K2122" s="12" t="s">
        <v>34</v>
      </c>
      <c r="L2122" s="13">
        <v>42.66</v>
      </c>
      <c r="M2122" s="13">
        <v>29</v>
      </c>
      <c r="N2122" s="13">
        <v>1.471034482758621</v>
      </c>
      <c r="O2122" s="13">
        <v>40</v>
      </c>
      <c r="P2122" s="13"/>
      <c r="Q2122" s="13">
        <v>0</v>
      </c>
      <c r="R2122" s="15">
        <v>1706.3999999999999</v>
      </c>
      <c r="S2122" s="15">
        <v>0</v>
      </c>
      <c r="T2122" s="15">
        <v>0</v>
      </c>
      <c r="U2122" s="15">
        <v>1706.3999999999999</v>
      </c>
      <c r="V2122" s="15">
        <v>0</v>
      </c>
      <c r="W2122" s="15">
        <v>1706.3999999999999</v>
      </c>
      <c r="X2122" s="15">
        <v>0</v>
      </c>
      <c r="Y2122" s="16">
        <v>0</v>
      </c>
      <c r="Z2122" s="67" t="s">
        <v>26</v>
      </c>
      <c r="AA2122" s="12" t="s">
        <v>31</v>
      </c>
    </row>
    <row r="2123" spans="1:27" x14ac:dyDescent="0.25">
      <c r="A2123" s="10">
        <v>45688</v>
      </c>
      <c r="B2123" s="11" t="s">
        <v>1705</v>
      </c>
      <c r="C2123" s="11" t="s">
        <v>4340</v>
      </c>
      <c r="D2123" s="11" t="s">
        <v>26</v>
      </c>
      <c r="E2123" s="11" t="s">
        <v>520</v>
      </c>
      <c r="F2123" s="11" t="s">
        <v>26</v>
      </c>
      <c r="G2123" s="11">
        <v>4384</v>
      </c>
      <c r="H2123" s="12" t="s">
        <v>140</v>
      </c>
      <c r="I2123" s="12" t="s">
        <v>27</v>
      </c>
      <c r="J2123" s="12" t="s">
        <v>42</v>
      </c>
      <c r="K2123" s="12" t="s">
        <v>43</v>
      </c>
      <c r="L2123" s="13">
        <v>45.28</v>
      </c>
      <c r="M2123" s="13">
        <v>28</v>
      </c>
      <c r="N2123" s="13">
        <v>1.617142857142857</v>
      </c>
      <c r="O2123" s="13">
        <v>35</v>
      </c>
      <c r="P2123" s="13"/>
      <c r="Q2123" s="13">
        <v>0</v>
      </c>
      <c r="R2123" s="14">
        <v>1584.8</v>
      </c>
      <c r="S2123" s="15">
        <v>0</v>
      </c>
      <c r="T2123" s="15">
        <v>0</v>
      </c>
      <c r="U2123" s="15">
        <v>1584.8</v>
      </c>
      <c r="V2123" s="15">
        <v>0</v>
      </c>
      <c r="W2123" s="15">
        <v>1584.8</v>
      </c>
      <c r="X2123" s="15">
        <v>0</v>
      </c>
      <c r="Y2123" s="16">
        <v>0</v>
      </c>
      <c r="Z2123" s="67" t="s">
        <v>26</v>
      </c>
      <c r="AA2123" s="12" t="s">
        <v>31</v>
      </c>
    </row>
    <row r="2124" spans="1:27" x14ac:dyDescent="0.25">
      <c r="A2124" s="10">
        <v>45688</v>
      </c>
      <c r="B2124" s="11" t="s">
        <v>724</v>
      </c>
      <c r="C2124" s="11" t="s">
        <v>4341</v>
      </c>
      <c r="D2124" s="11" t="s">
        <v>26</v>
      </c>
      <c r="E2124" s="11" t="s">
        <v>65</v>
      </c>
      <c r="F2124" s="11" t="s">
        <v>26</v>
      </c>
      <c r="G2124" s="11">
        <v>1701</v>
      </c>
      <c r="H2124" s="12" t="s">
        <v>66</v>
      </c>
      <c r="I2124" s="12" t="s">
        <v>37</v>
      </c>
      <c r="J2124" s="12" t="s">
        <v>1909</v>
      </c>
      <c r="K2124" s="12" t="s">
        <v>82</v>
      </c>
      <c r="L2124" s="13">
        <v>38.700000000000003</v>
      </c>
      <c r="M2124" s="13">
        <v>25</v>
      </c>
      <c r="N2124" s="13">
        <v>1.548</v>
      </c>
      <c r="O2124" s="13" t="s">
        <v>30</v>
      </c>
      <c r="P2124" s="13">
        <v>54</v>
      </c>
      <c r="Q2124" s="13">
        <v>0</v>
      </c>
      <c r="R2124" s="14">
        <v>1350</v>
      </c>
      <c r="S2124" s="15">
        <v>0</v>
      </c>
      <c r="T2124" s="15">
        <v>0</v>
      </c>
      <c r="U2124" s="15">
        <v>1350</v>
      </c>
      <c r="V2124" s="15">
        <v>1350</v>
      </c>
      <c r="W2124" s="15">
        <v>0</v>
      </c>
      <c r="X2124" s="15">
        <v>0</v>
      </c>
      <c r="Y2124" s="16">
        <v>0</v>
      </c>
      <c r="Z2124" s="67" t="s">
        <v>26</v>
      </c>
      <c r="AA2124" s="12" t="s">
        <v>31</v>
      </c>
    </row>
    <row r="2125" spans="1:27" x14ac:dyDescent="0.25">
      <c r="A2125" s="10">
        <v>45688</v>
      </c>
      <c r="B2125" s="11" t="s">
        <v>4342</v>
      </c>
      <c r="C2125" s="11" t="s">
        <v>4343</v>
      </c>
      <c r="D2125" s="11" t="s">
        <v>26</v>
      </c>
      <c r="E2125" s="11" t="s">
        <v>53</v>
      </c>
      <c r="F2125" s="11" t="s">
        <v>26</v>
      </c>
      <c r="G2125" s="11" t="s">
        <v>26</v>
      </c>
      <c r="H2125" s="12" t="s">
        <v>4422</v>
      </c>
      <c r="I2125" s="12" t="s">
        <v>27</v>
      </c>
      <c r="J2125" s="12" t="s">
        <v>47</v>
      </c>
      <c r="K2125" s="12" t="s">
        <v>48</v>
      </c>
      <c r="L2125" s="13">
        <v>45.34</v>
      </c>
      <c r="M2125" s="13">
        <v>31</v>
      </c>
      <c r="N2125" s="13">
        <v>1.4625806451612899</v>
      </c>
      <c r="O2125" s="13">
        <v>87</v>
      </c>
      <c r="P2125" s="13" t="s">
        <v>30</v>
      </c>
      <c r="Q2125" s="13">
        <v>0</v>
      </c>
      <c r="R2125" s="14">
        <v>3944.5800000000004</v>
      </c>
      <c r="S2125" s="15">
        <v>38</v>
      </c>
      <c r="T2125" s="15">
        <v>1722.92</v>
      </c>
      <c r="U2125" s="15">
        <v>2221.6600000000003</v>
      </c>
      <c r="V2125" s="15">
        <v>2221.6600000000003</v>
      </c>
      <c r="W2125" s="15"/>
      <c r="X2125" s="15">
        <v>1677.5800000000002</v>
      </c>
      <c r="Y2125" s="16">
        <v>45.339999999999918</v>
      </c>
      <c r="Z2125" s="67" t="s">
        <v>41</v>
      </c>
      <c r="AA2125" s="12" t="s">
        <v>78</v>
      </c>
    </row>
    <row r="2126" spans="1:27" x14ac:dyDescent="0.25">
      <c r="A2126" s="10">
        <v>45688</v>
      </c>
      <c r="B2126" s="11" t="s">
        <v>4344</v>
      </c>
      <c r="C2126" s="11" t="s">
        <v>4345</v>
      </c>
      <c r="D2126" s="11" t="s">
        <v>26</v>
      </c>
      <c r="E2126" s="11" t="s">
        <v>589</v>
      </c>
      <c r="F2126" s="11" t="s">
        <v>26</v>
      </c>
      <c r="G2126" s="11">
        <v>56901</v>
      </c>
      <c r="H2126" s="12" t="s">
        <v>4423</v>
      </c>
      <c r="I2126" s="12" t="s">
        <v>27</v>
      </c>
      <c r="J2126" s="12" t="s">
        <v>42</v>
      </c>
      <c r="K2126" s="12" t="s">
        <v>43</v>
      </c>
      <c r="L2126" s="13">
        <v>35.1</v>
      </c>
      <c r="M2126" s="13">
        <v>25</v>
      </c>
      <c r="N2126" s="13">
        <v>1.4039999999999999</v>
      </c>
      <c r="O2126" s="13">
        <v>42</v>
      </c>
      <c r="P2126" s="13" t="s">
        <v>30</v>
      </c>
      <c r="Q2126" s="13">
        <v>0</v>
      </c>
      <c r="R2126" s="15">
        <v>1474.2</v>
      </c>
      <c r="S2126" s="15">
        <v>0</v>
      </c>
      <c r="T2126" s="15">
        <v>0</v>
      </c>
      <c r="U2126" s="15">
        <v>1474.2</v>
      </c>
      <c r="V2126" s="15">
        <v>1474.2</v>
      </c>
      <c r="W2126" s="15">
        <v>0</v>
      </c>
      <c r="X2126" s="15">
        <v>0</v>
      </c>
      <c r="Y2126" s="16">
        <v>0</v>
      </c>
      <c r="Z2126" s="67" t="s">
        <v>26</v>
      </c>
      <c r="AA2126" s="12" t="s">
        <v>31</v>
      </c>
    </row>
    <row r="2127" spans="1:27" x14ac:dyDescent="0.25">
      <c r="A2127" s="10">
        <v>45688</v>
      </c>
      <c r="B2127" s="11" t="s">
        <v>247</v>
      </c>
      <c r="C2127" s="11" t="s">
        <v>4346</v>
      </c>
      <c r="D2127" s="11" t="s">
        <v>26</v>
      </c>
      <c r="E2127" s="11" t="s">
        <v>67</v>
      </c>
      <c r="F2127" s="11" t="s">
        <v>26</v>
      </c>
      <c r="G2127" s="11">
        <v>1628</v>
      </c>
      <c r="H2127" s="12" t="s">
        <v>66</v>
      </c>
      <c r="I2127" s="12" t="s">
        <v>37</v>
      </c>
      <c r="J2127" s="12" t="s">
        <v>1909</v>
      </c>
      <c r="K2127" s="12" t="s">
        <v>82</v>
      </c>
      <c r="L2127" s="13">
        <v>39.24</v>
      </c>
      <c r="M2127" s="13">
        <v>25</v>
      </c>
      <c r="N2127" s="13">
        <v>1.5696000000000001</v>
      </c>
      <c r="O2127" s="13" t="s">
        <v>30</v>
      </c>
      <c r="P2127" s="13">
        <v>54</v>
      </c>
      <c r="Q2127" s="13">
        <v>0</v>
      </c>
      <c r="R2127" s="14">
        <v>1350</v>
      </c>
      <c r="S2127" s="15">
        <v>0</v>
      </c>
      <c r="T2127" s="15">
        <v>0</v>
      </c>
      <c r="U2127" s="15">
        <v>1350</v>
      </c>
      <c r="V2127" s="15">
        <v>1350</v>
      </c>
      <c r="W2127" s="15">
        <v>0</v>
      </c>
      <c r="X2127" s="15">
        <v>0</v>
      </c>
      <c r="Y2127" s="16">
        <v>0</v>
      </c>
      <c r="Z2127" s="67" t="s">
        <v>26</v>
      </c>
      <c r="AA2127" s="12" t="s">
        <v>31</v>
      </c>
    </row>
    <row r="2128" spans="1:27" x14ac:dyDescent="0.25">
      <c r="A2128" s="10">
        <v>45688</v>
      </c>
      <c r="B2128" s="11" t="s">
        <v>4347</v>
      </c>
      <c r="C2128" s="11" t="s">
        <v>4348</v>
      </c>
      <c r="D2128" s="11" t="s">
        <v>26</v>
      </c>
      <c r="E2128" s="11" t="s">
        <v>1200</v>
      </c>
      <c r="F2128" s="11" t="s">
        <v>26</v>
      </c>
      <c r="G2128" s="11">
        <v>2593</v>
      </c>
      <c r="H2128" s="12" t="s">
        <v>163</v>
      </c>
      <c r="I2128" s="12" t="s">
        <v>27</v>
      </c>
      <c r="J2128" s="12" t="s">
        <v>33</v>
      </c>
      <c r="K2128" s="12" t="s">
        <v>34</v>
      </c>
      <c r="L2128" s="13">
        <v>39.28</v>
      </c>
      <c r="M2128" s="13">
        <v>25</v>
      </c>
      <c r="N2128" s="13">
        <v>1.5711999999999999</v>
      </c>
      <c r="O2128" s="13" t="s">
        <v>30</v>
      </c>
      <c r="P2128" s="13">
        <v>58</v>
      </c>
      <c r="Q2128" s="13">
        <v>0</v>
      </c>
      <c r="R2128" s="14">
        <v>1450</v>
      </c>
      <c r="S2128" s="15">
        <v>0</v>
      </c>
      <c r="T2128" s="15">
        <v>0</v>
      </c>
      <c r="U2128" s="15">
        <v>1450</v>
      </c>
      <c r="V2128" s="15">
        <v>0</v>
      </c>
      <c r="W2128" s="15">
        <v>1450</v>
      </c>
      <c r="X2128" s="15">
        <v>0</v>
      </c>
      <c r="Y2128" s="16">
        <v>0</v>
      </c>
      <c r="Z2128" s="67" t="s">
        <v>26</v>
      </c>
      <c r="AA2128" s="12" t="s">
        <v>31</v>
      </c>
    </row>
    <row r="2129" spans="1:27" x14ac:dyDescent="0.25">
      <c r="A2129" s="10">
        <v>45688</v>
      </c>
      <c r="B2129" s="11" t="s">
        <v>452</v>
      </c>
      <c r="C2129" s="11" t="s">
        <v>4349</v>
      </c>
      <c r="D2129" s="11" t="s">
        <v>26</v>
      </c>
      <c r="E2129" s="11" t="s">
        <v>183</v>
      </c>
      <c r="F2129" s="11" t="s">
        <v>26</v>
      </c>
      <c r="G2129" s="11">
        <v>4685</v>
      </c>
      <c r="H2129" s="12" t="s">
        <v>41</v>
      </c>
      <c r="I2129" s="12" t="s">
        <v>55</v>
      </c>
      <c r="J2129" s="12" t="s">
        <v>55</v>
      </c>
      <c r="K2129" s="12" t="s">
        <v>56</v>
      </c>
      <c r="L2129" s="13">
        <v>31.06</v>
      </c>
      <c r="M2129" s="13">
        <v>20</v>
      </c>
      <c r="N2129" s="13">
        <v>1.5529999999999999</v>
      </c>
      <c r="O2129" s="13" t="s">
        <v>30</v>
      </c>
      <c r="P2129" s="13">
        <v>24</v>
      </c>
      <c r="Q2129" s="13">
        <v>0</v>
      </c>
      <c r="R2129" s="14">
        <v>480</v>
      </c>
      <c r="S2129" s="15">
        <v>0</v>
      </c>
      <c r="T2129" s="15">
        <v>0</v>
      </c>
      <c r="U2129" s="15">
        <v>480</v>
      </c>
      <c r="V2129" s="15">
        <v>0</v>
      </c>
      <c r="W2129" s="15">
        <v>480</v>
      </c>
      <c r="X2129" s="15">
        <v>0</v>
      </c>
      <c r="Y2129" s="16">
        <v>0</v>
      </c>
      <c r="Z2129" s="67" t="s">
        <v>26</v>
      </c>
      <c r="AA2129" s="12" t="s">
        <v>31</v>
      </c>
    </row>
    <row r="2130" spans="1:27" x14ac:dyDescent="0.25">
      <c r="A2130" s="10">
        <v>45688</v>
      </c>
      <c r="B2130" s="11" t="s">
        <v>4350</v>
      </c>
      <c r="C2130" s="11" t="s">
        <v>4351</v>
      </c>
      <c r="D2130" s="11" t="s">
        <v>26</v>
      </c>
      <c r="E2130" s="11" t="s">
        <v>506</v>
      </c>
      <c r="F2130" s="11" t="s">
        <v>26</v>
      </c>
      <c r="G2130" s="11">
        <v>1543</v>
      </c>
      <c r="H2130" s="12" t="s">
        <v>45</v>
      </c>
      <c r="I2130" s="12" t="s">
        <v>27</v>
      </c>
      <c r="J2130" s="12" t="s">
        <v>33</v>
      </c>
      <c r="K2130" s="12" t="s">
        <v>34</v>
      </c>
      <c r="L2130" s="13">
        <v>38.200000000000003</v>
      </c>
      <c r="M2130" s="13">
        <v>25</v>
      </c>
      <c r="N2130" s="13">
        <v>1.528</v>
      </c>
      <c r="O2130" s="13" t="s">
        <v>30</v>
      </c>
      <c r="P2130" s="13">
        <v>58</v>
      </c>
      <c r="Q2130" s="13">
        <v>0</v>
      </c>
      <c r="R2130" s="15">
        <v>1450</v>
      </c>
      <c r="S2130" s="15">
        <v>0</v>
      </c>
      <c r="T2130" s="15">
        <v>0</v>
      </c>
      <c r="U2130" s="15">
        <v>1450</v>
      </c>
      <c r="V2130" s="15">
        <v>0</v>
      </c>
      <c r="W2130" s="15">
        <v>1450</v>
      </c>
      <c r="X2130" s="15">
        <v>0</v>
      </c>
      <c r="Y2130" s="16">
        <v>0</v>
      </c>
      <c r="Z2130" s="67" t="s">
        <v>26</v>
      </c>
      <c r="AA2130" s="12" t="s">
        <v>31</v>
      </c>
    </row>
    <row r="2131" spans="1:27" x14ac:dyDescent="0.25">
      <c r="A2131" s="10">
        <v>45688</v>
      </c>
      <c r="B2131" s="11" t="s">
        <v>4350</v>
      </c>
      <c r="C2131" s="11" t="s">
        <v>4352</v>
      </c>
      <c r="D2131" s="11" t="s">
        <v>26</v>
      </c>
      <c r="E2131" s="11" t="s">
        <v>236</v>
      </c>
      <c r="F2131" s="11" t="s">
        <v>26</v>
      </c>
      <c r="G2131" s="11">
        <v>1533</v>
      </c>
      <c r="H2131" s="12" t="s">
        <v>45</v>
      </c>
      <c r="I2131" s="12" t="s">
        <v>27</v>
      </c>
      <c r="J2131" s="12" t="s">
        <v>47</v>
      </c>
      <c r="K2131" s="12" t="s">
        <v>48</v>
      </c>
      <c r="L2131" s="13">
        <v>38.18</v>
      </c>
      <c r="M2131" s="13">
        <v>25</v>
      </c>
      <c r="N2131" s="13">
        <v>1.5271999999999999</v>
      </c>
      <c r="O2131" s="13" t="s">
        <v>30</v>
      </c>
      <c r="P2131" s="13">
        <v>58</v>
      </c>
      <c r="Q2131" s="13">
        <v>0</v>
      </c>
      <c r="R2131" s="14">
        <v>1450</v>
      </c>
      <c r="S2131" s="15">
        <v>0</v>
      </c>
      <c r="T2131" s="15">
        <v>0</v>
      </c>
      <c r="U2131" s="15">
        <v>1450</v>
      </c>
      <c r="V2131" s="15">
        <v>0</v>
      </c>
      <c r="W2131" s="15">
        <v>1450</v>
      </c>
      <c r="X2131" s="15">
        <v>0</v>
      </c>
      <c r="Y2131" s="16">
        <v>0</v>
      </c>
      <c r="Z2131" s="67" t="s">
        <v>26</v>
      </c>
      <c r="AA2131" s="12" t="s">
        <v>31</v>
      </c>
    </row>
    <row r="2132" spans="1:27" x14ac:dyDescent="0.25">
      <c r="A2132" s="10">
        <v>45688</v>
      </c>
      <c r="B2132" s="11" t="s">
        <v>1763</v>
      </c>
      <c r="C2132" s="11" t="s">
        <v>4353</v>
      </c>
      <c r="D2132" s="11" t="s">
        <v>26</v>
      </c>
      <c r="E2132" s="11" t="s">
        <v>4161</v>
      </c>
      <c r="F2132" s="11" t="s">
        <v>26</v>
      </c>
      <c r="G2132" s="11">
        <v>2616</v>
      </c>
      <c r="H2132" s="12" t="s">
        <v>41</v>
      </c>
      <c r="I2132" s="12" t="s">
        <v>55</v>
      </c>
      <c r="J2132" s="12" t="s">
        <v>55</v>
      </c>
      <c r="K2132" s="12" t="s">
        <v>56</v>
      </c>
      <c r="L2132" s="13">
        <v>31.28</v>
      </c>
      <c r="M2132" s="13">
        <v>20</v>
      </c>
      <c r="N2132" s="13">
        <v>1.5640000000000001</v>
      </c>
      <c r="O2132" s="13" t="s">
        <v>30</v>
      </c>
      <c r="P2132" s="13">
        <v>24</v>
      </c>
      <c r="Q2132" s="13">
        <v>0</v>
      </c>
      <c r="R2132" s="14">
        <v>480</v>
      </c>
      <c r="S2132" s="15">
        <v>0</v>
      </c>
      <c r="T2132" s="15">
        <v>0</v>
      </c>
      <c r="U2132" s="15">
        <v>480</v>
      </c>
      <c r="V2132" s="15">
        <v>0</v>
      </c>
      <c r="W2132" s="15">
        <v>480</v>
      </c>
      <c r="X2132" s="15">
        <v>0</v>
      </c>
      <c r="Y2132" s="16">
        <v>0</v>
      </c>
      <c r="Z2132" s="67" t="s">
        <v>26</v>
      </c>
      <c r="AA2132" s="12" t="s">
        <v>31</v>
      </c>
    </row>
    <row r="2133" spans="1:27" x14ac:dyDescent="0.25">
      <c r="A2133" s="10">
        <v>45688</v>
      </c>
      <c r="B2133" s="11" t="s">
        <v>4354</v>
      </c>
      <c r="C2133" s="11" t="s">
        <v>4355</v>
      </c>
      <c r="D2133" s="11" t="s">
        <v>26</v>
      </c>
      <c r="E2133" s="11" t="s">
        <v>63</v>
      </c>
      <c r="F2133" s="11" t="s">
        <v>26</v>
      </c>
      <c r="G2133" s="11">
        <v>10176</v>
      </c>
      <c r="H2133" s="12" t="s">
        <v>140</v>
      </c>
      <c r="I2133" s="12" t="s">
        <v>27</v>
      </c>
      <c r="J2133" s="12" t="s">
        <v>33</v>
      </c>
      <c r="K2133" s="12" t="s">
        <v>34</v>
      </c>
      <c r="L2133" s="13">
        <v>42.24</v>
      </c>
      <c r="M2133" s="13">
        <v>29</v>
      </c>
      <c r="N2133" s="13">
        <v>1.4565517241379311</v>
      </c>
      <c r="O2133" s="13">
        <v>40</v>
      </c>
      <c r="P2133" s="13"/>
      <c r="Q2133" s="13">
        <v>0</v>
      </c>
      <c r="R2133" s="15">
        <v>1689.6000000000001</v>
      </c>
      <c r="S2133" s="15">
        <v>0</v>
      </c>
      <c r="T2133" s="15">
        <v>0</v>
      </c>
      <c r="U2133" s="15">
        <v>1689.6000000000001</v>
      </c>
      <c r="V2133" s="15">
        <v>0</v>
      </c>
      <c r="W2133" s="15">
        <v>1689.6000000000001</v>
      </c>
      <c r="X2133" s="15">
        <v>0</v>
      </c>
      <c r="Y2133" s="16">
        <v>0</v>
      </c>
      <c r="Z2133" s="67" t="s">
        <v>26</v>
      </c>
      <c r="AA2133" s="12" t="s">
        <v>31</v>
      </c>
    </row>
    <row r="2134" spans="1:27" x14ac:dyDescent="0.25">
      <c r="A2134" s="10">
        <v>45688</v>
      </c>
      <c r="B2134" s="11" t="s">
        <v>4356</v>
      </c>
      <c r="C2134" s="11" t="s">
        <v>4357</v>
      </c>
      <c r="D2134" s="11" t="s">
        <v>26</v>
      </c>
      <c r="E2134" s="11" t="s">
        <v>91</v>
      </c>
      <c r="F2134" s="11" t="s">
        <v>26</v>
      </c>
      <c r="G2134" s="11">
        <v>2468</v>
      </c>
      <c r="H2134" s="12" t="s">
        <v>41</v>
      </c>
      <c r="I2134" s="12" t="s">
        <v>55</v>
      </c>
      <c r="J2134" s="12" t="s">
        <v>55</v>
      </c>
      <c r="K2134" s="12" t="s">
        <v>56</v>
      </c>
      <c r="L2134" s="13">
        <v>33.04</v>
      </c>
      <c r="M2134" s="13">
        <v>20</v>
      </c>
      <c r="N2134" s="13">
        <v>1.6519999999999999</v>
      </c>
      <c r="O2134" s="13" t="s">
        <v>30</v>
      </c>
      <c r="P2134" s="13">
        <v>24</v>
      </c>
      <c r="Q2134" s="13">
        <v>0</v>
      </c>
      <c r="R2134" s="14">
        <v>480</v>
      </c>
      <c r="S2134" s="15">
        <v>0</v>
      </c>
      <c r="T2134" s="15">
        <v>0</v>
      </c>
      <c r="U2134" s="15">
        <v>480</v>
      </c>
      <c r="V2134" s="15">
        <v>0</v>
      </c>
      <c r="W2134" s="15">
        <v>480</v>
      </c>
      <c r="X2134" s="15">
        <v>0</v>
      </c>
      <c r="Y2134" s="16">
        <v>0</v>
      </c>
      <c r="Z2134" s="67" t="s">
        <v>26</v>
      </c>
      <c r="AA2134" s="12" t="s">
        <v>31</v>
      </c>
    </row>
    <row r="2135" spans="1:27" x14ac:dyDescent="0.25">
      <c r="A2135" s="10">
        <v>45688</v>
      </c>
      <c r="B2135" s="11" t="s">
        <v>349</v>
      </c>
      <c r="C2135" s="11" t="s">
        <v>4358</v>
      </c>
      <c r="D2135" s="11" t="s">
        <v>26</v>
      </c>
      <c r="E2135" s="11" t="s">
        <v>534</v>
      </c>
      <c r="F2135" s="11" t="s">
        <v>26</v>
      </c>
      <c r="G2135" s="11">
        <v>2592</v>
      </c>
      <c r="H2135" s="12" t="s">
        <v>163</v>
      </c>
      <c r="I2135" s="12" t="s">
        <v>27</v>
      </c>
      <c r="J2135" s="12" t="s">
        <v>42</v>
      </c>
      <c r="K2135" s="12" t="s">
        <v>43</v>
      </c>
      <c r="L2135" s="13">
        <v>40.56</v>
      </c>
      <c r="M2135" s="13">
        <v>25</v>
      </c>
      <c r="N2135" s="13">
        <v>1.6224000000000001</v>
      </c>
      <c r="O2135" s="13" t="s">
        <v>30</v>
      </c>
      <c r="P2135" s="13">
        <v>56</v>
      </c>
      <c r="Q2135" s="13">
        <v>0</v>
      </c>
      <c r="R2135" s="15">
        <v>1400</v>
      </c>
      <c r="S2135" s="15">
        <v>0</v>
      </c>
      <c r="T2135" s="15">
        <v>0</v>
      </c>
      <c r="U2135" s="15">
        <v>1400</v>
      </c>
      <c r="V2135" s="15">
        <v>0</v>
      </c>
      <c r="W2135" s="15">
        <v>1400</v>
      </c>
      <c r="X2135" s="15">
        <v>0</v>
      </c>
      <c r="Y2135" s="16">
        <v>0</v>
      </c>
      <c r="Z2135" s="67" t="s">
        <v>26</v>
      </c>
      <c r="AA2135" s="12" t="s">
        <v>31</v>
      </c>
    </row>
    <row r="2136" spans="1:27" x14ac:dyDescent="0.25">
      <c r="A2136" s="10">
        <v>45688</v>
      </c>
      <c r="B2136" s="11" t="s">
        <v>4359</v>
      </c>
      <c r="C2136" s="11" t="s">
        <v>4360</v>
      </c>
      <c r="D2136" s="11" t="s">
        <v>26</v>
      </c>
      <c r="E2136" s="11" t="s">
        <v>494</v>
      </c>
      <c r="F2136" s="11" t="s">
        <v>26</v>
      </c>
      <c r="G2136" s="11" t="s">
        <v>35</v>
      </c>
      <c r="H2136" s="12" t="s">
        <v>36</v>
      </c>
      <c r="I2136" s="12" t="s">
        <v>55</v>
      </c>
      <c r="J2136" s="12" t="s">
        <v>55</v>
      </c>
      <c r="K2136" s="12" t="s">
        <v>56</v>
      </c>
      <c r="L2136" s="13">
        <v>39.06</v>
      </c>
      <c r="M2136" s="13">
        <v>25</v>
      </c>
      <c r="N2136" s="13">
        <v>1.5624</v>
      </c>
      <c r="O2136" s="13">
        <v>20</v>
      </c>
      <c r="P2136" s="13" t="s">
        <v>30</v>
      </c>
      <c r="Q2136" s="13">
        <v>0</v>
      </c>
      <c r="R2136" s="15">
        <v>781.2</v>
      </c>
      <c r="S2136" s="15">
        <v>0</v>
      </c>
      <c r="T2136" s="15">
        <v>0</v>
      </c>
      <c r="U2136" s="15">
        <v>781.2</v>
      </c>
      <c r="V2136" s="15">
        <v>0</v>
      </c>
      <c r="W2136" s="15">
        <v>781.2</v>
      </c>
      <c r="X2136" s="15">
        <v>0</v>
      </c>
      <c r="Y2136" s="16">
        <v>0</v>
      </c>
      <c r="Z2136" s="67" t="s">
        <v>26</v>
      </c>
      <c r="AA2136" s="12" t="s">
        <v>31</v>
      </c>
    </row>
    <row r="2137" spans="1:27" x14ac:dyDescent="0.25">
      <c r="A2137" s="10">
        <v>45688</v>
      </c>
      <c r="B2137" s="11" t="s">
        <v>114</v>
      </c>
      <c r="C2137" s="11" t="s">
        <v>4361</v>
      </c>
      <c r="D2137" s="11" t="s">
        <v>26</v>
      </c>
      <c r="E2137" s="11" t="s">
        <v>418</v>
      </c>
      <c r="F2137" s="11" t="s">
        <v>26</v>
      </c>
      <c r="G2137" s="11">
        <v>2591</v>
      </c>
      <c r="H2137" s="12" t="s">
        <v>163</v>
      </c>
      <c r="I2137" s="12" t="s">
        <v>27</v>
      </c>
      <c r="J2137" s="12" t="s">
        <v>42</v>
      </c>
      <c r="K2137" s="12" t="s">
        <v>43</v>
      </c>
      <c r="L2137" s="13">
        <v>40.28</v>
      </c>
      <c r="M2137" s="13">
        <v>25</v>
      </c>
      <c r="N2137" s="13">
        <v>1.6112</v>
      </c>
      <c r="O2137" s="13" t="s">
        <v>30</v>
      </c>
      <c r="P2137" s="13">
        <v>56</v>
      </c>
      <c r="Q2137" s="13">
        <v>0</v>
      </c>
      <c r="R2137" s="15">
        <v>1400</v>
      </c>
      <c r="S2137" s="15">
        <v>0</v>
      </c>
      <c r="T2137" s="15">
        <v>0</v>
      </c>
      <c r="U2137" s="15">
        <v>1400</v>
      </c>
      <c r="V2137" s="15">
        <v>0</v>
      </c>
      <c r="W2137" s="15">
        <v>1400</v>
      </c>
      <c r="X2137" s="15">
        <v>0</v>
      </c>
      <c r="Y2137" s="16">
        <v>0</v>
      </c>
      <c r="Z2137" s="67" t="s">
        <v>26</v>
      </c>
      <c r="AA2137" s="12" t="s">
        <v>31</v>
      </c>
    </row>
    <row r="2138" spans="1:27" x14ac:dyDescent="0.25">
      <c r="A2138" s="10">
        <v>45688</v>
      </c>
      <c r="B2138" s="11" t="s">
        <v>4362</v>
      </c>
      <c r="C2138" s="11" t="s">
        <v>4363</v>
      </c>
      <c r="D2138" s="11" t="s">
        <v>26</v>
      </c>
      <c r="E2138" s="11" t="s">
        <v>593</v>
      </c>
      <c r="F2138" s="11" t="s">
        <v>26</v>
      </c>
      <c r="G2138" s="11">
        <v>44314</v>
      </c>
      <c r="H2138" s="12" t="s">
        <v>4423</v>
      </c>
      <c r="I2138" s="12" t="s">
        <v>27</v>
      </c>
      <c r="J2138" s="12" t="s">
        <v>47</v>
      </c>
      <c r="K2138" s="12" t="s">
        <v>48</v>
      </c>
      <c r="L2138" s="13">
        <v>34.86</v>
      </c>
      <c r="M2138" s="13">
        <v>25</v>
      </c>
      <c r="N2138" s="13">
        <v>1.3944000000000001</v>
      </c>
      <c r="O2138" s="13">
        <v>46</v>
      </c>
      <c r="P2138" s="13" t="s">
        <v>30</v>
      </c>
      <c r="Q2138" s="13">
        <v>0</v>
      </c>
      <c r="R2138" s="14">
        <v>1603.56</v>
      </c>
      <c r="S2138" s="15">
        <v>0</v>
      </c>
      <c r="T2138" s="15">
        <v>0</v>
      </c>
      <c r="U2138" s="15">
        <v>1603.56</v>
      </c>
      <c r="V2138" s="15">
        <v>1603.56</v>
      </c>
      <c r="W2138" s="15">
        <v>0</v>
      </c>
      <c r="X2138" s="15">
        <v>0</v>
      </c>
      <c r="Y2138" s="16">
        <v>0</v>
      </c>
      <c r="Z2138" s="67" t="s">
        <v>26</v>
      </c>
      <c r="AA2138" s="12" t="s">
        <v>31</v>
      </c>
    </row>
    <row r="2139" spans="1:27" x14ac:dyDescent="0.25">
      <c r="A2139" s="10">
        <v>45688</v>
      </c>
      <c r="B2139" s="11" t="s">
        <v>688</v>
      </c>
      <c r="C2139" s="11" t="s">
        <v>4364</v>
      </c>
      <c r="D2139" s="11" t="s">
        <v>26</v>
      </c>
      <c r="E2139" s="11" t="s">
        <v>529</v>
      </c>
      <c r="F2139" s="11" t="s">
        <v>26</v>
      </c>
      <c r="G2139" s="11">
        <v>2590</v>
      </c>
      <c r="H2139" s="12" t="s">
        <v>163</v>
      </c>
      <c r="I2139" s="12" t="s">
        <v>27</v>
      </c>
      <c r="J2139" s="12" t="s">
        <v>42</v>
      </c>
      <c r="K2139" s="12" t="s">
        <v>43</v>
      </c>
      <c r="L2139" s="13">
        <v>40.6</v>
      </c>
      <c r="M2139" s="13">
        <v>25</v>
      </c>
      <c r="N2139" s="13">
        <v>1.6240000000000001</v>
      </c>
      <c r="O2139" s="13" t="s">
        <v>30</v>
      </c>
      <c r="P2139" s="13">
        <v>56</v>
      </c>
      <c r="Q2139" s="13">
        <v>0</v>
      </c>
      <c r="R2139" s="14">
        <v>1400</v>
      </c>
      <c r="S2139" s="15">
        <v>0</v>
      </c>
      <c r="T2139" s="15">
        <v>0</v>
      </c>
      <c r="U2139" s="15">
        <v>1400</v>
      </c>
      <c r="V2139" s="15">
        <v>0</v>
      </c>
      <c r="W2139" s="15">
        <v>1400</v>
      </c>
      <c r="X2139" s="15">
        <v>0</v>
      </c>
      <c r="Y2139" s="16">
        <v>0</v>
      </c>
      <c r="Z2139" s="67" t="s">
        <v>26</v>
      </c>
      <c r="AA2139" s="12" t="s">
        <v>31</v>
      </c>
    </row>
    <row r="2140" spans="1:27" x14ac:dyDescent="0.25">
      <c r="A2140" s="10">
        <v>45688</v>
      </c>
      <c r="B2140" s="11" t="s">
        <v>280</v>
      </c>
      <c r="C2140" s="11" t="s">
        <v>4365</v>
      </c>
      <c r="D2140" s="11" t="s">
        <v>26</v>
      </c>
      <c r="E2140" s="11" t="s">
        <v>570</v>
      </c>
      <c r="F2140" s="11" t="s">
        <v>26</v>
      </c>
      <c r="G2140" s="11">
        <v>10342</v>
      </c>
      <c r="H2140" s="12" t="s">
        <v>140</v>
      </c>
      <c r="I2140" s="12" t="s">
        <v>27</v>
      </c>
      <c r="J2140" s="12" t="s">
        <v>33</v>
      </c>
      <c r="K2140" s="12" t="s">
        <v>34</v>
      </c>
      <c r="L2140" s="13">
        <v>43.08</v>
      </c>
      <c r="M2140" s="13">
        <v>29</v>
      </c>
      <c r="N2140" s="13">
        <v>1.4855172413793101</v>
      </c>
      <c r="O2140" s="13">
        <v>40</v>
      </c>
      <c r="P2140" s="13"/>
      <c r="Q2140" s="13">
        <v>0</v>
      </c>
      <c r="R2140" s="14">
        <v>1723.1999999999998</v>
      </c>
      <c r="S2140" s="15">
        <v>0</v>
      </c>
      <c r="T2140" s="15">
        <v>0</v>
      </c>
      <c r="U2140" s="15">
        <v>1723.1999999999998</v>
      </c>
      <c r="V2140" s="15">
        <v>0</v>
      </c>
      <c r="W2140" s="15">
        <v>1723.1999999999998</v>
      </c>
      <c r="X2140" s="15">
        <v>0</v>
      </c>
      <c r="Y2140" s="16">
        <v>0</v>
      </c>
      <c r="Z2140" s="67" t="s">
        <v>26</v>
      </c>
      <c r="AA2140" s="12" t="s">
        <v>31</v>
      </c>
    </row>
    <row r="2141" spans="1:27" x14ac:dyDescent="0.25">
      <c r="A2141" s="10">
        <v>45688</v>
      </c>
      <c r="B2141" s="11" t="s">
        <v>4366</v>
      </c>
      <c r="C2141" s="11" t="s">
        <v>4367</v>
      </c>
      <c r="D2141" s="11" t="s">
        <v>26</v>
      </c>
      <c r="E2141" s="11" t="s">
        <v>57</v>
      </c>
      <c r="F2141" s="11" t="s">
        <v>26</v>
      </c>
      <c r="G2141" s="11">
        <v>3673</v>
      </c>
      <c r="H2141" s="12" t="s">
        <v>41</v>
      </c>
      <c r="I2141" s="12" t="s">
        <v>55</v>
      </c>
      <c r="J2141" s="12" t="s">
        <v>55</v>
      </c>
      <c r="K2141" s="12" t="s">
        <v>56</v>
      </c>
      <c r="L2141" s="13">
        <v>40.32</v>
      </c>
      <c r="M2141" s="13">
        <v>25</v>
      </c>
      <c r="N2141" s="13">
        <v>1.6128</v>
      </c>
      <c r="O2141" s="13" t="s">
        <v>30</v>
      </c>
      <c r="P2141" s="13">
        <v>24</v>
      </c>
      <c r="Q2141" s="13">
        <v>0</v>
      </c>
      <c r="R2141" s="14">
        <v>600</v>
      </c>
      <c r="S2141" s="15">
        <v>0</v>
      </c>
      <c r="T2141" s="15">
        <v>0</v>
      </c>
      <c r="U2141" s="15">
        <v>600</v>
      </c>
      <c r="V2141" s="15">
        <v>0</v>
      </c>
      <c r="W2141" s="15">
        <v>600</v>
      </c>
      <c r="X2141" s="15">
        <v>0</v>
      </c>
      <c r="Y2141" s="16">
        <v>0</v>
      </c>
      <c r="Z2141" s="67" t="s">
        <v>26</v>
      </c>
      <c r="AA2141" s="12" t="s">
        <v>31</v>
      </c>
    </row>
    <row r="2142" spans="1:27" x14ac:dyDescent="0.25">
      <c r="A2142" s="10">
        <v>45688</v>
      </c>
      <c r="B2142" s="11" t="s">
        <v>4368</v>
      </c>
      <c r="C2142" s="11" t="s">
        <v>4369</v>
      </c>
      <c r="D2142" s="11" t="s">
        <v>26</v>
      </c>
      <c r="E2142" s="11" t="s">
        <v>69</v>
      </c>
      <c r="F2142" s="11" t="s">
        <v>26</v>
      </c>
      <c r="G2142" s="11" t="s">
        <v>26</v>
      </c>
      <c r="H2142" s="12" t="s">
        <v>4422</v>
      </c>
      <c r="I2142" s="12" t="s">
        <v>27</v>
      </c>
      <c r="J2142" s="12" t="s">
        <v>47</v>
      </c>
      <c r="K2142" s="12" t="s">
        <v>48</v>
      </c>
      <c r="L2142" s="13">
        <v>42.12</v>
      </c>
      <c r="M2142" s="13">
        <v>29</v>
      </c>
      <c r="N2142" s="13">
        <v>1.452413793103448</v>
      </c>
      <c r="O2142" s="13">
        <v>87</v>
      </c>
      <c r="P2142" s="13" t="s">
        <v>30</v>
      </c>
      <c r="Q2142" s="13">
        <v>0</v>
      </c>
      <c r="R2142" s="14">
        <v>3664.4399999999996</v>
      </c>
      <c r="S2142" s="15">
        <v>38</v>
      </c>
      <c r="T2142" s="15">
        <v>1600.56</v>
      </c>
      <c r="U2142" s="15">
        <v>2063.8799999999997</v>
      </c>
      <c r="V2142" s="15">
        <v>2063.8799999999997</v>
      </c>
      <c r="W2142" s="15"/>
      <c r="X2142" s="15">
        <v>1516.32</v>
      </c>
      <c r="Y2142" s="16">
        <v>84.240000000000009</v>
      </c>
      <c r="Z2142" s="67" t="s">
        <v>70</v>
      </c>
      <c r="AA2142" s="12" t="s">
        <v>78</v>
      </c>
    </row>
    <row r="2143" spans="1:27" x14ac:dyDescent="0.25">
      <c r="A2143" s="10">
        <v>45688</v>
      </c>
      <c r="B2143" s="11" t="s">
        <v>1462</v>
      </c>
      <c r="C2143" s="11" t="s">
        <v>4370</v>
      </c>
      <c r="D2143" s="11" t="s">
        <v>26</v>
      </c>
      <c r="E2143" s="11" t="s">
        <v>240</v>
      </c>
      <c r="F2143" s="11" t="s">
        <v>26</v>
      </c>
      <c r="G2143" s="11">
        <v>2854</v>
      </c>
      <c r="H2143" s="12" t="s">
        <v>41</v>
      </c>
      <c r="I2143" s="12" t="s">
        <v>55</v>
      </c>
      <c r="J2143" s="12" t="s">
        <v>566</v>
      </c>
      <c r="K2143" s="12" t="s">
        <v>550</v>
      </c>
      <c r="L2143" s="13">
        <v>40.159999999999997</v>
      </c>
      <c r="M2143" s="13">
        <v>25</v>
      </c>
      <c r="N2143" s="13">
        <v>1.6064000000000001</v>
      </c>
      <c r="O2143" s="13">
        <v>25</v>
      </c>
      <c r="P2143" s="13"/>
      <c r="Q2143" s="13">
        <v>0</v>
      </c>
      <c r="R2143" s="14">
        <v>1003.9999999999999</v>
      </c>
      <c r="S2143" s="15">
        <v>0</v>
      </c>
      <c r="T2143" s="15">
        <v>0</v>
      </c>
      <c r="U2143" s="15">
        <v>1003.9999999999999</v>
      </c>
      <c r="V2143" s="15">
        <v>0</v>
      </c>
      <c r="W2143" s="15">
        <v>1003.9999999999999</v>
      </c>
      <c r="X2143" s="15">
        <v>0</v>
      </c>
      <c r="Y2143" s="16">
        <v>0</v>
      </c>
      <c r="Z2143" s="67" t="s">
        <v>26</v>
      </c>
      <c r="AA2143" s="12" t="s">
        <v>31</v>
      </c>
    </row>
    <row r="2144" spans="1:27" x14ac:dyDescent="0.25">
      <c r="A2144" s="10">
        <v>45688</v>
      </c>
      <c r="B2144" s="11" t="s">
        <v>4371</v>
      </c>
      <c r="C2144" s="11" t="s">
        <v>4372</v>
      </c>
      <c r="D2144" s="11" t="s">
        <v>26</v>
      </c>
      <c r="E2144" s="11" t="s">
        <v>53</v>
      </c>
      <c r="F2144" s="11" t="s">
        <v>26</v>
      </c>
      <c r="G2144" s="11">
        <v>3784</v>
      </c>
      <c r="H2144" s="12" t="s">
        <v>41</v>
      </c>
      <c r="I2144" s="12" t="s">
        <v>55</v>
      </c>
      <c r="J2144" s="12" t="s">
        <v>566</v>
      </c>
      <c r="K2144" s="12" t="s">
        <v>550</v>
      </c>
      <c r="L2144" s="13">
        <v>40.72</v>
      </c>
      <c r="M2144" s="13">
        <v>25</v>
      </c>
      <c r="N2144" s="13">
        <v>1.6288</v>
      </c>
      <c r="O2144" s="13">
        <v>25</v>
      </c>
      <c r="P2144" s="13"/>
      <c r="Q2144" s="13">
        <v>0</v>
      </c>
      <c r="R2144" s="14">
        <v>1018</v>
      </c>
      <c r="S2144" s="15">
        <v>0</v>
      </c>
      <c r="T2144" s="15">
        <v>0</v>
      </c>
      <c r="U2144" s="15">
        <v>1018</v>
      </c>
      <c r="V2144" s="15">
        <v>0</v>
      </c>
      <c r="W2144" s="15">
        <v>1018</v>
      </c>
      <c r="X2144" s="15">
        <v>0</v>
      </c>
      <c r="Y2144" s="16">
        <v>0</v>
      </c>
      <c r="Z2144" s="67" t="s">
        <v>26</v>
      </c>
      <c r="AA2144" s="12" t="s">
        <v>31</v>
      </c>
    </row>
    <row r="2145" spans="1:27" x14ac:dyDescent="0.25">
      <c r="A2145" s="10">
        <v>45688</v>
      </c>
      <c r="B2145" s="11" t="s">
        <v>4373</v>
      </c>
      <c r="C2145" s="11" t="s">
        <v>4374</v>
      </c>
      <c r="D2145" s="11" t="s">
        <v>26</v>
      </c>
      <c r="E2145" s="11" t="s">
        <v>80</v>
      </c>
      <c r="F2145" s="11" t="s">
        <v>26</v>
      </c>
      <c r="G2145" s="11">
        <v>10669</v>
      </c>
      <c r="H2145" s="12" t="s">
        <v>140</v>
      </c>
      <c r="I2145" s="12" t="s">
        <v>27</v>
      </c>
      <c r="J2145" s="12" t="s">
        <v>33</v>
      </c>
      <c r="K2145" s="12" t="s">
        <v>34</v>
      </c>
      <c r="L2145" s="13">
        <v>41.84</v>
      </c>
      <c r="M2145" s="13">
        <v>28</v>
      </c>
      <c r="N2145" s="13">
        <v>1.494285714285714</v>
      </c>
      <c r="O2145" s="13">
        <v>40</v>
      </c>
      <c r="P2145" s="13"/>
      <c r="Q2145" s="13">
        <v>0</v>
      </c>
      <c r="R2145" s="14">
        <v>1673.6000000000001</v>
      </c>
      <c r="S2145" s="15">
        <v>0</v>
      </c>
      <c r="T2145" s="15">
        <v>0</v>
      </c>
      <c r="U2145" s="15">
        <v>1673.6000000000001</v>
      </c>
      <c r="V2145" s="15">
        <v>0</v>
      </c>
      <c r="W2145" s="15">
        <v>1673.6000000000001</v>
      </c>
      <c r="X2145" s="15">
        <v>0</v>
      </c>
      <c r="Y2145" s="16">
        <v>0</v>
      </c>
      <c r="Z2145" s="67" t="s">
        <v>26</v>
      </c>
      <c r="AA2145" s="12" t="s">
        <v>31</v>
      </c>
    </row>
    <row r="2146" spans="1:27" x14ac:dyDescent="0.25">
      <c r="A2146" s="10">
        <v>45688</v>
      </c>
      <c r="B2146" s="11" t="s">
        <v>295</v>
      </c>
      <c r="C2146" s="11" t="s">
        <v>4375</v>
      </c>
      <c r="D2146" s="11" t="s">
        <v>26</v>
      </c>
      <c r="E2146" s="11" t="s">
        <v>530</v>
      </c>
      <c r="F2146" s="11" t="s">
        <v>26</v>
      </c>
      <c r="G2146" s="11">
        <v>2594</v>
      </c>
      <c r="H2146" s="12" t="s">
        <v>163</v>
      </c>
      <c r="I2146" s="12" t="s">
        <v>27</v>
      </c>
      <c r="J2146" s="12" t="s">
        <v>42</v>
      </c>
      <c r="K2146" s="12" t="s">
        <v>43</v>
      </c>
      <c r="L2146" s="13">
        <v>43.64</v>
      </c>
      <c r="M2146" s="13">
        <v>25</v>
      </c>
      <c r="N2146" s="13">
        <v>1.7456</v>
      </c>
      <c r="O2146" s="13" t="s">
        <v>30</v>
      </c>
      <c r="P2146" s="13">
        <v>56</v>
      </c>
      <c r="Q2146" s="13">
        <v>0</v>
      </c>
      <c r="R2146" s="14">
        <v>1400</v>
      </c>
      <c r="S2146" s="15">
        <v>0</v>
      </c>
      <c r="T2146" s="15">
        <v>0</v>
      </c>
      <c r="U2146" s="15">
        <v>1400</v>
      </c>
      <c r="V2146" s="15">
        <v>0</v>
      </c>
      <c r="W2146" s="15">
        <v>1400</v>
      </c>
      <c r="X2146" s="15">
        <v>0</v>
      </c>
      <c r="Y2146" s="16">
        <v>0</v>
      </c>
      <c r="Z2146" s="67" t="s">
        <v>26</v>
      </c>
      <c r="AA2146" s="12" t="s">
        <v>31</v>
      </c>
    </row>
    <row r="2147" spans="1:27" x14ac:dyDescent="0.25">
      <c r="A2147" s="10">
        <v>45688</v>
      </c>
      <c r="B2147" s="11" t="s">
        <v>646</v>
      </c>
      <c r="C2147" s="11" t="s">
        <v>4376</v>
      </c>
      <c r="D2147" s="11" t="s">
        <v>26</v>
      </c>
      <c r="E2147" s="11" t="s">
        <v>520</v>
      </c>
      <c r="F2147" s="11" t="s">
        <v>26</v>
      </c>
      <c r="G2147" s="11">
        <v>4385</v>
      </c>
      <c r="H2147" s="12" t="s">
        <v>140</v>
      </c>
      <c r="I2147" s="12" t="s">
        <v>27</v>
      </c>
      <c r="J2147" s="12" t="s">
        <v>33</v>
      </c>
      <c r="K2147" s="12" t="s">
        <v>34</v>
      </c>
      <c r="L2147" s="13">
        <v>43.04</v>
      </c>
      <c r="M2147" s="13">
        <v>29</v>
      </c>
      <c r="N2147" s="13">
        <v>1.4841379310344831</v>
      </c>
      <c r="O2147" s="13">
        <v>40</v>
      </c>
      <c r="P2147" s="13"/>
      <c r="Q2147" s="13">
        <v>0</v>
      </c>
      <c r="R2147" s="14">
        <v>1721.6</v>
      </c>
      <c r="S2147" s="15">
        <v>0</v>
      </c>
      <c r="T2147" s="15">
        <v>0</v>
      </c>
      <c r="U2147" s="15">
        <v>1721.6</v>
      </c>
      <c r="V2147" s="15">
        <v>0</v>
      </c>
      <c r="W2147" s="15">
        <v>1721.6</v>
      </c>
      <c r="X2147" s="15">
        <v>0</v>
      </c>
      <c r="Y2147" s="16">
        <v>0</v>
      </c>
      <c r="Z2147" s="67" t="s">
        <v>26</v>
      </c>
      <c r="AA2147" s="12" t="s">
        <v>31</v>
      </c>
    </row>
    <row r="2148" spans="1:27" x14ac:dyDescent="0.25">
      <c r="A2148" s="10">
        <v>45688</v>
      </c>
      <c r="B2148" s="11" t="s">
        <v>3618</v>
      </c>
      <c r="C2148" s="11" t="s">
        <v>4377</v>
      </c>
      <c r="D2148" s="11" t="s">
        <v>26</v>
      </c>
      <c r="E2148" s="11" t="s">
        <v>98</v>
      </c>
      <c r="F2148" s="11" t="s">
        <v>26</v>
      </c>
      <c r="G2148" s="11">
        <v>10708</v>
      </c>
      <c r="H2148" s="12" t="s">
        <v>140</v>
      </c>
      <c r="I2148" s="12" t="s">
        <v>27</v>
      </c>
      <c r="J2148" s="12" t="s">
        <v>33</v>
      </c>
      <c r="K2148" s="12" t="s">
        <v>34</v>
      </c>
      <c r="L2148" s="13">
        <v>42.66</v>
      </c>
      <c r="M2148" s="13">
        <v>29</v>
      </c>
      <c r="N2148" s="13">
        <v>1.471034482758621</v>
      </c>
      <c r="O2148" s="13">
        <v>40</v>
      </c>
      <c r="P2148" s="13"/>
      <c r="Q2148" s="13">
        <v>0</v>
      </c>
      <c r="R2148" s="14">
        <v>1706.3999999999999</v>
      </c>
      <c r="S2148" s="15">
        <v>0</v>
      </c>
      <c r="T2148" s="15">
        <v>0</v>
      </c>
      <c r="U2148" s="15">
        <v>1706.3999999999999</v>
      </c>
      <c r="V2148" s="15">
        <v>0</v>
      </c>
      <c r="W2148" s="15">
        <v>1706.3999999999999</v>
      </c>
      <c r="X2148" s="15">
        <v>0</v>
      </c>
      <c r="Y2148" s="16">
        <v>0</v>
      </c>
      <c r="Z2148" s="67" t="s">
        <v>26</v>
      </c>
      <c r="AA2148" s="12" t="s">
        <v>31</v>
      </c>
    </row>
    <row r="2149" spans="1:27" x14ac:dyDescent="0.25">
      <c r="A2149" s="10">
        <v>45688</v>
      </c>
      <c r="B2149" s="11" t="s">
        <v>406</v>
      </c>
      <c r="C2149" s="11" t="s">
        <v>4378</v>
      </c>
      <c r="D2149" s="11" t="s">
        <v>26</v>
      </c>
      <c r="E2149" s="11" t="s">
        <v>4323</v>
      </c>
      <c r="F2149" s="11" t="s">
        <v>26</v>
      </c>
      <c r="G2149" s="11">
        <v>2956</v>
      </c>
      <c r="H2149" s="12" t="s">
        <v>4442</v>
      </c>
      <c r="I2149" s="12" t="s">
        <v>27</v>
      </c>
      <c r="J2149" s="12" t="s">
        <v>557</v>
      </c>
      <c r="K2149" s="12" t="s">
        <v>558</v>
      </c>
      <c r="L2149" s="13">
        <v>37</v>
      </c>
      <c r="M2149" s="13">
        <v>25</v>
      </c>
      <c r="N2149" s="13">
        <v>1.48</v>
      </c>
      <c r="O2149" s="13">
        <v>45</v>
      </c>
      <c r="P2149" s="13" t="s">
        <v>30</v>
      </c>
      <c r="Q2149" s="13">
        <v>0</v>
      </c>
      <c r="R2149" s="14">
        <v>1665</v>
      </c>
      <c r="S2149" s="15">
        <v>0</v>
      </c>
      <c r="T2149" s="15">
        <v>0</v>
      </c>
      <c r="U2149" s="15">
        <v>1665</v>
      </c>
      <c r="V2149" s="15">
        <v>1665</v>
      </c>
      <c r="W2149" s="15">
        <v>0</v>
      </c>
      <c r="X2149" s="15">
        <v>0</v>
      </c>
      <c r="Y2149" s="16">
        <v>0</v>
      </c>
      <c r="Z2149" s="67" t="s">
        <v>26</v>
      </c>
      <c r="AA2149" s="12" t="s">
        <v>31</v>
      </c>
    </row>
    <row r="2150" spans="1:27" x14ac:dyDescent="0.25">
      <c r="A2150" s="10">
        <v>45688</v>
      </c>
      <c r="B2150" s="11" t="s">
        <v>270</v>
      </c>
      <c r="C2150" s="11" t="s">
        <v>4379</v>
      </c>
      <c r="D2150" s="11" t="s">
        <v>26</v>
      </c>
      <c r="E2150" s="11" t="s">
        <v>40</v>
      </c>
      <c r="F2150" s="11" t="s">
        <v>26</v>
      </c>
      <c r="G2150" s="11">
        <v>3731</v>
      </c>
      <c r="H2150" s="12" t="s">
        <v>41</v>
      </c>
      <c r="I2150" s="12" t="s">
        <v>27</v>
      </c>
      <c r="J2150" s="12" t="s">
        <v>42</v>
      </c>
      <c r="K2150" s="12" t="s">
        <v>43</v>
      </c>
      <c r="L2150" s="13">
        <v>41.52</v>
      </c>
      <c r="M2150" s="13">
        <v>25</v>
      </c>
      <c r="N2150" s="13">
        <v>1.6608000000000001</v>
      </c>
      <c r="O2150" s="13" t="s">
        <v>30</v>
      </c>
      <c r="P2150" s="13">
        <v>64</v>
      </c>
      <c r="Q2150" s="13">
        <v>0</v>
      </c>
      <c r="R2150" s="14">
        <v>1600</v>
      </c>
      <c r="S2150" s="15">
        <v>0</v>
      </c>
      <c r="T2150" s="15">
        <v>0</v>
      </c>
      <c r="U2150" s="15">
        <v>1600</v>
      </c>
      <c r="V2150" s="15">
        <v>0</v>
      </c>
      <c r="W2150" s="15">
        <v>1600</v>
      </c>
      <c r="X2150" s="15">
        <v>0</v>
      </c>
      <c r="Y2150" s="16">
        <v>0</v>
      </c>
      <c r="Z2150" s="67" t="s">
        <v>26</v>
      </c>
      <c r="AA2150" s="12" t="s">
        <v>31</v>
      </c>
    </row>
    <row r="2151" spans="1:27" x14ac:dyDescent="0.25">
      <c r="A2151" s="10">
        <v>45688</v>
      </c>
      <c r="B2151" s="11" t="s">
        <v>420</v>
      </c>
      <c r="C2151" s="11" t="s">
        <v>4380</v>
      </c>
      <c r="D2151" s="11" t="s">
        <v>26</v>
      </c>
      <c r="E2151" s="11" t="s">
        <v>527</v>
      </c>
      <c r="F2151" s="11" t="s">
        <v>26</v>
      </c>
      <c r="G2151" s="11">
        <v>2595</v>
      </c>
      <c r="H2151" s="12" t="s">
        <v>163</v>
      </c>
      <c r="I2151" s="12" t="s">
        <v>27</v>
      </c>
      <c r="J2151" s="12" t="s">
        <v>42</v>
      </c>
      <c r="K2151" s="12" t="s">
        <v>43</v>
      </c>
      <c r="L2151" s="13">
        <v>43.22</v>
      </c>
      <c r="M2151" s="13">
        <v>25</v>
      </c>
      <c r="N2151" s="13">
        <v>1.7287999999999999</v>
      </c>
      <c r="O2151" s="13" t="s">
        <v>30</v>
      </c>
      <c r="P2151" s="13">
        <v>56</v>
      </c>
      <c r="Q2151" s="13">
        <v>0</v>
      </c>
      <c r="R2151" s="14">
        <v>1400</v>
      </c>
      <c r="S2151" s="15">
        <v>0</v>
      </c>
      <c r="T2151" s="15">
        <v>0</v>
      </c>
      <c r="U2151" s="15">
        <v>1400</v>
      </c>
      <c r="V2151" s="15">
        <v>0</v>
      </c>
      <c r="W2151" s="15">
        <v>1400</v>
      </c>
      <c r="X2151" s="15">
        <v>0</v>
      </c>
      <c r="Y2151" s="16">
        <v>0</v>
      </c>
      <c r="Z2151" s="67" t="s">
        <v>26</v>
      </c>
      <c r="AA2151" s="12" t="s">
        <v>31</v>
      </c>
    </row>
    <row r="2152" spans="1:27" x14ac:dyDescent="0.25">
      <c r="A2152" s="10">
        <v>45688</v>
      </c>
      <c r="B2152" s="11" t="s">
        <v>126</v>
      </c>
      <c r="C2152" s="11" t="s">
        <v>4381</v>
      </c>
      <c r="D2152" s="11" t="s">
        <v>26</v>
      </c>
      <c r="E2152" s="11" t="s">
        <v>589</v>
      </c>
      <c r="F2152" s="11" t="s">
        <v>26</v>
      </c>
      <c r="G2152" s="11">
        <v>56902</v>
      </c>
      <c r="H2152" s="12" t="s">
        <v>4423</v>
      </c>
      <c r="I2152" s="12" t="s">
        <v>27</v>
      </c>
      <c r="J2152" s="12" t="s">
        <v>33</v>
      </c>
      <c r="K2152" s="12" t="s">
        <v>34</v>
      </c>
      <c r="L2152" s="13">
        <v>34.880000000000003</v>
      </c>
      <c r="M2152" s="13">
        <v>25</v>
      </c>
      <c r="N2152" s="13">
        <v>1.3952</v>
      </c>
      <c r="O2152" s="13">
        <v>45</v>
      </c>
      <c r="P2152" s="13" t="s">
        <v>30</v>
      </c>
      <c r="Q2152" s="13">
        <v>0</v>
      </c>
      <c r="R2152" s="15">
        <v>1569.6000000000001</v>
      </c>
      <c r="S2152" s="15">
        <v>0</v>
      </c>
      <c r="T2152" s="15">
        <v>0</v>
      </c>
      <c r="U2152" s="15">
        <v>1569.6000000000001</v>
      </c>
      <c r="V2152" s="15">
        <v>1569.6000000000001</v>
      </c>
      <c r="W2152" s="15">
        <v>0</v>
      </c>
      <c r="X2152" s="15">
        <v>0</v>
      </c>
      <c r="Y2152" s="16">
        <v>0</v>
      </c>
      <c r="Z2152" s="67" t="s">
        <v>26</v>
      </c>
      <c r="AA2152" s="12" t="s">
        <v>31</v>
      </c>
    </row>
    <row r="2153" spans="1:27" x14ac:dyDescent="0.25">
      <c r="A2153" s="10">
        <v>45688</v>
      </c>
      <c r="B2153" s="11" t="s">
        <v>4382</v>
      </c>
      <c r="C2153" s="11" t="s">
        <v>4383</v>
      </c>
      <c r="D2153" s="11" t="s">
        <v>26</v>
      </c>
      <c r="E2153" s="11" t="s">
        <v>50</v>
      </c>
      <c r="F2153" s="11" t="s">
        <v>26</v>
      </c>
      <c r="G2153" s="11">
        <v>928</v>
      </c>
      <c r="H2153" s="12" t="s">
        <v>163</v>
      </c>
      <c r="I2153" s="12" t="s">
        <v>27</v>
      </c>
      <c r="J2153" s="12" t="s">
        <v>47</v>
      </c>
      <c r="K2153" s="12" t="s">
        <v>48</v>
      </c>
      <c r="L2153" s="13">
        <v>38.96</v>
      </c>
      <c r="M2153" s="13">
        <v>25</v>
      </c>
      <c r="N2153" s="13">
        <v>1.5584</v>
      </c>
      <c r="O2153" s="13" t="s">
        <v>30</v>
      </c>
      <c r="P2153" s="13">
        <v>58</v>
      </c>
      <c r="Q2153" s="13">
        <v>0</v>
      </c>
      <c r="R2153" s="15">
        <v>1450</v>
      </c>
      <c r="S2153" s="15">
        <v>0</v>
      </c>
      <c r="T2153" s="15">
        <v>0</v>
      </c>
      <c r="U2153" s="15">
        <v>1450</v>
      </c>
      <c r="V2153" s="15">
        <v>0</v>
      </c>
      <c r="W2153" s="15">
        <v>1450</v>
      </c>
      <c r="X2153" s="15">
        <v>0</v>
      </c>
      <c r="Y2153" s="16">
        <v>0</v>
      </c>
      <c r="Z2153" s="67" t="s">
        <v>26</v>
      </c>
      <c r="AA2153" s="12" t="s">
        <v>31</v>
      </c>
    </row>
    <row r="2154" spans="1:27" x14ac:dyDescent="0.25">
      <c r="A2154" s="10">
        <v>45688</v>
      </c>
      <c r="B2154" s="11" t="s">
        <v>314</v>
      </c>
      <c r="C2154" s="11" t="s">
        <v>4384</v>
      </c>
      <c r="D2154" s="11" t="s">
        <v>26</v>
      </c>
      <c r="E2154" s="11" t="s">
        <v>65</v>
      </c>
      <c r="F2154" s="11" t="s">
        <v>26</v>
      </c>
      <c r="G2154" s="11">
        <v>1702</v>
      </c>
      <c r="H2154" s="12" t="s">
        <v>66</v>
      </c>
      <c r="I2154" s="12" t="s">
        <v>37</v>
      </c>
      <c r="J2154" s="12" t="s">
        <v>1909</v>
      </c>
      <c r="K2154" s="12" t="s">
        <v>82</v>
      </c>
      <c r="L2154" s="13">
        <v>41.28</v>
      </c>
      <c r="M2154" s="13">
        <v>25</v>
      </c>
      <c r="N2154" s="13">
        <v>1.6512</v>
      </c>
      <c r="O2154" s="13" t="s">
        <v>30</v>
      </c>
      <c r="P2154" s="13">
        <v>54</v>
      </c>
      <c r="Q2154" s="13">
        <v>0</v>
      </c>
      <c r="R2154" s="15">
        <v>1350</v>
      </c>
      <c r="S2154" s="15">
        <v>0</v>
      </c>
      <c r="T2154" s="15">
        <v>0</v>
      </c>
      <c r="U2154" s="15">
        <v>1350</v>
      </c>
      <c r="V2154" s="15">
        <v>1350</v>
      </c>
      <c r="W2154" s="15">
        <v>0</v>
      </c>
      <c r="X2154" s="15">
        <v>0</v>
      </c>
      <c r="Y2154" s="16">
        <v>0</v>
      </c>
      <c r="Z2154" s="67" t="s">
        <v>26</v>
      </c>
      <c r="AA2154" s="12" t="s">
        <v>31</v>
      </c>
    </row>
    <row r="2155" spans="1:27" x14ac:dyDescent="0.25">
      <c r="A2155" s="10">
        <v>45688</v>
      </c>
      <c r="B2155" s="11" t="s">
        <v>4385</v>
      </c>
      <c r="C2155" s="11" t="s">
        <v>4386</v>
      </c>
      <c r="D2155" s="11" t="s">
        <v>26</v>
      </c>
      <c r="E2155" s="11" t="s">
        <v>67</v>
      </c>
      <c r="F2155" s="11" t="s">
        <v>26</v>
      </c>
      <c r="G2155" s="11">
        <v>1629</v>
      </c>
      <c r="H2155" s="12" t="s">
        <v>66</v>
      </c>
      <c r="I2155" s="12" t="s">
        <v>37</v>
      </c>
      <c r="J2155" s="12" t="s">
        <v>1909</v>
      </c>
      <c r="K2155" s="12" t="s">
        <v>82</v>
      </c>
      <c r="L2155" s="13">
        <v>39.46</v>
      </c>
      <c r="M2155" s="13">
        <v>25</v>
      </c>
      <c r="N2155" s="13">
        <v>1.5784</v>
      </c>
      <c r="O2155" s="13" t="s">
        <v>30</v>
      </c>
      <c r="P2155" s="13">
        <v>54</v>
      </c>
      <c r="Q2155" s="13">
        <v>0</v>
      </c>
      <c r="R2155" s="14">
        <v>1350</v>
      </c>
      <c r="S2155" s="15">
        <v>0</v>
      </c>
      <c r="T2155" s="15">
        <v>0</v>
      </c>
      <c r="U2155" s="15">
        <v>1350</v>
      </c>
      <c r="V2155" s="15">
        <v>1350</v>
      </c>
      <c r="W2155" s="15">
        <v>0</v>
      </c>
      <c r="X2155" s="15">
        <v>0</v>
      </c>
      <c r="Y2155" s="16">
        <v>0</v>
      </c>
      <c r="Z2155" s="67" t="s">
        <v>26</v>
      </c>
      <c r="AA2155" s="12" t="s">
        <v>31</v>
      </c>
    </row>
    <row r="2156" spans="1:27" x14ac:dyDescent="0.25">
      <c r="A2156" s="10">
        <v>45688</v>
      </c>
      <c r="B2156" s="11" t="s">
        <v>3412</v>
      </c>
      <c r="C2156" s="11" t="s">
        <v>4387</v>
      </c>
      <c r="D2156" s="11" t="s">
        <v>26</v>
      </c>
      <c r="E2156" s="11" t="s">
        <v>63</v>
      </c>
      <c r="F2156" s="11" t="s">
        <v>26</v>
      </c>
      <c r="G2156" s="11">
        <v>10177</v>
      </c>
      <c r="H2156" s="12" t="s">
        <v>140</v>
      </c>
      <c r="I2156" s="12" t="s">
        <v>27</v>
      </c>
      <c r="J2156" s="12" t="s">
        <v>33</v>
      </c>
      <c r="K2156" s="12" t="s">
        <v>34</v>
      </c>
      <c r="L2156" s="13">
        <v>38.36</v>
      </c>
      <c r="M2156" s="13">
        <v>25</v>
      </c>
      <c r="N2156" s="13">
        <v>1.5344</v>
      </c>
      <c r="O2156" s="13">
        <v>40</v>
      </c>
      <c r="P2156" s="13"/>
      <c r="Q2156" s="13">
        <v>0</v>
      </c>
      <c r="R2156" s="14">
        <v>1534.4</v>
      </c>
      <c r="S2156" s="15">
        <v>0</v>
      </c>
      <c r="T2156" s="15">
        <v>0</v>
      </c>
      <c r="U2156" s="15">
        <v>1534.4</v>
      </c>
      <c r="V2156" s="15">
        <v>0</v>
      </c>
      <c r="W2156" s="15">
        <v>1534.4</v>
      </c>
      <c r="X2156" s="15">
        <v>0</v>
      </c>
      <c r="Y2156" s="16">
        <v>0</v>
      </c>
      <c r="Z2156" s="67" t="s">
        <v>26</v>
      </c>
      <c r="AA2156" s="12" t="s">
        <v>31</v>
      </c>
    </row>
    <row r="2157" spans="1:27" x14ac:dyDescent="0.25">
      <c r="A2157" s="10">
        <v>45688</v>
      </c>
      <c r="B2157" s="11" t="s">
        <v>4388</v>
      </c>
      <c r="C2157" s="11" t="s">
        <v>4389</v>
      </c>
      <c r="D2157" s="11" t="s">
        <v>26</v>
      </c>
      <c r="E2157" s="11" t="s">
        <v>224</v>
      </c>
      <c r="F2157" s="11" t="s">
        <v>26</v>
      </c>
      <c r="G2157" s="11">
        <v>55344</v>
      </c>
      <c r="H2157" s="12" t="s">
        <v>4423</v>
      </c>
      <c r="I2157" s="12" t="s">
        <v>27</v>
      </c>
      <c r="J2157" s="12" t="s">
        <v>33</v>
      </c>
      <c r="K2157" s="12" t="s">
        <v>34</v>
      </c>
      <c r="L2157" s="13">
        <v>34.840000000000003</v>
      </c>
      <c r="M2157" s="13">
        <v>25</v>
      </c>
      <c r="N2157" s="13">
        <v>1.3935999999999999</v>
      </c>
      <c r="O2157" s="13">
        <v>45</v>
      </c>
      <c r="P2157" s="13" t="s">
        <v>30</v>
      </c>
      <c r="Q2157" s="13">
        <v>0</v>
      </c>
      <c r="R2157" s="14">
        <v>1567.8000000000002</v>
      </c>
      <c r="S2157" s="15">
        <v>0</v>
      </c>
      <c r="T2157" s="15">
        <v>0</v>
      </c>
      <c r="U2157" s="15">
        <v>1567.8000000000002</v>
      </c>
      <c r="V2157" s="15">
        <v>1567.8000000000002</v>
      </c>
      <c r="W2157" s="15">
        <v>0</v>
      </c>
      <c r="X2157" s="15">
        <v>0</v>
      </c>
      <c r="Y2157" s="16">
        <v>0</v>
      </c>
      <c r="Z2157" s="67" t="s">
        <v>26</v>
      </c>
      <c r="AA2157" s="12" t="s">
        <v>31</v>
      </c>
    </row>
    <row r="2158" spans="1:27" x14ac:dyDescent="0.25">
      <c r="A2158" s="10">
        <v>45688</v>
      </c>
      <c r="B2158" s="11" t="s">
        <v>2892</v>
      </c>
      <c r="C2158" s="11" t="s">
        <v>4390</v>
      </c>
      <c r="D2158" s="11" t="s">
        <v>26</v>
      </c>
      <c r="E2158" s="11" t="s">
        <v>183</v>
      </c>
      <c r="F2158" s="11" t="s">
        <v>26</v>
      </c>
      <c r="G2158" s="11">
        <v>4686</v>
      </c>
      <c r="H2158" s="12" t="s">
        <v>41</v>
      </c>
      <c r="I2158" s="12" t="s">
        <v>55</v>
      </c>
      <c r="J2158" s="12" t="s">
        <v>55</v>
      </c>
      <c r="K2158" s="12" t="s">
        <v>56</v>
      </c>
      <c r="L2158" s="13">
        <v>30.92</v>
      </c>
      <c r="M2158" s="13">
        <v>20</v>
      </c>
      <c r="N2158" s="13">
        <v>1.546</v>
      </c>
      <c r="O2158" s="13" t="s">
        <v>30</v>
      </c>
      <c r="P2158" s="13">
        <v>24</v>
      </c>
      <c r="Q2158" s="13">
        <v>0</v>
      </c>
      <c r="R2158" s="14">
        <v>480</v>
      </c>
      <c r="S2158" s="15">
        <v>0</v>
      </c>
      <c r="T2158" s="15">
        <v>0</v>
      </c>
      <c r="U2158" s="15">
        <v>480</v>
      </c>
      <c r="V2158" s="15">
        <v>0</v>
      </c>
      <c r="W2158" s="15">
        <v>480</v>
      </c>
      <c r="X2158" s="15">
        <v>0</v>
      </c>
      <c r="Y2158" s="16">
        <v>0</v>
      </c>
      <c r="Z2158" s="67" t="s">
        <v>26</v>
      </c>
      <c r="AA2158" s="12" t="s">
        <v>31</v>
      </c>
    </row>
    <row r="2159" spans="1:27" x14ac:dyDescent="0.25">
      <c r="A2159" s="10">
        <v>45688</v>
      </c>
      <c r="B2159" s="11" t="s">
        <v>3968</v>
      </c>
      <c r="C2159" s="11" t="s">
        <v>4391</v>
      </c>
      <c r="D2159" s="11" t="s">
        <v>26</v>
      </c>
      <c r="E2159" s="11" t="s">
        <v>1200</v>
      </c>
      <c r="F2159" s="11" t="s">
        <v>26</v>
      </c>
      <c r="G2159" s="11">
        <v>2596</v>
      </c>
      <c r="H2159" s="12" t="s">
        <v>163</v>
      </c>
      <c r="I2159" s="12" t="s">
        <v>27</v>
      </c>
      <c r="J2159" s="12" t="s">
        <v>47</v>
      </c>
      <c r="K2159" s="12" t="s">
        <v>48</v>
      </c>
      <c r="L2159" s="13">
        <v>38.82</v>
      </c>
      <c r="M2159" s="13">
        <v>25</v>
      </c>
      <c r="N2159" s="13">
        <v>1.5528</v>
      </c>
      <c r="O2159" s="13" t="s">
        <v>30</v>
      </c>
      <c r="P2159" s="13">
        <v>58</v>
      </c>
      <c r="Q2159" s="13">
        <v>0</v>
      </c>
      <c r="R2159" s="14">
        <v>1450</v>
      </c>
      <c r="S2159" s="15">
        <v>0</v>
      </c>
      <c r="T2159" s="15">
        <v>0</v>
      </c>
      <c r="U2159" s="15">
        <v>1450</v>
      </c>
      <c r="V2159" s="15">
        <v>0</v>
      </c>
      <c r="W2159" s="15">
        <v>1450</v>
      </c>
      <c r="X2159" s="15">
        <v>0</v>
      </c>
      <c r="Y2159" s="16">
        <v>0</v>
      </c>
      <c r="Z2159" s="67" t="s">
        <v>26</v>
      </c>
      <c r="AA2159" s="12" t="s">
        <v>31</v>
      </c>
    </row>
    <row r="2160" spans="1:27" x14ac:dyDescent="0.25">
      <c r="A2160" s="10">
        <v>45688</v>
      </c>
      <c r="B2160" s="11" t="s">
        <v>727</v>
      </c>
      <c r="C2160" s="11" t="s">
        <v>4392</v>
      </c>
      <c r="D2160" s="11" t="s">
        <v>26</v>
      </c>
      <c r="E2160" s="11" t="s">
        <v>4161</v>
      </c>
      <c r="F2160" s="11" t="s">
        <v>26</v>
      </c>
      <c r="G2160" s="11">
        <v>2617</v>
      </c>
      <c r="H2160" s="12" t="s">
        <v>41</v>
      </c>
      <c r="I2160" s="12" t="s">
        <v>55</v>
      </c>
      <c r="J2160" s="12" t="s">
        <v>55</v>
      </c>
      <c r="K2160" s="12" t="s">
        <v>56</v>
      </c>
      <c r="L2160" s="13">
        <v>33.799999999999997</v>
      </c>
      <c r="M2160" s="13">
        <v>20</v>
      </c>
      <c r="N2160" s="13">
        <v>1.69</v>
      </c>
      <c r="O2160" s="13" t="s">
        <v>30</v>
      </c>
      <c r="P2160" s="13">
        <v>24</v>
      </c>
      <c r="Q2160" s="13">
        <v>0</v>
      </c>
      <c r="R2160" s="15">
        <v>480</v>
      </c>
      <c r="S2160" s="15">
        <v>0</v>
      </c>
      <c r="T2160" s="15">
        <v>0</v>
      </c>
      <c r="U2160" s="15">
        <v>480</v>
      </c>
      <c r="V2160" s="15">
        <v>0</v>
      </c>
      <c r="W2160" s="15">
        <v>480</v>
      </c>
      <c r="X2160" s="15">
        <v>0</v>
      </c>
      <c r="Y2160" s="16">
        <v>0</v>
      </c>
      <c r="Z2160" s="67" t="s">
        <v>26</v>
      </c>
      <c r="AA2160" s="12" t="s">
        <v>31</v>
      </c>
    </row>
    <row r="2161" spans="1:27" x14ac:dyDescent="0.25">
      <c r="A2161" s="10">
        <v>45688</v>
      </c>
      <c r="B2161" s="11" t="s">
        <v>366</v>
      </c>
      <c r="C2161" s="11" t="s">
        <v>4393</v>
      </c>
      <c r="D2161" s="11" t="s">
        <v>26</v>
      </c>
      <c r="E2161" s="11" t="s">
        <v>91</v>
      </c>
      <c r="F2161" s="11" t="s">
        <v>26</v>
      </c>
      <c r="G2161" s="11">
        <v>2469</v>
      </c>
      <c r="H2161" s="12" t="s">
        <v>41</v>
      </c>
      <c r="I2161" s="12" t="s">
        <v>55</v>
      </c>
      <c r="J2161" s="12" t="s">
        <v>55</v>
      </c>
      <c r="K2161" s="12" t="s">
        <v>56</v>
      </c>
      <c r="L2161" s="13">
        <v>33.4</v>
      </c>
      <c r="M2161" s="13">
        <v>20</v>
      </c>
      <c r="N2161" s="13">
        <v>1.67</v>
      </c>
      <c r="O2161" s="13" t="s">
        <v>30</v>
      </c>
      <c r="P2161" s="13">
        <v>24</v>
      </c>
      <c r="Q2161" s="13">
        <v>0</v>
      </c>
      <c r="R2161" s="14">
        <v>480</v>
      </c>
      <c r="S2161" s="15">
        <v>0</v>
      </c>
      <c r="T2161" s="15">
        <v>0</v>
      </c>
      <c r="U2161" s="15">
        <v>480</v>
      </c>
      <c r="V2161" s="15">
        <v>0</v>
      </c>
      <c r="W2161" s="15">
        <v>480</v>
      </c>
      <c r="X2161" s="15">
        <v>0</v>
      </c>
      <c r="Y2161" s="16">
        <v>0</v>
      </c>
      <c r="Z2161" s="67" t="s">
        <v>26</v>
      </c>
      <c r="AA2161" s="12" t="s">
        <v>31</v>
      </c>
    </row>
    <row r="2162" spans="1:27" x14ac:dyDescent="0.25">
      <c r="A2162" s="10">
        <v>45688</v>
      </c>
      <c r="B2162" s="11" t="s">
        <v>4394</v>
      </c>
      <c r="C2162" s="11" t="s">
        <v>4395</v>
      </c>
      <c r="D2162" s="11" t="s">
        <v>26</v>
      </c>
      <c r="E2162" s="11" t="s">
        <v>597</v>
      </c>
      <c r="F2162" s="11" t="s">
        <v>26</v>
      </c>
      <c r="G2162" s="11">
        <v>2581</v>
      </c>
      <c r="H2162" s="12" t="s">
        <v>41</v>
      </c>
      <c r="I2162" s="12" t="s">
        <v>55</v>
      </c>
      <c r="J2162" s="12" t="s">
        <v>55</v>
      </c>
      <c r="K2162" s="12" t="s">
        <v>56</v>
      </c>
      <c r="L2162" s="13">
        <v>32.06</v>
      </c>
      <c r="M2162" s="13">
        <v>20</v>
      </c>
      <c r="N2162" s="13">
        <v>1.603</v>
      </c>
      <c r="O2162" s="13" t="s">
        <v>30</v>
      </c>
      <c r="P2162" s="13">
        <v>24</v>
      </c>
      <c r="Q2162" s="13">
        <v>0</v>
      </c>
      <c r="R2162" s="14">
        <v>480</v>
      </c>
      <c r="S2162" s="15">
        <v>0</v>
      </c>
      <c r="T2162" s="15">
        <v>0</v>
      </c>
      <c r="U2162" s="15">
        <v>480</v>
      </c>
      <c r="V2162" s="15">
        <v>0</v>
      </c>
      <c r="W2162" s="15">
        <v>480</v>
      </c>
      <c r="X2162" s="15">
        <v>0</v>
      </c>
      <c r="Y2162" s="16">
        <v>0</v>
      </c>
      <c r="Z2162" s="67" t="s">
        <v>26</v>
      </c>
      <c r="AA2162" s="12" t="s">
        <v>31</v>
      </c>
    </row>
    <row r="2163" spans="1:27" x14ac:dyDescent="0.25">
      <c r="A2163" s="10">
        <v>45688</v>
      </c>
      <c r="B2163" s="11" t="s">
        <v>374</v>
      </c>
      <c r="C2163" s="11" t="s">
        <v>4396</v>
      </c>
      <c r="D2163" s="11" t="s">
        <v>26</v>
      </c>
      <c r="E2163" s="11" t="s">
        <v>559</v>
      </c>
      <c r="F2163" s="11" t="s">
        <v>26</v>
      </c>
      <c r="G2163" s="11">
        <v>2582</v>
      </c>
      <c r="H2163" s="12" t="s">
        <v>41</v>
      </c>
      <c r="I2163" s="12" t="s">
        <v>55</v>
      </c>
      <c r="J2163" s="12" t="s">
        <v>55</v>
      </c>
      <c r="K2163" s="12" t="s">
        <v>56</v>
      </c>
      <c r="L2163" s="13">
        <v>33.44</v>
      </c>
      <c r="M2163" s="13">
        <v>20</v>
      </c>
      <c r="N2163" s="13">
        <v>1.6719999999999999</v>
      </c>
      <c r="O2163" s="13" t="s">
        <v>30</v>
      </c>
      <c r="P2163" s="13">
        <v>24</v>
      </c>
      <c r="Q2163" s="13">
        <v>0</v>
      </c>
      <c r="R2163" s="14">
        <v>480</v>
      </c>
      <c r="S2163" s="15">
        <v>0</v>
      </c>
      <c r="T2163" s="15">
        <v>0</v>
      </c>
      <c r="U2163" s="15">
        <v>480</v>
      </c>
      <c r="V2163" s="15">
        <v>0</v>
      </c>
      <c r="W2163" s="15">
        <v>480</v>
      </c>
      <c r="X2163" s="16">
        <v>0</v>
      </c>
      <c r="Y2163" s="16">
        <v>0</v>
      </c>
      <c r="Z2163" s="67" t="s">
        <v>26</v>
      </c>
      <c r="AA2163" s="12" t="s">
        <v>31</v>
      </c>
    </row>
    <row r="2164" spans="1:27" x14ac:dyDescent="0.25">
      <c r="A2164" s="10">
        <v>45688</v>
      </c>
      <c r="B2164" s="11" t="s">
        <v>4397</v>
      </c>
      <c r="C2164" s="11" t="s">
        <v>4398</v>
      </c>
      <c r="D2164" s="11" t="s">
        <v>26</v>
      </c>
      <c r="E2164" s="11" t="s">
        <v>69</v>
      </c>
      <c r="F2164" s="11" t="s">
        <v>26</v>
      </c>
      <c r="G2164" s="11">
        <v>2107</v>
      </c>
      <c r="H2164" s="12" t="s">
        <v>70</v>
      </c>
      <c r="I2164" s="12" t="s">
        <v>27</v>
      </c>
      <c r="J2164" s="12" t="s">
        <v>33</v>
      </c>
      <c r="K2164" s="12" t="s">
        <v>34</v>
      </c>
      <c r="L2164" s="13">
        <v>38.520000000000003</v>
      </c>
      <c r="M2164" s="13">
        <v>25</v>
      </c>
      <c r="N2164" s="13">
        <v>1.5407999999999999</v>
      </c>
      <c r="O2164" s="13" t="s">
        <v>30</v>
      </c>
      <c r="P2164" s="13">
        <v>60</v>
      </c>
      <c r="Q2164" s="13">
        <v>0</v>
      </c>
      <c r="R2164" s="14">
        <v>1500</v>
      </c>
      <c r="S2164" s="15">
        <v>0</v>
      </c>
      <c r="T2164" s="15">
        <v>0</v>
      </c>
      <c r="U2164" s="15">
        <v>1500</v>
      </c>
      <c r="V2164" s="15">
        <v>0</v>
      </c>
      <c r="W2164" s="15">
        <v>1500</v>
      </c>
      <c r="X2164" s="15">
        <v>0</v>
      </c>
      <c r="Y2164" s="16">
        <v>0</v>
      </c>
      <c r="Z2164" s="67" t="s">
        <v>26</v>
      </c>
      <c r="AA2164" s="12" t="s">
        <v>31</v>
      </c>
    </row>
    <row r="2165" spans="1:27" x14ac:dyDescent="0.25">
      <c r="A2165" s="10">
        <v>45689</v>
      </c>
      <c r="B2165" s="69">
        <v>9.0624999999999734E-3</v>
      </c>
      <c r="C2165" s="11" t="s">
        <v>4528</v>
      </c>
      <c r="D2165" s="11" t="s">
        <v>26</v>
      </c>
      <c r="E2165" s="11" t="s">
        <v>100</v>
      </c>
      <c r="F2165" s="11" t="s">
        <v>26</v>
      </c>
      <c r="G2165" s="11">
        <v>21738</v>
      </c>
      <c r="H2165" s="12" t="s">
        <v>4448</v>
      </c>
      <c r="I2165" s="12" t="s">
        <v>27</v>
      </c>
      <c r="J2165" s="12" t="s">
        <v>42</v>
      </c>
      <c r="K2165" s="12" t="s">
        <v>43</v>
      </c>
      <c r="L2165" s="13">
        <v>43.48</v>
      </c>
      <c r="M2165" s="13">
        <v>25</v>
      </c>
      <c r="N2165" s="13">
        <f>L2165/M2165</f>
        <v>1.7391999999999999</v>
      </c>
      <c r="O2165" s="13">
        <v>42.5</v>
      </c>
      <c r="P2165" s="13"/>
      <c r="Q2165" s="13">
        <v>0</v>
      </c>
      <c r="R2165" s="70">
        <f>+L2165*O2165</f>
        <v>1847.8999999999999</v>
      </c>
      <c r="S2165" s="70">
        <v>0</v>
      </c>
      <c r="T2165" s="70">
        <f>+L2165*S2165</f>
        <v>0</v>
      </c>
      <c r="U2165" s="70">
        <f>+R2165-T2165</f>
        <v>1847.8999999999999</v>
      </c>
      <c r="V2165" s="70">
        <f>+U2165*0.75</f>
        <v>1385.925</v>
      </c>
      <c r="W2165" s="70">
        <f>+U2165-V2165</f>
        <v>461.97499999999991</v>
      </c>
      <c r="X2165" s="70">
        <v>0</v>
      </c>
      <c r="Y2165" s="14">
        <f t="shared" ref="Y2165:Y2168" si="0">T2165-X2165</f>
        <v>0</v>
      </c>
      <c r="Z2165" s="11" t="s">
        <v>26</v>
      </c>
      <c r="AA2165" s="12" t="s">
        <v>31</v>
      </c>
    </row>
    <row r="2166" spans="1:27" x14ac:dyDescent="0.25">
      <c r="A2166" s="10">
        <v>45689</v>
      </c>
      <c r="B2166" s="69">
        <v>1.4733796296296287E-2</v>
      </c>
      <c r="C2166" s="11" t="s">
        <v>4529</v>
      </c>
      <c r="D2166" s="11" t="s">
        <v>26</v>
      </c>
      <c r="E2166" s="11" t="s">
        <v>50</v>
      </c>
      <c r="F2166" s="11" t="s">
        <v>26</v>
      </c>
      <c r="G2166" s="11">
        <v>929</v>
      </c>
      <c r="H2166" s="12" t="s">
        <v>163</v>
      </c>
      <c r="I2166" s="12" t="s">
        <v>27</v>
      </c>
      <c r="J2166" s="12" t="s">
        <v>33</v>
      </c>
      <c r="K2166" s="12" t="s">
        <v>34</v>
      </c>
      <c r="L2166" s="13">
        <v>37.479999999999997</v>
      </c>
      <c r="M2166" s="13">
        <v>25</v>
      </c>
      <c r="N2166" s="13">
        <f t="shared" ref="N2166:N2229" si="1">L2166/M2166</f>
        <v>1.4991999999999999</v>
      </c>
      <c r="O2166" s="13" t="s">
        <v>30</v>
      </c>
      <c r="P2166" s="13">
        <v>60</v>
      </c>
      <c r="Q2166" s="13">
        <v>0</v>
      </c>
      <c r="R2166" s="70">
        <f>M2166*P2166</f>
        <v>1500</v>
      </c>
      <c r="S2166" s="70">
        <v>0</v>
      </c>
      <c r="T2166" s="70">
        <f>M2166*S2166</f>
        <v>0</v>
      </c>
      <c r="U2166" s="70">
        <f>R2166-T2166</f>
        <v>1500</v>
      </c>
      <c r="V2166" s="70">
        <f>U2166*0</f>
        <v>0</v>
      </c>
      <c r="W2166" s="70">
        <f>U2166-V2166</f>
        <v>1500</v>
      </c>
      <c r="X2166" s="70">
        <v>0</v>
      </c>
      <c r="Y2166" s="14">
        <f t="shared" si="0"/>
        <v>0</v>
      </c>
      <c r="Z2166" s="11" t="s">
        <v>26</v>
      </c>
      <c r="AA2166" s="12" t="s">
        <v>31</v>
      </c>
    </row>
    <row r="2167" spans="1:27" x14ac:dyDescent="0.25">
      <c r="A2167" s="10">
        <v>45689</v>
      </c>
      <c r="B2167" s="69">
        <v>1.807870370370368E-2</v>
      </c>
      <c r="C2167" s="11" t="s">
        <v>4530</v>
      </c>
      <c r="D2167" s="11" t="s">
        <v>26</v>
      </c>
      <c r="E2167" s="11" t="s">
        <v>322</v>
      </c>
      <c r="F2167" s="11" t="s">
        <v>26</v>
      </c>
      <c r="G2167" s="11">
        <v>112392</v>
      </c>
      <c r="H2167" s="12" t="s">
        <v>4446</v>
      </c>
      <c r="I2167" s="12" t="s">
        <v>27</v>
      </c>
      <c r="J2167" s="12" t="s">
        <v>33</v>
      </c>
      <c r="K2167" s="12" t="s">
        <v>34</v>
      </c>
      <c r="L2167" s="13">
        <v>36.520000000000003</v>
      </c>
      <c r="M2167" s="13">
        <v>25</v>
      </c>
      <c r="N2167" s="13">
        <f t="shared" si="1"/>
        <v>1.4608000000000001</v>
      </c>
      <c r="O2167" s="13">
        <v>44</v>
      </c>
      <c r="P2167" s="13" t="s">
        <v>30</v>
      </c>
      <c r="Q2167" s="13">
        <v>0</v>
      </c>
      <c r="R2167" s="70">
        <f t="shared" ref="R2167" si="2">+L2167*O2167</f>
        <v>1606.88</v>
      </c>
      <c r="S2167" s="70">
        <v>0</v>
      </c>
      <c r="T2167" s="70">
        <f>+L2167*S2167</f>
        <v>0</v>
      </c>
      <c r="U2167" s="70">
        <f>+R2167-T2167</f>
        <v>1606.88</v>
      </c>
      <c r="V2167" s="70">
        <f>+U2167*1</f>
        <v>1606.88</v>
      </c>
      <c r="W2167" s="70">
        <f>+U2167-V2167</f>
        <v>0</v>
      </c>
      <c r="X2167" s="70">
        <v>0</v>
      </c>
      <c r="Y2167" s="14">
        <f t="shared" si="0"/>
        <v>0</v>
      </c>
      <c r="Z2167" s="11" t="s">
        <v>26</v>
      </c>
      <c r="AA2167" s="12" t="s">
        <v>31</v>
      </c>
    </row>
    <row r="2168" spans="1:27" x14ac:dyDescent="0.25">
      <c r="A2168" s="10">
        <v>45689</v>
      </c>
      <c r="B2168" s="69">
        <v>1.8888888888888899E-2</v>
      </c>
      <c r="C2168" s="11" t="s">
        <v>4531</v>
      </c>
      <c r="D2168" s="11" t="s">
        <v>26</v>
      </c>
      <c r="E2168" s="11" t="s">
        <v>496</v>
      </c>
      <c r="F2168" s="11" t="s">
        <v>26</v>
      </c>
      <c r="G2168" s="11">
        <v>22917</v>
      </c>
      <c r="H2168" s="12" t="s">
        <v>4448</v>
      </c>
      <c r="I2168" s="12" t="s">
        <v>27</v>
      </c>
      <c r="J2168" s="12" t="s">
        <v>33</v>
      </c>
      <c r="K2168" s="12" t="s">
        <v>34</v>
      </c>
      <c r="L2168" s="13">
        <v>38.44</v>
      </c>
      <c r="M2168" s="13">
        <v>25</v>
      </c>
      <c r="N2168" s="13">
        <f t="shared" si="1"/>
        <v>1.5375999999999999</v>
      </c>
      <c r="O2168" s="13">
        <v>45.33</v>
      </c>
      <c r="P2168" s="13" t="s">
        <v>30</v>
      </c>
      <c r="Q2168" s="13">
        <v>0</v>
      </c>
      <c r="R2168" s="70">
        <f>+L2168*O2168</f>
        <v>1742.4851999999998</v>
      </c>
      <c r="S2168" s="70">
        <v>0</v>
      </c>
      <c r="T2168" s="70">
        <f>+L2168*S2168</f>
        <v>0</v>
      </c>
      <c r="U2168" s="70">
        <f>+R2168-T2168</f>
        <v>1742.4851999999998</v>
      </c>
      <c r="V2168" s="70">
        <f>+U2168*0.75</f>
        <v>1306.8638999999998</v>
      </c>
      <c r="W2168" s="70">
        <f>+U2168-V2168</f>
        <v>435.62130000000002</v>
      </c>
      <c r="X2168" s="70">
        <v>0</v>
      </c>
      <c r="Y2168" s="14">
        <f t="shared" si="0"/>
        <v>0</v>
      </c>
      <c r="Z2168" s="11" t="s">
        <v>26</v>
      </c>
      <c r="AA2168" s="12" t="s">
        <v>31</v>
      </c>
    </row>
    <row r="2169" spans="1:27" x14ac:dyDescent="0.25">
      <c r="A2169" s="10">
        <v>45689</v>
      </c>
      <c r="B2169" s="69">
        <v>1.6805555555555518E-2</v>
      </c>
      <c r="C2169" s="11" t="s">
        <v>4532</v>
      </c>
      <c r="D2169" s="11" t="s">
        <v>26</v>
      </c>
      <c r="E2169" s="11" t="s">
        <v>53</v>
      </c>
      <c r="F2169" s="11" t="s">
        <v>26</v>
      </c>
      <c r="G2169" s="11" t="s">
        <v>26</v>
      </c>
      <c r="H2169" s="12" t="s">
        <v>4422</v>
      </c>
      <c r="I2169" s="12" t="s">
        <v>27</v>
      </c>
      <c r="J2169" s="12" t="s">
        <v>47</v>
      </c>
      <c r="K2169" s="12" t="s">
        <v>48</v>
      </c>
      <c r="L2169" s="13">
        <v>46.78</v>
      </c>
      <c r="M2169" s="13">
        <v>32</v>
      </c>
      <c r="N2169" s="13">
        <f t="shared" si="1"/>
        <v>1.461875</v>
      </c>
      <c r="O2169" s="13">
        <v>87</v>
      </c>
      <c r="P2169" s="13" t="s">
        <v>30</v>
      </c>
      <c r="Q2169" s="13">
        <v>0</v>
      </c>
      <c r="R2169" s="70">
        <f>L2169*O2169</f>
        <v>4069.86</v>
      </c>
      <c r="S2169" s="70">
        <v>38</v>
      </c>
      <c r="T2169" s="70">
        <f>L2169*S2169</f>
        <v>1777.64</v>
      </c>
      <c r="U2169" s="70">
        <f>R2169-T2169</f>
        <v>2292.2200000000003</v>
      </c>
      <c r="V2169" s="70">
        <f>U2169*1</f>
        <v>2292.2200000000003</v>
      </c>
      <c r="W2169" s="70">
        <f>U2169-V2169</f>
        <v>0</v>
      </c>
      <c r="X2169" s="70">
        <f>L2169*37</f>
        <v>1730.8600000000001</v>
      </c>
      <c r="Y2169" s="71">
        <f t="shared" ref="Y2169" si="3">+T2169-X2169</f>
        <v>46.779999999999973</v>
      </c>
      <c r="Z2169" s="12" t="s">
        <v>41</v>
      </c>
      <c r="AA2169" s="12" t="s">
        <v>78</v>
      </c>
    </row>
    <row r="2170" spans="1:27" x14ac:dyDescent="0.25">
      <c r="A2170" s="10">
        <v>45689</v>
      </c>
      <c r="B2170" s="69">
        <v>2.692129629629636E-2</v>
      </c>
      <c r="C2170" s="11" t="s">
        <v>4533</v>
      </c>
      <c r="D2170" s="11" t="s">
        <v>26</v>
      </c>
      <c r="E2170" s="11" t="s">
        <v>553</v>
      </c>
      <c r="F2170" s="11" t="s">
        <v>26</v>
      </c>
      <c r="G2170" s="11">
        <v>4674</v>
      </c>
      <c r="H2170" s="12" t="s">
        <v>4423</v>
      </c>
      <c r="I2170" s="12" t="s">
        <v>27</v>
      </c>
      <c r="J2170" s="12" t="s">
        <v>33</v>
      </c>
      <c r="K2170" s="12" t="s">
        <v>34</v>
      </c>
      <c r="L2170" s="13">
        <v>35.28</v>
      </c>
      <c r="M2170" s="13">
        <v>25</v>
      </c>
      <c r="N2170" s="13">
        <f t="shared" si="1"/>
        <v>1.4112</v>
      </c>
      <c r="O2170" s="13">
        <v>45</v>
      </c>
      <c r="P2170" s="13" t="s">
        <v>30</v>
      </c>
      <c r="Q2170" s="13">
        <v>0</v>
      </c>
      <c r="R2170" s="70">
        <f>+L2170*O2170</f>
        <v>1587.6000000000001</v>
      </c>
      <c r="S2170" s="70">
        <v>0</v>
      </c>
      <c r="T2170" s="70">
        <f>+L2170*S2170</f>
        <v>0</v>
      </c>
      <c r="U2170" s="70">
        <f t="shared" ref="U2170" si="4">+R2170-T2170</f>
        <v>1587.6000000000001</v>
      </c>
      <c r="V2170" s="70">
        <f>+U2170*1</f>
        <v>1587.6000000000001</v>
      </c>
      <c r="W2170" s="70">
        <f t="shared" ref="W2170" si="5">+U2170-V2170</f>
        <v>0</v>
      </c>
      <c r="X2170" s="70">
        <v>0</v>
      </c>
      <c r="Y2170" s="14">
        <f t="shared" ref="Y2170:Y2171" si="6">T2170-X2170</f>
        <v>0</v>
      </c>
      <c r="Z2170" s="11" t="s">
        <v>26</v>
      </c>
      <c r="AA2170" s="12" t="s">
        <v>31</v>
      </c>
    </row>
    <row r="2171" spans="1:27" x14ac:dyDescent="0.25">
      <c r="A2171" s="10">
        <v>45689</v>
      </c>
      <c r="B2171" s="69">
        <v>2.7534722222222197E-2</v>
      </c>
      <c r="C2171" s="11" t="s">
        <v>4534</v>
      </c>
      <c r="D2171" s="11" t="s">
        <v>26</v>
      </c>
      <c r="E2171" s="11" t="s">
        <v>39</v>
      </c>
      <c r="F2171" s="11" t="s">
        <v>26</v>
      </c>
      <c r="G2171" s="11">
        <v>784</v>
      </c>
      <c r="H2171" s="12" t="s">
        <v>141</v>
      </c>
      <c r="I2171" s="12" t="s">
        <v>55</v>
      </c>
      <c r="J2171" s="12" t="s">
        <v>55</v>
      </c>
      <c r="K2171" s="12" t="s">
        <v>56</v>
      </c>
      <c r="L2171" s="13">
        <v>37.799999999999997</v>
      </c>
      <c r="M2171" s="13">
        <v>25</v>
      </c>
      <c r="N2171" s="13">
        <f t="shared" si="1"/>
        <v>1.5119999999999998</v>
      </c>
      <c r="O2171" s="13">
        <v>15</v>
      </c>
      <c r="P2171" s="13" t="s">
        <v>30</v>
      </c>
      <c r="Q2171" s="13">
        <v>0</v>
      </c>
      <c r="R2171" s="70">
        <f>L2171*O2171</f>
        <v>567</v>
      </c>
      <c r="S2171" s="70">
        <v>0</v>
      </c>
      <c r="T2171" s="70">
        <f>L2171*S2171</f>
        <v>0</v>
      </c>
      <c r="U2171" s="70">
        <f>R2171-T2171</f>
        <v>567</v>
      </c>
      <c r="V2171" s="70">
        <f>U2171*0</f>
        <v>0</v>
      </c>
      <c r="W2171" s="70">
        <f>U2171-V2171</f>
        <v>567</v>
      </c>
      <c r="X2171" s="70">
        <v>0</v>
      </c>
      <c r="Y2171" s="14">
        <f t="shared" si="6"/>
        <v>0</v>
      </c>
      <c r="Z2171" s="11" t="s">
        <v>26</v>
      </c>
      <c r="AA2171" s="12" t="s">
        <v>31</v>
      </c>
    </row>
    <row r="2172" spans="1:27" x14ac:dyDescent="0.25">
      <c r="A2172" s="10">
        <v>45689</v>
      </c>
      <c r="B2172" s="69">
        <v>1.3703703703703718E-2</v>
      </c>
      <c r="C2172" s="11" t="s">
        <v>4535</v>
      </c>
      <c r="D2172" s="11" t="s">
        <v>26</v>
      </c>
      <c r="E2172" s="11" t="s">
        <v>4161</v>
      </c>
      <c r="F2172" s="11" t="s">
        <v>26</v>
      </c>
      <c r="G2172" s="11" t="s">
        <v>26</v>
      </c>
      <c r="H2172" s="12" t="s">
        <v>4424</v>
      </c>
      <c r="I2172" s="12" t="s">
        <v>27</v>
      </c>
      <c r="J2172" s="12" t="s">
        <v>47</v>
      </c>
      <c r="K2172" s="12" t="s">
        <v>48</v>
      </c>
      <c r="L2172" s="13">
        <v>33.26</v>
      </c>
      <c r="M2172" s="13">
        <v>23</v>
      </c>
      <c r="N2172" s="13">
        <f t="shared" si="1"/>
        <v>1.4460869565217391</v>
      </c>
      <c r="O2172" s="13">
        <v>90</v>
      </c>
      <c r="P2172" s="13" t="s">
        <v>30</v>
      </c>
      <c r="Q2172" s="13">
        <v>0</v>
      </c>
      <c r="R2172" s="70">
        <f>L2172*O2172</f>
        <v>2993.3999999999996</v>
      </c>
      <c r="S2172" s="70">
        <v>41</v>
      </c>
      <c r="T2172" s="70">
        <f>+L2172*S2172</f>
        <v>1363.6599999999999</v>
      </c>
      <c r="U2172" s="70">
        <f t="shared" ref="U2172" si="7">R2172-T2172</f>
        <v>1629.7399999999998</v>
      </c>
      <c r="V2172" s="70">
        <f>U2172*1</f>
        <v>1629.7399999999998</v>
      </c>
      <c r="W2172" s="70">
        <f t="shared" ref="W2172" si="8">U2172-V2172</f>
        <v>0</v>
      </c>
      <c r="X2172" s="16">
        <f>L2172*40</f>
        <v>1330.3999999999999</v>
      </c>
      <c r="Y2172" s="71">
        <f t="shared" ref="Y2172" si="9">+T2172-X2172</f>
        <v>33.259999999999991</v>
      </c>
      <c r="Z2172" s="12" t="s">
        <v>41</v>
      </c>
      <c r="AA2172" s="12" t="s">
        <v>746</v>
      </c>
    </row>
    <row r="2173" spans="1:27" x14ac:dyDescent="0.25">
      <c r="A2173" s="10">
        <v>45689</v>
      </c>
      <c r="B2173" s="69">
        <v>2.5902777777777775E-2</v>
      </c>
      <c r="C2173" s="11" t="s">
        <v>4536</v>
      </c>
      <c r="D2173" s="11" t="s">
        <v>26</v>
      </c>
      <c r="E2173" s="11" t="s">
        <v>654</v>
      </c>
      <c r="F2173" s="11" t="s">
        <v>26</v>
      </c>
      <c r="G2173" s="11">
        <v>2817</v>
      </c>
      <c r="H2173" s="12" t="s">
        <v>41</v>
      </c>
      <c r="I2173" s="12" t="s">
        <v>55</v>
      </c>
      <c r="J2173" s="12" t="s">
        <v>55</v>
      </c>
      <c r="K2173" s="12" t="s">
        <v>56</v>
      </c>
      <c r="L2173" s="13">
        <v>31.9</v>
      </c>
      <c r="M2173" s="13">
        <v>20</v>
      </c>
      <c r="N2173" s="13">
        <f t="shared" si="1"/>
        <v>1.595</v>
      </c>
      <c r="O2173" s="13" t="s">
        <v>30</v>
      </c>
      <c r="P2173" s="13">
        <v>24</v>
      </c>
      <c r="Q2173" s="13">
        <v>0</v>
      </c>
      <c r="R2173" s="70">
        <f>+M2173*P2173</f>
        <v>480</v>
      </c>
      <c r="S2173" s="70">
        <v>0</v>
      </c>
      <c r="T2173" s="70">
        <f>+M2173*S2173</f>
        <v>0</v>
      </c>
      <c r="U2173" s="70">
        <f t="shared" ref="U2173:U2174" si="10">+R2173-T2173</f>
        <v>480</v>
      </c>
      <c r="V2173" s="70">
        <f>+U2173*0</f>
        <v>0</v>
      </c>
      <c r="W2173" s="70">
        <f t="shared" ref="W2173:W2174" si="11">+U2173-V2173</f>
        <v>480</v>
      </c>
      <c r="X2173" s="70">
        <v>0</v>
      </c>
      <c r="Y2173" s="14">
        <f t="shared" ref="Y2173:Y2183" si="12">T2173-X2173</f>
        <v>0</v>
      </c>
      <c r="Z2173" s="11" t="s">
        <v>26</v>
      </c>
      <c r="AA2173" s="12" t="s">
        <v>31</v>
      </c>
    </row>
    <row r="2174" spans="1:27" x14ac:dyDescent="0.25">
      <c r="A2174" s="10">
        <v>45689</v>
      </c>
      <c r="B2174" s="69">
        <v>3.9884259259259258E-2</v>
      </c>
      <c r="C2174" s="11" t="s">
        <v>4537</v>
      </c>
      <c r="D2174" s="11" t="s">
        <v>26</v>
      </c>
      <c r="E2174" s="11" t="s">
        <v>224</v>
      </c>
      <c r="F2174" s="11" t="s">
        <v>26</v>
      </c>
      <c r="G2174" s="11">
        <v>55345</v>
      </c>
      <c r="H2174" s="12" t="s">
        <v>4423</v>
      </c>
      <c r="I2174" s="12" t="s">
        <v>27</v>
      </c>
      <c r="J2174" s="12" t="s">
        <v>42</v>
      </c>
      <c r="K2174" s="12" t="s">
        <v>43</v>
      </c>
      <c r="L2174" s="13">
        <v>37.24</v>
      </c>
      <c r="M2174" s="13">
        <v>25</v>
      </c>
      <c r="N2174" s="13">
        <f t="shared" si="1"/>
        <v>1.4896</v>
      </c>
      <c r="O2174" s="13">
        <v>42</v>
      </c>
      <c r="P2174" s="13" t="s">
        <v>30</v>
      </c>
      <c r="Q2174" s="13">
        <v>0</v>
      </c>
      <c r="R2174" s="70">
        <f t="shared" ref="R2174" si="13">+L2174*O2174</f>
        <v>1564.0800000000002</v>
      </c>
      <c r="S2174" s="70">
        <v>0</v>
      </c>
      <c r="T2174" s="70">
        <f t="shared" ref="T2174" si="14">+L2174*S2174</f>
        <v>0</v>
      </c>
      <c r="U2174" s="70">
        <f t="shared" si="10"/>
        <v>1564.0800000000002</v>
      </c>
      <c r="V2174" s="70">
        <f>+U2174*1</f>
        <v>1564.0800000000002</v>
      </c>
      <c r="W2174" s="70">
        <f t="shared" si="11"/>
        <v>0</v>
      </c>
      <c r="X2174" s="70">
        <v>0</v>
      </c>
      <c r="Y2174" s="14">
        <f t="shared" si="12"/>
        <v>0</v>
      </c>
      <c r="Z2174" s="11" t="s">
        <v>26</v>
      </c>
      <c r="AA2174" s="12" t="s">
        <v>31</v>
      </c>
    </row>
    <row r="2175" spans="1:27" x14ac:dyDescent="0.25">
      <c r="A2175" s="10">
        <v>45689</v>
      </c>
      <c r="B2175" s="69">
        <v>3.1643518518518488E-2</v>
      </c>
      <c r="C2175" s="11" t="s">
        <v>4538</v>
      </c>
      <c r="D2175" s="11" t="s">
        <v>26</v>
      </c>
      <c r="E2175" s="11" t="s">
        <v>52</v>
      </c>
      <c r="F2175" s="11" t="s">
        <v>26</v>
      </c>
      <c r="G2175" s="11">
        <v>785</v>
      </c>
      <c r="H2175" s="12" t="s">
        <v>141</v>
      </c>
      <c r="I2175" s="12" t="s">
        <v>55</v>
      </c>
      <c r="J2175" s="12" t="s">
        <v>55</v>
      </c>
      <c r="K2175" s="12" t="s">
        <v>56</v>
      </c>
      <c r="L2175" s="13">
        <v>38.04</v>
      </c>
      <c r="M2175" s="13">
        <v>25</v>
      </c>
      <c r="N2175" s="13">
        <f t="shared" si="1"/>
        <v>1.5216000000000001</v>
      </c>
      <c r="O2175" s="13">
        <v>15</v>
      </c>
      <c r="P2175" s="13" t="s">
        <v>30</v>
      </c>
      <c r="Q2175" s="13">
        <v>0</v>
      </c>
      <c r="R2175" s="70">
        <f>L2175*O2175</f>
        <v>570.6</v>
      </c>
      <c r="S2175" s="70">
        <v>0</v>
      </c>
      <c r="T2175" s="70">
        <f>L2175*S2175</f>
        <v>0</v>
      </c>
      <c r="U2175" s="70">
        <f>R2175-T2175</f>
        <v>570.6</v>
      </c>
      <c r="V2175" s="70">
        <f>U2175*0</f>
        <v>0</v>
      </c>
      <c r="W2175" s="70">
        <f>U2175-V2175</f>
        <v>570.6</v>
      </c>
      <c r="X2175" s="70">
        <v>0</v>
      </c>
      <c r="Y2175" s="14">
        <f t="shared" si="12"/>
        <v>0</v>
      </c>
      <c r="Z2175" s="11" t="s">
        <v>26</v>
      </c>
      <c r="AA2175" s="12" t="s">
        <v>31</v>
      </c>
    </row>
    <row r="2176" spans="1:27" x14ac:dyDescent="0.25">
      <c r="A2176" s="10">
        <v>45689</v>
      </c>
      <c r="B2176" s="69">
        <v>3.4236111111111134E-2</v>
      </c>
      <c r="C2176" s="11" t="s">
        <v>4539</v>
      </c>
      <c r="D2176" s="11" t="s">
        <v>26</v>
      </c>
      <c r="E2176" s="11" t="s">
        <v>177</v>
      </c>
      <c r="F2176" s="11" t="s">
        <v>26</v>
      </c>
      <c r="G2176" s="11">
        <v>786</v>
      </c>
      <c r="H2176" s="12" t="s">
        <v>141</v>
      </c>
      <c r="I2176" s="12" t="s">
        <v>55</v>
      </c>
      <c r="J2176" s="12" t="s">
        <v>55</v>
      </c>
      <c r="K2176" s="12" t="s">
        <v>56</v>
      </c>
      <c r="L2176" s="13">
        <v>38.36</v>
      </c>
      <c r="M2176" s="13">
        <v>25</v>
      </c>
      <c r="N2176" s="13">
        <f t="shared" si="1"/>
        <v>1.5344</v>
      </c>
      <c r="O2176" s="13">
        <v>15</v>
      </c>
      <c r="P2176" s="13" t="s">
        <v>30</v>
      </c>
      <c r="Q2176" s="13">
        <v>0</v>
      </c>
      <c r="R2176" s="70">
        <f>L2176*O2176</f>
        <v>575.4</v>
      </c>
      <c r="S2176" s="70">
        <v>0</v>
      </c>
      <c r="T2176" s="70">
        <f>L2176*S2176</f>
        <v>0</v>
      </c>
      <c r="U2176" s="70">
        <f>R2176-T2176</f>
        <v>575.4</v>
      </c>
      <c r="V2176" s="70">
        <f>U2176*0</f>
        <v>0</v>
      </c>
      <c r="W2176" s="70">
        <f>U2176-V2176</f>
        <v>575.4</v>
      </c>
      <c r="X2176" s="70">
        <v>0</v>
      </c>
      <c r="Y2176" s="14">
        <f t="shared" si="12"/>
        <v>0</v>
      </c>
      <c r="Z2176" s="11" t="s">
        <v>26</v>
      </c>
      <c r="AA2176" s="12" t="s">
        <v>31</v>
      </c>
    </row>
    <row r="2177" spans="1:27" x14ac:dyDescent="0.25">
      <c r="A2177" s="10">
        <v>45689</v>
      </c>
      <c r="B2177" s="69">
        <v>2.7812500000000018E-2</v>
      </c>
      <c r="C2177" s="11" t="s">
        <v>4540</v>
      </c>
      <c r="D2177" s="11" t="s">
        <v>26</v>
      </c>
      <c r="E2177" s="11" t="s">
        <v>57</v>
      </c>
      <c r="F2177" s="11" t="s">
        <v>26</v>
      </c>
      <c r="G2177" s="11">
        <v>3676</v>
      </c>
      <c r="H2177" s="12" t="s">
        <v>41</v>
      </c>
      <c r="I2177" s="12" t="s">
        <v>27</v>
      </c>
      <c r="J2177" s="12" t="s">
        <v>557</v>
      </c>
      <c r="K2177" s="12" t="s">
        <v>558</v>
      </c>
      <c r="L2177" s="13">
        <v>38.6</v>
      </c>
      <c r="M2177" s="13">
        <v>25</v>
      </c>
      <c r="N2177" s="13">
        <f t="shared" si="1"/>
        <v>1.544</v>
      </c>
      <c r="O2177" s="13">
        <v>45</v>
      </c>
      <c r="P2177" s="13"/>
      <c r="Q2177" s="13">
        <v>0</v>
      </c>
      <c r="R2177" s="70">
        <f>L2177*O2177</f>
        <v>1737</v>
      </c>
      <c r="S2177" s="70">
        <v>0</v>
      </c>
      <c r="T2177" s="70">
        <f>L2177*S2177</f>
        <v>0</v>
      </c>
      <c r="U2177" s="70">
        <f>R2177-T2177</f>
        <v>1737</v>
      </c>
      <c r="V2177" s="70">
        <f>U2177*0</f>
        <v>0</v>
      </c>
      <c r="W2177" s="70">
        <f>U2177-V2177</f>
        <v>1737</v>
      </c>
      <c r="X2177" s="70">
        <v>0</v>
      </c>
      <c r="Y2177" s="14">
        <f t="shared" si="12"/>
        <v>0</v>
      </c>
      <c r="Z2177" s="11" t="s">
        <v>26</v>
      </c>
      <c r="AA2177" s="12" t="s">
        <v>31</v>
      </c>
    </row>
    <row r="2178" spans="1:27" x14ac:dyDescent="0.25">
      <c r="A2178" s="10">
        <v>45689</v>
      </c>
      <c r="B2178" s="69">
        <v>3.7280092592592573E-2</v>
      </c>
      <c r="C2178" s="11" t="s">
        <v>4541</v>
      </c>
      <c r="D2178" s="11" t="s">
        <v>26</v>
      </c>
      <c r="E2178" s="11" t="s">
        <v>589</v>
      </c>
      <c r="F2178" s="11" t="s">
        <v>26</v>
      </c>
      <c r="G2178" s="11">
        <v>56903</v>
      </c>
      <c r="H2178" s="12" t="s">
        <v>4423</v>
      </c>
      <c r="I2178" s="12" t="s">
        <v>27</v>
      </c>
      <c r="J2178" s="12" t="s">
        <v>42</v>
      </c>
      <c r="K2178" s="12" t="s">
        <v>43</v>
      </c>
      <c r="L2178" s="13">
        <v>39.659999999999997</v>
      </c>
      <c r="M2178" s="13">
        <v>25</v>
      </c>
      <c r="N2178" s="13">
        <f t="shared" si="1"/>
        <v>1.5863999999999998</v>
      </c>
      <c r="O2178" s="13">
        <v>42</v>
      </c>
      <c r="P2178" s="13" t="s">
        <v>30</v>
      </c>
      <c r="Q2178" s="13">
        <v>0</v>
      </c>
      <c r="R2178" s="70">
        <f t="shared" ref="R2178" si="15">+L2178*O2178</f>
        <v>1665.7199999999998</v>
      </c>
      <c r="S2178" s="70">
        <v>0</v>
      </c>
      <c r="T2178" s="70">
        <f t="shared" ref="T2178:T2181" si="16">+L2178*S2178</f>
        <v>0</v>
      </c>
      <c r="U2178" s="70">
        <f t="shared" ref="U2178:U2181" si="17">+R2178-T2178</f>
        <v>1665.7199999999998</v>
      </c>
      <c r="V2178" s="70">
        <f>+U2178*1</f>
        <v>1665.7199999999998</v>
      </c>
      <c r="W2178" s="70">
        <f t="shared" ref="W2178:W2181" si="18">+U2178-V2178</f>
        <v>0</v>
      </c>
      <c r="X2178" s="70">
        <v>0</v>
      </c>
      <c r="Y2178" s="14">
        <f t="shared" si="12"/>
        <v>0</v>
      </c>
      <c r="Z2178" s="11" t="s">
        <v>26</v>
      </c>
      <c r="AA2178" s="12" t="s">
        <v>31</v>
      </c>
    </row>
    <row r="2179" spans="1:27" x14ac:dyDescent="0.25">
      <c r="A2179" s="10">
        <v>45689</v>
      </c>
      <c r="B2179" s="69">
        <v>0</v>
      </c>
      <c r="C2179" s="11" t="s">
        <v>4542</v>
      </c>
      <c r="D2179" s="11" t="s">
        <v>26</v>
      </c>
      <c r="E2179" s="11" t="s">
        <v>446</v>
      </c>
      <c r="F2179" s="11" t="s">
        <v>26</v>
      </c>
      <c r="G2179" s="11" t="s">
        <v>35</v>
      </c>
      <c r="H2179" s="12" t="s">
        <v>36</v>
      </c>
      <c r="I2179" s="12" t="s">
        <v>55</v>
      </c>
      <c r="J2179" s="12" t="s">
        <v>55</v>
      </c>
      <c r="K2179" s="12" t="s">
        <v>56</v>
      </c>
      <c r="L2179" s="13">
        <v>34.06</v>
      </c>
      <c r="M2179" s="13">
        <v>22</v>
      </c>
      <c r="N2179" s="13">
        <f t="shared" si="1"/>
        <v>1.5481818181818183</v>
      </c>
      <c r="O2179" s="13">
        <v>20</v>
      </c>
      <c r="P2179" s="13" t="s">
        <v>30</v>
      </c>
      <c r="Q2179" s="13">
        <v>0</v>
      </c>
      <c r="R2179" s="70">
        <f>(L2179*O2179)-Q2179</f>
        <v>681.2</v>
      </c>
      <c r="S2179" s="70">
        <v>0</v>
      </c>
      <c r="T2179" s="70">
        <f t="shared" si="16"/>
        <v>0</v>
      </c>
      <c r="U2179" s="70">
        <f t="shared" si="17"/>
        <v>681.2</v>
      </c>
      <c r="V2179" s="70">
        <f>+U2179*0</f>
        <v>0</v>
      </c>
      <c r="W2179" s="70">
        <f t="shared" si="18"/>
        <v>681.2</v>
      </c>
      <c r="X2179" s="70">
        <v>0</v>
      </c>
      <c r="Y2179" s="14">
        <f t="shared" si="12"/>
        <v>0</v>
      </c>
      <c r="Z2179" s="11" t="s">
        <v>26</v>
      </c>
      <c r="AA2179" s="12" t="s">
        <v>31</v>
      </c>
    </row>
    <row r="2180" spans="1:27" x14ac:dyDescent="0.25">
      <c r="A2180" s="10">
        <v>45689</v>
      </c>
      <c r="B2180" s="69">
        <v>0</v>
      </c>
      <c r="C2180" s="11" t="s">
        <v>4543</v>
      </c>
      <c r="D2180" s="11" t="s">
        <v>26</v>
      </c>
      <c r="E2180" s="11" t="s">
        <v>593</v>
      </c>
      <c r="F2180" s="11" t="s">
        <v>26</v>
      </c>
      <c r="G2180" s="11">
        <v>44315</v>
      </c>
      <c r="H2180" s="12" t="s">
        <v>4423</v>
      </c>
      <c r="I2180" s="12" t="s">
        <v>27</v>
      </c>
      <c r="J2180" s="12" t="s">
        <v>42</v>
      </c>
      <c r="K2180" s="12" t="s">
        <v>43</v>
      </c>
      <c r="L2180" s="13">
        <v>37.6</v>
      </c>
      <c r="M2180" s="13">
        <v>25</v>
      </c>
      <c r="N2180" s="13">
        <f t="shared" si="1"/>
        <v>1.504</v>
      </c>
      <c r="O2180" s="13">
        <v>42</v>
      </c>
      <c r="P2180" s="13" t="s">
        <v>30</v>
      </c>
      <c r="Q2180" s="13">
        <v>0</v>
      </c>
      <c r="R2180" s="70">
        <f t="shared" ref="R2180" si="19">+L2180*O2180</f>
        <v>1579.2</v>
      </c>
      <c r="S2180" s="70">
        <v>0</v>
      </c>
      <c r="T2180" s="70">
        <f t="shared" si="16"/>
        <v>0</v>
      </c>
      <c r="U2180" s="70">
        <f t="shared" si="17"/>
        <v>1579.2</v>
      </c>
      <c r="V2180" s="70">
        <f>+U2180*1</f>
        <v>1579.2</v>
      </c>
      <c r="W2180" s="70">
        <f t="shared" si="18"/>
        <v>0</v>
      </c>
      <c r="X2180" s="70">
        <v>0</v>
      </c>
      <c r="Y2180" s="14">
        <f t="shared" si="12"/>
        <v>0</v>
      </c>
      <c r="Z2180" s="11" t="s">
        <v>26</v>
      </c>
      <c r="AA2180" s="12" t="s">
        <v>31</v>
      </c>
    </row>
    <row r="2181" spans="1:27" x14ac:dyDescent="0.25">
      <c r="A2181" s="10">
        <v>45689</v>
      </c>
      <c r="B2181" s="69">
        <v>0</v>
      </c>
      <c r="C2181" s="11" t="s">
        <v>4544</v>
      </c>
      <c r="D2181" s="11" t="s">
        <v>26</v>
      </c>
      <c r="E2181" s="11" t="s">
        <v>4545</v>
      </c>
      <c r="F2181" s="11" t="s">
        <v>26</v>
      </c>
      <c r="G2181" s="11" t="s">
        <v>35</v>
      </c>
      <c r="H2181" s="12" t="s">
        <v>36</v>
      </c>
      <c r="I2181" s="12" t="s">
        <v>55</v>
      </c>
      <c r="J2181" s="12" t="s">
        <v>55</v>
      </c>
      <c r="K2181" s="12" t="s">
        <v>56</v>
      </c>
      <c r="L2181" s="13">
        <v>33.76</v>
      </c>
      <c r="M2181" s="13">
        <v>22</v>
      </c>
      <c r="N2181" s="13">
        <f t="shared" si="1"/>
        <v>1.5345454545454544</v>
      </c>
      <c r="O2181" s="13">
        <v>20</v>
      </c>
      <c r="P2181" s="13" t="s">
        <v>30</v>
      </c>
      <c r="Q2181" s="13">
        <v>0</v>
      </c>
      <c r="R2181" s="70">
        <f>(L2181*O2181)-Q2181</f>
        <v>675.19999999999993</v>
      </c>
      <c r="S2181" s="70">
        <v>0</v>
      </c>
      <c r="T2181" s="70">
        <f t="shared" si="16"/>
        <v>0</v>
      </c>
      <c r="U2181" s="70">
        <f t="shared" si="17"/>
        <v>675.19999999999993</v>
      </c>
      <c r="V2181" s="70">
        <f>+U2181*0</f>
        <v>0</v>
      </c>
      <c r="W2181" s="70">
        <f t="shared" si="18"/>
        <v>675.19999999999993</v>
      </c>
      <c r="X2181" s="70">
        <v>0</v>
      </c>
      <c r="Y2181" s="14">
        <f t="shared" si="12"/>
        <v>0</v>
      </c>
      <c r="Z2181" s="11" t="s">
        <v>26</v>
      </c>
      <c r="AA2181" s="12" t="s">
        <v>31</v>
      </c>
    </row>
    <row r="2182" spans="1:27" x14ac:dyDescent="0.25">
      <c r="A2182" s="10">
        <v>45689</v>
      </c>
      <c r="B2182" s="69">
        <v>3.9050925925925906E-2</v>
      </c>
      <c r="C2182" s="11" t="s">
        <v>4546</v>
      </c>
      <c r="D2182" s="11" t="s">
        <v>26</v>
      </c>
      <c r="E2182" s="11" t="s">
        <v>68</v>
      </c>
      <c r="F2182" s="11" t="s">
        <v>26</v>
      </c>
      <c r="G2182" s="11">
        <v>76363</v>
      </c>
      <c r="H2182" s="12" t="s">
        <v>4448</v>
      </c>
      <c r="I2182" s="12" t="s">
        <v>55</v>
      </c>
      <c r="J2182" s="12" t="s">
        <v>55</v>
      </c>
      <c r="K2182" s="12" t="s">
        <v>56</v>
      </c>
      <c r="L2182" s="13">
        <v>41.64</v>
      </c>
      <c r="M2182" s="13">
        <v>25</v>
      </c>
      <c r="N2182" s="13">
        <f t="shared" si="1"/>
        <v>1.6656</v>
      </c>
      <c r="O2182" s="13">
        <v>15</v>
      </c>
      <c r="P2182" s="13" t="s">
        <v>30</v>
      </c>
      <c r="Q2182" s="13">
        <v>0</v>
      </c>
      <c r="R2182" s="70">
        <f>+L2182*O2182</f>
        <v>624.6</v>
      </c>
      <c r="S2182" s="70">
        <v>0</v>
      </c>
      <c r="T2182" s="70">
        <f>+L2182*S2182</f>
        <v>0</v>
      </c>
      <c r="U2182" s="70">
        <f>+R2182-T2182</f>
        <v>624.6</v>
      </c>
      <c r="V2182" s="70">
        <f>+U2182*0.75</f>
        <v>468.45000000000005</v>
      </c>
      <c r="W2182" s="70">
        <f>+U2182-V2182</f>
        <v>156.14999999999998</v>
      </c>
      <c r="X2182" s="70">
        <v>0</v>
      </c>
      <c r="Y2182" s="14">
        <f t="shared" si="12"/>
        <v>0</v>
      </c>
      <c r="Z2182" s="11" t="s">
        <v>26</v>
      </c>
      <c r="AA2182" s="12" t="s">
        <v>31</v>
      </c>
    </row>
    <row r="2183" spans="1:27" x14ac:dyDescent="0.25">
      <c r="A2183" s="10">
        <v>45689</v>
      </c>
      <c r="B2183" s="69">
        <v>1.6469907407407391E-2</v>
      </c>
      <c r="C2183" s="11" t="s">
        <v>4547</v>
      </c>
      <c r="D2183" s="11" t="s">
        <v>26</v>
      </c>
      <c r="E2183" s="11" t="s">
        <v>64</v>
      </c>
      <c r="F2183" s="11" t="s">
        <v>26</v>
      </c>
      <c r="G2183" s="11">
        <v>787</v>
      </c>
      <c r="H2183" s="12" t="s">
        <v>141</v>
      </c>
      <c r="I2183" s="12" t="s">
        <v>55</v>
      </c>
      <c r="J2183" s="12" t="s">
        <v>55</v>
      </c>
      <c r="K2183" s="12" t="s">
        <v>56</v>
      </c>
      <c r="L2183" s="13">
        <v>37.46</v>
      </c>
      <c r="M2183" s="13">
        <v>25</v>
      </c>
      <c r="N2183" s="13">
        <f t="shared" si="1"/>
        <v>1.4984</v>
      </c>
      <c r="O2183" s="13">
        <v>15</v>
      </c>
      <c r="P2183" s="13" t="s">
        <v>30</v>
      </c>
      <c r="Q2183" s="13">
        <v>0</v>
      </c>
      <c r="R2183" s="70">
        <f>L2183*O2183</f>
        <v>561.9</v>
      </c>
      <c r="S2183" s="70">
        <v>0</v>
      </c>
      <c r="T2183" s="70">
        <f>L2183*S2183</f>
        <v>0</v>
      </c>
      <c r="U2183" s="70">
        <f>R2183-T2183</f>
        <v>561.9</v>
      </c>
      <c r="V2183" s="70">
        <f>U2183*0</f>
        <v>0</v>
      </c>
      <c r="W2183" s="70">
        <f>U2183-V2183</f>
        <v>561.9</v>
      </c>
      <c r="X2183" s="70">
        <v>0</v>
      </c>
      <c r="Y2183" s="14">
        <f t="shared" si="12"/>
        <v>0</v>
      </c>
      <c r="Z2183" s="11" t="s">
        <v>26</v>
      </c>
      <c r="AA2183" s="12" t="s">
        <v>31</v>
      </c>
    </row>
    <row r="2184" spans="1:27" x14ac:dyDescent="0.25">
      <c r="A2184" s="10">
        <v>45689</v>
      </c>
      <c r="B2184" s="69">
        <v>2.3217592592592595E-2</v>
      </c>
      <c r="C2184" s="11" t="s">
        <v>4548</v>
      </c>
      <c r="D2184" s="11" t="s">
        <v>26</v>
      </c>
      <c r="E2184" s="11" t="s">
        <v>240</v>
      </c>
      <c r="F2184" s="11" t="s">
        <v>26</v>
      </c>
      <c r="G2184" s="11" t="s">
        <v>26</v>
      </c>
      <c r="H2184" s="12" t="s">
        <v>4422</v>
      </c>
      <c r="I2184" s="12" t="s">
        <v>27</v>
      </c>
      <c r="J2184" s="12" t="s">
        <v>47</v>
      </c>
      <c r="K2184" s="12" t="s">
        <v>48</v>
      </c>
      <c r="L2184" s="13">
        <v>43.06</v>
      </c>
      <c r="M2184" s="13">
        <v>30</v>
      </c>
      <c r="N2184" s="13">
        <f t="shared" si="1"/>
        <v>1.4353333333333333</v>
      </c>
      <c r="O2184" s="13">
        <v>87</v>
      </c>
      <c r="P2184" s="13" t="s">
        <v>30</v>
      </c>
      <c r="Q2184" s="13">
        <v>0</v>
      </c>
      <c r="R2184" s="70">
        <f>L2184*O2184</f>
        <v>3746.2200000000003</v>
      </c>
      <c r="S2184" s="70">
        <v>38</v>
      </c>
      <c r="T2184" s="70">
        <f>L2184*S2184</f>
        <v>1636.2800000000002</v>
      </c>
      <c r="U2184" s="70">
        <f>R2184-T2184</f>
        <v>2109.94</v>
      </c>
      <c r="V2184" s="70">
        <f>U2184*1</f>
        <v>2109.94</v>
      </c>
      <c r="W2184" s="70">
        <f>U2184-V2184</f>
        <v>0</v>
      </c>
      <c r="X2184" s="70">
        <f>L2184*37</f>
        <v>1593.22</v>
      </c>
      <c r="Y2184" s="71">
        <f t="shared" ref="Y2184" si="20">+T2184-X2184</f>
        <v>43.060000000000173</v>
      </c>
      <c r="Z2184" s="12" t="s">
        <v>41</v>
      </c>
      <c r="AA2184" s="12" t="s">
        <v>78</v>
      </c>
    </row>
    <row r="2185" spans="1:27" x14ac:dyDescent="0.25">
      <c r="A2185" s="10">
        <v>45689</v>
      </c>
      <c r="B2185" s="69">
        <v>9.6180555555556158E-3</v>
      </c>
      <c r="C2185" s="11" t="s">
        <v>4549</v>
      </c>
      <c r="D2185" s="11" t="s">
        <v>26</v>
      </c>
      <c r="E2185" s="11" t="s">
        <v>87</v>
      </c>
      <c r="F2185" s="11" t="s">
        <v>26</v>
      </c>
      <c r="G2185" s="11">
        <v>56952</v>
      </c>
      <c r="H2185" s="12" t="s">
        <v>4423</v>
      </c>
      <c r="I2185" s="12" t="s">
        <v>27</v>
      </c>
      <c r="J2185" s="12" t="s">
        <v>42</v>
      </c>
      <c r="K2185" s="12" t="s">
        <v>43</v>
      </c>
      <c r="L2185" s="13">
        <v>37.06</v>
      </c>
      <c r="M2185" s="13">
        <v>25</v>
      </c>
      <c r="N2185" s="13">
        <f t="shared" si="1"/>
        <v>1.4824000000000002</v>
      </c>
      <c r="O2185" s="13">
        <v>42</v>
      </c>
      <c r="P2185" s="13" t="s">
        <v>30</v>
      </c>
      <c r="Q2185" s="13">
        <v>0</v>
      </c>
      <c r="R2185" s="70">
        <f t="shared" ref="R2185" si="21">+L2185*O2185</f>
        <v>1556.52</v>
      </c>
      <c r="S2185" s="70">
        <v>0</v>
      </c>
      <c r="T2185" s="70">
        <f t="shared" ref="T2185" si="22">+L2185*S2185</f>
        <v>0</v>
      </c>
      <c r="U2185" s="70">
        <f t="shared" ref="U2185" si="23">+R2185-T2185</f>
        <v>1556.52</v>
      </c>
      <c r="V2185" s="70">
        <f>+U2185*1</f>
        <v>1556.52</v>
      </c>
      <c r="W2185" s="70">
        <f t="shared" ref="W2185" si="24">+U2185-V2185</f>
        <v>0</v>
      </c>
      <c r="X2185" s="70">
        <v>0</v>
      </c>
      <c r="Y2185" s="14">
        <f t="shared" ref="Y2185:Y2189" si="25">T2185-X2185</f>
        <v>0</v>
      </c>
      <c r="Z2185" s="11" t="s">
        <v>26</v>
      </c>
      <c r="AA2185" s="12" t="s">
        <v>31</v>
      </c>
    </row>
    <row r="2186" spans="1:27" x14ac:dyDescent="0.25">
      <c r="A2186" s="10">
        <v>45689</v>
      </c>
      <c r="B2186" s="69">
        <v>7.2453703703703742E-3</v>
      </c>
      <c r="C2186" s="11" t="s">
        <v>4550</v>
      </c>
      <c r="D2186" s="11" t="s">
        <v>26</v>
      </c>
      <c r="E2186" s="11" t="s">
        <v>1725</v>
      </c>
      <c r="F2186" s="11" t="s">
        <v>26</v>
      </c>
      <c r="G2186" s="11">
        <v>3296</v>
      </c>
      <c r="H2186" s="12" t="s">
        <v>4448</v>
      </c>
      <c r="I2186" s="12" t="s">
        <v>55</v>
      </c>
      <c r="J2186" s="12" t="s">
        <v>55</v>
      </c>
      <c r="K2186" s="12" t="s">
        <v>56</v>
      </c>
      <c r="L2186" s="13">
        <v>38.14</v>
      </c>
      <c r="M2186" s="13">
        <v>25</v>
      </c>
      <c r="N2186" s="13">
        <f t="shared" si="1"/>
        <v>1.5256000000000001</v>
      </c>
      <c r="O2186" s="13">
        <v>15</v>
      </c>
      <c r="P2186" s="13" t="s">
        <v>30</v>
      </c>
      <c r="Q2186" s="13">
        <v>0</v>
      </c>
      <c r="R2186" s="70">
        <f>+L2186*O2186</f>
        <v>572.1</v>
      </c>
      <c r="S2186" s="70">
        <v>0</v>
      </c>
      <c r="T2186" s="70">
        <f>+L2186*S2186</f>
        <v>0</v>
      </c>
      <c r="U2186" s="70">
        <f>+R2186-T2186</f>
        <v>572.1</v>
      </c>
      <c r="V2186" s="70">
        <f>+U2186*0.75</f>
        <v>429.07500000000005</v>
      </c>
      <c r="W2186" s="70">
        <f>+U2186-V2186</f>
        <v>143.02499999999998</v>
      </c>
      <c r="X2186" s="70">
        <v>0</v>
      </c>
      <c r="Y2186" s="14">
        <f t="shared" si="25"/>
        <v>0</v>
      </c>
      <c r="Z2186" s="11" t="s">
        <v>26</v>
      </c>
      <c r="AA2186" s="12" t="s">
        <v>31</v>
      </c>
    </row>
    <row r="2187" spans="1:27" x14ac:dyDescent="0.25">
      <c r="A2187" s="10">
        <v>45689</v>
      </c>
      <c r="B2187" s="69">
        <v>6.7199074074074105E-2</v>
      </c>
      <c r="C2187" s="11" t="s">
        <v>4551</v>
      </c>
      <c r="D2187" s="11" t="s">
        <v>26</v>
      </c>
      <c r="E2187" s="11" t="s">
        <v>1200</v>
      </c>
      <c r="F2187" s="11" t="s">
        <v>26</v>
      </c>
      <c r="G2187" s="11">
        <v>2597</v>
      </c>
      <c r="H2187" s="12" t="s">
        <v>163</v>
      </c>
      <c r="I2187" s="12" t="s">
        <v>27</v>
      </c>
      <c r="J2187" s="12" t="s">
        <v>42</v>
      </c>
      <c r="K2187" s="12" t="s">
        <v>43</v>
      </c>
      <c r="L2187" s="13">
        <v>43.38</v>
      </c>
      <c r="M2187" s="13">
        <v>25</v>
      </c>
      <c r="N2187" s="13">
        <f t="shared" si="1"/>
        <v>1.7352000000000001</v>
      </c>
      <c r="O2187" s="13" t="s">
        <v>30</v>
      </c>
      <c r="P2187" s="13">
        <v>64</v>
      </c>
      <c r="Q2187" s="13">
        <v>0</v>
      </c>
      <c r="R2187" s="70">
        <f>M2187*P2187</f>
        <v>1600</v>
      </c>
      <c r="S2187" s="70">
        <v>0</v>
      </c>
      <c r="T2187" s="70">
        <f>M2187*S2187</f>
        <v>0</v>
      </c>
      <c r="U2187" s="70">
        <f>R2187-T2187</f>
        <v>1600</v>
      </c>
      <c r="V2187" s="70">
        <f>U2187*0</f>
        <v>0</v>
      </c>
      <c r="W2187" s="70">
        <f>U2187-V2187</f>
        <v>1600</v>
      </c>
      <c r="X2187" s="70">
        <v>0</v>
      </c>
      <c r="Y2187" s="14">
        <f t="shared" si="25"/>
        <v>0</v>
      </c>
      <c r="Z2187" s="11" t="s">
        <v>26</v>
      </c>
      <c r="AA2187" s="12" t="s">
        <v>31</v>
      </c>
    </row>
    <row r="2188" spans="1:27" x14ac:dyDescent="0.25">
      <c r="A2188" s="10">
        <v>45689</v>
      </c>
      <c r="B2188" s="69">
        <v>7.6851851851852393E-3</v>
      </c>
      <c r="C2188" s="11" t="s">
        <v>4552</v>
      </c>
      <c r="D2188" s="11" t="s">
        <v>26</v>
      </c>
      <c r="E2188" s="11" t="s">
        <v>65</v>
      </c>
      <c r="F2188" s="11" t="s">
        <v>26</v>
      </c>
      <c r="G2188" s="11">
        <v>1703</v>
      </c>
      <c r="H2188" s="12" t="s">
        <v>66</v>
      </c>
      <c r="I2188" s="12" t="s">
        <v>37</v>
      </c>
      <c r="J2188" s="12" t="s">
        <v>1909</v>
      </c>
      <c r="K2188" s="12" t="s">
        <v>82</v>
      </c>
      <c r="L2188" s="13">
        <v>39.18</v>
      </c>
      <c r="M2188" s="13">
        <v>25</v>
      </c>
      <c r="N2188" s="13">
        <f t="shared" si="1"/>
        <v>1.5671999999999999</v>
      </c>
      <c r="O2188" s="13" t="s">
        <v>30</v>
      </c>
      <c r="P2188" s="13">
        <v>54</v>
      </c>
      <c r="Q2188" s="13">
        <v>0</v>
      </c>
      <c r="R2188" s="70">
        <f>M2188*P2188</f>
        <v>1350</v>
      </c>
      <c r="S2188" s="70">
        <v>0</v>
      </c>
      <c r="T2188" s="70">
        <f>M2188*S2188</f>
        <v>0</v>
      </c>
      <c r="U2188" s="70">
        <f>R2188-T2188</f>
        <v>1350</v>
      </c>
      <c r="V2188" s="70">
        <f>U2188*1</f>
        <v>1350</v>
      </c>
      <c r="W2188" s="70">
        <f>U2188-V2188</f>
        <v>0</v>
      </c>
      <c r="X2188" s="70">
        <v>0</v>
      </c>
      <c r="Y2188" s="14">
        <f t="shared" si="25"/>
        <v>0</v>
      </c>
      <c r="Z2188" s="11" t="s">
        <v>26</v>
      </c>
      <c r="AA2188" s="12" t="s">
        <v>31</v>
      </c>
    </row>
    <row r="2189" spans="1:27" x14ac:dyDescent="0.25">
      <c r="A2189" s="10">
        <v>45689</v>
      </c>
      <c r="B2189" s="69">
        <v>7.6620370370370505E-3</v>
      </c>
      <c r="C2189" s="11" t="s">
        <v>4553</v>
      </c>
      <c r="D2189" s="11" t="s">
        <v>26</v>
      </c>
      <c r="E2189" s="11" t="s">
        <v>67</v>
      </c>
      <c r="F2189" s="11" t="s">
        <v>26</v>
      </c>
      <c r="G2189" s="11">
        <v>1630</v>
      </c>
      <c r="H2189" s="12" t="s">
        <v>66</v>
      </c>
      <c r="I2189" s="12" t="s">
        <v>37</v>
      </c>
      <c r="J2189" s="12" t="s">
        <v>1909</v>
      </c>
      <c r="K2189" s="12" t="s">
        <v>82</v>
      </c>
      <c r="L2189" s="13">
        <v>38.86</v>
      </c>
      <c r="M2189" s="13">
        <v>25</v>
      </c>
      <c r="N2189" s="13">
        <f t="shared" si="1"/>
        <v>1.5544</v>
      </c>
      <c r="O2189" s="13" t="s">
        <v>30</v>
      </c>
      <c r="P2189" s="13">
        <v>54</v>
      </c>
      <c r="Q2189" s="13">
        <v>0</v>
      </c>
      <c r="R2189" s="70">
        <f>M2189*P2189</f>
        <v>1350</v>
      </c>
      <c r="S2189" s="70">
        <v>0</v>
      </c>
      <c r="T2189" s="70">
        <f>M2189*S2189</f>
        <v>0</v>
      </c>
      <c r="U2189" s="70">
        <f>R2189-T2189</f>
        <v>1350</v>
      </c>
      <c r="V2189" s="70">
        <f>U2189*1</f>
        <v>1350</v>
      </c>
      <c r="W2189" s="70">
        <f>U2189-V2189</f>
        <v>0</v>
      </c>
      <c r="X2189" s="70">
        <v>0</v>
      </c>
      <c r="Y2189" s="14">
        <f t="shared" si="25"/>
        <v>0</v>
      </c>
      <c r="Z2189" s="11" t="s">
        <v>26</v>
      </c>
      <c r="AA2189" s="12" t="s">
        <v>31</v>
      </c>
    </row>
    <row r="2190" spans="1:27" x14ac:dyDescent="0.25">
      <c r="A2190" s="10">
        <v>45689</v>
      </c>
      <c r="B2190" s="69">
        <v>1.3472222222222219E-2</v>
      </c>
      <c r="C2190" s="11" t="s">
        <v>4554</v>
      </c>
      <c r="D2190" s="11" t="s">
        <v>26</v>
      </c>
      <c r="E2190" s="11" t="s">
        <v>483</v>
      </c>
      <c r="F2190" s="11" t="s">
        <v>26</v>
      </c>
      <c r="G2190" s="11" t="s">
        <v>26</v>
      </c>
      <c r="H2190" s="12" t="s">
        <v>4422</v>
      </c>
      <c r="I2190" s="12" t="s">
        <v>27</v>
      </c>
      <c r="J2190" s="12" t="s">
        <v>33</v>
      </c>
      <c r="K2190" s="12" t="s">
        <v>34</v>
      </c>
      <c r="L2190" s="13">
        <v>43.9</v>
      </c>
      <c r="M2190" s="13">
        <v>30</v>
      </c>
      <c r="N2190" s="13">
        <f t="shared" si="1"/>
        <v>1.4633333333333334</v>
      </c>
      <c r="O2190" s="13">
        <v>85</v>
      </c>
      <c r="P2190" s="13" t="s">
        <v>30</v>
      </c>
      <c r="Q2190" s="13">
        <v>0</v>
      </c>
      <c r="R2190" s="70">
        <f>L2190*O2190</f>
        <v>3731.5</v>
      </c>
      <c r="S2190" s="70">
        <v>38</v>
      </c>
      <c r="T2190" s="70">
        <f>L2190*S2190</f>
        <v>1668.2</v>
      </c>
      <c r="U2190" s="70">
        <f>R2190-T2190</f>
        <v>2063.3000000000002</v>
      </c>
      <c r="V2190" s="70">
        <f>U2190*1</f>
        <v>2063.3000000000002</v>
      </c>
      <c r="W2190" s="70">
        <f>U2190-V2190</f>
        <v>0</v>
      </c>
      <c r="X2190" s="70">
        <f>L2190*37</f>
        <v>1624.3</v>
      </c>
      <c r="Y2190" s="71">
        <f>+T2190-X2190</f>
        <v>43.900000000000091</v>
      </c>
      <c r="Z2190" s="12" t="s">
        <v>41</v>
      </c>
      <c r="AA2190" s="12" t="s">
        <v>78</v>
      </c>
    </row>
    <row r="2191" spans="1:27" x14ac:dyDescent="0.25">
      <c r="A2191" s="10">
        <v>45689</v>
      </c>
      <c r="B2191" s="69">
        <v>0.11859953703703707</v>
      </c>
      <c r="C2191" s="11" t="s">
        <v>4555</v>
      </c>
      <c r="D2191" s="11" t="s">
        <v>26</v>
      </c>
      <c r="E2191" s="11" t="s">
        <v>44</v>
      </c>
      <c r="F2191" s="11" t="s">
        <v>26</v>
      </c>
      <c r="G2191" s="11">
        <v>1587</v>
      </c>
      <c r="H2191" s="12" t="s">
        <v>45</v>
      </c>
      <c r="I2191" s="12" t="s">
        <v>27</v>
      </c>
      <c r="J2191" s="12" t="s">
        <v>33</v>
      </c>
      <c r="K2191" s="12" t="s">
        <v>34</v>
      </c>
      <c r="L2191" s="13">
        <v>37.58</v>
      </c>
      <c r="M2191" s="13">
        <v>25</v>
      </c>
      <c r="N2191" s="13">
        <f t="shared" si="1"/>
        <v>1.5031999999999999</v>
      </c>
      <c r="O2191" s="13" t="s">
        <v>30</v>
      </c>
      <c r="P2191" s="13">
        <v>58</v>
      </c>
      <c r="Q2191" s="13">
        <v>0</v>
      </c>
      <c r="R2191" s="70">
        <f>M2191*P2191</f>
        <v>1450</v>
      </c>
      <c r="S2191" s="70">
        <v>0</v>
      </c>
      <c r="T2191" s="70">
        <f>M2191*S2191</f>
        <v>0</v>
      </c>
      <c r="U2191" s="70">
        <f>R2191-T2191</f>
        <v>1450</v>
      </c>
      <c r="V2191" s="70">
        <f>U2191*0</f>
        <v>0</v>
      </c>
      <c r="W2191" s="70">
        <f>U2191-V2191</f>
        <v>1450</v>
      </c>
      <c r="X2191" s="70">
        <v>0</v>
      </c>
      <c r="Y2191" s="14">
        <f t="shared" ref="Y2191:Y2194" si="26">T2191-X2191</f>
        <v>0</v>
      </c>
      <c r="Z2191" s="11" t="s">
        <v>26</v>
      </c>
      <c r="AA2191" s="12" t="s">
        <v>31</v>
      </c>
    </row>
    <row r="2192" spans="1:27" x14ac:dyDescent="0.25">
      <c r="A2192" s="10">
        <v>45689</v>
      </c>
      <c r="B2192" s="69">
        <v>2.6388888888888573E-3</v>
      </c>
      <c r="C2192" s="11" t="s">
        <v>4556</v>
      </c>
      <c r="D2192" s="11" t="s">
        <v>26</v>
      </c>
      <c r="E2192" s="11" t="s">
        <v>3938</v>
      </c>
      <c r="F2192" s="11" t="s">
        <v>26</v>
      </c>
      <c r="G2192" s="11" t="s">
        <v>35</v>
      </c>
      <c r="H2192" s="12" t="s">
        <v>36</v>
      </c>
      <c r="I2192" s="12" t="s">
        <v>55</v>
      </c>
      <c r="J2192" s="12" t="s">
        <v>55</v>
      </c>
      <c r="K2192" s="12" t="s">
        <v>56</v>
      </c>
      <c r="L2192" s="13">
        <v>8.86</v>
      </c>
      <c r="M2192" s="13">
        <v>6</v>
      </c>
      <c r="N2192" s="13">
        <f t="shared" si="1"/>
        <v>1.4766666666666666</v>
      </c>
      <c r="O2192" s="13">
        <v>20</v>
      </c>
      <c r="P2192" s="13" t="s">
        <v>30</v>
      </c>
      <c r="Q2192" s="13">
        <v>0</v>
      </c>
      <c r="R2192" s="70">
        <f>(L2192*O2192)-Q2192</f>
        <v>177.2</v>
      </c>
      <c r="S2192" s="70">
        <v>0</v>
      </c>
      <c r="T2192" s="70">
        <f t="shared" ref="T2192" si="27">+L2192*S2192</f>
        <v>0</v>
      </c>
      <c r="U2192" s="70">
        <f t="shared" ref="U2192" si="28">+R2192-T2192</f>
        <v>177.2</v>
      </c>
      <c r="V2192" s="70">
        <f>+U2192*0</f>
        <v>0</v>
      </c>
      <c r="W2192" s="70">
        <f t="shared" ref="W2192" si="29">+U2192-V2192</f>
        <v>177.2</v>
      </c>
      <c r="X2192" s="70">
        <v>0</v>
      </c>
      <c r="Y2192" s="14">
        <f t="shared" si="26"/>
        <v>0</v>
      </c>
      <c r="Z2192" s="11" t="s">
        <v>26</v>
      </c>
      <c r="AA2192" s="12" t="s">
        <v>31</v>
      </c>
    </row>
    <row r="2193" spans="1:27" x14ac:dyDescent="0.25">
      <c r="A2193" s="10">
        <v>45689</v>
      </c>
      <c r="B2193" s="69">
        <v>0.12966435185185188</v>
      </c>
      <c r="C2193" s="11" t="s">
        <v>4557</v>
      </c>
      <c r="D2193" s="11" t="s">
        <v>26</v>
      </c>
      <c r="E2193" s="11" t="s">
        <v>570</v>
      </c>
      <c r="F2193" s="11" t="s">
        <v>26</v>
      </c>
      <c r="G2193" s="11">
        <v>10343</v>
      </c>
      <c r="H2193" s="12" t="s">
        <v>140</v>
      </c>
      <c r="I2193" s="12" t="s">
        <v>27</v>
      </c>
      <c r="J2193" s="12" t="s">
        <v>47</v>
      </c>
      <c r="K2193" s="12" t="s">
        <v>48</v>
      </c>
      <c r="L2193" s="13">
        <v>42.44</v>
      </c>
      <c r="M2193" s="13">
        <v>29</v>
      </c>
      <c r="N2193" s="13">
        <f t="shared" si="1"/>
        <v>1.4634482758620688</v>
      </c>
      <c r="O2193" s="13">
        <v>40</v>
      </c>
      <c r="P2193" s="13"/>
      <c r="Q2193" s="13">
        <v>0</v>
      </c>
      <c r="R2193" s="70">
        <f>+L2193*O2193</f>
        <v>1697.6</v>
      </c>
      <c r="S2193" s="70">
        <v>0</v>
      </c>
      <c r="T2193" s="70">
        <f>+L2193*S2193</f>
        <v>0</v>
      </c>
      <c r="U2193" s="70">
        <f>+R2193-T2193</f>
        <v>1697.6</v>
      </c>
      <c r="V2193" s="70">
        <f>+U2193*0</f>
        <v>0</v>
      </c>
      <c r="W2193" s="70">
        <f>+U2193-V2193</f>
        <v>1697.6</v>
      </c>
      <c r="X2193" s="70">
        <v>0</v>
      </c>
      <c r="Y2193" s="14">
        <f t="shared" si="26"/>
        <v>0</v>
      </c>
      <c r="Z2193" s="11" t="s">
        <v>26</v>
      </c>
      <c r="AA2193" s="12" t="s">
        <v>31</v>
      </c>
    </row>
    <row r="2194" spans="1:27" x14ac:dyDescent="0.25">
      <c r="A2194" s="10">
        <v>45689</v>
      </c>
      <c r="B2194" s="69">
        <v>7.9166666666666274E-3</v>
      </c>
      <c r="C2194" s="11" t="s">
        <v>4558</v>
      </c>
      <c r="D2194" s="11" t="s">
        <v>26</v>
      </c>
      <c r="E2194" s="11" t="s">
        <v>4559</v>
      </c>
      <c r="F2194" s="11" t="s">
        <v>26</v>
      </c>
      <c r="G2194" s="11" t="s">
        <v>35</v>
      </c>
      <c r="H2194" s="12" t="s">
        <v>36</v>
      </c>
      <c r="I2194" s="12" t="s">
        <v>37</v>
      </c>
      <c r="J2194" s="12" t="s">
        <v>85</v>
      </c>
      <c r="K2194" s="12" t="s">
        <v>86</v>
      </c>
      <c r="L2194" s="13">
        <v>15.04</v>
      </c>
      <c r="M2194" s="13">
        <v>9</v>
      </c>
      <c r="N2194" s="13">
        <f t="shared" si="1"/>
        <v>1.671111111111111</v>
      </c>
      <c r="O2194" s="13">
        <v>37</v>
      </c>
      <c r="P2194" s="13" t="s">
        <v>30</v>
      </c>
      <c r="Q2194" s="13">
        <v>0</v>
      </c>
      <c r="R2194" s="70">
        <f>(L2194*O2194)-Q2194</f>
        <v>556.48</v>
      </c>
      <c r="S2194" s="70">
        <v>0</v>
      </c>
      <c r="T2194" s="70">
        <f t="shared" ref="T2194" si="30">+L2194*S2194</f>
        <v>0</v>
      </c>
      <c r="U2194" s="70">
        <f t="shared" ref="U2194" si="31">+R2194-T2194</f>
        <v>556.48</v>
      </c>
      <c r="V2194" s="70">
        <f>+U2194*0</f>
        <v>0</v>
      </c>
      <c r="W2194" s="70">
        <f t="shared" ref="W2194" si="32">+U2194-V2194</f>
        <v>556.48</v>
      </c>
      <c r="X2194" s="70">
        <v>0</v>
      </c>
      <c r="Y2194" s="14">
        <f t="shared" si="26"/>
        <v>0</v>
      </c>
      <c r="Z2194" s="11" t="s">
        <v>26</v>
      </c>
      <c r="AA2194" s="12" t="s">
        <v>31</v>
      </c>
    </row>
    <row r="2195" spans="1:27" x14ac:dyDescent="0.25">
      <c r="A2195" s="10">
        <v>45689</v>
      </c>
      <c r="B2195" s="69">
        <v>1.8483796296296318E-2</v>
      </c>
      <c r="C2195" s="11" t="s">
        <v>4560</v>
      </c>
      <c r="D2195" s="11" t="s">
        <v>26</v>
      </c>
      <c r="E2195" s="11" t="s">
        <v>53</v>
      </c>
      <c r="F2195" s="11" t="s">
        <v>26</v>
      </c>
      <c r="G2195" s="11" t="s">
        <v>26</v>
      </c>
      <c r="H2195" s="12" t="s">
        <v>4422</v>
      </c>
      <c r="I2195" s="12" t="s">
        <v>27</v>
      </c>
      <c r="J2195" s="12" t="s">
        <v>33</v>
      </c>
      <c r="K2195" s="12" t="s">
        <v>34</v>
      </c>
      <c r="L2195" s="13">
        <v>45.56</v>
      </c>
      <c r="M2195" s="13">
        <v>31</v>
      </c>
      <c r="N2195" s="13">
        <f t="shared" si="1"/>
        <v>1.4696774193548388</v>
      </c>
      <c r="O2195" s="13">
        <v>85</v>
      </c>
      <c r="P2195" s="13" t="s">
        <v>30</v>
      </c>
      <c r="Q2195" s="13">
        <v>0</v>
      </c>
      <c r="R2195" s="70">
        <f>L2195*O2195</f>
        <v>3872.6000000000004</v>
      </c>
      <c r="S2195" s="70">
        <v>38</v>
      </c>
      <c r="T2195" s="70">
        <f>L2195*S2195</f>
        <v>1731.2800000000002</v>
      </c>
      <c r="U2195" s="70">
        <f>R2195-T2195</f>
        <v>2141.3200000000002</v>
      </c>
      <c r="V2195" s="70">
        <f>U2195*1</f>
        <v>2141.3200000000002</v>
      </c>
      <c r="W2195" s="70">
        <f>U2195-V2195</f>
        <v>0</v>
      </c>
      <c r="X2195" s="70">
        <f>L2195*37</f>
        <v>1685.72</v>
      </c>
      <c r="Y2195" s="71">
        <f>+T2195-X2195</f>
        <v>45.560000000000173</v>
      </c>
      <c r="Z2195" s="12" t="s">
        <v>41</v>
      </c>
      <c r="AA2195" s="12" t="s">
        <v>78</v>
      </c>
    </row>
    <row r="2196" spans="1:27" x14ac:dyDescent="0.25">
      <c r="A2196" s="10">
        <v>45689</v>
      </c>
      <c r="B2196" s="69">
        <v>4.2858796296296298E-2</v>
      </c>
      <c r="C2196" s="11" t="s">
        <v>4561</v>
      </c>
      <c r="D2196" s="11" t="s">
        <v>26</v>
      </c>
      <c r="E2196" s="11" t="s">
        <v>75</v>
      </c>
      <c r="F2196" s="11" t="s">
        <v>26</v>
      </c>
      <c r="G2196" s="11">
        <v>2856</v>
      </c>
      <c r="H2196" s="12" t="s">
        <v>41</v>
      </c>
      <c r="I2196" s="12" t="s">
        <v>55</v>
      </c>
      <c r="J2196" s="12" t="s">
        <v>55</v>
      </c>
      <c r="K2196" s="12" t="s">
        <v>56</v>
      </c>
      <c r="L2196" s="13">
        <v>38.54</v>
      </c>
      <c r="M2196" s="13">
        <v>25</v>
      </c>
      <c r="N2196" s="13">
        <f t="shared" si="1"/>
        <v>1.5415999999999999</v>
      </c>
      <c r="O2196" s="13" t="s">
        <v>30</v>
      </c>
      <c r="P2196" s="13">
        <v>24</v>
      </c>
      <c r="Q2196" s="13">
        <v>0</v>
      </c>
      <c r="R2196" s="70">
        <f>+M2196*P2196</f>
        <v>600</v>
      </c>
      <c r="S2196" s="70">
        <v>0</v>
      </c>
      <c r="T2196" s="70">
        <f>+M2196*S2196</f>
        <v>0</v>
      </c>
      <c r="U2196" s="70">
        <f t="shared" ref="U2196" si="33">+R2196-T2196</f>
        <v>600</v>
      </c>
      <c r="V2196" s="70">
        <f>+U2196*0</f>
        <v>0</v>
      </c>
      <c r="W2196" s="70">
        <f t="shared" ref="W2196" si="34">+U2196-V2196</f>
        <v>600</v>
      </c>
      <c r="X2196" s="70">
        <v>0</v>
      </c>
      <c r="Y2196" s="14">
        <f t="shared" ref="Y2196" si="35">T2196-X2196</f>
        <v>0</v>
      </c>
      <c r="Z2196" s="11" t="s">
        <v>26</v>
      </c>
      <c r="AA2196" s="12" t="s">
        <v>31</v>
      </c>
    </row>
    <row r="2197" spans="1:27" x14ac:dyDescent="0.25">
      <c r="A2197" s="10">
        <v>45689</v>
      </c>
      <c r="B2197" s="69">
        <v>1.7916666666666692E-2</v>
      </c>
      <c r="C2197" s="11" t="s">
        <v>4562</v>
      </c>
      <c r="D2197" s="11" t="s">
        <v>26</v>
      </c>
      <c r="E2197" s="11" t="s">
        <v>4161</v>
      </c>
      <c r="F2197" s="11" t="s">
        <v>26</v>
      </c>
      <c r="G2197" s="11" t="s">
        <v>26</v>
      </c>
      <c r="H2197" s="12" t="s">
        <v>4424</v>
      </c>
      <c r="I2197" s="12" t="s">
        <v>27</v>
      </c>
      <c r="J2197" s="12" t="s">
        <v>47</v>
      </c>
      <c r="K2197" s="12" t="s">
        <v>48</v>
      </c>
      <c r="L2197" s="13">
        <v>34.26</v>
      </c>
      <c r="M2197" s="13">
        <v>23</v>
      </c>
      <c r="N2197" s="13">
        <f t="shared" si="1"/>
        <v>1.4895652173913043</v>
      </c>
      <c r="O2197" s="13">
        <v>90</v>
      </c>
      <c r="P2197" s="13" t="s">
        <v>30</v>
      </c>
      <c r="Q2197" s="13">
        <v>0</v>
      </c>
      <c r="R2197" s="70">
        <f>L2197*O2197</f>
        <v>3083.3999999999996</v>
      </c>
      <c r="S2197" s="70">
        <v>41</v>
      </c>
      <c r="T2197" s="70">
        <f>+L2197*S2197</f>
        <v>1404.6599999999999</v>
      </c>
      <c r="U2197" s="70">
        <f t="shared" ref="U2197" si="36">R2197-T2197</f>
        <v>1678.7399999999998</v>
      </c>
      <c r="V2197" s="70">
        <f>U2197*1</f>
        <v>1678.7399999999998</v>
      </c>
      <c r="W2197" s="70">
        <f t="shared" ref="W2197" si="37">U2197-V2197</f>
        <v>0</v>
      </c>
      <c r="X2197" s="16">
        <f>L2197*40</f>
        <v>1370.3999999999999</v>
      </c>
      <c r="Y2197" s="71">
        <f t="shared" ref="Y2197" si="38">+T2197-X2197</f>
        <v>34.259999999999991</v>
      </c>
      <c r="Z2197" s="12" t="s">
        <v>41</v>
      </c>
      <c r="AA2197" s="12" t="s">
        <v>746</v>
      </c>
    </row>
    <row r="2198" spans="1:27" x14ac:dyDescent="0.25">
      <c r="A2198" s="10">
        <v>45689</v>
      </c>
      <c r="B2198" s="69">
        <v>7.9513888888889106E-3</v>
      </c>
      <c r="C2198" s="11" t="s">
        <v>4563</v>
      </c>
      <c r="D2198" s="11" t="s">
        <v>26</v>
      </c>
      <c r="E2198" s="11" t="s">
        <v>4323</v>
      </c>
      <c r="F2198" s="11" t="s">
        <v>26</v>
      </c>
      <c r="G2198" s="11">
        <v>2958</v>
      </c>
      <c r="H2198" s="12" t="s">
        <v>4442</v>
      </c>
      <c r="I2198" s="12" t="s">
        <v>27</v>
      </c>
      <c r="J2198" s="12" t="s">
        <v>33</v>
      </c>
      <c r="K2198" s="12" t="s">
        <v>34</v>
      </c>
      <c r="L2198" s="13">
        <v>34.6</v>
      </c>
      <c r="M2198" s="13">
        <v>25</v>
      </c>
      <c r="N2198" s="13">
        <f t="shared" si="1"/>
        <v>1.3840000000000001</v>
      </c>
      <c r="O2198" s="13">
        <v>42</v>
      </c>
      <c r="P2198" s="13" t="s">
        <v>30</v>
      </c>
      <c r="Q2198" s="13">
        <v>0</v>
      </c>
      <c r="R2198" s="70">
        <f>L2198*O2198</f>
        <v>1453.2</v>
      </c>
      <c r="S2198" s="70">
        <v>0</v>
      </c>
      <c r="T2198" s="70">
        <f>L2198*S2198</f>
        <v>0</v>
      </c>
      <c r="U2198" s="70">
        <f>R2198-T2198</f>
        <v>1453.2</v>
      </c>
      <c r="V2198" s="70">
        <f>U2198*1</f>
        <v>1453.2</v>
      </c>
      <c r="W2198" s="70">
        <f>U2198-V2198</f>
        <v>0</v>
      </c>
      <c r="X2198" s="70">
        <v>0</v>
      </c>
      <c r="Y2198" s="71">
        <f>T2198-X2198</f>
        <v>0</v>
      </c>
      <c r="Z2198" s="11" t="s">
        <v>26</v>
      </c>
      <c r="AA2198" s="12" t="s">
        <v>31</v>
      </c>
    </row>
    <row r="2199" spans="1:27" x14ac:dyDescent="0.25">
      <c r="A2199" s="10">
        <v>45689</v>
      </c>
      <c r="B2199" s="69">
        <v>7.3263888888888684E-3</v>
      </c>
      <c r="C2199" s="11" t="s">
        <v>4564</v>
      </c>
      <c r="D2199" s="11" t="s">
        <v>26</v>
      </c>
      <c r="E2199" s="11" t="s">
        <v>2109</v>
      </c>
      <c r="F2199" s="11" t="s">
        <v>26</v>
      </c>
      <c r="G2199" s="11" t="s">
        <v>26</v>
      </c>
      <c r="H2199" s="12" t="s">
        <v>4422</v>
      </c>
      <c r="I2199" s="12" t="s">
        <v>27</v>
      </c>
      <c r="J2199" s="12" t="s">
        <v>42</v>
      </c>
      <c r="K2199" s="12" t="s">
        <v>43</v>
      </c>
      <c r="L2199" s="13">
        <v>44.36</v>
      </c>
      <c r="M2199" s="13">
        <v>25</v>
      </c>
      <c r="N2199" s="13">
        <f t="shared" si="1"/>
        <v>1.7744</v>
      </c>
      <c r="O2199" s="13">
        <v>83</v>
      </c>
      <c r="P2199" s="13" t="s">
        <v>30</v>
      </c>
      <c r="Q2199" s="13">
        <v>0</v>
      </c>
      <c r="R2199" s="70">
        <f>L2199*O2199</f>
        <v>3681.88</v>
      </c>
      <c r="S2199" s="70">
        <v>38</v>
      </c>
      <c r="T2199" s="70">
        <f>L2199*S2199</f>
        <v>1685.68</v>
      </c>
      <c r="U2199" s="70">
        <f>R2199-T2199</f>
        <v>1996.2</v>
      </c>
      <c r="V2199" s="70">
        <f>U2199*1</f>
        <v>1996.2</v>
      </c>
      <c r="W2199" s="70">
        <f>U2199-V2199</f>
        <v>0</v>
      </c>
      <c r="X2199" s="70">
        <f>L2199*36</f>
        <v>1596.96</v>
      </c>
      <c r="Y2199" s="71">
        <f>+T2199-X2199</f>
        <v>88.720000000000027</v>
      </c>
      <c r="Z2199" s="12" t="s">
        <v>140</v>
      </c>
      <c r="AA2199" s="12" t="s">
        <v>78</v>
      </c>
    </row>
    <row r="2200" spans="1:27" x14ac:dyDescent="0.25">
      <c r="A2200" s="10">
        <v>45689</v>
      </c>
      <c r="B2200" s="69">
        <v>7.5462962962962732E-3</v>
      </c>
      <c r="C2200" s="11" t="s">
        <v>4565</v>
      </c>
      <c r="D2200" s="11" t="s">
        <v>26</v>
      </c>
      <c r="E2200" s="11" t="s">
        <v>3938</v>
      </c>
      <c r="F2200" s="11" t="s">
        <v>26</v>
      </c>
      <c r="G2200" s="11" t="s">
        <v>35</v>
      </c>
      <c r="H2200" s="12" t="s">
        <v>36</v>
      </c>
      <c r="I2200" s="12" t="s">
        <v>55</v>
      </c>
      <c r="J2200" s="12" t="s">
        <v>55</v>
      </c>
      <c r="K2200" s="12" t="s">
        <v>56</v>
      </c>
      <c r="L2200" s="13">
        <v>9.86</v>
      </c>
      <c r="M2200" s="13">
        <v>6</v>
      </c>
      <c r="N2200" s="13">
        <f t="shared" si="1"/>
        <v>1.6433333333333333</v>
      </c>
      <c r="O2200" s="13">
        <v>20</v>
      </c>
      <c r="P2200" s="13" t="s">
        <v>30</v>
      </c>
      <c r="Q2200" s="13">
        <v>0</v>
      </c>
      <c r="R2200" s="70">
        <f>(L2200*O2200)-Q2200</f>
        <v>197.2</v>
      </c>
      <c r="S2200" s="70">
        <v>0</v>
      </c>
      <c r="T2200" s="70">
        <f t="shared" ref="T2200" si="39">+L2200*S2200</f>
        <v>0</v>
      </c>
      <c r="U2200" s="70">
        <f t="shared" ref="U2200" si="40">+R2200-T2200</f>
        <v>197.2</v>
      </c>
      <c r="V2200" s="70">
        <f>+U2200*0</f>
        <v>0</v>
      </c>
      <c r="W2200" s="70">
        <f t="shared" ref="W2200" si="41">+U2200-V2200</f>
        <v>197.2</v>
      </c>
      <c r="X2200" s="70">
        <v>0</v>
      </c>
      <c r="Y2200" s="14">
        <f t="shared" ref="Y2200:Y2201" si="42">T2200-X2200</f>
        <v>0</v>
      </c>
      <c r="Z2200" s="11" t="s">
        <v>26</v>
      </c>
      <c r="AA2200" s="12" t="s">
        <v>31</v>
      </c>
    </row>
    <row r="2201" spans="1:27" x14ac:dyDescent="0.25">
      <c r="A2201" s="10">
        <v>45689</v>
      </c>
      <c r="B2201" s="69">
        <v>1.1840277777777741E-2</v>
      </c>
      <c r="C2201" s="11" t="s">
        <v>4566</v>
      </c>
      <c r="D2201" s="11" t="s">
        <v>26</v>
      </c>
      <c r="E2201" s="11" t="s">
        <v>481</v>
      </c>
      <c r="F2201" s="11" t="s">
        <v>26</v>
      </c>
      <c r="G2201" s="11">
        <v>73997</v>
      </c>
      <c r="H2201" s="12" t="s">
        <v>4448</v>
      </c>
      <c r="I2201" s="12" t="s">
        <v>27</v>
      </c>
      <c r="J2201" s="12" t="s">
        <v>42</v>
      </c>
      <c r="K2201" s="12" t="s">
        <v>43</v>
      </c>
      <c r="L2201" s="13">
        <v>41.46</v>
      </c>
      <c r="M2201" s="13">
        <v>25</v>
      </c>
      <c r="N2201" s="13">
        <f t="shared" si="1"/>
        <v>1.6584000000000001</v>
      </c>
      <c r="O2201" s="13">
        <v>42.5</v>
      </c>
      <c r="P2201" s="13"/>
      <c r="Q2201" s="13">
        <v>0</v>
      </c>
      <c r="R2201" s="70">
        <f>+L2201*O2201</f>
        <v>1762.05</v>
      </c>
      <c r="S2201" s="70">
        <v>0</v>
      </c>
      <c r="T2201" s="70">
        <f>+L2201*S2201</f>
        <v>0</v>
      </c>
      <c r="U2201" s="70">
        <f>+R2201-T2201</f>
        <v>1762.05</v>
      </c>
      <c r="V2201" s="70">
        <f>+U2201*0.75</f>
        <v>1321.5374999999999</v>
      </c>
      <c r="W2201" s="70">
        <f>+U2201-V2201</f>
        <v>440.51250000000005</v>
      </c>
      <c r="X2201" s="70">
        <v>0</v>
      </c>
      <c r="Y2201" s="14">
        <f t="shared" si="42"/>
        <v>0</v>
      </c>
      <c r="Z2201" s="11" t="s">
        <v>26</v>
      </c>
      <c r="AA2201" s="12" t="s">
        <v>31</v>
      </c>
    </row>
    <row r="2202" spans="1:27" x14ac:dyDescent="0.25">
      <c r="A2202" s="10">
        <v>45689</v>
      </c>
      <c r="B2202" s="69">
        <v>7.8009259259259611E-3</v>
      </c>
      <c r="C2202" s="11" t="s">
        <v>4567</v>
      </c>
      <c r="D2202" s="11" t="s">
        <v>26</v>
      </c>
      <c r="E2202" s="11" t="s">
        <v>240</v>
      </c>
      <c r="F2202" s="11" t="s">
        <v>26</v>
      </c>
      <c r="G2202" s="11" t="s">
        <v>26</v>
      </c>
      <c r="H2202" s="12" t="s">
        <v>4422</v>
      </c>
      <c r="I2202" s="12" t="s">
        <v>27</v>
      </c>
      <c r="J2202" s="12" t="s">
        <v>42</v>
      </c>
      <c r="K2202" s="12" t="s">
        <v>43</v>
      </c>
      <c r="L2202" s="13">
        <v>45.34</v>
      </c>
      <c r="M2202" s="13">
        <v>28</v>
      </c>
      <c r="N2202" s="13">
        <f t="shared" si="1"/>
        <v>1.6192857142857144</v>
      </c>
      <c r="O2202" s="13">
        <v>83</v>
      </c>
      <c r="P2202" s="13" t="s">
        <v>30</v>
      </c>
      <c r="Q2202" s="13">
        <v>0</v>
      </c>
      <c r="R2202" s="70">
        <f>L2202*O2202</f>
        <v>3763.2200000000003</v>
      </c>
      <c r="S2202" s="70">
        <v>38</v>
      </c>
      <c r="T2202" s="70">
        <f>L2202*S2202</f>
        <v>1722.92</v>
      </c>
      <c r="U2202" s="70">
        <f>R2202-T2202</f>
        <v>2040.3000000000002</v>
      </c>
      <c r="V2202" s="70">
        <f>U2202*1</f>
        <v>2040.3000000000002</v>
      </c>
      <c r="W2202" s="70">
        <f>U2202-V2202</f>
        <v>0</v>
      </c>
      <c r="X2202" s="70">
        <f>L2202*37</f>
        <v>1677.5800000000002</v>
      </c>
      <c r="Y2202" s="71">
        <f>+T2202-X2202</f>
        <v>45.339999999999918</v>
      </c>
      <c r="Z2202" s="12" t="s">
        <v>41</v>
      </c>
      <c r="AA2202" s="12" t="s">
        <v>78</v>
      </c>
    </row>
    <row r="2203" spans="1:27" x14ac:dyDescent="0.25">
      <c r="A2203" s="10">
        <v>45689</v>
      </c>
      <c r="B2203" s="69">
        <v>1.4317129629629666E-2</v>
      </c>
      <c r="C2203" s="11" t="s">
        <v>4568</v>
      </c>
      <c r="D2203" s="11" t="s">
        <v>26</v>
      </c>
      <c r="E2203" s="11" t="s">
        <v>57</v>
      </c>
      <c r="F2203" s="11" t="s">
        <v>26</v>
      </c>
      <c r="G2203" s="11">
        <v>3677</v>
      </c>
      <c r="H2203" s="12" t="s">
        <v>41</v>
      </c>
      <c r="I2203" s="12" t="s">
        <v>55</v>
      </c>
      <c r="J2203" s="12" t="s">
        <v>55</v>
      </c>
      <c r="K2203" s="12" t="s">
        <v>56</v>
      </c>
      <c r="L2203" s="13">
        <v>38.44</v>
      </c>
      <c r="M2203" s="13">
        <v>25</v>
      </c>
      <c r="N2203" s="13">
        <f t="shared" si="1"/>
        <v>1.5375999999999999</v>
      </c>
      <c r="O2203" s="13" t="s">
        <v>30</v>
      </c>
      <c r="P2203" s="13">
        <v>24</v>
      </c>
      <c r="Q2203" s="13">
        <v>0</v>
      </c>
      <c r="R2203" s="70">
        <f>+M2203*P2203</f>
        <v>600</v>
      </c>
      <c r="S2203" s="70">
        <v>0</v>
      </c>
      <c r="T2203" s="70">
        <f>+M2203*S2203</f>
        <v>0</v>
      </c>
      <c r="U2203" s="70">
        <f t="shared" ref="U2203:U2204" si="43">+R2203-T2203</f>
        <v>600</v>
      </c>
      <c r="V2203" s="70">
        <f>+U2203*0</f>
        <v>0</v>
      </c>
      <c r="W2203" s="70">
        <f t="shared" ref="W2203:W2204" si="44">+U2203-V2203</f>
        <v>600</v>
      </c>
      <c r="X2203" s="70">
        <v>0</v>
      </c>
      <c r="Y2203" s="14">
        <f t="shared" ref="Y2203:Y2212" si="45">T2203-X2203</f>
        <v>0</v>
      </c>
      <c r="Z2203" s="11" t="s">
        <v>26</v>
      </c>
      <c r="AA2203" s="12" t="s">
        <v>31</v>
      </c>
    </row>
    <row r="2204" spans="1:27" x14ac:dyDescent="0.25">
      <c r="A2204" s="10">
        <v>45689</v>
      </c>
      <c r="B2204" s="69">
        <v>4.502314814814834E-3</v>
      </c>
      <c r="C2204" s="11" t="s">
        <v>4569</v>
      </c>
      <c r="D2204" s="11" t="s">
        <v>26</v>
      </c>
      <c r="E2204" s="11" t="s">
        <v>3938</v>
      </c>
      <c r="F2204" s="11" t="s">
        <v>26</v>
      </c>
      <c r="G2204" s="11" t="s">
        <v>35</v>
      </c>
      <c r="H2204" s="12" t="s">
        <v>36</v>
      </c>
      <c r="I2204" s="12" t="s">
        <v>55</v>
      </c>
      <c r="J2204" s="12" t="s">
        <v>55</v>
      </c>
      <c r="K2204" s="12" t="s">
        <v>56</v>
      </c>
      <c r="L2204" s="13">
        <v>10.1</v>
      </c>
      <c r="M2204" s="13">
        <v>6</v>
      </c>
      <c r="N2204" s="13">
        <f t="shared" si="1"/>
        <v>1.6833333333333333</v>
      </c>
      <c r="O2204" s="13">
        <v>20</v>
      </c>
      <c r="P2204" s="13" t="s">
        <v>30</v>
      </c>
      <c r="Q2204" s="13">
        <v>0</v>
      </c>
      <c r="R2204" s="70">
        <f>(L2204*O2204)-Q2204</f>
        <v>202</v>
      </c>
      <c r="S2204" s="70">
        <v>0</v>
      </c>
      <c r="T2204" s="70">
        <f t="shared" ref="T2204" si="46">+L2204*S2204</f>
        <v>0</v>
      </c>
      <c r="U2204" s="70">
        <f t="shared" si="43"/>
        <v>202</v>
      </c>
      <c r="V2204" s="70">
        <f>+U2204*0</f>
        <v>0</v>
      </c>
      <c r="W2204" s="70">
        <f t="shared" si="44"/>
        <v>202</v>
      </c>
      <c r="X2204" s="70">
        <v>0</v>
      </c>
      <c r="Y2204" s="14">
        <f t="shared" si="45"/>
        <v>0</v>
      </c>
      <c r="Z2204" s="11" t="s">
        <v>26</v>
      </c>
      <c r="AA2204" s="12" t="s">
        <v>31</v>
      </c>
    </row>
    <row r="2205" spans="1:27" x14ac:dyDescent="0.25">
      <c r="A2205" s="10">
        <v>45689</v>
      </c>
      <c r="B2205" s="69">
        <v>0.19321759259259264</v>
      </c>
      <c r="C2205" s="11" t="s">
        <v>4570</v>
      </c>
      <c r="D2205" s="11" t="s">
        <v>26</v>
      </c>
      <c r="E2205" s="11" t="s">
        <v>80</v>
      </c>
      <c r="F2205" s="11" t="s">
        <v>26</v>
      </c>
      <c r="G2205" s="11">
        <v>10670</v>
      </c>
      <c r="H2205" s="12" t="s">
        <v>140</v>
      </c>
      <c r="I2205" s="12" t="s">
        <v>27</v>
      </c>
      <c r="J2205" s="12" t="s">
        <v>47</v>
      </c>
      <c r="K2205" s="12" t="s">
        <v>48</v>
      </c>
      <c r="L2205" s="13">
        <v>42.34</v>
      </c>
      <c r="M2205" s="13">
        <v>29</v>
      </c>
      <c r="N2205" s="13">
        <f t="shared" si="1"/>
        <v>1.4600000000000002</v>
      </c>
      <c r="O2205" s="13">
        <v>40</v>
      </c>
      <c r="P2205" s="13"/>
      <c r="Q2205" s="13">
        <v>0</v>
      </c>
      <c r="R2205" s="70">
        <f>+L2205*O2205</f>
        <v>1693.6000000000001</v>
      </c>
      <c r="S2205" s="70">
        <v>0</v>
      </c>
      <c r="T2205" s="70">
        <f>+L2205*S2205</f>
        <v>0</v>
      </c>
      <c r="U2205" s="70">
        <f>+R2205-T2205</f>
        <v>1693.6000000000001</v>
      </c>
      <c r="V2205" s="70">
        <f>+U2205*0</f>
        <v>0</v>
      </c>
      <c r="W2205" s="70">
        <f>+U2205-V2205</f>
        <v>1693.6000000000001</v>
      </c>
      <c r="X2205" s="70">
        <v>0</v>
      </c>
      <c r="Y2205" s="14">
        <f t="shared" si="45"/>
        <v>0</v>
      </c>
      <c r="Z2205" s="11" t="s">
        <v>26</v>
      </c>
      <c r="AA2205" s="12" t="s">
        <v>31</v>
      </c>
    </row>
    <row r="2206" spans="1:27" x14ac:dyDescent="0.25">
      <c r="A2206" s="10">
        <v>45689</v>
      </c>
      <c r="B2206" s="69">
        <v>1.5150462962963018E-2</v>
      </c>
      <c r="C2206" s="11" t="s">
        <v>4571</v>
      </c>
      <c r="D2206" s="11" t="s">
        <v>26</v>
      </c>
      <c r="E2206" s="11" t="s">
        <v>444</v>
      </c>
      <c r="F2206" s="11" t="s">
        <v>26</v>
      </c>
      <c r="G2206" s="11">
        <v>2109</v>
      </c>
      <c r="H2206" s="12" t="s">
        <v>4449</v>
      </c>
      <c r="I2206" s="12" t="s">
        <v>27</v>
      </c>
      <c r="J2206" s="12" t="s">
        <v>206</v>
      </c>
      <c r="K2206" s="12" t="s">
        <v>207</v>
      </c>
      <c r="L2206" s="13">
        <v>36.96</v>
      </c>
      <c r="M2206" s="13">
        <v>22</v>
      </c>
      <c r="N2206" s="13">
        <f t="shared" si="1"/>
        <v>1.68</v>
      </c>
      <c r="O2206" s="13">
        <v>50</v>
      </c>
      <c r="P2206" s="13" t="s">
        <v>30</v>
      </c>
      <c r="Q2206" s="13">
        <v>0</v>
      </c>
      <c r="R2206" s="70">
        <f>L2206*O2206</f>
        <v>1848</v>
      </c>
      <c r="S2206" s="70">
        <v>0</v>
      </c>
      <c r="T2206" s="70">
        <f>L2206*S2206</f>
        <v>0</v>
      </c>
      <c r="U2206" s="70">
        <f>R2206-T2206</f>
        <v>1848</v>
      </c>
      <c r="V2206" s="70">
        <f>U2206*0</f>
        <v>0</v>
      </c>
      <c r="W2206" s="70">
        <f>U2206-V2206</f>
        <v>1848</v>
      </c>
      <c r="X2206" s="70">
        <v>0</v>
      </c>
      <c r="Y2206" s="14">
        <f t="shared" si="45"/>
        <v>0</v>
      </c>
      <c r="Z2206" s="11" t="s">
        <v>26</v>
      </c>
      <c r="AA2206" s="12" t="s">
        <v>31</v>
      </c>
    </row>
    <row r="2207" spans="1:27" x14ac:dyDescent="0.25">
      <c r="A2207" s="10">
        <v>45689</v>
      </c>
      <c r="B2207" s="69">
        <v>6.7824074074074314E-3</v>
      </c>
      <c r="C2207" s="11" t="s">
        <v>4572</v>
      </c>
      <c r="D2207" s="11" t="s">
        <v>26</v>
      </c>
      <c r="E2207" s="11" t="s">
        <v>3938</v>
      </c>
      <c r="F2207" s="11" t="s">
        <v>26</v>
      </c>
      <c r="G2207" s="11" t="s">
        <v>35</v>
      </c>
      <c r="H2207" s="12" t="s">
        <v>36</v>
      </c>
      <c r="I2207" s="12" t="s">
        <v>55</v>
      </c>
      <c r="J2207" s="12" t="s">
        <v>55</v>
      </c>
      <c r="K2207" s="12" t="s">
        <v>56</v>
      </c>
      <c r="L2207" s="13">
        <v>10.24</v>
      </c>
      <c r="M2207" s="13">
        <v>6</v>
      </c>
      <c r="N2207" s="13">
        <f t="shared" si="1"/>
        <v>1.7066666666666668</v>
      </c>
      <c r="O2207" s="13">
        <v>20</v>
      </c>
      <c r="P2207" s="13" t="s">
        <v>30</v>
      </c>
      <c r="Q2207" s="13">
        <v>0</v>
      </c>
      <c r="R2207" s="70">
        <f>(L2207*O2207)-Q2207</f>
        <v>204.8</v>
      </c>
      <c r="S2207" s="70">
        <v>0</v>
      </c>
      <c r="T2207" s="70">
        <f t="shared" ref="T2207" si="47">+L2207*S2207</f>
        <v>0</v>
      </c>
      <c r="U2207" s="70">
        <f t="shared" ref="U2207" si="48">+R2207-T2207</f>
        <v>204.8</v>
      </c>
      <c r="V2207" s="70">
        <f>+U2207*0</f>
        <v>0</v>
      </c>
      <c r="W2207" s="70">
        <f t="shared" ref="W2207" si="49">+U2207-V2207</f>
        <v>204.8</v>
      </c>
      <c r="X2207" s="70">
        <v>0</v>
      </c>
      <c r="Y2207" s="14">
        <f t="shared" si="45"/>
        <v>0</v>
      </c>
      <c r="Z2207" s="11" t="s">
        <v>26</v>
      </c>
      <c r="AA2207" s="12" t="s">
        <v>31</v>
      </c>
    </row>
    <row r="2208" spans="1:27" x14ac:dyDescent="0.25">
      <c r="A2208" s="10">
        <v>45689</v>
      </c>
      <c r="B2208" s="69">
        <v>9.8148148148148318E-3</v>
      </c>
      <c r="C2208" s="11" t="s">
        <v>4573</v>
      </c>
      <c r="D2208" s="11" t="s">
        <v>26</v>
      </c>
      <c r="E2208" s="11" t="s">
        <v>483</v>
      </c>
      <c r="F2208" s="11" t="s">
        <v>26</v>
      </c>
      <c r="G2208" s="11">
        <v>3568</v>
      </c>
      <c r="H2208" s="12" t="s">
        <v>41</v>
      </c>
      <c r="I2208" s="12" t="s">
        <v>37</v>
      </c>
      <c r="J2208" s="12" t="s">
        <v>85</v>
      </c>
      <c r="K2208" s="12" t="s">
        <v>86</v>
      </c>
      <c r="L2208" s="13">
        <v>36.68</v>
      </c>
      <c r="M2208" s="13">
        <v>25</v>
      </c>
      <c r="N2208" s="13">
        <f t="shared" si="1"/>
        <v>1.4672000000000001</v>
      </c>
      <c r="O2208" s="13" t="s">
        <v>30</v>
      </c>
      <c r="P2208" s="13">
        <v>43.5</v>
      </c>
      <c r="Q2208" s="13">
        <v>0</v>
      </c>
      <c r="R2208" s="70">
        <f>M2208*P2208</f>
        <v>1087.5</v>
      </c>
      <c r="S2208" s="70">
        <v>0</v>
      </c>
      <c r="T2208" s="70">
        <f>M2208*S2208</f>
        <v>0</v>
      </c>
      <c r="U2208" s="70">
        <f>R2208-T2208</f>
        <v>1087.5</v>
      </c>
      <c r="V2208" s="70">
        <f>U2208*0</f>
        <v>0</v>
      </c>
      <c r="W2208" s="70">
        <f>U2208-V2208</f>
        <v>1087.5</v>
      </c>
      <c r="X2208" s="70">
        <v>0</v>
      </c>
      <c r="Y2208" s="14">
        <f t="shared" si="45"/>
        <v>0</v>
      </c>
      <c r="Z2208" s="11" t="s">
        <v>26</v>
      </c>
      <c r="AA2208" s="12" t="s">
        <v>31</v>
      </c>
    </row>
    <row r="2209" spans="1:27" x14ac:dyDescent="0.25">
      <c r="A2209" s="10">
        <v>45689</v>
      </c>
      <c r="B2209" s="69">
        <v>9.8495370370370039E-3</v>
      </c>
      <c r="C2209" s="11" t="s">
        <v>4574</v>
      </c>
      <c r="D2209" s="11" t="s">
        <v>26</v>
      </c>
      <c r="E2209" s="11" t="s">
        <v>65</v>
      </c>
      <c r="F2209" s="11" t="s">
        <v>26</v>
      </c>
      <c r="G2209" s="11">
        <v>1704</v>
      </c>
      <c r="H2209" s="12" t="s">
        <v>66</v>
      </c>
      <c r="I2209" s="12" t="s">
        <v>37</v>
      </c>
      <c r="J2209" s="12" t="s">
        <v>1909</v>
      </c>
      <c r="K2209" s="12" t="s">
        <v>82</v>
      </c>
      <c r="L2209" s="13">
        <v>39.020000000000003</v>
      </c>
      <c r="M2209" s="13">
        <v>25</v>
      </c>
      <c r="N2209" s="13">
        <f t="shared" si="1"/>
        <v>1.5608000000000002</v>
      </c>
      <c r="O2209" s="13" t="s">
        <v>30</v>
      </c>
      <c r="P2209" s="13">
        <v>54</v>
      </c>
      <c r="Q2209" s="13">
        <v>0</v>
      </c>
      <c r="R2209" s="70">
        <f>M2209*P2209</f>
        <v>1350</v>
      </c>
      <c r="S2209" s="70">
        <v>0</v>
      </c>
      <c r="T2209" s="70">
        <f>M2209*S2209</f>
        <v>0</v>
      </c>
      <c r="U2209" s="70">
        <f>R2209-T2209</f>
        <v>1350</v>
      </c>
      <c r="V2209" s="70">
        <f>U2209*1</f>
        <v>1350</v>
      </c>
      <c r="W2209" s="70">
        <f>U2209-V2209</f>
        <v>0</v>
      </c>
      <c r="X2209" s="70">
        <v>0</v>
      </c>
      <c r="Y2209" s="14">
        <f t="shared" si="45"/>
        <v>0</v>
      </c>
      <c r="Z2209" s="11" t="s">
        <v>26</v>
      </c>
      <c r="AA2209" s="12" t="s">
        <v>31</v>
      </c>
    </row>
    <row r="2210" spans="1:27" x14ac:dyDescent="0.25">
      <c r="A2210" s="10">
        <v>45689</v>
      </c>
      <c r="B2210" s="69">
        <v>7.4259259259259303E-2</v>
      </c>
      <c r="C2210" s="11" t="s">
        <v>4575</v>
      </c>
      <c r="D2210" s="11" t="s">
        <v>26</v>
      </c>
      <c r="E2210" s="11" t="s">
        <v>50</v>
      </c>
      <c r="F2210" s="11" t="s">
        <v>26</v>
      </c>
      <c r="G2210" s="11">
        <v>930</v>
      </c>
      <c r="H2210" s="12" t="s">
        <v>163</v>
      </c>
      <c r="I2210" s="12" t="s">
        <v>27</v>
      </c>
      <c r="J2210" s="12" t="s">
        <v>47</v>
      </c>
      <c r="K2210" s="12" t="s">
        <v>48</v>
      </c>
      <c r="L2210" s="13">
        <v>38.26</v>
      </c>
      <c r="M2210" s="13">
        <v>25</v>
      </c>
      <c r="N2210" s="13">
        <f t="shared" si="1"/>
        <v>1.5304</v>
      </c>
      <c r="O2210" s="13" t="s">
        <v>30</v>
      </c>
      <c r="P2210" s="13">
        <v>60</v>
      </c>
      <c r="Q2210" s="13">
        <v>0</v>
      </c>
      <c r="R2210" s="70">
        <f>M2210*P2210</f>
        <v>1500</v>
      </c>
      <c r="S2210" s="70">
        <v>0</v>
      </c>
      <c r="T2210" s="70">
        <f>M2210*S2210</f>
        <v>0</v>
      </c>
      <c r="U2210" s="70">
        <f>R2210-T2210</f>
        <v>1500</v>
      </c>
      <c r="V2210" s="70">
        <f>U2210*0</f>
        <v>0</v>
      </c>
      <c r="W2210" s="70">
        <f>U2210-V2210</f>
        <v>1500</v>
      </c>
      <c r="X2210" s="70">
        <v>0</v>
      </c>
      <c r="Y2210" s="14">
        <f t="shared" si="45"/>
        <v>0</v>
      </c>
      <c r="Z2210" s="11" t="s">
        <v>26</v>
      </c>
      <c r="AA2210" s="12" t="s">
        <v>31</v>
      </c>
    </row>
    <row r="2211" spans="1:27" x14ac:dyDescent="0.25">
      <c r="A2211" s="10">
        <v>45689</v>
      </c>
      <c r="B2211" s="69">
        <v>6.6435185185185208E-3</v>
      </c>
      <c r="C2211" s="11" t="s">
        <v>4576</v>
      </c>
      <c r="D2211" s="11" t="s">
        <v>26</v>
      </c>
      <c r="E2211" s="11" t="s">
        <v>593</v>
      </c>
      <c r="F2211" s="11" t="s">
        <v>26</v>
      </c>
      <c r="G2211" s="11">
        <v>44316</v>
      </c>
      <c r="H2211" s="12" t="s">
        <v>4423</v>
      </c>
      <c r="I2211" s="12" t="s">
        <v>27</v>
      </c>
      <c r="J2211" s="12" t="s">
        <v>33</v>
      </c>
      <c r="K2211" s="12" t="s">
        <v>34</v>
      </c>
      <c r="L2211" s="13">
        <v>35.82</v>
      </c>
      <c r="M2211" s="13">
        <v>25</v>
      </c>
      <c r="N2211" s="13">
        <f t="shared" si="1"/>
        <v>1.4328000000000001</v>
      </c>
      <c r="O2211" s="13">
        <v>45</v>
      </c>
      <c r="P2211" s="13" t="s">
        <v>30</v>
      </c>
      <c r="Q2211" s="13">
        <v>0</v>
      </c>
      <c r="R2211" s="70">
        <f>+L2211*O2211</f>
        <v>1611.9</v>
      </c>
      <c r="S2211" s="70">
        <v>0</v>
      </c>
      <c r="T2211" s="70">
        <f>+L2211*S2211</f>
        <v>0</v>
      </c>
      <c r="U2211" s="70">
        <f t="shared" ref="U2211" si="50">+R2211-T2211</f>
        <v>1611.9</v>
      </c>
      <c r="V2211" s="70">
        <f>+U2211*1</f>
        <v>1611.9</v>
      </c>
      <c r="W2211" s="70">
        <f t="shared" ref="W2211" si="51">+U2211-V2211</f>
        <v>0</v>
      </c>
      <c r="X2211" s="70">
        <v>0</v>
      </c>
      <c r="Y2211" s="14">
        <f t="shared" si="45"/>
        <v>0</v>
      </c>
      <c r="Z2211" s="11" t="s">
        <v>26</v>
      </c>
      <c r="AA2211" s="12" t="s">
        <v>31</v>
      </c>
    </row>
    <row r="2212" spans="1:27" x14ac:dyDescent="0.25">
      <c r="A2212" s="10">
        <v>45689</v>
      </c>
      <c r="B2212" s="69">
        <v>2.2685185185185197E-2</v>
      </c>
      <c r="C2212" s="11" t="s">
        <v>4577</v>
      </c>
      <c r="D2212" s="11" t="s">
        <v>26</v>
      </c>
      <c r="E2212" s="11" t="s">
        <v>605</v>
      </c>
      <c r="F2212" s="11" t="s">
        <v>26</v>
      </c>
      <c r="G2212" s="11">
        <v>1060</v>
      </c>
      <c r="H2212" s="12" t="s">
        <v>141</v>
      </c>
      <c r="I2212" s="12" t="s">
        <v>55</v>
      </c>
      <c r="J2212" s="12" t="s">
        <v>566</v>
      </c>
      <c r="K2212" s="12" t="s">
        <v>550</v>
      </c>
      <c r="L2212" s="13">
        <v>41.3</v>
      </c>
      <c r="M2212" s="13">
        <v>25</v>
      </c>
      <c r="N2212" s="13">
        <f t="shared" si="1"/>
        <v>1.6519999999999999</v>
      </c>
      <c r="O2212" s="13">
        <v>25</v>
      </c>
      <c r="P2212" s="13" t="s">
        <v>30</v>
      </c>
      <c r="Q2212" s="13">
        <v>0</v>
      </c>
      <c r="R2212" s="70">
        <f>L2212*O2212</f>
        <v>1032.5</v>
      </c>
      <c r="S2212" s="70">
        <v>0</v>
      </c>
      <c r="T2212" s="70">
        <f>L2212*S2212</f>
        <v>0</v>
      </c>
      <c r="U2212" s="70">
        <f>R2212-T2212</f>
        <v>1032.5</v>
      </c>
      <c r="V2212" s="70">
        <f>U2212*0</f>
        <v>0</v>
      </c>
      <c r="W2212" s="70">
        <f>U2212-V2212</f>
        <v>1032.5</v>
      </c>
      <c r="X2212" s="70">
        <v>0</v>
      </c>
      <c r="Y2212" s="14">
        <f t="shared" si="45"/>
        <v>0</v>
      </c>
      <c r="Z2212" s="11" t="s">
        <v>26</v>
      </c>
      <c r="AA2212" s="12" t="s">
        <v>31</v>
      </c>
    </row>
    <row r="2213" spans="1:27" x14ac:dyDescent="0.25">
      <c r="A2213" s="10">
        <v>45689</v>
      </c>
      <c r="B2213" s="69">
        <v>9.791666666666643E-3</v>
      </c>
      <c r="C2213" s="11" t="s">
        <v>4578</v>
      </c>
      <c r="D2213" s="11" t="s">
        <v>26</v>
      </c>
      <c r="E2213" s="11" t="s">
        <v>4161</v>
      </c>
      <c r="F2213" s="11" t="s">
        <v>26</v>
      </c>
      <c r="G2213" s="11" t="s">
        <v>26</v>
      </c>
      <c r="H2213" s="12" t="s">
        <v>4424</v>
      </c>
      <c r="I2213" s="12" t="s">
        <v>27</v>
      </c>
      <c r="J2213" s="12" t="s">
        <v>47</v>
      </c>
      <c r="K2213" s="12" t="s">
        <v>48</v>
      </c>
      <c r="L2213" s="13">
        <v>31.5</v>
      </c>
      <c r="M2213" s="13">
        <v>22</v>
      </c>
      <c r="N2213" s="13">
        <f t="shared" si="1"/>
        <v>1.4318181818181819</v>
      </c>
      <c r="O2213" s="13">
        <v>90</v>
      </c>
      <c r="P2213" s="13" t="s">
        <v>30</v>
      </c>
      <c r="Q2213" s="13">
        <v>0</v>
      </c>
      <c r="R2213" s="70">
        <f>L2213*O2213</f>
        <v>2835</v>
      </c>
      <c r="S2213" s="70">
        <v>41</v>
      </c>
      <c r="T2213" s="70">
        <f>+L2213*S2213</f>
        <v>1291.5</v>
      </c>
      <c r="U2213" s="70">
        <f t="shared" ref="U2213" si="52">R2213-T2213</f>
        <v>1543.5</v>
      </c>
      <c r="V2213" s="70">
        <f>U2213*1</f>
        <v>1543.5</v>
      </c>
      <c r="W2213" s="70">
        <f t="shared" ref="W2213" si="53">U2213-V2213</f>
        <v>0</v>
      </c>
      <c r="X2213" s="16">
        <f>L2213*40</f>
        <v>1260</v>
      </c>
      <c r="Y2213" s="71">
        <f t="shared" ref="Y2213" si="54">+T2213-X2213</f>
        <v>31.5</v>
      </c>
      <c r="Z2213" s="12" t="s">
        <v>41</v>
      </c>
      <c r="AA2213" s="12" t="s">
        <v>746</v>
      </c>
    </row>
    <row r="2214" spans="1:27" x14ac:dyDescent="0.25">
      <c r="A2214" s="10">
        <v>45689</v>
      </c>
      <c r="B2214" s="69">
        <v>9.7685185185184542E-3</v>
      </c>
      <c r="C2214" s="11" t="s">
        <v>4579</v>
      </c>
      <c r="D2214" s="11" t="s">
        <v>26</v>
      </c>
      <c r="E2214" s="11" t="s">
        <v>74</v>
      </c>
      <c r="F2214" s="11" t="s">
        <v>26</v>
      </c>
      <c r="G2214" s="11">
        <v>1325</v>
      </c>
      <c r="H2214" s="12" t="s">
        <v>70</v>
      </c>
      <c r="I2214" s="12" t="s">
        <v>27</v>
      </c>
      <c r="J2214" s="12" t="s">
        <v>33</v>
      </c>
      <c r="K2214" s="12" t="s">
        <v>34</v>
      </c>
      <c r="L2214" s="13">
        <v>37.799999999999997</v>
      </c>
      <c r="M2214" s="13">
        <v>25</v>
      </c>
      <c r="N2214" s="13">
        <f t="shared" si="1"/>
        <v>1.5119999999999998</v>
      </c>
      <c r="O2214" s="13" t="s">
        <v>30</v>
      </c>
      <c r="P2214" s="13">
        <v>60</v>
      </c>
      <c r="Q2214" s="13">
        <v>0</v>
      </c>
      <c r="R2214" s="70">
        <f>+M2214*P2214</f>
        <v>1500</v>
      </c>
      <c r="S2214" s="70">
        <v>0</v>
      </c>
      <c r="T2214" s="70">
        <f>+M2214*S2214</f>
        <v>0</v>
      </c>
      <c r="U2214" s="70">
        <f t="shared" ref="U2214:U2216" si="55">+R2214-T2214</f>
        <v>1500</v>
      </c>
      <c r="V2214" s="70">
        <f>+U2214*0</f>
        <v>0</v>
      </c>
      <c r="W2214" s="70">
        <f t="shared" ref="W2214:W2216" si="56">+U2214-V2214</f>
        <v>1500</v>
      </c>
      <c r="X2214" s="70">
        <v>0</v>
      </c>
      <c r="Y2214" s="14">
        <f t="shared" ref="Y2214:Y2216" si="57">T2214-X2214</f>
        <v>0</v>
      </c>
      <c r="Z2214" s="11" t="s">
        <v>26</v>
      </c>
      <c r="AA2214" s="12" t="s">
        <v>31</v>
      </c>
    </row>
    <row r="2215" spans="1:27" x14ac:dyDescent="0.25">
      <c r="A2215" s="10">
        <v>45689</v>
      </c>
      <c r="B2215" s="69">
        <v>7.6620370370370505E-3</v>
      </c>
      <c r="C2215" s="11" t="s">
        <v>4580</v>
      </c>
      <c r="D2215" s="11" t="s">
        <v>26</v>
      </c>
      <c r="E2215" s="11" t="s">
        <v>3938</v>
      </c>
      <c r="F2215" s="11" t="s">
        <v>26</v>
      </c>
      <c r="G2215" s="11" t="s">
        <v>35</v>
      </c>
      <c r="H2215" s="12" t="s">
        <v>36</v>
      </c>
      <c r="I2215" s="12" t="s">
        <v>55</v>
      </c>
      <c r="J2215" s="12" t="s">
        <v>55</v>
      </c>
      <c r="K2215" s="12" t="s">
        <v>56</v>
      </c>
      <c r="L2215" s="13">
        <v>9.9600000000000009</v>
      </c>
      <c r="M2215" s="13">
        <v>6</v>
      </c>
      <c r="N2215" s="13">
        <f t="shared" si="1"/>
        <v>1.6600000000000001</v>
      </c>
      <c r="O2215" s="13">
        <v>20</v>
      </c>
      <c r="P2215" s="13" t="s">
        <v>30</v>
      </c>
      <c r="Q2215" s="13">
        <v>0</v>
      </c>
      <c r="R2215" s="70">
        <f>(L2215*O2215)-Q2215</f>
        <v>199.20000000000002</v>
      </c>
      <c r="S2215" s="70">
        <v>0</v>
      </c>
      <c r="T2215" s="70">
        <f t="shared" ref="T2215" si="58">+L2215*S2215</f>
        <v>0</v>
      </c>
      <c r="U2215" s="70">
        <f t="shared" si="55"/>
        <v>199.20000000000002</v>
      </c>
      <c r="V2215" s="70">
        <f>+U2215*0</f>
        <v>0</v>
      </c>
      <c r="W2215" s="70">
        <f t="shared" si="56"/>
        <v>199.20000000000002</v>
      </c>
      <c r="X2215" s="70">
        <v>0</v>
      </c>
      <c r="Y2215" s="14">
        <f t="shared" si="57"/>
        <v>0</v>
      </c>
      <c r="Z2215" s="11" t="s">
        <v>26</v>
      </c>
      <c r="AA2215" s="12" t="s">
        <v>31</v>
      </c>
    </row>
    <row r="2216" spans="1:27" x14ac:dyDescent="0.25">
      <c r="A2216" s="10">
        <v>45689</v>
      </c>
      <c r="B2216" s="69">
        <v>1.1874999999999969E-2</v>
      </c>
      <c r="C2216" s="11" t="s">
        <v>4581</v>
      </c>
      <c r="D2216" s="11" t="s">
        <v>26</v>
      </c>
      <c r="E2216" s="11" t="s">
        <v>69</v>
      </c>
      <c r="F2216" s="11" t="s">
        <v>26</v>
      </c>
      <c r="G2216" s="11">
        <v>2108</v>
      </c>
      <c r="H2216" s="12" t="s">
        <v>70</v>
      </c>
      <c r="I2216" s="12" t="s">
        <v>27</v>
      </c>
      <c r="J2216" s="12" t="s">
        <v>33</v>
      </c>
      <c r="K2216" s="12" t="s">
        <v>34</v>
      </c>
      <c r="L2216" s="13">
        <v>37.840000000000003</v>
      </c>
      <c r="M2216" s="13">
        <v>25</v>
      </c>
      <c r="N2216" s="13">
        <f t="shared" si="1"/>
        <v>1.5136000000000001</v>
      </c>
      <c r="O2216" s="13" t="s">
        <v>30</v>
      </c>
      <c r="P2216" s="13">
        <v>60</v>
      </c>
      <c r="Q2216" s="13">
        <v>0</v>
      </c>
      <c r="R2216" s="70">
        <f>+M2216*P2216</f>
        <v>1500</v>
      </c>
      <c r="S2216" s="70">
        <v>0</v>
      </c>
      <c r="T2216" s="70">
        <f>+M2216*S2216</f>
        <v>0</v>
      </c>
      <c r="U2216" s="70">
        <f t="shared" si="55"/>
        <v>1500</v>
      </c>
      <c r="V2216" s="70">
        <f>+U2216*0</f>
        <v>0</v>
      </c>
      <c r="W2216" s="70">
        <f t="shared" si="56"/>
        <v>1500</v>
      </c>
      <c r="X2216" s="70">
        <v>0</v>
      </c>
      <c r="Y2216" s="14">
        <f t="shared" si="57"/>
        <v>0</v>
      </c>
      <c r="Z2216" s="11" t="s">
        <v>26</v>
      </c>
      <c r="AA2216" s="12" t="s">
        <v>31</v>
      </c>
    </row>
    <row r="2217" spans="1:27" x14ac:dyDescent="0.25">
      <c r="A2217" s="10">
        <v>45689</v>
      </c>
      <c r="B2217" s="69">
        <v>1.1099537037037033E-2</v>
      </c>
      <c r="C2217" s="11" t="s">
        <v>4582</v>
      </c>
      <c r="D2217" s="11" t="s">
        <v>26</v>
      </c>
      <c r="E2217" s="11" t="s">
        <v>63</v>
      </c>
      <c r="F2217" s="11" t="s">
        <v>26</v>
      </c>
      <c r="G2217" s="11" t="s">
        <v>26</v>
      </c>
      <c r="H2217" s="12" t="s">
        <v>4422</v>
      </c>
      <c r="I2217" s="12" t="s">
        <v>27</v>
      </c>
      <c r="J2217" s="12" t="s">
        <v>42</v>
      </c>
      <c r="K2217" s="12" t="s">
        <v>43</v>
      </c>
      <c r="L2217" s="13">
        <v>44.54</v>
      </c>
      <c r="M2217" s="13">
        <v>25</v>
      </c>
      <c r="N2217" s="13">
        <f t="shared" si="1"/>
        <v>1.7816000000000001</v>
      </c>
      <c r="O2217" s="13">
        <v>83</v>
      </c>
      <c r="P2217" s="13" t="s">
        <v>30</v>
      </c>
      <c r="Q2217" s="13">
        <v>0</v>
      </c>
      <c r="R2217" s="70">
        <f>L2217*O2217</f>
        <v>3696.8199999999997</v>
      </c>
      <c r="S2217" s="70">
        <v>38</v>
      </c>
      <c r="T2217" s="70">
        <f>L2217*S2217</f>
        <v>1692.52</v>
      </c>
      <c r="U2217" s="70">
        <f>R2217-T2217</f>
        <v>2004.2999999999997</v>
      </c>
      <c r="V2217" s="70">
        <f>U2217*1</f>
        <v>2004.2999999999997</v>
      </c>
      <c r="W2217" s="70">
        <f>U2217-V2217</f>
        <v>0</v>
      </c>
      <c r="X2217" s="70">
        <f>L2217*36</f>
        <v>1603.44</v>
      </c>
      <c r="Y2217" s="71">
        <f>+T2217-X2217</f>
        <v>89.079999999999927</v>
      </c>
      <c r="Z2217" s="12" t="s">
        <v>140</v>
      </c>
      <c r="AA2217" s="12" t="s">
        <v>78</v>
      </c>
    </row>
    <row r="2218" spans="1:27" x14ac:dyDescent="0.25">
      <c r="A2218" s="10">
        <v>45689</v>
      </c>
      <c r="B2218" s="69">
        <v>2.3379629629629695E-2</v>
      </c>
      <c r="C2218" s="11" t="s">
        <v>4583</v>
      </c>
      <c r="D2218" s="11" t="s">
        <v>26</v>
      </c>
      <c r="E2218" s="11" t="s">
        <v>1200</v>
      </c>
      <c r="F2218" s="11" t="s">
        <v>26</v>
      </c>
      <c r="G2218" s="11">
        <v>2598</v>
      </c>
      <c r="H2218" s="12" t="s">
        <v>163</v>
      </c>
      <c r="I2218" s="12" t="s">
        <v>27</v>
      </c>
      <c r="J2218" s="12" t="s">
        <v>33</v>
      </c>
      <c r="K2218" s="12" t="s">
        <v>34</v>
      </c>
      <c r="L2218" s="13">
        <v>38.840000000000003</v>
      </c>
      <c r="M2218" s="13">
        <v>25</v>
      </c>
      <c r="N2218" s="13">
        <f t="shared" si="1"/>
        <v>1.5536000000000001</v>
      </c>
      <c r="O2218" s="13"/>
      <c r="P2218" s="13">
        <v>60</v>
      </c>
      <c r="Q2218" s="13">
        <v>0</v>
      </c>
      <c r="R2218" s="70">
        <f>M2218*P2218</f>
        <v>1500</v>
      </c>
      <c r="S2218" s="70">
        <v>0</v>
      </c>
      <c r="T2218" s="70">
        <f>M2218*S2218</f>
        <v>0</v>
      </c>
      <c r="U2218" s="70">
        <f>R2218-T2218</f>
        <v>1500</v>
      </c>
      <c r="V2218" s="70">
        <f>U2218*0</f>
        <v>0</v>
      </c>
      <c r="W2218" s="70">
        <f>U2218-V2218</f>
        <v>1500</v>
      </c>
      <c r="X2218" s="70">
        <v>0</v>
      </c>
      <c r="Y2218" s="14">
        <f t="shared" ref="Y2218" si="59">T2218-X2218</f>
        <v>0</v>
      </c>
      <c r="Z2218" s="11" t="s">
        <v>26</v>
      </c>
      <c r="AA2218" s="12" t="s">
        <v>31</v>
      </c>
    </row>
    <row r="2219" spans="1:27" x14ac:dyDescent="0.25">
      <c r="A2219" s="10">
        <v>45689</v>
      </c>
      <c r="B2219" s="69">
        <v>1.8969907407407449E-2</v>
      </c>
      <c r="C2219" s="11" t="s">
        <v>4584</v>
      </c>
      <c r="D2219" s="11" t="s">
        <v>26</v>
      </c>
      <c r="E2219" s="11" t="s">
        <v>60</v>
      </c>
      <c r="F2219" s="11" t="s">
        <v>26</v>
      </c>
      <c r="G2219" s="11" t="s">
        <v>35</v>
      </c>
      <c r="H2219" s="12" t="s">
        <v>36</v>
      </c>
      <c r="I2219" s="12" t="s">
        <v>27</v>
      </c>
      <c r="J2219" s="12" t="s">
        <v>42</v>
      </c>
      <c r="K2219" s="12" t="s">
        <v>43</v>
      </c>
      <c r="L2219" s="13">
        <v>8.8800000000000008</v>
      </c>
      <c r="M2219" s="13">
        <v>5</v>
      </c>
      <c r="N2219" s="13">
        <f t="shared" si="1"/>
        <v>1.7760000000000002</v>
      </c>
      <c r="O2219" s="13">
        <v>45</v>
      </c>
      <c r="P2219" s="13" t="s">
        <v>30</v>
      </c>
      <c r="Q2219" s="13">
        <v>0</v>
      </c>
      <c r="R2219" s="70">
        <f>(L2219*O2219)-Q2219</f>
        <v>399.6</v>
      </c>
      <c r="S2219" s="70">
        <v>0</v>
      </c>
      <c r="T2219" s="70">
        <f t="shared" ref="T2219" si="60">+L2219*S2219</f>
        <v>0</v>
      </c>
      <c r="U2219" s="70">
        <f t="shared" ref="U2219" si="61">+R2219-T2219</f>
        <v>399.6</v>
      </c>
      <c r="V2219" s="70">
        <f>+U2219*0</f>
        <v>0</v>
      </c>
      <c r="W2219" s="70">
        <f t="shared" ref="W2219" si="62">+U2219-V2219</f>
        <v>399.6</v>
      </c>
      <c r="X2219" s="70">
        <v>0</v>
      </c>
      <c r="Y2219" s="14">
        <f>T2219-X2219</f>
        <v>0</v>
      </c>
      <c r="Z2219" s="11" t="s">
        <v>26</v>
      </c>
      <c r="AA2219" s="12" t="s">
        <v>31</v>
      </c>
    </row>
    <row r="2220" spans="1:27" x14ac:dyDescent="0.25">
      <c r="A2220" s="10">
        <v>45689</v>
      </c>
      <c r="B2220" s="69">
        <v>5.9953703703703454E-3</v>
      </c>
      <c r="C2220" s="11" t="s">
        <v>4585</v>
      </c>
      <c r="D2220" s="11" t="s">
        <v>26</v>
      </c>
      <c r="E2220" s="11" t="s">
        <v>67</v>
      </c>
      <c r="F2220" s="11" t="s">
        <v>26</v>
      </c>
      <c r="G2220" s="11">
        <v>1631</v>
      </c>
      <c r="H2220" s="12" t="s">
        <v>66</v>
      </c>
      <c r="I2220" s="12" t="s">
        <v>37</v>
      </c>
      <c r="J2220" s="12" t="s">
        <v>1909</v>
      </c>
      <c r="K2220" s="12" t="s">
        <v>82</v>
      </c>
      <c r="L2220" s="13">
        <v>39.6</v>
      </c>
      <c r="M2220" s="13">
        <v>25</v>
      </c>
      <c r="N2220" s="13">
        <f t="shared" si="1"/>
        <v>1.5840000000000001</v>
      </c>
      <c r="O2220" s="13" t="s">
        <v>30</v>
      </c>
      <c r="P2220" s="13">
        <v>54</v>
      </c>
      <c r="Q2220" s="13">
        <v>0</v>
      </c>
      <c r="R2220" s="70">
        <f>M2220*P2220</f>
        <v>1350</v>
      </c>
      <c r="S2220" s="70">
        <v>0</v>
      </c>
      <c r="T2220" s="70">
        <f>M2220*S2220</f>
        <v>0</v>
      </c>
      <c r="U2220" s="70">
        <f>R2220-T2220</f>
        <v>1350</v>
      </c>
      <c r="V2220" s="70">
        <f>U2220*1</f>
        <v>1350</v>
      </c>
      <c r="W2220" s="70">
        <f>U2220-V2220</f>
        <v>0</v>
      </c>
      <c r="X2220" s="70">
        <v>0</v>
      </c>
      <c r="Y2220" s="14">
        <f t="shared" ref="Y2220:Y2225" si="63">T2220-X2220</f>
        <v>0</v>
      </c>
      <c r="Z2220" s="11" t="s">
        <v>26</v>
      </c>
      <c r="AA2220" s="12" t="s">
        <v>31</v>
      </c>
    </row>
    <row r="2221" spans="1:27" x14ac:dyDescent="0.25">
      <c r="A2221" s="10">
        <v>45689</v>
      </c>
      <c r="B2221" s="69">
        <v>5.0231481481480822E-3</v>
      </c>
      <c r="C2221" s="11" t="s">
        <v>4586</v>
      </c>
      <c r="D2221" s="11" t="s">
        <v>26</v>
      </c>
      <c r="E2221" s="11" t="s">
        <v>486</v>
      </c>
      <c r="F2221" s="11" t="s">
        <v>26</v>
      </c>
      <c r="G2221" s="11">
        <v>72899</v>
      </c>
      <c r="H2221" s="12" t="s">
        <v>4448</v>
      </c>
      <c r="I2221" s="12" t="s">
        <v>27</v>
      </c>
      <c r="J2221" s="12" t="s">
        <v>42</v>
      </c>
      <c r="K2221" s="12" t="s">
        <v>43</v>
      </c>
      <c r="L2221" s="13">
        <v>40.92</v>
      </c>
      <c r="M2221" s="13">
        <v>25</v>
      </c>
      <c r="N2221" s="13">
        <f t="shared" si="1"/>
        <v>1.6368</v>
      </c>
      <c r="O2221" s="13">
        <v>42.5</v>
      </c>
      <c r="P2221" s="13"/>
      <c r="Q2221" s="13">
        <v>0</v>
      </c>
      <c r="R2221" s="70">
        <f>+L2221*O2221</f>
        <v>1739.1000000000001</v>
      </c>
      <c r="S2221" s="70">
        <v>0</v>
      </c>
      <c r="T2221" s="70">
        <f>+L2221*S2221</f>
        <v>0</v>
      </c>
      <c r="U2221" s="70">
        <f>+R2221-T2221</f>
        <v>1739.1000000000001</v>
      </c>
      <c r="V2221" s="70">
        <f>+U2221*0.75</f>
        <v>1304.325</v>
      </c>
      <c r="W2221" s="70">
        <f>+U2221-V2221</f>
        <v>434.77500000000009</v>
      </c>
      <c r="X2221" s="70">
        <v>0</v>
      </c>
      <c r="Y2221" s="14">
        <f t="shared" si="63"/>
        <v>0</v>
      </c>
      <c r="Z2221" s="11" t="s">
        <v>26</v>
      </c>
      <c r="AA2221" s="12" t="s">
        <v>31</v>
      </c>
    </row>
    <row r="2222" spans="1:27" x14ac:dyDescent="0.25">
      <c r="A2222" s="10">
        <v>45689</v>
      </c>
      <c r="B2222" s="69">
        <v>6.423611111111116E-3</v>
      </c>
      <c r="C2222" s="11" t="s">
        <v>4587</v>
      </c>
      <c r="D2222" s="11" t="s">
        <v>26</v>
      </c>
      <c r="E2222" s="11" t="s">
        <v>3938</v>
      </c>
      <c r="F2222" s="11" t="s">
        <v>26</v>
      </c>
      <c r="G2222" s="11" t="s">
        <v>35</v>
      </c>
      <c r="H2222" s="12" t="s">
        <v>36</v>
      </c>
      <c r="I2222" s="12" t="s">
        <v>55</v>
      </c>
      <c r="J2222" s="12" t="s">
        <v>55</v>
      </c>
      <c r="K2222" s="12" t="s">
        <v>56</v>
      </c>
      <c r="L2222" s="13">
        <v>10.02</v>
      </c>
      <c r="M2222" s="13">
        <v>6</v>
      </c>
      <c r="N2222" s="13">
        <f t="shared" si="1"/>
        <v>1.67</v>
      </c>
      <c r="O2222" s="13">
        <v>20</v>
      </c>
      <c r="P2222" s="13" t="s">
        <v>30</v>
      </c>
      <c r="Q2222" s="13">
        <v>0</v>
      </c>
      <c r="R2222" s="70">
        <f>(L2222*O2222)-Q2222</f>
        <v>200.39999999999998</v>
      </c>
      <c r="S2222" s="70">
        <v>0</v>
      </c>
      <c r="T2222" s="70">
        <f t="shared" ref="T2222" si="64">+L2222*S2222</f>
        <v>0</v>
      </c>
      <c r="U2222" s="70">
        <f t="shared" ref="U2222" si="65">+R2222-T2222</f>
        <v>200.39999999999998</v>
      </c>
      <c r="V2222" s="70">
        <f>+U2222*0</f>
        <v>0</v>
      </c>
      <c r="W2222" s="70">
        <f t="shared" ref="W2222" si="66">+U2222-V2222</f>
        <v>200.39999999999998</v>
      </c>
      <c r="X2222" s="70">
        <v>0</v>
      </c>
      <c r="Y2222" s="14">
        <f t="shared" si="63"/>
        <v>0</v>
      </c>
      <c r="Z2222" s="11" t="s">
        <v>26</v>
      </c>
      <c r="AA2222" s="12" t="s">
        <v>31</v>
      </c>
    </row>
    <row r="2223" spans="1:27" x14ac:dyDescent="0.25">
      <c r="A2223" s="10">
        <v>45689</v>
      </c>
      <c r="B2223" s="69">
        <v>7.0023148148148362E-3</v>
      </c>
      <c r="C2223" s="11" t="s">
        <v>4588</v>
      </c>
      <c r="D2223" s="11" t="s">
        <v>26</v>
      </c>
      <c r="E2223" s="11" t="s">
        <v>100</v>
      </c>
      <c r="F2223" s="11" t="s">
        <v>26</v>
      </c>
      <c r="G2223" s="11">
        <v>21740</v>
      </c>
      <c r="H2223" s="12" t="s">
        <v>4448</v>
      </c>
      <c r="I2223" s="12" t="s">
        <v>27</v>
      </c>
      <c r="J2223" s="12" t="s">
        <v>42</v>
      </c>
      <c r="K2223" s="12" t="s">
        <v>43</v>
      </c>
      <c r="L2223" s="13">
        <v>41.62</v>
      </c>
      <c r="M2223" s="13">
        <v>25</v>
      </c>
      <c r="N2223" s="13">
        <f t="shared" si="1"/>
        <v>1.6647999999999998</v>
      </c>
      <c r="O2223" s="13">
        <v>42.5</v>
      </c>
      <c r="P2223" s="13"/>
      <c r="Q2223" s="13">
        <v>0</v>
      </c>
      <c r="R2223" s="70">
        <f>+L2223*O2223</f>
        <v>1768.85</v>
      </c>
      <c r="S2223" s="70">
        <v>0</v>
      </c>
      <c r="T2223" s="70">
        <f>+L2223*S2223</f>
        <v>0</v>
      </c>
      <c r="U2223" s="70">
        <f>+R2223-T2223</f>
        <v>1768.85</v>
      </c>
      <c r="V2223" s="70">
        <f>+U2223*0.75</f>
        <v>1326.6374999999998</v>
      </c>
      <c r="W2223" s="70">
        <f>+U2223-V2223</f>
        <v>442.21250000000009</v>
      </c>
      <c r="X2223" s="70">
        <v>0</v>
      </c>
      <c r="Y2223" s="14">
        <f t="shared" si="63"/>
        <v>0</v>
      </c>
      <c r="Z2223" s="11" t="s">
        <v>26</v>
      </c>
      <c r="AA2223" s="12" t="s">
        <v>31</v>
      </c>
    </row>
    <row r="2224" spans="1:27" x14ac:dyDescent="0.25">
      <c r="A2224" s="10">
        <v>45689</v>
      </c>
      <c r="B2224" s="69">
        <v>8.6574074074073915E-3</v>
      </c>
      <c r="C2224" s="11" t="s">
        <v>4589</v>
      </c>
      <c r="D2224" s="11" t="s">
        <v>26</v>
      </c>
      <c r="E2224" s="11" t="s">
        <v>481</v>
      </c>
      <c r="F2224" s="11" t="s">
        <v>26</v>
      </c>
      <c r="G2224" s="11">
        <v>73998</v>
      </c>
      <c r="H2224" s="12" t="s">
        <v>4448</v>
      </c>
      <c r="I2224" s="12" t="s">
        <v>55</v>
      </c>
      <c r="J2224" s="12" t="s">
        <v>55</v>
      </c>
      <c r="K2224" s="12" t="s">
        <v>56</v>
      </c>
      <c r="L2224" s="13">
        <v>38.1</v>
      </c>
      <c r="M2224" s="13">
        <v>25</v>
      </c>
      <c r="N2224" s="13">
        <f t="shared" si="1"/>
        <v>1.524</v>
      </c>
      <c r="O2224" s="13">
        <v>15</v>
      </c>
      <c r="P2224" s="13" t="s">
        <v>30</v>
      </c>
      <c r="Q2224" s="13">
        <v>0</v>
      </c>
      <c r="R2224" s="70">
        <f>+L2224*O2224</f>
        <v>571.5</v>
      </c>
      <c r="S2224" s="70">
        <v>0</v>
      </c>
      <c r="T2224" s="70">
        <f>+L2224*S2224</f>
        <v>0</v>
      </c>
      <c r="U2224" s="70">
        <f>+R2224-T2224</f>
        <v>571.5</v>
      </c>
      <c r="V2224" s="70">
        <f>+U2224*0.75</f>
        <v>428.625</v>
      </c>
      <c r="W2224" s="70">
        <f>+U2224-V2224</f>
        <v>142.875</v>
      </c>
      <c r="X2224" s="70">
        <v>0</v>
      </c>
      <c r="Y2224" s="14">
        <f t="shared" si="63"/>
        <v>0</v>
      </c>
      <c r="Z2224" s="11" t="s">
        <v>26</v>
      </c>
      <c r="AA2224" s="12" t="s">
        <v>31</v>
      </c>
    </row>
    <row r="2225" spans="1:27" x14ac:dyDescent="0.25">
      <c r="A2225" s="10">
        <v>45689</v>
      </c>
      <c r="B2225" s="69">
        <v>1.3935185185185217E-2</v>
      </c>
      <c r="C2225" s="11" t="s">
        <v>4590</v>
      </c>
      <c r="D2225" s="11" t="s">
        <v>26</v>
      </c>
      <c r="E2225" s="11" t="s">
        <v>520</v>
      </c>
      <c r="F2225" s="11" t="s">
        <v>26</v>
      </c>
      <c r="G2225" s="11">
        <v>4386</v>
      </c>
      <c r="H2225" s="12" t="s">
        <v>140</v>
      </c>
      <c r="I2225" s="12" t="s">
        <v>27</v>
      </c>
      <c r="J2225" s="12" t="s">
        <v>33</v>
      </c>
      <c r="K2225" s="12" t="s">
        <v>34</v>
      </c>
      <c r="L2225" s="13">
        <v>41.06</v>
      </c>
      <c r="M2225" s="13">
        <v>28</v>
      </c>
      <c r="N2225" s="13">
        <f t="shared" si="1"/>
        <v>1.4664285714285714</v>
      </c>
      <c r="O2225" s="13">
        <v>40</v>
      </c>
      <c r="P2225" s="13"/>
      <c r="Q2225" s="13">
        <v>0</v>
      </c>
      <c r="R2225" s="70">
        <f>+L2225*O2225</f>
        <v>1642.4</v>
      </c>
      <c r="S2225" s="70">
        <v>0</v>
      </c>
      <c r="T2225" s="70">
        <f>+L2225*S2225</f>
        <v>0</v>
      </c>
      <c r="U2225" s="70">
        <f>+R2225-T2225</f>
        <v>1642.4</v>
      </c>
      <c r="V2225" s="70">
        <f>+U2225*0</f>
        <v>0</v>
      </c>
      <c r="W2225" s="70">
        <f>+U2225-V2225</f>
        <v>1642.4</v>
      </c>
      <c r="X2225" s="70">
        <v>0</v>
      </c>
      <c r="Y2225" s="14">
        <f t="shared" si="63"/>
        <v>0</v>
      </c>
      <c r="Z2225" s="11" t="s">
        <v>26</v>
      </c>
      <c r="AA2225" s="12" t="s">
        <v>31</v>
      </c>
    </row>
    <row r="2226" spans="1:27" x14ac:dyDescent="0.25">
      <c r="A2226" s="10">
        <v>45689</v>
      </c>
      <c r="B2226" s="69">
        <v>6.0763888888889506E-3</v>
      </c>
      <c r="C2226" s="11" t="s">
        <v>4591</v>
      </c>
      <c r="D2226" s="11" t="s">
        <v>26</v>
      </c>
      <c r="E2226" s="11" t="s">
        <v>240</v>
      </c>
      <c r="F2226" s="11" t="s">
        <v>26</v>
      </c>
      <c r="G2226" s="11" t="s">
        <v>26</v>
      </c>
      <c r="H2226" s="12" t="s">
        <v>4422</v>
      </c>
      <c r="I2226" s="12" t="s">
        <v>27</v>
      </c>
      <c r="J2226" s="12" t="s">
        <v>42</v>
      </c>
      <c r="K2226" s="12" t="s">
        <v>43</v>
      </c>
      <c r="L2226" s="13">
        <v>43.2</v>
      </c>
      <c r="M2226" s="13">
        <v>25</v>
      </c>
      <c r="N2226" s="13">
        <f t="shared" si="1"/>
        <v>1.7280000000000002</v>
      </c>
      <c r="O2226" s="13">
        <v>83</v>
      </c>
      <c r="P2226" s="13" t="s">
        <v>30</v>
      </c>
      <c r="Q2226" s="13">
        <v>0</v>
      </c>
      <c r="R2226" s="70">
        <f>L2226*O2226</f>
        <v>3585.6000000000004</v>
      </c>
      <c r="S2226" s="70">
        <v>38</v>
      </c>
      <c r="T2226" s="70">
        <f>L2226*S2226</f>
        <v>1641.6000000000001</v>
      </c>
      <c r="U2226" s="70">
        <f>R2226-T2226</f>
        <v>1944.0000000000002</v>
      </c>
      <c r="V2226" s="70">
        <f>U2226*1</f>
        <v>1944.0000000000002</v>
      </c>
      <c r="W2226" s="70">
        <f>U2226-V2226</f>
        <v>0</v>
      </c>
      <c r="X2226" s="70">
        <f>L2226*37</f>
        <v>1598.4</v>
      </c>
      <c r="Y2226" s="71">
        <f>+T2226-X2226</f>
        <v>43.200000000000045</v>
      </c>
      <c r="Z2226" s="12" t="s">
        <v>41</v>
      </c>
      <c r="AA2226" s="12" t="s">
        <v>78</v>
      </c>
    </row>
    <row r="2227" spans="1:27" x14ac:dyDescent="0.25">
      <c r="A2227" s="10">
        <v>45689</v>
      </c>
      <c r="B2227" s="69">
        <v>1.5625E-2</v>
      </c>
      <c r="C2227" s="11" t="s">
        <v>4592</v>
      </c>
      <c r="D2227" s="11" t="s">
        <v>26</v>
      </c>
      <c r="E2227" s="11" t="s">
        <v>75</v>
      </c>
      <c r="F2227" s="11" t="s">
        <v>26</v>
      </c>
      <c r="G2227" s="11">
        <v>2857</v>
      </c>
      <c r="H2227" s="12" t="s">
        <v>41</v>
      </c>
      <c r="I2227" s="12" t="s">
        <v>55</v>
      </c>
      <c r="J2227" s="12" t="s">
        <v>55</v>
      </c>
      <c r="K2227" s="12" t="s">
        <v>56</v>
      </c>
      <c r="L2227" s="13">
        <v>39.28</v>
      </c>
      <c r="M2227" s="13">
        <v>25</v>
      </c>
      <c r="N2227" s="13">
        <f t="shared" si="1"/>
        <v>1.5712000000000002</v>
      </c>
      <c r="O2227" s="13" t="s">
        <v>30</v>
      </c>
      <c r="P2227" s="13">
        <v>24</v>
      </c>
      <c r="Q2227" s="13">
        <v>0</v>
      </c>
      <c r="R2227" s="70">
        <f>+M2227*P2227</f>
        <v>600</v>
      </c>
      <c r="S2227" s="70">
        <v>0</v>
      </c>
      <c r="T2227" s="70">
        <f>+M2227*S2227</f>
        <v>0</v>
      </c>
      <c r="U2227" s="70">
        <f t="shared" ref="U2227:U2228" si="67">+R2227-T2227</f>
        <v>600</v>
      </c>
      <c r="V2227" s="70">
        <f>+U2227*0</f>
        <v>0</v>
      </c>
      <c r="W2227" s="70">
        <f t="shared" ref="W2227:W2228" si="68">+U2227-V2227</f>
        <v>600</v>
      </c>
      <c r="X2227" s="70">
        <v>0</v>
      </c>
      <c r="Y2227" s="14">
        <f t="shared" ref="Y2227:Y2233" si="69">T2227-X2227</f>
        <v>0</v>
      </c>
      <c r="Z2227" s="11" t="s">
        <v>26</v>
      </c>
      <c r="AA2227" s="12" t="s">
        <v>31</v>
      </c>
    </row>
    <row r="2228" spans="1:27" x14ac:dyDescent="0.25">
      <c r="A2228" s="10">
        <v>45689</v>
      </c>
      <c r="B2228" s="69">
        <v>1.6759259259259363E-2</v>
      </c>
      <c r="C2228" s="11" t="s">
        <v>4593</v>
      </c>
      <c r="D2228" s="11" t="s">
        <v>26</v>
      </c>
      <c r="E2228" s="11" t="s">
        <v>559</v>
      </c>
      <c r="F2228" s="11" t="s">
        <v>26</v>
      </c>
      <c r="G2228" s="11">
        <v>2587</v>
      </c>
      <c r="H2228" s="12" t="s">
        <v>41</v>
      </c>
      <c r="I2228" s="12" t="s">
        <v>55</v>
      </c>
      <c r="J2228" s="12" t="s">
        <v>55</v>
      </c>
      <c r="K2228" s="12" t="s">
        <v>56</v>
      </c>
      <c r="L2228" s="13">
        <v>33.020000000000003</v>
      </c>
      <c r="M2228" s="13">
        <v>20</v>
      </c>
      <c r="N2228" s="13">
        <f t="shared" si="1"/>
        <v>1.6510000000000002</v>
      </c>
      <c r="O2228" s="13" t="s">
        <v>30</v>
      </c>
      <c r="P2228" s="13">
        <v>24</v>
      </c>
      <c r="Q2228" s="13">
        <v>0</v>
      </c>
      <c r="R2228" s="70">
        <f>+M2228*P2228</f>
        <v>480</v>
      </c>
      <c r="S2228" s="70">
        <v>0</v>
      </c>
      <c r="T2228" s="70">
        <f>+M2228*S2228</f>
        <v>0</v>
      </c>
      <c r="U2228" s="70">
        <f t="shared" si="67"/>
        <v>480</v>
      </c>
      <c r="V2228" s="70">
        <f>+U2228*0</f>
        <v>0</v>
      </c>
      <c r="W2228" s="70">
        <f t="shared" si="68"/>
        <v>480</v>
      </c>
      <c r="X2228" s="70">
        <v>0</v>
      </c>
      <c r="Y2228" s="14">
        <f t="shared" si="69"/>
        <v>0</v>
      </c>
      <c r="Z2228" s="11" t="s">
        <v>26</v>
      </c>
      <c r="AA2228" s="12" t="s">
        <v>31</v>
      </c>
    </row>
    <row r="2229" spans="1:27" x14ac:dyDescent="0.25">
      <c r="A2229" s="10">
        <v>45689</v>
      </c>
      <c r="B2229" s="69">
        <v>1.2164351851851829E-2</v>
      </c>
      <c r="C2229" s="11" t="s">
        <v>4594</v>
      </c>
      <c r="D2229" s="11" t="s">
        <v>26</v>
      </c>
      <c r="E2229" s="11" t="s">
        <v>4595</v>
      </c>
      <c r="F2229" s="11" t="s">
        <v>26</v>
      </c>
      <c r="G2229" s="11">
        <v>74549</v>
      </c>
      <c r="H2229" s="12" t="s">
        <v>4448</v>
      </c>
      <c r="I2229" s="12" t="s">
        <v>27</v>
      </c>
      <c r="J2229" s="12" t="s">
        <v>42</v>
      </c>
      <c r="K2229" s="12" t="s">
        <v>43</v>
      </c>
      <c r="L2229" s="13">
        <v>43.42</v>
      </c>
      <c r="M2229" s="13">
        <v>25</v>
      </c>
      <c r="N2229" s="13">
        <f t="shared" si="1"/>
        <v>1.7368000000000001</v>
      </c>
      <c r="O2229" s="13">
        <v>42.5</v>
      </c>
      <c r="P2229" s="13"/>
      <c r="Q2229" s="13">
        <v>0</v>
      </c>
      <c r="R2229" s="70">
        <f>+L2229*O2229</f>
        <v>1845.3500000000001</v>
      </c>
      <c r="S2229" s="70">
        <v>0</v>
      </c>
      <c r="T2229" s="70">
        <f>+L2229*S2229</f>
        <v>0</v>
      </c>
      <c r="U2229" s="70">
        <f>+R2229-T2229</f>
        <v>1845.3500000000001</v>
      </c>
      <c r="V2229" s="70">
        <f>+U2229*0.75</f>
        <v>1384.0125</v>
      </c>
      <c r="W2229" s="70">
        <f>+U2229-V2229</f>
        <v>461.33750000000009</v>
      </c>
      <c r="X2229" s="70">
        <v>0</v>
      </c>
      <c r="Y2229" s="14">
        <f t="shared" si="69"/>
        <v>0</v>
      </c>
      <c r="Z2229" s="11" t="s">
        <v>26</v>
      </c>
      <c r="AA2229" s="12" t="s">
        <v>31</v>
      </c>
    </row>
    <row r="2230" spans="1:27" x14ac:dyDescent="0.25">
      <c r="A2230" s="10">
        <v>45689</v>
      </c>
      <c r="B2230" s="69">
        <v>9.6759259259259212E-3</v>
      </c>
      <c r="C2230" s="11" t="s">
        <v>4596</v>
      </c>
      <c r="D2230" s="11" t="s">
        <v>26</v>
      </c>
      <c r="E2230" s="11" t="s">
        <v>3938</v>
      </c>
      <c r="F2230" s="11" t="s">
        <v>26</v>
      </c>
      <c r="G2230" s="11" t="s">
        <v>35</v>
      </c>
      <c r="H2230" s="12" t="s">
        <v>36</v>
      </c>
      <c r="I2230" s="12" t="s">
        <v>55</v>
      </c>
      <c r="J2230" s="12" t="s">
        <v>55</v>
      </c>
      <c r="K2230" s="12" t="s">
        <v>56</v>
      </c>
      <c r="L2230" s="13">
        <v>9.32</v>
      </c>
      <c r="M2230" s="13">
        <v>6</v>
      </c>
      <c r="N2230" s="13">
        <f t="shared" ref="N2230:N2293" si="70">L2230/M2230</f>
        <v>1.5533333333333335</v>
      </c>
      <c r="O2230" s="13">
        <v>20</v>
      </c>
      <c r="P2230" s="13" t="s">
        <v>30</v>
      </c>
      <c r="Q2230" s="13">
        <v>0</v>
      </c>
      <c r="R2230" s="70">
        <f>(L2230*O2230)-Q2230</f>
        <v>186.4</v>
      </c>
      <c r="S2230" s="70">
        <v>0</v>
      </c>
      <c r="T2230" s="70">
        <f t="shared" ref="T2230" si="71">+L2230*S2230</f>
        <v>0</v>
      </c>
      <c r="U2230" s="70">
        <f t="shared" ref="U2230" si="72">+R2230-T2230</f>
        <v>186.4</v>
      </c>
      <c r="V2230" s="70">
        <f>+U2230*0</f>
        <v>0</v>
      </c>
      <c r="W2230" s="70">
        <f t="shared" ref="W2230" si="73">+U2230-V2230</f>
        <v>186.4</v>
      </c>
      <c r="X2230" s="70">
        <v>0</v>
      </c>
      <c r="Y2230" s="14">
        <f t="shared" si="69"/>
        <v>0</v>
      </c>
      <c r="Z2230" s="11" t="s">
        <v>26</v>
      </c>
      <c r="AA2230" s="12" t="s">
        <v>31</v>
      </c>
    </row>
    <row r="2231" spans="1:27" x14ac:dyDescent="0.25">
      <c r="A2231" s="10">
        <v>45689</v>
      </c>
      <c r="B2231" s="69">
        <v>3.5208333333333397E-2</v>
      </c>
      <c r="C2231" s="11" t="s">
        <v>4597</v>
      </c>
      <c r="D2231" s="11" t="s">
        <v>26</v>
      </c>
      <c r="E2231" s="11" t="s">
        <v>570</v>
      </c>
      <c r="F2231" s="11" t="s">
        <v>26</v>
      </c>
      <c r="G2231" s="11">
        <v>10344</v>
      </c>
      <c r="H2231" s="12" t="s">
        <v>140</v>
      </c>
      <c r="I2231" s="12" t="s">
        <v>27</v>
      </c>
      <c r="J2231" s="12" t="s">
        <v>47</v>
      </c>
      <c r="K2231" s="12" t="s">
        <v>48</v>
      </c>
      <c r="L2231" s="13">
        <v>43.04</v>
      </c>
      <c r="M2231" s="13">
        <v>30</v>
      </c>
      <c r="N2231" s="13">
        <f t="shared" si="70"/>
        <v>1.4346666666666665</v>
      </c>
      <c r="O2231" s="13">
        <v>40</v>
      </c>
      <c r="P2231" s="13"/>
      <c r="Q2231" s="13">
        <v>0</v>
      </c>
      <c r="R2231" s="70">
        <f>+L2231*O2231</f>
        <v>1721.6</v>
      </c>
      <c r="S2231" s="70">
        <v>0</v>
      </c>
      <c r="T2231" s="70">
        <f>+L2231*S2231</f>
        <v>0</v>
      </c>
      <c r="U2231" s="70">
        <f>+R2231-T2231</f>
        <v>1721.6</v>
      </c>
      <c r="V2231" s="70">
        <f>+U2231*0</f>
        <v>0</v>
      </c>
      <c r="W2231" s="70">
        <f>+U2231-V2231</f>
        <v>1721.6</v>
      </c>
      <c r="X2231" s="70">
        <v>0</v>
      </c>
      <c r="Y2231" s="14">
        <f t="shared" si="69"/>
        <v>0</v>
      </c>
      <c r="Z2231" s="11" t="s">
        <v>26</v>
      </c>
      <c r="AA2231" s="12" t="s">
        <v>31</v>
      </c>
    </row>
    <row r="2232" spans="1:27" x14ac:dyDescent="0.25">
      <c r="A2232" s="10">
        <v>45689</v>
      </c>
      <c r="B2232" s="69">
        <v>9.2592592592593004E-3</v>
      </c>
      <c r="C2232" s="11" t="s">
        <v>4598</v>
      </c>
      <c r="D2232" s="11" t="s">
        <v>26</v>
      </c>
      <c r="E2232" s="11" t="s">
        <v>74</v>
      </c>
      <c r="F2232" s="11" t="s">
        <v>26</v>
      </c>
      <c r="G2232" s="11">
        <v>1326</v>
      </c>
      <c r="H2232" s="12" t="s">
        <v>70</v>
      </c>
      <c r="I2232" s="12" t="s">
        <v>27</v>
      </c>
      <c r="J2232" s="12" t="s">
        <v>33</v>
      </c>
      <c r="K2232" s="12" t="s">
        <v>34</v>
      </c>
      <c r="L2232" s="13">
        <v>38.619999999999997</v>
      </c>
      <c r="M2232" s="13">
        <v>25</v>
      </c>
      <c r="N2232" s="13">
        <f t="shared" si="70"/>
        <v>1.5448</v>
      </c>
      <c r="O2232" s="13" t="s">
        <v>30</v>
      </c>
      <c r="P2232" s="13">
        <v>60</v>
      </c>
      <c r="Q2232" s="13">
        <v>0</v>
      </c>
      <c r="R2232" s="70">
        <f>+M2232*P2232</f>
        <v>1500</v>
      </c>
      <c r="S2232" s="70">
        <v>0</v>
      </c>
      <c r="T2232" s="70">
        <f>+M2232*S2232</f>
        <v>0</v>
      </c>
      <c r="U2232" s="70">
        <f t="shared" ref="U2232:U2233" si="74">+R2232-T2232</f>
        <v>1500</v>
      </c>
      <c r="V2232" s="70">
        <f>+U2232*0</f>
        <v>0</v>
      </c>
      <c r="W2232" s="70">
        <f t="shared" ref="W2232:W2233" si="75">+U2232-V2232</f>
        <v>1500</v>
      </c>
      <c r="X2232" s="70">
        <v>0</v>
      </c>
      <c r="Y2232" s="14">
        <f t="shared" si="69"/>
        <v>0</v>
      </c>
      <c r="Z2232" s="11" t="s">
        <v>26</v>
      </c>
      <c r="AA2232" s="12" t="s">
        <v>31</v>
      </c>
    </row>
    <row r="2233" spans="1:27" x14ac:dyDescent="0.25">
      <c r="A2233" s="10">
        <v>45689</v>
      </c>
      <c r="B2233" s="69">
        <v>2.8101851851851878E-2</v>
      </c>
      <c r="C2233" s="11" t="s">
        <v>4599</v>
      </c>
      <c r="D2233" s="11" t="s">
        <v>26</v>
      </c>
      <c r="E2233" s="11" t="s">
        <v>69</v>
      </c>
      <c r="F2233" s="11" t="s">
        <v>26</v>
      </c>
      <c r="G2233" s="11">
        <v>2109</v>
      </c>
      <c r="H2233" s="12" t="s">
        <v>70</v>
      </c>
      <c r="I2233" s="12" t="s">
        <v>27</v>
      </c>
      <c r="J2233" s="12" t="s">
        <v>42</v>
      </c>
      <c r="K2233" s="12" t="s">
        <v>43</v>
      </c>
      <c r="L2233" s="13">
        <v>44.1</v>
      </c>
      <c r="M2233" s="13">
        <v>25</v>
      </c>
      <c r="N2233" s="13">
        <f t="shared" si="70"/>
        <v>1.764</v>
      </c>
      <c r="O2233" s="13" t="s">
        <v>30</v>
      </c>
      <c r="P2233" s="13">
        <v>64</v>
      </c>
      <c r="Q2233" s="13">
        <v>0</v>
      </c>
      <c r="R2233" s="70">
        <f>+M2233*P2233</f>
        <v>1600</v>
      </c>
      <c r="S2233" s="70">
        <v>0</v>
      </c>
      <c r="T2233" s="70">
        <f>+M2233*S2233</f>
        <v>0</v>
      </c>
      <c r="U2233" s="70">
        <f t="shared" si="74"/>
        <v>1600</v>
      </c>
      <c r="V2233" s="70">
        <f>+U2233*0</f>
        <v>0</v>
      </c>
      <c r="W2233" s="70">
        <f t="shared" si="75"/>
        <v>1600</v>
      </c>
      <c r="X2233" s="70">
        <v>0</v>
      </c>
      <c r="Y2233" s="14">
        <f t="shared" si="69"/>
        <v>0</v>
      </c>
      <c r="Z2233" s="11" t="s">
        <v>26</v>
      </c>
      <c r="AA2233" s="12" t="s">
        <v>31</v>
      </c>
    </row>
    <row r="2234" spans="1:27" x14ac:dyDescent="0.25">
      <c r="A2234" s="10">
        <v>45689</v>
      </c>
      <c r="B2234" s="69">
        <v>1.2268518518518512E-2</v>
      </c>
      <c r="C2234" s="11" t="s">
        <v>4600</v>
      </c>
      <c r="D2234" s="11" t="s">
        <v>26</v>
      </c>
      <c r="E2234" s="11" t="s">
        <v>4323</v>
      </c>
      <c r="F2234" s="11" t="s">
        <v>26</v>
      </c>
      <c r="G2234" s="11">
        <v>2957</v>
      </c>
      <c r="H2234" s="12" t="s">
        <v>4442</v>
      </c>
      <c r="I2234" s="12" t="s">
        <v>27</v>
      </c>
      <c r="J2234" s="12" t="s">
        <v>557</v>
      </c>
      <c r="K2234" s="12" t="s">
        <v>558</v>
      </c>
      <c r="L2234" s="13">
        <v>37.54</v>
      </c>
      <c r="M2234" s="13">
        <v>25</v>
      </c>
      <c r="N2234" s="13">
        <f t="shared" si="70"/>
        <v>1.5016</v>
      </c>
      <c r="O2234" s="13">
        <v>45</v>
      </c>
      <c r="P2234" s="13" t="s">
        <v>30</v>
      </c>
      <c r="Q2234" s="13">
        <v>0</v>
      </c>
      <c r="R2234" s="70">
        <f>L2234*O2234</f>
        <v>1689.3</v>
      </c>
      <c r="S2234" s="70">
        <v>0</v>
      </c>
      <c r="T2234" s="70">
        <f>L2234*S2234</f>
        <v>0</v>
      </c>
      <c r="U2234" s="70">
        <f>R2234-T2234</f>
        <v>1689.3</v>
      </c>
      <c r="V2234" s="70">
        <f>U2234*1</f>
        <v>1689.3</v>
      </c>
      <c r="W2234" s="70">
        <f>U2234-V2234</f>
        <v>0</v>
      </c>
      <c r="X2234" s="70">
        <v>0</v>
      </c>
      <c r="Y2234" s="71">
        <f>T2234-X2234</f>
        <v>0</v>
      </c>
      <c r="Z2234" s="11" t="s">
        <v>26</v>
      </c>
      <c r="AA2234" s="12" t="s">
        <v>31</v>
      </c>
    </row>
    <row r="2235" spans="1:27" x14ac:dyDescent="0.25">
      <c r="A2235" s="10">
        <v>45689</v>
      </c>
      <c r="B2235" s="69">
        <v>1.5266203703703685E-2</v>
      </c>
      <c r="C2235" s="11" t="s">
        <v>4601</v>
      </c>
      <c r="D2235" s="11" t="s">
        <v>26</v>
      </c>
      <c r="E2235" s="11" t="s">
        <v>597</v>
      </c>
      <c r="F2235" s="11" t="s">
        <v>26</v>
      </c>
      <c r="G2235" s="11">
        <v>2585</v>
      </c>
      <c r="H2235" s="12" t="s">
        <v>41</v>
      </c>
      <c r="I2235" s="12" t="s">
        <v>55</v>
      </c>
      <c r="J2235" s="12" t="s">
        <v>55</v>
      </c>
      <c r="K2235" s="12" t="s">
        <v>56</v>
      </c>
      <c r="L2235" s="13">
        <v>32.94</v>
      </c>
      <c r="M2235" s="13">
        <v>20</v>
      </c>
      <c r="N2235" s="13">
        <f t="shared" si="70"/>
        <v>1.6469999999999998</v>
      </c>
      <c r="O2235" s="13" t="s">
        <v>30</v>
      </c>
      <c r="P2235" s="13">
        <v>24</v>
      </c>
      <c r="Q2235" s="13">
        <v>0</v>
      </c>
      <c r="R2235" s="70">
        <f>+M2235*P2235</f>
        <v>480</v>
      </c>
      <c r="S2235" s="70">
        <v>0</v>
      </c>
      <c r="T2235" s="70">
        <f>+M2235*S2235</f>
        <v>0</v>
      </c>
      <c r="U2235" s="70">
        <f t="shared" ref="U2235" si="76">+R2235-T2235</f>
        <v>480</v>
      </c>
      <c r="V2235" s="70">
        <f>+U2235*0</f>
        <v>0</v>
      </c>
      <c r="W2235" s="70">
        <f t="shared" ref="W2235" si="77">+U2235-V2235</f>
        <v>480</v>
      </c>
      <c r="X2235" s="70">
        <v>0</v>
      </c>
      <c r="Y2235" s="14">
        <f t="shared" ref="Y2235:Y2259" si="78">T2235-X2235</f>
        <v>0</v>
      </c>
      <c r="Z2235" s="11" t="s">
        <v>26</v>
      </c>
      <c r="AA2235" s="12" t="s">
        <v>31</v>
      </c>
    </row>
    <row r="2236" spans="1:27" x14ac:dyDescent="0.25">
      <c r="A2236" s="10">
        <v>45689</v>
      </c>
      <c r="B2236" s="69">
        <v>0.30568287037037045</v>
      </c>
      <c r="C2236" s="11" t="s">
        <v>4602</v>
      </c>
      <c r="D2236" s="11" t="s">
        <v>26</v>
      </c>
      <c r="E2236" s="11" t="s">
        <v>658</v>
      </c>
      <c r="F2236" s="11" t="s">
        <v>26</v>
      </c>
      <c r="G2236" s="11">
        <v>862</v>
      </c>
      <c r="H2236" s="12" t="s">
        <v>141</v>
      </c>
      <c r="I2236" s="12" t="s">
        <v>37</v>
      </c>
      <c r="J2236" s="12" t="s">
        <v>599</v>
      </c>
      <c r="K2236" s="12" t="s">
        <v>82</v>
      </c>
      <c r="L2236" s="13">
        <v>39.5</v>
      </c>
      <c r="M2236" s="13">
        <v>25</v>
      </c>
      <c r="N2236" s="13">
        <f t="shared" si="70"/>
        <v>1.58</v>
      </c>
      <c r="O2236" s="13">
        <v>29</v>
      </c>
      <c r="P2236" s="13" t="s">
        <v>30</v>
      </c>
      <c r="Q2236" s="13">
        <v>0</v>
      </c>
      <c r="R2236" s="70">
        <f>L2236*O2236</f>
        <v>1145.5</v>
      </c>
      <c r="S2236" s="70">
        <v>0</v>
      </c>
      <c r="T2236" s="70">
        <f>L2236*S2236</f>
        <v>0</v>
      </c>
      <c r="U2236" s="70">
        <f>R2236-T2236</f>
        <v>1145.5</v>
      </c>
      <c r="V2236" s="70">
        <f>U2236*0</f>
        <v>0</v>
      </c>
      <c r="W2236" s="70">
        <f>U2236-V2236</f>
        <v>1145.5</v>
      </c>
      <c r="X2236" s="70">
        <v>0</v>
      </c>
      <c r="Y2236" s="14">
        <f t="shared" si="78"/>
        <v>0</v>
      </c>
      <c r="Z2236" s="11" t="s">
        <v>26</v>
      </c>
      <c r="AA2236" s="12" t="s">
        <v>31</v>
      </c>
    </row>
    <row r="2237" spans="1:27" x14ac:dyDescent="0.25">
      <c r="A2237" s="10">
        <v>45689</v>
      </c>
      <c r="B2237" s="69">
        <v>1.260416666666675E-2</v>
      </c>
      <c r="C2237" s="11" t="s">
        <v>4603</v>
      </c>
      <c r="D2237" s="11" t="s">
        <v>26</v>
      </c>
      <c r="E2237" s="11" t="s">
        <v>482</v>
      </c>
      <c r="F2237" s="11" t="s">
        <v>26</v>
      </c>
      <c r="G2237" s="11">
        <v>24152</v>
      </c>
      <c r="H2237" s="12" t="s">
        <v>4448</v>
      </c>
      <c r="I2237" s="12" t="s">
        <v>55</v>
      </c>
      <c r="J2237" s="12" t="s">
        <v>55</v>
      </c>
      <c r="K2237" s="12" t="s">
        <v>56</v>
      </c>
      <c r="L2237" s="13">
        <v>38.18</v>
      </c>
      <c r="M2237" s="13">
        <v>25</v>
      </c>
      <c r="N2237" s="13">
        <f t="shared" si="70"/>
        <v>1.5271999999999999</v>
      </c>
      <c r="O2237" s="13">
        <v>15</v>
      </c>
      <c r="P2237" s="13" t="s">
        <v>30</v>
      </c>
      <c r="Q2237" s="13">
        <v>0</v>
      </c>
      <c r="R2237" s="70">
        <f>+L2237*O2237</f>
        <v>572.70000000000005</v>
      </c>
      <c r="S2237" s="70">
        <v>0</v>
      </c>
      <c r="T2237" s="70">
        <f>+L2237*S2237</f>
        <v>0</v>
      </c>
      <c r="U2237" s="70">
        <f>+R2237-T2237</f>
        <v>572.70000000000005</v>
      </c>
      <c r="V2237" s="70">
        <f>+U2237*0.75</f>
        <v>429.52500000000003</v>
      </c>
      <c r="W2237" s="70">
        <f>+U2237-V2237</f>
        <v>143.17500000000001</v>
      </c>
      <c r="X2237" s="70">
        <v>0</v>
      </c>
      <c r="Y2237" s="14">
        <f t="shared" si="78"/>
        <v>0</v>
      </c>
      <c r="Z2237" s="11" t="s">
        <v>26</v>
      </c>
      <c r="AA2237" s="12" t="s">
        <v>31</v>
      </c>
    </row>
    <row r="2238" spans="1:27" x14ac:dyDescent="0.25">
      <c r="A2238" s="10">
        <v>45689</v>
      </c>
      <c r="B2238" s="69">
        <v>7.3842592592593403E-3</v>
      </c>
      <c r="C2238" s="11" t="s">
        <v>4604</v>
      </c>
      <c r="D2238" s="11" t="s">
        <v>26</v>
      </c>
      <c r="E2238" s="11" t="s">
        <v>4161</v>
      </c>
      <c r="F2238" s="11" t="s">
        <v>26</v>
      </c>
      <c r="G2238" s="11">
        <v>2618</v>
      </c>
      <c r="H2238" s="12" t="s">
        <v>41</v>
      </c>
      <c r="I2238" s="12" t="s">
        <v>55</v>
      </c>
      <c r="J2238" s="12" t="s">
        <v>55</v>
      </c>
      <c r="K2238" s="12" t="s">
        <v>56</v>
      </c>
      <c r="L2238" s="13">
        <v>32.04</v>
      </c>
      <c r="M2238" s="13">
        <v>20</v>
      </c>
      <c r="N2238" s="13">
        <f t="shared" si="70"/>
        <v>1.6019999999999999</v>
      </c>
      <c r="O2238" s="13" t="s">
        <v>30</v>
      </c>
      <c r="P2238" s="13">
        <v>24</v>
      </c>
      <c r="Q2238" s="13">
        <v>0</v>
      </c>
      <c r="R2238" s="70">
        <f>+M2238*P2238</f>
        <v>480</v>
      </c>
      <c r="S2238" s="70">
        <v>0</v>
      </c>
      <c r="T2238" s="70">
        <f>+M2238*S2238</f>
        <v>0</v>
      </c>
      <c r="U2238" s="70">
        <f t="shared" ref="U2238" si="79">+R2238-T2238</f>
        <v>480</v>
      </c>
      <c r="V2238" s="70">
        <f>+U2238*0</f>
        <v>0</v>
      </c>
      <c r="W2238" s="70">
        <f t="shared" ref="W2238" si="80">+U2238-V2238</f>
        <v>480</v>
      </c>
      <c r="X2238" s="70">
        <v>0</v>
      </c>
      <c r="Y2238" s="14">
        <f t="shared" si="78"/>
        <v>0</v>
      </c>
      <c r="Z2238" s="11" t="s">
        <v>26</v>
      </c>
      <c r="AA2238" s="12" t="s">
        <v>31</v>
      </c>
    </row>
    <row r="2239" spans="1:27" x14ac:dyDescent="0.25">
      <c r="A2239" s="10">
        <v>45689</v>
      </c>
      <c r="B2239" s="69">
        <v>9.9652777777777812E-3</v>
      </c>
      <c r="C2239" s="11" t="s">
        <v>4605</v>
      </c>
      <c r="D2239" s="11" t="s">
        <v>26</v>
      </c>
      <c r="E2239" s="11" t="s">
        <v>3786</v>
      </c>
      <c r="F2239" s="11" t="s">
        <v>26</v>
      </c>
      <c r="G2239" s="11">
        <v>24329</v>
      </c>
      <c r="H2239" s="12" t="s">
        <v>4448</v>
      </c>
      <c r="I2239" s="12" t="s">
        <v>55</v>
      </c>
      <c r="J2239" s="12" t="s">
        <v>55</v>
      </c>
      <c r="K2239" s="12" t="s">
        <v>56</v>
      </c>
      <c r="L2239" s="13">
        <v>37.840000000000003</v>
      </c>
      <c r="M2239" s="13">
        <v>25</v>
      </c>
      <c r="N2239" s="13">
        <f t="shared" si="70"/>
        <v>1.5136000000000001</v>
      </c>
      <c r="O2239" s="13">
        <v>15</v>
      </c>
      <c r="P2239" s="13" t="s">
        <v>30</v>
      </c>
      <c r="Q2239" s="13">
        <v>0</v>
      </c>
      <c r="R2239" s="70">
        <f>+L2239*O2239</f>
        <v>567.6</v>
      </c>
      <c r="S2239" s="70">
        <v>0</v>
      </c>
      <c r="T2239" s="70">
        <f>+L2239*S2239</f>
        <v>0</v>
      </c>
      <c r="U2239" s="70">
        <f>+R2239-T2239</f>
        <v>567.6</v>
      </c>
      <c r="V2239" s="70">
        <f>+U2239*0.75</f>
        <v>425.70000000000005</v>
      </c>
      <c r="W2239" s="70">
        <f>+U2239-V2239</f>
        <v>141.89999999999998</v>
      </c>
      <c r="X2239" s="70">
        <v>0</v>
      </c>
      <c r="Y2239" s="14">
        <f t="shared" si="78"/>
        <v>0</v>
      </c>
      <c r="Z2239" s="11" t="s">
        <v>26</v>
      </c>
      <c r="AA2239" s="12" t="s">
        <v>31</v>
      </c>
    </row>
    <row r="2240" spans="1:27" x14ac:dyDescent="0.25">
      <c r="A2240" s="10">
        <v>45689</v>
      </c>
      <c r="B2240" s="69">
        <v>1.6319444444444553E-2</v>
      </c>
      <c r="C2240" s="11" t="s">
        <v>4606</v>
      </c>
      <c r="D2240" s="11" t="s">
        <v>26</v>
      </c>
      <c r="E2240" s="11" t="s">
        <v>604</v>
      </c>
      <c r="F2240" s="11" t="s">
        <v>26</v>
      </c>
      <c r="G2240" s="11">
        <v>1116</v>
      </c>
      <c r="H2240" s="12" t="s">
        <v>141</v>
      </c>
      <c r="I2240" s="12" t="s">
        <v>55</v>
      </c>
      <c r="J2240" s="12" t="s">
        <v>55</v>
      </c>
      <c r="K2240" s="12" t="s">
        <v>56</v>
      </c>
      <c r="L2240" s="13">
        <v>38.86</v>
      </c>
      <c r="M2240" s="13">
        <v>25</v>
      </c>
      <c r="N2240" s="13">
        <f t="shared" si="70"/>
        <v>1.5544</v>
      </c>
      <c r="O2240" s="13">
        <v>15</v>
      </c>
      <c r="P2240" s="13" t="s">
        <v>30</v>
      </c>
      <c r="Q2240" s="13">
        <v>0</v>
      </c>
      <c r="R2240" s="70">
        <f>L2240*O2240</f>
        <v>582.9</v>
      </c>
      <c r="S2240" s="70">
        <v>0</v>
      </c>
      <c r="T2240" s="70">
        <f>L2240*S2240</f>
        <v>0</v>
      </c>
      <c r="U2240" s="70">
        <f>R2240-T2240</f>
        <v>582.9</v>
      </c>
      <c r="V2240" s="70">
        <f>U2240*0</f>
        <v>0</v>
      </c>
      <c r="W2240" s="70">
        <f>U2240-V2240</f>
        <v>582.9</v>
      </c>
      <c r="X2240" s="70">
        <v>0</v>
      </c>
      <c r="Y2240" s="14">
        <f t="shared" si="78"/>
        <v>0</v>
      </c>
      <c r="Z2240" s="11" t="s">
        <v>26</v>
      </c>
      <c r="AA2240" s="12" t="s">
        <v>31</v>
      </c>
    </row>
    <row r="2241" spans="1:27" x14ac:dyDescent="0.25">
      <c r="A2241" s="10">
        <v>45689</v>
      </c>
      <c r="B2241" s="69">
        <v>2.3009259259259229E-2</v>
      </c>
      <c r="C2241" s="11" t="s">
        <v>4607</v>
      </c>
      <c r="D2241" s="11" t="s">
        <v>26</v>
      </c>
      <c r="E2241" s="11" t="s">
        <v>233</v>
      </c>
      <c r="F2241" s="11" t="s">
        <v>26</v>
      </c>
      <c r="G2241" s="11">
        <v>2858</v>
      </c>
      <c r="H2241" s="12" t="s">
        <v>41</v>
      </c>
      <c r="I2241" s="12" t="s">
        <v>55</v>
      </c>
      <c r="J2241" s="12" t="s">
        <v>55</v>
      </c>
      <c r="K2241" s="12" t="s">
        <v>56</v>
      </c>
      <c r="L2241" s="13">
        <v>33.24</v>
      </c>
      <c r="M2241" s="13">
        <v>24</v>
      </c>
      <c r="N2241" s="13">
        <f t="shared" si="70"/>
        <v>1.385</v>
      </c>
      <c r="O2241" s="13" t="s">
        <v>30</v>
      </c>
      <c r="P2241" s="13">
        <v>24</v>
      </c>
      <c r="Q2241" s="13">
        <v>0</v>
      </c>
      <c r="R2241" s="70">
        <f>+M2241*P2241</f>
        <v>576</v>
      </c>
      <c r="S2241" s="70">
        <v>0</v>
      </c>
      <c r="T2241" s="70">
        <f>+M2241*S2241</f>
        <v>0</v>
      </c>
      <c r="U2241" s="70">
        <f t="shared" ref="U2241" si="81">+R2241-T2241</f>
        <v>576</v>
      </c>
      <c r="V2241" s="70">
        <f>+U2241*0</f>
        <v>0</v>
      </c>
      <c r="W2241" s="70">
        <f t="shared" ref="W2241" si="82">+U2241-V2241</f>
        <v>576</v>
      </c>
      <c r="X2241" s="70">
        <v>0</v>
      </c>
      <c r="Y2241" s="14">
        <f t="shared" si="78"/>
        <v>0</v>
      </c>
      <c r="Z2241" s="11" t="s">
        <v>26</v>
      </c>
      <c r="AA2241" s="12" t="s">
        <v>31</v>
      </c>
    </row>
    <row r="2242" spans="1:27" x14ac:dyDescent="0.25">
      <c r="A2242" s="10">
        <v>45689</v>
      </c>
      <c r="B2242" s="69">
        <v>1.0104166666666692E-2</v>
      </c>
      <c r="C2242" s="11" t="s">
        <v>4608</v>
      </c>
      <c r="D2242" s="11" t="s">
        <v>26</v>
      </c>
      <c r="E2242" s="11" t="s">
        <v>65</v>
      </c>
      <c r="F2242" s="11" t="s">
        <v>26</v>
      </c>
      <c r="G2242" s="11">
        <v>1706</v>
      </c>
      <c r="H2242" s="12" t="s">
        <v>66</v>
      </c>
      <c r="I2242" s="12" t="s">
        <v>37</v>
      </c>
      <c r="J2242" s="12" t="s">
        <v>1909</v>
      </c>
      <c r="K2242" s="12" t="s">
        <v>82</v>
      </c>
      <c r="L2242" s="13">
        <v>39.08</v>
      </c>
      <c r="M2242" s="13">
        <v>25</v>
      </c>
      <c r="N2242" s="13">
        <f t="shared" si="70"/>
        <v>1.5631999999999999</v>
      </c>
      <c r="O2242" s="13" t="s">
        <v>30</v>
      </c>
      <c r="P2242" s="13">
        <v>54</v>
      </c>
      <c r="Q2242" s="13">
        <v>0</v>
      </c>
      <c r="R2242" s="70">
        <f>M2242*P2242</f>
        <v>1350</v>
      </c>
      <c r="S2242" s="70">
        <v>0</v>
      </c>
      <c r="T2242" s="70">
        <f>M2242*S2242</f>
        <v>0</v>
      </c>
      <c r="U2242" s="70">
        <f>R2242-T2242</f>
        <v>1350</v>
      </c>
      <c r="V2242" s="70">
        <f>U2242*1</f>
        <v>1350</v>
      </c>
      <c r="W2242" s="70">
        <f>U2242-V2242</f>
        <v>0</v>
      </c>
      <c r="X2242" s="70">
        <v>0</v>
      </c>
      <c r="Y2242" s="14">
        <f t="shared" si="78"/>
        <v>0</v>
      </c>
      <c r="Z2242" s="11" t="s">
        <v>26</v>
      </c>
      <c r="AA2242" s="12" t="s">
        <v>31</v>
      </c>
    </row>
    <row r="2243" spans="1:27" x14ac:dyDescent="0.25">
      <c r="A2243" s="10">
        <v>45689</v>
      </c>
      <c r="B2243" s="69">
        <v>7.0833333333333304E-3</v>
      </c>
      <c r="C2243" s="11" t="s">
        <v>4609</v>
      </c>
      <c r="D2243" s="11" t="s">
        <v>26</v>
      </c>
      <c r="E2243" s="11" t="s">
        <v>486</v>
      </c>
      <c r="F2243" s="11" t="s">
        <v>26</v>
      </c>
      <c r="G2243" s="11">
        <v>72900</v>
      </c>
      <c r="H2243" s="12" t="s">
        <v>4448</v>
      </c>
      <c r="I2243" s="12" t="s">
        <v>27</v>
      </c>
      <c r="J2243" s="12" t="s">
        <v>42</v>
      </c>
      <c r="K2243" s="12" t="s">
        <v>43</v>
      </c>
      <c r="L2243" s="13">
        <v>43.22</v>
      </c>
      <c r="M2243" s="13">
        <v>25</v>
      </c>
      <c r="N2243" s="13">
        <f t="shared" si="70"/>
        <v>1.7287999999999999</v>
      </c>
      <c r="O2243" s="13">
        <v>42.5</v>
      </c>
      <c r="P2243" s="13"/>
      <c r="Q2243" s="13">
        <v>0</v>
      </c>
      <c r="R2243" s="70">
        <f>+L2243*O2243</f>
        <v>1836.85</v>
      </c>
      <c r="S2243" s="70">
        <v>0</v>
      </c>
      <c r="T2243" s="70">
        <f>+L2243*S2243</f>
        <v>0</v>
      </c>
      <c r="U2243" s="70">
        <f>+R2243-T2243</f>
        <v>1836.85</v>
      </c>
      <c r="V2243" s="70">
        <f>+U2243*0.75</f>
        <v>1377.6374999999998</v>
      </c>
      <c r="W2243" s="70">
        <f>+U2243-V2243</f>
        <v>459.21250000000009</v>
      </c>
      <c r="X2243" s="70">
        <v>0</v>
      </c>
      <c r="Y2243" s="14">
        <f t="shared" si="78"/>
        <v>0</v>
      </c>
      <c r="Z2243" s="11" t="s">
        <v>26</v>
      </c>
      <c r="AA2243" s="12" t="s">
        <v>31</v>
      </c>
    </row>
    <row r="2244" spans="1:27" x14ac:dyDescent="0.25">
      <c r="A2244" s="10">
        <v>45689</v>
      </c>
      <c r="B2244" s="69">
        <v>1.0266203703703791E-2</v>
      </c>
      <c r="C2244" s="11" t="s">
        <v>4610</v>
      </c>
      <c r="D2244" s="11" t="s">
        <v>26</v>
      </c>
      <c r="E2244" s="11" t="s">
        <v>505</v>
      </c>
      <c r="F2244" s="11" t="s">
        <v>26</v>
      </c>
      <c r="G2244" s="11">
        <v>1258</v>
      </c>
      <c r="H2244" s="12" t="s">
        <v>141</v>
      </c>
      <c r="I2244" s="12" t="s">
        <v>37</v>
      </c>
      <c r="J2244" s="12" t="s">
        <v>85</v>
      </c>
      <c r="K2244" s="12" t="s">
        <v>86</v>
      </c>
      <c r="L2244" s="13">
        <v>38.36</v>
      </c>
      <c r="M2244" s="13">
        <v>25</v>
      </c>
      <c r="N2244" s="13">
        <f t="shared" si="70"/>
        <v>1.5344</v>
      </c>
      <c r="O2244" s="13">
        <v>29</v>
      </c>
      <c r="P2244" s="13" t="s">
        <v>30</v>
      </c>
      <c r="Q2244" s="13">
        <v>0</v>
      </c>
      <c r="R2244" s="70">
        <f t="shared" ref="R2244" si="83">L2244*O2244</f>
        <v>1112.44</v>
      </c>
      <c r="S2244" s="70">
        <v>0</v>
      </c>
      <c r="T2244" s="70">
        <f t="shared" ref="T2244" si="84">L2244*S2244</f>
        <v>0</v>
      </c>
      <c r="U2244" s="70">
        <f t="shared" ref="U2244" si="85">R2244-T2244</f>
        <v>1112.44</v>
      </c>
      <c r="V2244" s="70">
        <f t="shared" ref="V2244" si="86">U2244*0</f>
        <v>0</v>
      </c>
      <c r="W2244" s="70">
        <f t="shared" ref="W2244" si="87">U2244-V2244</f>
        <v>1112.44</v>
      </c>
      <c r="X2244" s="70">
        <v>0</v>
      </c>
      <c r="Y2244" s="14">
        <f t="shared" si="78"/>
        <v>0</v>
      </c>
      <c r="Z2244" s="11" t="s">
        <v>26</v>
      </c>
      <c r="AA2244" s="12" t="s">
        <v>31</v>
      </c>
    </row>
    <row r="2245" spans="1:27" x14ac:dyDescent="0.25">
      <c r="A2245" s="10">
        <v>45689</v>
      </c>
      <c r="B2245" s="69">
        <v>1.1527777777777692E-2</v>
      </c>
      <c r="C2245" s="11" t="s">
        <v>4611</v>
      </c>
      <c r="D2245" s="11" t="s">
        <v>26</v>
      </c>
      <c r="E2245" s="11" t="s">
        <v>605</v>
      </c>
      <c r="F2245" s="11" t="s">
        <v>26</v>
      </c>
      <c r="G2245" s="11">
        <v>1061</v>
      </c>
      <c r="H2245" s="12" t="s">
        <v>141</v>
      </c>
      <c r="I2245" s="12" t="s">
        <v>37</v>
      </c>
      <c r="J2245" s="12" t="s">
        <v>599</v>
      </c>
      <c r="K2245" s="12" t="s">
        <v>82</v>
      </c>
      <c r="L2245" s="13">
        <v>38.479999999999997</v>
      </c>
      <c r="M2245" s="13">
        <v>25</v>
      </c>
      <c r="N2245" s="13">
        <f t="shared" si="70"/>
        <v>1.5391999999999999</v>
      </c>
      <c r="O2245" s="13">
        <v>29</v>
      </c>
      <c r="P2245" s="13" t="s">
        <v>30</v>
      </c>
      <c r="Q2245" s="13">
        <v>0</v>
      </c>
      <c r="R2245" s="70">
        <f>L2245*O2245</f>
        <v>1115.9199999999998</v>
      </c>
      <c r="S2245" s="70">
        <v>0</v>
      </c>
      <c r="T2245" s="70">
        <f>L2245*S2245</f>
        <v>0</v>
      </c>
      <c r="U2245" s="70">
        <f>R2245-T2245</f>
        <v>1115.9199999999998</v>
      </c>
      <c r="V2245" s="70">
        <f>U2245*0</f>
        <v>0</v>
      </c>
      <c r="W2245" s="70">
        <f>U2245-V2245</f>
        <v>1115.9199999999998</v>
      </c>
      <c r="X2245" s="70">
        <v>0</v>
      </c>
      <c r="Y2245" s="14">
        <f t="shared" si="78"/>
        <v>0</v>
      </c>
      <c r="Z2245" s="11" t="s">
        <v>26</v>
      </c>
      <c r="AA2245" s="12" t="s">
        <v>31</v>
      </c>
    </row>
    <row r="2246" spans="1:27" x14ac:dyDescent="0.25">
      <c r="A2246" s="10">
        <v>45689</v>
      </c>
      <c r="B2246" s="69">
        <v>1.6249999999999987E-2</v>
      </c>
      <c r="C2246" s="11" t="s">
        <v>4612</v>
      </c>
      <c r="D2246" s="11" t="s">
        <v>26</v>
      </c>
      <c r="E2246" s="11" t="s">
        <v>574</v>
      </c>
      <c r="F2246" s="11" t="s">
        <v>26</v>
      </c>
      <c r="G2246" s="11">
        <v>788</v>
      </c>
      <c r="H2246" s="12" t="s">
        <v>141</v>
      </c>
      <c r="I2246" s="12" t="s">
        <v>37</v>
      </c>
      <c r="J2246" s="12" t="s">
        <v>85</v>
      </c>
      <c r="K2246" s="12" t="s">
        <v>86</v>
      </c>
      <c r="L2246" s="13">
        <v>37.74</v>
      </c>
      <c r="M2246" s="13">
        <v>25</v>
      </c>
      <c r="N2246" s="13">
        <f t="shared" si="70"/>
        <v>1.5096000000000001</v>
      </c>
      <c r="O2246" s="13">
        <v>29</v>
      </c>
      <c r="P2246" s="13" t="s">
        <v>30</v>
      </c>
      <c r="Q2246" s="13">
        <v>0</v>
      </c>
      <c r="R2246" s="70">
        <f t="shared" ref="R2246:R2247" si="88">L2246*O2246</f>
        <v>1094.46</v>
      </c>
      <c r="S2246" s="70">
        <v>0</v>
      </c>
      <c r="T2246" s="70">
        <f t="shared" ref="T2246:T2247" si="89">L2246*S2246</f>
        <v>0</v>
      </c>
      <c r="U2246" s="70">
        <f t="shared" ref="U2246:U2247" si="90">R2246-T2246</f>
        <v>1094.46</v>
      </c>
      <c r="V2246" s="70">
        <f t="shared" ref="V2246:V2247" si="91">U2246*0</f>
        <v>0</v>
      </c>
      <c r="W2246" s="70">
        <f t="shared" ref="W2246:W2247" si="92">U2246-V2246</f>
        <v>1094.46</v>
      </c>
      <c r="X2246" s="70">
        <v>0</v>
      </c>
      <c r="Y2246" s="14">
        <f t="shared" si="78"/>
        <v>0</v>
      </c>
      <c r="Z2246" s="11" t="s">
        <v>26</v>
      </c>
      <c r="AA2246" s="12" t="s">
        <v>31</v>
      </c>
    </row>
    <row r="2247" spans="1:27" x14ac:dyDescent="0.25">
      <c r="A2247" s="10">
        <v>45689</v>
      </c>
      <c r="B2247" s="69">
        <v>1.7037037037037073E-2</v>
      </c>
      <c r="C2247" s="11" t="s">
        <v>4613</v>
      </c>
      <c r="D2247" s="11" t="s">
        <v>26</v>
      </c>
      <c r="E2247" s="11" t="s">
        <v>509</v>
      </c>
      <c r="F2247" s="11" t="s">
        <v>26</v>
      </c>
      <c r="G2247" s="11">
        <v>1310</v>
      </c>
      <c r="H2247" s="12" t="s">
        <v>141</v>
      </c>
      <c r="I2247" s="12" t="s">
        <v>37</v>
      </c>
      <c r="J2247" s="12" t="s">
        <v>85</v>
      </c>
      <c r="K2247" s="12" t="s">
        <v>86</v>
      </c>
      <c r="L2247" s="13">
        <v>37.82</v>
      </c>
      <c r="M2247" s="13">
        <v>25</v>
      </c>
      <c r="N2247" s="13">
        <f t="shared" si="70"/>
        <v>1.5127999999999999</v>
      </c>
      <c r="O2247" s="13">
        <v>29</v>
      </c>
      <c r="P2247" s="13" t="s">
        <v>30</v>
      </c>
      <c r="Q2247" s="13">
        <v>0</v>
      </c>
      <c r="R2247" s="70">
        <f t="shared" si="88"/>
        <v>1096.78</v>
      </c>
      <c r="S2247" s="70">
        <v>0</v>
      </c>
      <c r="T2247" s="70">
        <f t="shared" si="89"/>
        <v>0</v>
      </c>
      <c r="U2247" s="70">
        <f t="shared" si="90"/>
        <v>1096.78</v>
      </c>
      <c r="V2247" s="70">
        <f t="shared" si="91"/>
        <v>0</v>
      </c>
      <c r="W2247" s="70">
        <f t="shared" si="92"/>
        <v>1096.78</v>
      </c>
      <c r="X2247" s="70">
        <v>0</v>
      </c>
      <c r="Y2247" s="14">
        <f t="shared" si="78"/>
        <v>0</v>
      </c>
      <c r="Z2247" s="11" t="s">
        <v>26</v>
      </c>
      <c r="AA2247" s="12" t="s">
        <v>31</v>
      </c>
    </row>
    <row r="2248" spans="1:27" x14ac:dyDescent="0.25">
      <c r="A2248" s="10">
        <v>45689</v>
      </c>
      <c r="B2248" s="69">
        <v>8.6342592592592027E-3</v>
      </c>
      <c r="C2248" s="11" t="s">
        <v>4614</v>
      </c>
      <c r="D2248" s="11" t="s">
        <v>26</v>
      </c>
      <c r="E2248" s="11" t="s">
        <v>184</v>
      </c>
      <c r="F2248" s="11" t="s">
        <v>26</v>
      </c>
      <c r="G2248" s="11">
        <v>1007</v>
      </c>
      <c r="H2248" s="12" t="s">
        <v>141</v>
      </c>
      <c r="I2248" s="12" t="s">
        <v>27</v>
      </c>
      <c r="J2248" s="12" t="s">
        <v>47</v>
      </c>
      <c r="K2248" s="12" t="s">
        <v>48</v>
      </c>
      <c r="L2248" s="13">
        <v>40.200000000000003</v>
      </c>
      <c r="M2248" s="13">
        <v>28</v>
      </c>
      <c r="N2248" s="13">
        <f t="shared" si="70"/>
        <v>1.4357142857142857</v>
      </c>
      <c r="O2248" s="13">
        <v>40</v>
      </c>
      <c r="P2248" s="13" t="s">
        <v>30</v>
      </c>
      <c r="Q2248" s="13">
        <v>0</v>
      </c>
      <c r="R2248" s="70">
        <f>L2248*O2248</f>
        <v>1608</v>
      </c>
      <c r="S2248" s="70">
        <v>0</v>
      </c>
      <c r="T2248" s="70">
        <f>L2248*S2248</f>
        <v>0</v>
      </c>
      <c r="U2248" s="70">
        <f>R2248-T2248</f>
        <v>1608</v>
      </c>
      <c r="V2248" s="70">
        <f>U2248*0</f>
        <v>0</v>
      </c>
      <c r="W2248" s="70">
        <f>U2248-V2248</f>
        <v>1608</v>
      </c>
      <c r="X2248" s="70">
        <v>0</v>
      </c>
      <c r="Y2248" s="14">
        <f t="shared" si="78"/>
        <v>0</v>
      </c>
      <c r="Z2248" s="11" t="s">
        <v>26</v>
      </c>
      <c r="AA2248" s="12" t="s">
        <v>31</v>
      </c>
    </row>
    <row r="2249" spans="1:27" x14ac:dyDescent="0.25">
      <c r="A2249" s="10">
        <v>45689</v>
      </c>
      <c r="B2249" s="69">
        <v>1.2256944444444473E-2</v>
      </c>
      <c r="C2249" s="11" t="s">
        <v>4615</v>
      </c>
      <c r="D2249" s="11" t="s">
        <v>26</v>
      </c>
      <c r="E2249" s="11" t="s">
        <v>539</v>
      </c>
      <c r="F2249" s="11" t="s">
        <v>26</v>
      </c>
      <c r="G2249" s="11">
        <v>3847</v>
      </c>
      <c r="H2249" s="12" t="s">
        <v>41</v>
      </c>
      <c r="I2249" s="12" t="s">
        <v>55</v>
      </c>
      <c r="J2249" s="12" t="s">
        <v>566</v>
      </c>
      <c r="K2249" s="12" t="s">
        <v>550</v>
      </c>
      <c r="L2249" s="13">
        <v>39.299999999999997</v>
      </c>
      <c r="M2249" s="13">
        <v>24</v>
      </c>
      <c r="N2249" s="13">
        <f t="shared" si="70"/>
        <v>1.6375</v>
      </c>
      <c r="O2249" s="13">
        <v>25</v>
      </c>
      <c r="P2249" s="13"/>
      <c r="Q2249" s="13">
        <v>0</v>
      </c>
      <c r="R2249" s="70">
        <f>L2249*O2249</f>
        <v>982.49999999999989</v>
      </c>
      <c r="S2249" s="70">
        <v>0</v>
      </c>
      <c r="T2249" s="70">
        <f>L2249*S2249</f>
        <v>0</v>
      </c>
      <c r="U2249" s="70">
        <f>R2249-T2249</f>
        <v>982.49999999999989</v>
      </c>
      <c r="V2249" s="70">
        <f>U2249*0</f>
        <v>0</v>
      </c>
      <c r="W2249" s="70">
        <f>U2249-V2249</f>
        <v>982.49999999999989</v>
      </c>
      <c r="X2249" s="70">
        <v>0</v>
      </c>
      <c r="Y2249" s="14">
        <f t="shared" si="78"/>
        <v>0</v>
      </c>
      <c r="Z2249" s="11" t="s">
        <v>26</v>
      </c>
      <c r="AA2249" s="12" t="s">
        <v>31</v>
      </c>
    </row>
    <row r="2250" spans="1:27" x14ac:dyDescent="0.25">
      <c r="A2250" s="10">
        <v>45689</v>
      </c>
      <c r="B2250" s="69">
        <v>1.72106481481481E-2</v>
      </c>
      <c r="C2250" s="11" t="s">
        <v>4616</v>
      </c>
      <c r="D2250" s="11" t="s">
        <v>26</v>
      </c>
      <c r="E2250" s="11" t="s">
        <v>246</v>
      </c>
      <c r="F2250" s="11" t="s">
        <v>26</v>
      </c>
      <c r="G2250" s="11">
        <v>2987</v>
      </c>
      <c r="H2250" s="12" t="s">
        <v>41</v>
      </c>
      <c r="I2250" s="12" t="s">
        <v>55</v>
      </c>
      <c r="J2250" s="12" t="s">
        <v>566</v>
      </c>
      <c r="K2250" s="12" t="s">
        <v>550</v>
      </c>
      <c r="L2250" s="13">
        <v>39.04</v>
      </c>
      <c r="M2250" s="13">
        <v>25</v>
      </c>
      <c r="N2250" s="13">
        <f t="shared" si="70"/>
        <v>1.5615999999999999</v>
      </c>
      <c r="O2250" s="13">
        <v>25</v>
      </c>
      <c r="P2250" s="13"/>
      <c r="Q2250" s="13">
        <v>0</v>
      </c>
      <c r="R2250" s="70">
        <f>L2250*O2250</f>
        <v>976</v>
      </c>
      <c r="S2250" s="70">
        <v>0</v>
      </c>
      <c r="T2250" s="70">
        <f>L2250*S2250</f>
        <v>0</v>
      </c>
      <c r="U2250" s="70">
        <f>R2250-T2250</f>
        <v>976</v>
      </c>
      <c r="V2250" s="70">
        <f>U2250*0</f>
        <v>0</v>
      </c>
      <c r="W2250" s="70">
        <f>U2250-V2250</f>
        <v>976</v>
      </c>
      <c r="X2250" s="70">
        <v>0</v>
      </c>
      <c r="Y2250" s="14">
        <f t="shared" si="78"/>
        <v>0</v>
      </c>
      <c r="Z2250" s="11" t="s">
        <v>26</v>
      </c>
      <c r="AA2250" s="12" t="s">
        <v>31</v>
      </c>
    </row>
    <row r="2251" spans="1:27" x14ac:dyDescent="0.25">
      <c r="A2251" s="10">
        <v>45689</v>
      </c>
      <c r="B2251" s="69">
        <v>1.9641203703703702E-2</v>
      </c>
      <c r="C2251" s="11" t="s">
        <v>4617</v>
      </c>
      <c r="D2251" s="11" t="s">
        <v>26</v>
      </c>
      <c r="E2251" s="11" t="s">
        <v>1200</v>
      </c>
      <c r="F2251" s="11" t="s">
        <v>26</v>
      </c>
      <c r="G2251" s="11">
        <v>2599</v>
      </c>
      <c r="H2251" s="12" t="s">
        <v>163</v>
      </c>
      <c r="I2251" s="12" t="s">
        <v>27</v>
      </c>
      <c r="J2251" s="12" t="s">
        <v>47</v>
      </c>
      <c r="K2251" s="12" t="s">
        <v>48</v>
      </c>
      <c r="L2251" s="13">
        <v>38.6</v>
      </c>
      <c r="M2251" s="13">
        <v>25</v>
      </c>
      <c r="N2251" s="13">
        <f t="shared" si="70"/>
        <v>1.544</v>
      </c>
      <c r="O2251" s="13" t="s">
        <v>30</v>
      </c>
      <c r="P2251" s="13">
        <v>60</v>
      </c>
      <c r="Q2251" s="13">
        <v>0</v>
      </c>
      <c r="R2251" s="70">
        <f>M2251*P2251</f>
        <v>1500</v>
      </c>
      <c r="S2251" s="70">
        <v>0</v>
      </c>
      <c r="T2251" s="70">
        <f>M2251*S2251</f>
        <v>0</v>
      </c>
      <c r="U2251" s="70">
        <f>R2251-T2251</f>
        <v>1500</v>
      </c>
      <c r="V2251" s="70">
        <f>U2251*0</f>
        <v>0</v>
      </c>
      <c r="W2251" s="70">
        <f>U2251-V2251</f>
        <v>1500</v>
      </c>
      <c r="X2251" s="70">
        <v>0</v>
      </c>
      <c r="Y2251" s="14">
        <f t="shared" si="78"/>
        <v>0</v>
      </c>
      <c r="Z2251" s="11" t="s">
        <v>26</v>
      </c>
      <c r="AA2251" s="12" t="s">
        <v>31</v>
      </c>
    </row>
    <row r="2252" spans="1:27" x14ac:dyDescent="0.25">
      <c r="A2252" s="10">
        <v>45689</v>
      </c>
      <c r="B2252" s="69">
        <v>2.2175925925925988E-2</v>
      </c>
      <c r="C2252" s="11" t="s">
        <v>4618</v>
      </c>
      <c r="D2252" s="11" t="s">
        <v>26</v>
      </c>
      <c r="E2252" s="11" t="s">
        <v>81</v>
      </c>
      <c r="F2252" s="11" t="s">
        <v>26</v>
      </c>
      <c r="G2252" s="11">
        <v>1208</v>
      </c>
      <c r="H2252" s="12" t="s">
        <v>141</v>
      </c>
      <c r="I2252" s="12" t="s">
        <v>37</v>
      </c>
      <c r="J2252" s="12" t="s">
        <v>85</v>
      </c>
      <c r="K2252" s="12" t="s">
        <v>86</v>
      </c>
      <c r="L2252" s="13">
        <v>39.26</v>
      </c>
      <c r="M2252" s="13">
        <v>25</v>
      </c>
      <c r="N2252" s="13">
        <f t="shared" si="70"/>
        <v>1.5704</v>
      </c>
      <c r="O2252" s="13">
        <v>29</v>
      </c>
      <c r="P2252" s="13" t="s">
        <v>30</v>
      </c>
      <c r="Q2252" s="13">
        <v>0</v>
      </c>
      <c r="R2252" s="70">
        <f t="shared" ref="R2252:R2253" si="93">L2252*O2252</f>
        <v>1138.54</v>
      </c>
      <c r="S2252" s="70">
        <v>0</v>
      </c>
      <c r="T2252" s="70">
        <f t="shared" ref="T2252:T2253" si="94">L2252*S2252</f>
        <v>0</v>
      </c>
      <c r="U2252" s="70">
        <f t="shared" ref="U2252:U2253" si="95">R2252-T2252</f>
        <v>1138.54</v>
      </c>
      <c r="V2252" s="70">
        <f t="shared" ref="V2252:V2253" si="96">U2252*0</f>
        <v>0</v>
      </c>
      <c r="W2252" s="70">
        <f t="shared" ref="W2252:W2253" si="97">U2252-V2252</f>
        <v>1138.54</v>
      </c>
      <c r="X2252" s="70">
        <v>0</v>
      </c>
      <c r="Y2252" s="14">
        <f t="shared" si="78"/>
        <v>0</v>
      </c>
      <c r="Z2252" s="11" t="s">
        <v>26</v>
      </c>
      <c r="AA2252" s="12" t="s">
        <v>31</v>
      </c>
    </row>
    <row r="2253" spans="1:27" x14ac:dyDescent="0.25">
      <c r="A2253" s="10">
        <v>45689</v>
      </c>
      <c r="B2253" s="69">
        <v>2.4560185185185102E-2</v>
      </c>
      <c r="C2253" s="11" t="s">
        <v>4619</v>
      </c>
      <c r="D2253" s="11" t="s">
        <v>26</v>
      </c>
      <c r="E2253" s="11" t="s">
        <v>501</v>
      </c>
      <c r="F2253" s="11" t="s">
        <v>26</v>
      </c>
      <c r="G2253" s="11">
        <v>814</v>
      </c>
      <c r="H2253" s="12" t="s">
        <v>141</v>
      </c>
      <c r="I2253" s="12" t="s">
        <v>37</v>
      </c>
      <c r="J2253" s="12" t="s">
        <v>85</v>
      </c>
      <c r="K2253" s="12" t="s">
        <v>86</v>
      </c>
      <c r="L2253" s="13">
        <v>40.42</v>
      </c>
      <c r="M2253" s="13">
        <v>25</v>
      </c>
      <c r="N2253" s="13">
        <f t="shared" si="70"/>
        <v>1.6168</v>
      </c>
      <c r="O2253" s="13">
        <v>29</v>
      </c>
      <c r="P2253" s="13" t="s">
        <v>30</v>
      </c>
      <c r="Q2253" s="13">
        <v>0</v>
      </c>
      <c r="R2253" s="70">
        <f t="shared" si="93"/>
        <v>1172.18</v>
      </c>
      <c r="S2253" s="70">
        <v>0</v>
      </c>
      <c r="T2253" s="70">
        <f t="shared" si="94"/>
        <v>0</v>
      </c>
      <c r="U2253" s="70">
        <f t="shared" si="95"/>
        <v>1172.18</v>
      </c>
      <c r="V2253" s="70">
        <f t="shared" si="96"/>
        <v>0</v>
      </c>
      <c r="W2253" s="70">
        <f t="shared" si="97"/>
        <v>1172.18</v>
      </c>
      <c r="X2253" s="70">
        <v>0</v>
      </c>
      <c r="Y2253" s="14">
        <f t="shared" si="78"/>
        <v>0</v>
      </c>
      <c r="Z2253" s="11" t="s">
        <v>26</v>
      </c>
      <c r="AA2253" s="12" t="s">
        <v>31</v>
      </c>
    </row>
    <row r="2254" spans="1:27" x14ac:dyDescent="0.25">
      <c r="A2254" s="10">
        <v>45689</v>
      </c>
      <c r="B2254" s="69">
        <v>2.9131944444444446E-2</v>
      </c>
      <c r="C2254" s="11" t="s">
        <v>4620</v>
      </c>
      <c r="D2254" s="11" t="s">
        <v>26</v>
      </c>
      <c r="E2254" s="11" t="s">
        <v>435</v>
      </c>
      <c r="F2254" s="11" t="s">
        <v>26</v>
      </c>
      <c r="G2254" s="11">
        <v>3541</v>
      </c>
      <c r="H2254" s="12" t="s">
        <v>41</v>
      </c>
      <c r="I2254" s="12" t="s">
        <v>55</v>
      </c>
      <c r="J2254" s="12" t="s">
        <v>55</v>
      </c>
      <c r="K2254" s="12" t="s">
        <v>56</v>
      </c>
      <c r="L2254" s="13">
        <v>39.76</v>
      </c>
      <c r="M2254" s="13">
        <v>24</v>
      </c>
      <c r="N2254" s="13">
        <f t="shared" si="70"/>
        <v>1.6566666666666665</v>
      </c>
      <c r="O2254" s="13" t="s">
        <v>30</v>
      </c>
      <c r="P2254" s="13">
        <v>24</v>
      </c>
      <c r="Q2254" s="13">
        <v>0</v>
      </c>
      <c r="R2254" s="70">
        <f>+M2254*P2254</f>
        <v>576</v>
      </c>
      <c r="S2254" s="70">
        <v>0</v>
      </c>
      <c r="T2254" s="70">
        <f>+M2254*S2254</f>
        <v>0</v>
      </c>
      <c r="U2254" s="70">
        <f t="shared" ref="U2254:U2257" si="98">+R2254-T2254</f>
        <v>576</v>
      </c>
      <c r="V2254" s="70">
        <f>+U2254*0</f>
        <v>0</v>
      </c>
      <c r="W2254" s="70">
        <f t="shared" ref="W2254:W2257" si="99">+U2254-V2254</f>
        <v>576</v>
      </c>
      <c r="X2254" s="70">
        <v>0</v>
      </c>
      <c r="Y2254" s="14">
        <f t="shared" si="78"/>
        <v>0</v>
      </c>
      <c r="Z2254" s="11" t="s">
        <v>26</v>
      </c>
      <c r="AA2254" s="12" t="s">
        <v>31</v>
      </c>
    </row>
    <row r="2255" spans="1:27" x14ac:dyDescent="0.25">
      <c r="A2255" s="10">
        <v>45689</v>
      </c>
      <c r="B2255" s="69">
        <v>2.2951388888888924E-2</v>
      </c>
      <c r="C2255" s="11" t="s">
        <v>4621</v>
      </c>
      <c r="D2255" s="11" t="s">
        <v>26</v>
      </c>
      <c r="E2255" s="11" t="s">
        <v>240</v>
      </c>
      <c r="F2255" s="11" t="s">
        <v>26</v>
      </c>
      <c r="G2255" s="11">
        <v>2859</v>
      </c>
      <c r="H2255" s="12" t="s">
        <v>41</v>
      </c>
      <c r="I2255" s="12" t="s">
        <v>55</v>
      </c>
      <c r="J2255" s="12" t="s">
        <v>55</v>
      </c>
      <c r="K2255" s="12" t="s">
        <v>56</v>
      </c>
      <c r="L2255" s="13">
        <v>40.54</v>
      </c>
      <c r="M2255" s="13">
        <v>25</v>
      </c>
      <c r="N2255" s="13">
        <f t="shared" si="70"/>
        <v>1.6215999999999999</v>
      </c>
      <c r="O2255" s="13" t="s">
        <v>30</v>
      </c>
      <c r="P2255" s="13">
        <v>24</v>
      </c>
      <c r="Q2255" s="13">
        <v>0</v>
      </c>
      <c r="R2255" s="70">
        <f>+M2255*P2255</f>
        <v>600</v>
      </c>
      <c r="S2255" s="70">
        <v>0</v>
      </c>
      <c r="T2255" s="70">
        <f>+M2255*S2255</f>
        <v>0</v>
      </c>
      <c r="U2255" s="70">
        <f t="shared" si="98"/>
        <v>600</v>
      </c>
      <c r="V2255" s="70">
        <f>+U2255*0</f>
        <v>0</v>
      </c>
      <c r="W2255" s="70">
        <f t="shared" si="99"/>
        <v>600</v>
      </c>
      <c r="X2255" s="70">
        <v>0</v>
      </c>
      <c r="Y2255" s="14">
        <f t="shared" si="78"/>
        <v>0</v>
      </c>
      <c r="Z2255" s="11" t="s">
        <v>26</v>
      </c>
      <c r="AA2255" s="12" t="s">
        <v>31</v>
      </c>
    </row>
    <row r="2256" spans="1:27" x14ac:dyDescent="0.25">
      <c r="A2256" s="10">
        <v>45689</v>
      </c>
      <c r="B2256" s="69">
        <v>2.7291666666666492E-2</v>
      </c>
      <c r="C2256" s="11" t="s">
        <v>4622</v>
      </c>
      <c r="D2256" s="11" t="s">
        <v>26</v>
      </c>
      <c r="E2256" s="11" t="s">
        <v>57</v>
      </c>
      <c r="F2256" s="11" t="s">
        <v>26</v>
      </c>
      <c r="G2256" s="11">
        <v>3678</v>
      </c>
      <c r="H2256" s="12" t="s">
        <v>41</v>
      </c>
      <c r="I2256" s="12" t="s">
        <v>55</v>
      </c>
      <c r="J2256" s="12" t="s">
        <v>55</v>
      </c>
      <c r="K2256" s="12" t="s">
        <v>56</v>
      </c>
      <c r="L2256" s="13">
        <v>40.380000000000003</v>
      </c>
      <c r="M2256" s="13">
        <v>25</v>
      </c>
      <c r="N2256" s="13">
        <f t="shared" si="70"/>
        <v>1.6152000000000002</v>
      </c>
      <c r="O2256" s="13" t="s">
        <v>30</v>
      </c>
      <c r="P2256" s="13">
        <v>24</v>
      </c>
      <c r="Q2256" s="13">
        <v>0</v>
      </c>
      <c r="R2256" s="70">
        <f>+M2256*P2256</f>
        <v>600</v>
      </c>
      <c r="S2256" s="70">
        <v>0</v>
      </c>
      <c r="T2256" s="70">
        <f>+M2256*S2256</f>
        <v>0</v>
      </c>
      <c r="U2256" s="70">
        <f t="shared" si="98"/>
        <v>600</v>
      </c>
      <c r="V2256" s="70">
        <f>+U2256*0</f>
        <v>0</v>
      </c>
      <c r="W2256" s="70">
        <f t="shared" si="99"/>
        <v>600</v>
      </c>
      <c r="X2256" s="70">
        <v>0</v>
      </c>
      <c r="Y2256" s="14">
        <f t="shared" si="78"/>
        <v>0</v>
      </c>
      <c r="Z2256" s="11" t="s">
        <v>26</v>
      </c>
      <c r="AA2256" s="12" t="s">
        <v>31</v>
      </c>
    </row>
    <row r="2257" spans="1:27" x14ac:dyDescent="0.25">
      <c r="A2257" s="10">
        <v>45689</v>
      </c>
      <c r="B2257" s="69">
        <v>2.2326388888888826E-2</v>
      </c>
      <c r="C2257" s="11" t="s">
        <v>4623</v>
      </c>
      <c r="D2257" s="11" t="s">
        <v>26</v>
      </c>
      <c r="E2257" s="11" t="s">
        <v>53</v>
      </c>
      <c r="F2257" s="11" t="s">
        <v>26</v>
      </c>
      <c r="G2257" s="11">
        <v>3786</v>
      </c>
      <c r="H2257" s="12" t="s">
        <v>41</v>
      </c>
      <c r="I2257" s="12" t="s">
        <v>55</v>
      </c>
      <c r="J2257" s="12" t="s">
        <v>55</v>
      </c>
      <c r="K2257" s="12" t="s">
        <v>56</v>
      </c>
      <c r="L2257" s="13">
        <v>41.5</v>
      </c>
      <c r="M2257" s="13">
        <v>25</v>
      </c>
      <c r="N2257" s="13">
        <f t="shared" si="70"/>
        <v>1.66</v>
      </c>
      <c r="O2257" s="13" t="s">
        <v>30</v>
      </c>
      <c r="P2257" s="13">
        <v>24</v>
      </c>
      <c r="Q2257" s="13">
        <v>0</v>
      </c>
      <c r="R2257" s="70">
        <f>+M2257*P2257</f>
        <v>600</v>
      </c>
      <c r="S2257" s="70">
        <v>0</v>
      </c>
      <c r="T2257" s="70">
        <f>+M2257*S2257</f>
        <v>0</v>
      </c>
      <c r="U2257" s="70">
        <f t="shared" si="98"/>
        <v>600</v>
      </c>
      <c r="V2257" s="70">
        <f>+U2257*0</f>
        <v>0</v>
      </c>
      <c r="W2257" s="70">
        <f t="shared" si="99"/>
        <v>600</v>
      </c>
      <c r="X2257" s="70">
        <v>0</v>
      </c>
      <c r="Y2257" s="14">
        <f t="shared" si="78"/>
        <v>0</v>
      </c>
      <c r="Z2257" s="11" t="s">
        <v>26</v>
      </c>
      <c r="AA2257" s="12" t="s">
        <v>31</v>
      </c>
    </row>
    <row r="2258" spans="1:27" x14ac:dyDescent="0.25">
      <c r="A2258" s="10">
        <v>45691</v>
      </c>
      <c r="B2258" s="69">
        <v>1.4351851851851838E-2</v>
      </c>
      <c r="C2258" s="11" t="s">
        <v>4624</v>
      </c>
      <c r="D2258" s="11">
        <v>16788</v>
      </c>
      <c r="E2258" s="11" t="s">
        <v>100</v>
      </c>
      <c r="F2258" s="11" t="s">
        <v>26</v>
      </c>
      <c r="G2258" s="11">
        <v>21741</v>
      </c>
      <c r="H2258" s="12" t="s">
        <v>4448</v>
      </c>
      <c r="I2258" s="12" t="s">
        <v>27</v>
      </c>
      <c r="J2258" s="12" t="s">
        <v>47</v>
      </c>
      <c r="K2258" s="12" t="s">
        <v>48</v>
      </c>
      <c r="L2258" s="13">
        <v>37.44</v>
      </c>
      <c r="M2258" s="13">
        <v>25</v>
      </c>
      <c r="N2258" s="13">
        <f t="shared" si="70"/>
        <v>1.4975999999999998</v>
      </c>
      <c r="O2258" s="13">
        <v>46.66</v>
      </c>
      <c r="P2258" s="13" t="s">
        <v>30</v>
      </c>
      <c r="Q2258" s="13">
        <v>0</v>
      </c>
      <c r="R2258" s="70">
        <f>+L2258*O2258</f>
        <v>1746.9503999999997</v>
      </c>
      <c r="S2258" s="70">
        <v>0</v>
      </c>
      <c r="T2258" s="70">
        <f>+L2258*S2258</f>
        <v>0</v>
      </c>
      <c r="U2258" s="70">
        <f>+R2258-T2258</f>
        <v>1746.9503999999997</v>
      </c>
      <c r="V2258" s="70">
        <f>+U2258*0.75</f>
        <v>1310.2127999999998</v>
      </c>
      <c r="W2258" s="70">
        <f>+U2258-V2258</f>
        <v>436.73759999999993</v>
      </c>
      <c r="X2258" s="70">
        <v>0</v>
      </c>
      <c r="Y2258" s="14">
        <f t="shared" si="78"/>
        <v>0</v>
      </c>
      <c r="Z2258" s="11" t="s">
        <v>26</v>
      </c>
      <c r="AA2258" s="12" t="s">
        <v>31</v>
      </c>
    </row>
    <row r="2259" spans="1:27" x14ac:dyDescent="0.25">
      <c r="A2259" s="10">
        <v>45691</v>
      </c>
      <c r="B2259" s="69">
        <v>1.518518518518519E-2</v>
      </c>
      <c r="C2259" s="11" t="s">
        <v>4625</v>
      </c>
      <c r="D2259" s="11">
        <v>16789</v>
      </c>
      <c r="E2259" s="11" t="s">
        <v>496</v>
      </c>
      <c r="F2259" s="11" t="s">
        <v>26</v>
      </c>
      <c r="G2259" s="11">
        <v>22918</v>
      </c>
      <c r="H2259" s="12" t="s">
        <v>4448</v>
      </c>
      <c r="I2259" s="12" t="s">
        <v>27</v>
      </c>
      <c r="J2259" s="12" t="s">
        <v>33</v>
      </c>
      <c r="K2259" s="12" t="s">
        <v>34</v>
      </c>
      <c r="L2259" s="13">
        <v>38.840000000000003</v>
      </c>
      <c r="M2259" s="13">
        <v>25</v>
      </c>
      <c r="N2259" s="13">
        <f t="shared" si="70"/>
        <v>1.5536000000000001</v>
      </c>
      <c r="O2259" s="13">
        <v>45.33</v>
      </c>
      <c r="P2259" s="13" t="s">
        <v>30</v>
      </c>
      <c r="Q2259" s="13">
        <v>0</v>
      </c>
      <c r="R2259" s="70">
        <f>+L2259*O2259</f>
        <v>1760.6172000000001</v>
      </c>
      <c r="S2259" s="70">
        <v>0</v>
      </c>
      <c r="T2259" s="70">
        <f>+L2259*S2259</f>
        <v>0</v>
      </c>
      <c r="U2259" s="70">
        <f>+R2259-T2259</f>
        <v>1760.6172000000001</v>
      </c>
      <c r="V2259" s="70">
        <f>+U2259*0.75</f>
        <v>1320.4629</v>
      </c>
      <c r="W2259" s="70">
        <f>+U2259-V2259</f>
        <v>440.15430000000015</v>
      </c>
      <c r="X2259" s="70">
        <v>0</v>
      </c>
      <c r="Y2259" s="14">
        <f t="shared" si="78"/>
        <v>0</v>
      </c>
      <c r="Z2259" s="11" t="s">
        <v>26</v>
      </c>
      <c r="AA2259" s="12" t="s">
        <v>31</v>
      </c>
    </row>
    <row r="2260" spans="1:27" x14ac:dyDescent="0.25">
      <c r="A2260" s="10">
        <v>45691</v>
      </c>
      <c r="B2260" s="69">
        <v>1.6180555555555587E-2</v>
      </c>
      <c r="C2260" s="11" t="s">
        <v>4626</v>
      </c>
      <c r="D2260" s="11">
        <v>16790</v>
      </c>
      <c r="E2260" s="11" t="s">
        <v>53</v>
      </c>
      <c r="F2260" s="11" t="s">
        <v>26</v>
      </c>
      <c r="G2260" s="11" t="s">
        <v>26</v>
      </c>
      <c r="H2260" s="12" t="s">
        <v>4422</v>
      </c>
      <c r="I2260" s="12" t="s">
        <v>27</v>
      </c>
      <c r="J2260" s="12" t="s">
        <v>47</v>
      </c>
      <c r="K2260" s="12" t="s">
        <v>48</v>
      </c>
      <c r="L2260" s="13">
        <v>44.48</v>
      </c>
      <c r="M2260" s="13">
        <v>30</v>
      </c>
      <c r="N2260" s="13">
        <f t="shared" si="70"/>
        <v>1.4826666666666666</v>
      </c>
      <c r="O2260" s="13">
        <v>87</v>
      </c>
      <c r="P2260" s="13" t="s">
        <v>30</v>
      </c>
      <c r="Q2260" s="13">
        <v>0</v>
      </c>
      <c r="R2260" s="70">
        <f>L2260*O2260</f>
        <v>3869.7599999999998</v>
      </c>
      <c r="S2260" s="70">
        <v>38</v>
      </c>
      <c r="T2260" s="70">
        <f>L2260*S2260</f>
        <v>1690.2399999999998</v>
      </c>
      <c r="U2260" s="70">
        <f>R2260-T2260</f>
        <v>2179.52</v>
      </c>
      <c r="V2260" s="70">
        <f>U2260*1</f>
        <v>2179.52</v>
      </c>
      <c r="W2260" s="70">
        <f>U2260-V2260</f>
        <v>0</v>
      </c>
      <c r="X2260" s="70">
        <f>L2260*37</f>
        <v>1645.76</v>
      </c>
      <c r="Y2260" s="71">
        <f t="shared" ref="Y2260" si="100">+T2260-X2260</f>
        <v>44.479999999999791</v>
      </c>
      <c r="Z2260" s="12" t="s">
        <v>41</v>
      </c>
      <c r="AA2260" s="12" t="s">
        <v>78</v>
      </c>
    </row>
    <row r="2261" spans="1:27" x14ac:dyDescent="0.25">
      <c r="A2261" s="10">
        <v>45691</v>
      </c>
      <c r="B2261" s="69">
        <v>1.8738425925925895E-2</v>
      </c>
      <c r="C2261" s="11" t="s">
        <v>4627</v>
      </c>
      <c r="D2261" s="11">
        <v>16791</v>
      </c>
      <c r="E2261" s="11" t="s">
        <v>224</v>
      </c>
      <c r="F2261" s="11" t="s">
        <v>26</v>
      </c>
      <c r="G2261" s="11">
        <v>55348</v>
      </c>
      <c r="H2261" s="12" t="s">
        <v>4423</v>
      </c>
      <c r="I2261" s="12" t="s">
        <v>27</v>
      </c>
      <c r="J2261" s="12" t="s">
        <v>33</v>
      </c>
      <c r="K2261" s="12" t="s">
        <v>34</v>
      </c>
      <c r="L2261" s="13">
        <v>36.18</v>
      </c>
      <c r="M2261" s="13">
        <v>25</v>
      </c>
      <c r="N2261" s="13">
        <f t="shared" si="70"/>
        <v>1.4472</v>
      </c>
      <c r="O2261" s="13">
        <v>45</v>
      </c>
      <c r="P2261" s="13" t="s">
        <v>30</v>
      </c>
      <c r="Q2261" s="13">
        <v>0</v>
      </c>
      <c r="R2261" s="70">
        <f>+L2261*O2261</f>
        <v>1628.1</v>
      </c>
      <c r="S2261" s="70">
        <v>0</v>
      </c>
      <c r="T2261" s="70">
        <f>+L2261*S2261</f>
        <v>0</v>
      </c>
      <c r="U2261" s="70">
        <f t="shared" ref="U2261" si="101">+R2261-T2261</f>
        <v>1628.1</v>
      </c>
      <c r="V2261" s="70">
        <f>+U2261*1</f>
        <v>1628.1</v>
      </c>
      <c r="W2261" s="70">
        <f t="shared" ref="W2261" si="102">+U2261-V2261</f>
        <v>0</v>
      </c>
      <c r="X2261" s="70">
        <v>0</v>
      </c>
      <c r="Y2261" s="14">
        <f t="shared" ref="Y2261:Y2270" si="103">T2261-X2261</f>
        <v>0</v>
      </c>
      <c r="Z2261" s="11" t="s">
        <v>26</v>
      </c>
      <c r="AA2261" s="12" t="s">
        <v>31</v>
      </c>
    </row>
    <row r="2262" spans="1:27" x14ac:dyDescent="0.25">
      <c r="A2262" s="10">
        <v>45691</v>
      </c>
      <c r="B2262" s="69">
        <v>1.8425925925925901E-2</v>
      </c>
      <c r="C2262" s="11" t="s">
        <v>4628</v>
      </c>
      <c r="D2262" s="11">
        <v>16792</v>
      </c>
      <c r="E2262" s="11" t="s">
        <v>539</v>
      </c>
      <c r="F2262" s="11" t="s">
        <v>26</v>
      </c>
      <c r="G2262" s="11">
        <v>3849</v>
      </c>
      <c r="H2262" s="12" t="s">
        <v>41</v>
      </c>
      <c r="I2262" s="12" t="s">
        <v>27</v>
      </c>
      <c r="J2262" s="12" t="s">
        <v>42</v>
      </c>
      <c r="K2262" s="12" t="s">
        <v>43</v>
      </c>
      <c r="L2262" s="13">
        <v>40.46</v>
      </c>
      <c r="M2262" s="13">
        <v>25</v>
      </c>
      <c r="N2262" s="13">
        <f t="shared" si="70"/>
        <v>1.6184000000000001</v>
      </c>
      <c r="O2262" s="13" t="s">
        <v>30</v>
      </c>
      <c r="P2262" s="13">
        <v>64</v>
      </c>
      <c r="Q2262" s="13">
        <v>0</v>
      </c>
      <c r="R2262" s="70">
        <f>M2262*P2262</f>
        <v>1600</v>
      </c>
      <c r="S2262" s="70">
        <v>0</v>
      </c>
      <c r="T2262" s="70">
        <f>M2262*S2262</f>
        <v>0</v>
      </c>
      <c r="U2262" s="70">
        <f>+R2262-T2262</f>
        <v>1600</v>
      </c>
      <c r="V2262" s="70">
        <f>+U2262*0</f>
        <v>0</v>
      </c>
      <c r="W2262" s="70">
        <f>+U2262-V2262</f>
        <v>1600</v>
      </c>
      <c r="X2262" s="70">
        <v>0</v>
      </c>
      <c r="Y2262" s="14">
        <f t="shared" si="103"/>
        <v>0</v>
      </c>
      <c r="Z2262" s="11" t="s">
        <v>26</v>
      </c>
      <c r="AA2262" s="12" t="s">
        <v>31</v>
      </c>
    </row>
    <row r="2263" spans="1:27" x14ac:dyDescent="0.25">
      <c r="A2263" s="10">
        <v>45691</v>
      </c>
      <c r="B2263" s="69">
        <v>2.270833333333333E-2</v>
      </c>
      <c r="C2263" s="11" t="s">
        <v>4629</v>
      </c>
      <c r="D2263" s="11">
        <v>16793</v>
      </c>
      <c r="E2263" s="11" t="s">
        <v>519</v>
      </c>
      <c r="F2263" s="11" t="s">
        <v>26</v>
      </c>
      <c r="G2263" s="11">
        <v>21767</v>
      </c>
      <c r="H2263" s="12" t="s">
        <v>4448</v>
      </c>
      <c r="I2263" s="12" t="s">
        <v>55</v>
      </c>
      <c r="J2263" s="12" t="s">
        <v>55</v>
      </c>
      <c r="K2263" s="12" t="s">
        <v>56</v>
      </c>
      <c r="L2263" s="13">
        <v>36.68</v>
      </c>
      <c r="M2263" s="13">
        <v>25</v>
      </c>
      <c r="N2263" s="13">
        <f t="shared" si="70"/>
        <v>1.4672000000000001</v>
      </c>
      <c r="O2263" s="13">
        <v>15</v>
      </c>
      <c r="P2263" s="13" t="s">
        <v>30</v>
      </c>
      <c r="Q2263" s="13">
        <v>0</v>
      </c>
      <c r="R2263" s="70">
        <f>+L2263*O2263</f>
        <v>550.20000000000005</v>
      </c>
      <c r="S2263" s="70">
        <v>0</v>
      </c>
      <c r="T2263" s="70">
        <f>+L2263*S2263</f>
        <v>0</v>
      </c>
      <c r="U2263" s="70">
        <f>+R2263-T2263</f>
        <v>550.20000000000005</v>
      </c>
      <c r="V2263" s="70">
        <f>+U2263*0.75</f>
        <v>412.65000000000003</v>
      </c>
      <c r="W2263" s="70">
        <f>+U2263-V2263</f>
        <v>137.55000000000001</v>
      </c>
      <c r="X2263" s="70">
        <v>0</v>
      </c>
      <c r="Y2263" s="14">
        <f t="shared" si="103"/>
        <v>0</v>
      </c>
      <c r="Z2263" s="11" t="s">
        <v>26</v>
      </c>
      <c r="AA2263" s="12" t="s">
        <v>31</v>
      </c>
    </row>
    <row r="2264" spans="1:27" x14ac:dyDescent="0.25">
      <c r="A2264" s="10">
        <v>45691</v>
      </c>
      <c r="B2264" s="69">
        <v>2.4652777777777801E-2</v>
      </c>
      <c r="C2264" s="11" t="s">
        <v>4630</v>
      </c>
      <c r="D2264" s="11">
        <v>16794</v>
      </c>
      <c r="E2264" s="11" t="s">
        <v>246</v>
      </c>
      <c r="F2264" s="11" t="s">
        <v>26</v>
      </c>
      <c r="G2264" s="11">
        <v>2988</v>
      </c>
      <c r="H2264" s="12" t="s">
        <v>41</v>
      </c>
      <c r="I2264" s="12" t="s">
        <v>27</v>
      </c>
      <c r="J2264" s="12" t="s">
        <v>33</v>
      </c>
      <c r="K2264" s="12" t="s">
        <v>34</v>
      </c>
      <c r="L2264" s="13">
        <v>34.72</v>
      </c>
      <c r="M2264" s="13">
        <v>25</v>
      </c>
      <c r="N2264" s="13">
        <f t="shared" si="70"/>
        <v>1.3888</v>
      </c>
      <c r="O2264" s="13" t="s">
        <v>30</v>
      </c>
      <c r="P2264" s="13">
        <v>60</v>
      </c>
      <c r="Q2264" s="13">
        <v>0</v>
      </c>
      <c r="R2264" s="70">
        <f>M2264*P2264</f>
        <v>1500</v>
      </c>
      <c r="S2264" s="70">
        <v>0</v>
      </c>
      <c r="T2264" s="70">
        <f>M2264*S2264</f>
        <v>0</v>
      </c>
      <c r="U2264" s="70">
        <f t="shared" ref="U2264" si="104">+R2264-T2264</f>
        <v>1500</v>
      </c>
      <c r="V2264" s="70">
        <f>+U2264*0</f>
        <v>0</v>
      </c>
      <c r="W2264" s="70">
        <f t="shared" ref="W2264" si="105">+U2264-V2264</f>
        <v>1500</v>
      </c>
      <c r="X2264" s="70">
        <v>0</v>
      </c>
      <c r="Y2264" s="14">
        <f t="shared" si="103"/>
        <v>0</v>
      </c>
      <c r="Z2264" s="11" t="s">
        <v>26</v>
      </c>
      <c r="AA2264" s="12" t="s">
        <v>31</v>
      </c>
    </row>
    <row r="2265" spans="1:27" x14ac:dyDescent="0.25">
      <c r="A2265" s="10">
        <v>45691</v>
      </c>
      <c r="B2265" s="69">
        <v>2.9131944444444446E-2</v>
      </c>
      <c r="C2265" s="11" t="s">
        <v>4631</v>
      </c>
      <c r="D2265" s="11">
        <v>16795</v>
      </c>
      <c r="E2265" s="11" t="s">
        <v>480</v>
      </c>
      <c r="F2265" s="11" t="s">
        <v>26</v>
      </c>
      <c r="G2265" s="11">
        <v>70406</v>
      </c>
      <c r="H2265" s="12" t="s">
        <v>4448</v>
      </c>
      <c r="I2265" s="12" t="s">
        <v>55</v>
      </c>
      <c r="J2265" s="12" t="s">
        <v>55</v>
      </c>
      <c r="K2265" s="12" t="s">
        <v>56</v>
      </c>
      <c r="L2265" s="13">
        <v>35.479999999999997</v>
      </c>
      <c r="M2265" s="13">
        <v>25</v>
      </c>
      <c r="N2265" s="13">
        <f t="shared" si="70"/>
        <v>1.4191999999999998</v>
      </c>
      <c r="O2265" s="13">
        <v>15</v>
      </c>
      <c r="P2265" s="13" t="s">
        <v>30</v>
      </c>
      <c r="Q2265" s="13">
        <v>0</v>
      </c>
      <c r="R2265" s="70">
        <f>+L2265*O2265</f>
        <v>532.19999999999993</v>
      </c>
      <c r="S2265" s="70">
        <v>0</v>
      </c>
      <c r="T2265" s="70">
        <f>+L2265*S2265</f>
        <v>0</v>
      </c>
      <c r="U2265" s="70">
        <f>+R2265-T2265</f>
        <v>532.19999999999993</v>
      </c>
      <c r="V2265" s="70">
        <f>+U2265*0.75</f>
        <v>399.15</v>
      </c>
      <c r="W2265" s="70">
        <f>+U2265-V2265</f>
        <v>133.04999999999995</v>
      </c>
      <c r="X2265" s="70">
        <v>0</v>
      </c>
      <c r="Y2265" s="14">
        <f t="shared" si="103"/>
        <v>0</v>
      </c>
      <c r="Z2265" s="11" t="s">
        <v>26</v>
      </c>
      <c r="AA2265" s="12" t="s">
        <v>31</v>
      </c>
    </row>
    <row r="2266" spans="1:27" x14ac:dyDescent="0.25">
      <c r="A2266" s="10">
        <v>45691</v>
      </c>
      <c r="B2266" s="69">
        <v>2.7523148148148158E-2</v>
      </c>
      <c r="C2266" s="11" t="s">
        <v>4632</v>
      </c>
      <c r="D2266" s="11">
        <v>16796</v>
      </c>
      <c r="E2266" s="11" t="s">
        <v>552</v>
      </c>
      <c r="F2266" s="11" t="s">
        <v>26</v>
      </c>
      <c r="G2266" s="11">
        <v>69144</v>
      </c>
      <c r="H2266" s="12" t="s">
        <v>4423</v>
      </c>
      <c r="I2266" s="12" t="s">
        <v>27</v>
      </c>
      <c r="J2266" s="12" t="s">
        <v>33</v>
      </c>
      <c r="K2266" s="12" t="s">
        <v>34</v>
      </c>
      <c r="L2266" s="13">
        <v>36.979999999999997</v>
      </c>
      <c r="M2266" s="13">
        <v>25</v>
      </c>
      <c r="N2266" s="13">
        <f t="shared" si="70"/>
        <v>1.4791999999999998</v>
      </c>
      <c r="O2266" s="13">
        <v>45</v>
      </c>
      <c r="P2266" s="13" t="s">
        <v>30</v>
      </c>
      <c r="Q2266" s="13">
        <v>0</v>
      </c>
      <c r="R2266" s="70">
        <f>+L2266*O2266</f>
        <v>1664.1</v>
      </c>
      <c r="S2266" s="70">
        <v>0</v>
      </c>
      <c r="T2266" s="70">
        <f>+L2266*S2266</f>
        <v>0</v>
      </c>
      <c r="U2266" s="70">
        <f t="shared" ref="U2266" si="106">+R2266-T2266</f>
        <v>1664.1</v>
      </c>
      <c r="V2266" s="70">
        <f>+U2266*1</f>
        <v>1664.1</v>
      </c>
      <c r="W2266" s="70">
        <f t="shared" ref="W2266" si="107">+U2266-V2266</f>
        <v>0</v>
      </c>
      <c r="X2266" s="70">
        <v>0</v>
      </c>
      <c r="Y2266" s="14">
        <f t="shared" si="103"/>
        <v>0</v>
      </c>
      <c r="Z2266" s="11" t="s">
        <v>26</v>
      </c>
      <c r="AA2266" s="12" t="s">
        <v>31</v>
      </c>
    </row>
    <row r="2267" spans="1:27" x14ac:dyDescent="0.25">
      <c r="A2267" s="10">
        <v>45691</v>
      </c>
      <c r="B2267" s="69">
        <v>3.1192129629629584E-2</v>
      </c>
      <c r="C2267" s="11" t="s">
        <v>4633</v>
      </c>
      <c r="D2267" s="11">
        <v>16797</v>
      </c>
      <c r="E2267" s="11" t="s">
        <v>44</v>
      </c>
      <c r="F2267" s="11" t="s">
        <v>26</v>
      </c>
      <c r="G2267" s="11">
        <v>1586</v>
      </c>
      <c r="H2267" s="12" t="s">
        <v>45</v>
      </c>
      <c r="I2267" s="12" t="s">
        <v>27</v>
      </c>
      <c r="J2267" s="12" t="s">
        <v>33</v>
      </c>
      <c r="K2267" s="12" t="s">
        <v>34</v>
      </c>
      <c r="L2267" s="13">
        <v>37.78</v>
      </c>
      <c r="M2267" s="13">
        <v>25</v>
      </c>
      <c r="N2267" s="13">
        <f t="shared" si="70"/>
        <v>1.5112000000000001</v>
      </c>
      <c r="O2267" s="13" t="s">
        <v>30</v>
      </c>
      <c r="P2267" s="13">
        <v>58</v>
      </c>
      <c r="Q2267" s="13">
        <v>0</v>
      </c>
      <c r="R2267" s="70">
        <f>M2267*P2267</f>
        <v>1450</v>
      </c>
      <c r="S2267" s="70">
        <v>0</v>
      </c>
      <c r="T2267" s="70">
        <f>M2267*S2267</f>
        <v>0</v>
      </c>
      <c r="U2267" s="70">
        <f>R2267-T2267</f>
        <v>1450</v>
      </c>
      <c r="V2267" s="70">
        <f>U2267*0</f>
        <v>0</v>
      </c>
      <c r="W2267" s="70">
        <f>U2267-V2267</f>
        <v>1450</v>
      </c>
      <c r="X2267" s="70">
        <v>0</v>
      </c>
      <c r="Y2267" s="14">
        <f t="shared" si="103"/>
        <v>0</v>
      </c>
      <c r="Z2267" s="11" t="s">
        <v>26</v>
      </c>
      <c r="AA2267" s="12" t="s">
        <v>31</v>
      </c>
    </row>
    <row r="2268" spans="1:27" x14ac:dyDescent="0.25">
      <c r="A2268" s="10">
        <v>45691</v>
      </c>
      <c r="B2268" s="69">
        <v>3.7893518518518521E-2</v>
      </c>
      <c r="C2268" s="11" t="s">
        <v>4634</v>
      </c>
      <c r="D2268" s="11">
        <v>16798</v>
      </c>
      <c r="E2268" s="11" t="s">
        <v>49</v>
      </c>
      <c r="F2268" s="11" t="s">
        <v>26</v>
      </c>
      <c r="G2268" s="11">
        <v>1581</v>
      </c>
      <c r="H2268" s="12" t="s">
        <v>45</v>
      </c>
      <c r="I2268" s="12" t="s">
        <v>27</v>
      </c>
      <c r="J2268" s="12" t="s">
        <v>33</v>
      </c>
      <c r="K2268" s="12" t="s">
        <v>34</v>
      </c>
      <c r="L2268" s="13">
        <v>37.659999999999997</v>
      </c>
      <c r="M2268" s="13">
        <v>25</v>
      </c>
      <c r="N2268" s="13">
        <f t="shared" si="70"/>
        <v>1.5064</v>
      </c>
      <c r="O2268" s="13" t="s">
        <v>30</v>
      </c>
      <c r="P2268" s="13">
        <v>58</v>
      </c>
      <c r="Q2268" s="13">
        <v>0</v>
      </c>
      <c r="R2268" s="70">
        <f>M2268*P2268</f>
        <v>1450</v>
      </c>
      <c r="S2268" s="70">
        <v>0</v>
      </c>
      <c r="T2268" s="70">
        <f>M2268*S2268</f>
        <v>0</v>
      </c>
      <c r="U2268" s="70">
        <f>R2268-T2268</f>
        <v>1450</v>
      </c>
      <c r="V2268" s="70">
        <f>U2268*0</f>
        <v>0</v>
      </c>
      <c r="W2268" s="70">
        <f>U2268-V2268</f>
        <v>1450</v>
      </c>
      <c r="X2268" s="70">
        <v>0</v>
      </c>
      <c r="Y2268" s="14">
        <f t="shared" si="103"/>
        <v>0</v>
      </c>
      <c r="Z2268" s="11" t="s">
        <v>26</v>
      </c>
      <c r="AA2268" s="12" t="s">
        <v>31</v>
      </c>
    </row>
    <row r="2269" spans="1:27" x14ac:dyDescent="0.25">
      <c r="A2269" s="10">
        <v>45691</v>
      </c>
      <c r="B2269" s="69">
        <v>4.6712962962962956E-2</v>
      </c>
      <c r="C2269" s="11" t="s">
        <v>4635</v>
      </c>
      <c r="D2269" s="11">
        <v>16799</v>
      </c>
      <c r="E2269" s="11" t="s">
        <v>54</v>
      </c>
      <c r="F2269" s="11" t="s">
        <v>26</v>
      </c>
      <c r="G2269" s="11">
        <v>112383</v>
      </c>
      <c r="H2269" s="12" t="s">
        <v>4446</v>
      </c>
      <c r="I2269" s="12" t="s">
        <v>27</v>
      </c>
      <c r="J2269" s="12" t="s">
        <v>33</v>
      </c>
      <c r="K2269" s="12" t="s">
        <v>34</v>
      </c>
      <c r="L2269" s="13">
        <v>34.840000000000003</v>
      </c>
      <c r="M2269" s="13">
        <v>25</v>
      </c>
      <c r="N2269" s="13">
        <f t="shared" si="70"/>
        <v>1.3936000000000002</v>
      </c>
      <c r="O2269" s="13">
        <v>44</v>
      </c>
      <c r="P2269" s="13" t="s">
        <v>30</v>
      </c>
      <c r="Q2269" s="13">
        <v>0</v>
      </c>
      <c r="R2269" s="70">
        <f t="shared" ref="R2269" si="108">+L2269*O2269</f>
        <v>1532.96</v>
      </c>
      <c r="S2269" s="70">
        <v>0</v>
      </c>
      <c r="T2269" s="70">
        <f>+L2269*S2269</f>
        <v>0</v>
      </c>
      <c r="U2269" s="70">
        <f>+R2269-T2269</f>
        <v>1532.96</v>
      </c>
      <c r="V2269" s="70">
        <f>+U2269*1</f>
        <v>1532.96</v>
      </c>
      <c r="W2269" s="70">
        <f>+U2269-V2269</f>
        <v>0</v>
      </c>
      <c r="X2269" s="70">
        <v>0</v>
      </c>
      <c r="Y2269" s="14">
        <f t="shared" si="103"/>
        <v>0</v>
      </c>
      <c r="Z2269" s="11" t="s">
        <v>26</v>
      </c>
      <c r="AA2269" s="12" t="s">
        <v>31</v>
      </c>
    </row>
    <row r="2270" spans="1:27" x14ac:dyDescent="0.25">
      <c r="A2270" s="10">
        <v>45691</v>
      </c>
      <c r="B2270" s="69">
        <v>2.915509259259258E-2</v>
      </c>
      <c r="C2270" s="11" t="s">
        <v>4636</v>
      </c>
      <c r="D2270" s="11">
        <v>16800</v>
      </c>
      <c r="E2270" s="11" t="s">
        <v>1200</v>
      </c>
      <c r="F2270" s="11" t="s">
        <v>26</v>
      </c>
      <c r="G2270" s="11">
        <v>2600</v>
      </c>
      <c r="H2270" s="12" t="s">
        <v>163</v>
      </c>
      <c r="I2270" s="12" t="s">
        <v>55</v>
      </c>
      <c r="J2270" s="12" t="s">
        <v>55</v>
      </c>
      <c r="K2270" s="12" t="s">
        <v>56</v>
      </c>
      <c r="L2270" s="13">
        <v>42.68</v>
      </c>
      <c r="M2270" s="13">
        <v>25</v>
      </c>
      <c r="N2270" s="13">
        <f t="shared" si="70"/>
        <v>1.7072000000000001</v>
      </c>
      <c r="O2270" s="13" t="s">
        <v>30</v>
      </c>
      <c r="P2270" s="13">
        <v>25</v>
      </c>
      <c r="Q2270" s="13">
        <v>0</v>
      </c>
      <c r="R2270" s="70">
        <f>M2270*P2270</f>
        <v>625</v>
      </c>
      <c r="S2270" s="70">
        <v>0</v>
      </c>
      <c r="T2270" s="70">
        <f>M2270*S2270</f>
        <v>0</v>
      </c>
      <c r="U2270" s="70">
        <f>R2270-T2270</f>
        <v>625</v>
      </c>
      <c r="V2270" s="70">
        <f>U2270*0</f>
        <v>0</v>
      </c>
      <c r="W2270" s="70">
        <f>U2270-V2270</f>
        <v>625</v>
      </c>
      <c r="X2270" s="70">
        <v>0</v>
      </c>
      <c r="Y2270" s="14">
        <f t="shared" si="103"/>
        <v>0</v>
      </c>
      <c r="Z2270" s="11" t="s">
        <v>26</v>
      </c>
      <c r="AA2270" s="12" t="s">
        <v>31</v>
      </c>
    </row>
    <row r="2271" spans="1:27" x14ac:dyDescent="0.25">
      <c r="A2271" s="10">
        <v>45691</v>
      </c>
      <c r="B2271" s="69">
        <v>1.1238425925925888E-2</v>
      </c>
      <c r="C2271" s="11" t="s">
        <v>4637</v>
      </c>
      <c r="D2271" s="11">
        <v>16801</v>
      </c>
      <c r="E2271" s="11" t="s">
        <v>520</v>
      </c>
      <c r="F2271" s="11" t="s">
        <v>26</v>
      </c>
      <c r="G2271" s="11" t="s">
        <v>26</v>
      </c>
      <c r="H2271" s="12" t="s">
        <v>4422</v>
      </c>
      <c r="I2271" s="12" t="s">
        <v>27</v>
      </c>
      <c r="J2271" s="12" t="s">
        <v>47</v>
      </c>
      <c r="K2271" s="12" t="s">
        <v>48</v>
      </c>
      <c r="L2271" s="13">
        <v>40.94</v>
      </c>
      <c r="M2271" s="13">
        <v>28</v>
      </c>
      <c r="N2271" s="13">
        <f t="shared" si="70"/>
        <v>1.462142857142857</v>
      </c>
      <c r="O2271" s="13">
        <v>87</v>
      </c>
      <c r="P2271" s="13" t="s">
        <v>30</v>
      </c>
      <c r="Q2271" s="13">
        <v>0</v>
      </c>
      <c r="R2271" s="70">
        <f>L2271*O2271</f>
        <v>3561.7799999999997</v>
      </c>
      <c r="S2271" s="70">
        <v>38</v>
      </c>
      <c r="T2271" s="70">
        <f>L2271*S2271</f>
        <v>1555.7199999999998</v>
      </c>
      <c r="U2271" s="70">
        <f>R2271-T2271</f>
        <v>2006.06</v>
      </c>
      <c r="V2271" s="70">
        <f>U2271*1</f>
        <v>2006.06</v>
      </c>
      <c r="W2271" s="70">
        <f>U2271-V2271</f>
        <v>0</v>
      </c>
      <c r="X2271" s="70">
        <f>L2271*36</f>
        <v>1473.84</v>
      </c>
      <c r="Y2271" s="71">
        <f t="shared" ref="Y2271" si="109">+T2271-X2271</f>
        <v>81.879999999999882</v>
      </c>
      <c r="Z2271" s="12" t="s">
        <v>140</v>
      </c>
      <c r="AA2271" s="12" t="s">
        <v>78</v>
      </c>
    </row>
    <row r="2272" spans="1:27" x14ac:dyDescent="0.25">
      <c r="A2272" s="10">
        <v>45691</v>
      </c>
      <c r="B2272" s="69">
        <v>1.0000000000000009E-2</v>
      </c>
      <c r="C2272" s="11" t="s">
        <v>4638</v>
      </c>
      <c r="D2272" s="11">
        <v>16802</v>
      </c>
      <c r="E2272" s="11" t="s">
        <v>240</v>
      </c>
      <c r="F2272" s="11" t="s">
        <v>26</v>
      </c>
      <c r="G2272" s="11" t="s">
        <v>26</v>
      </c>
      <c r="H2272" s="12" t="s">
        <v>4422</v>
      </c>
      <c r="I2272" s="12" t="s">
        <v>27</v>
      </c>
      <c r="J2272" s="12" t="s">
        <v>33</v>
      </c>
      <c r="K2272" s="12" t="s">
        <v>34</v>
      </c>
      <c r="L2272" s="13">
        <v>40.799999999999997</v>
      </c>
      <c r="M2272" s="13">
        <v>28</v>
      </c>
      <c r="N2272" s="13">
        <f t="shared" si="70"/>
        <v>1.4571428571428571</v>
      </c>
      <c r="O2272" s="13">
        <v>85</v>
      </c>
      <c r="P2272" s="13" t="s">
        <v>30</v>
      </c>
      <c r="Q2272" s="13">
        <v>0</v>
      </c>
      <c r="R2272" s="70">
        <f>L2272*O2272</f>
        <v>3467.9999999999995</v>
      </c>
      <c r="S2272" s="70">
        <v>38</v>
      </c>
      <c r="T2272" s="70">
        <f>L2272*S2272</f>
        <v>1550.3999999999999</v>
      </c>
      <c r="U2272" s="70">
        <f>R2272-T2272</f>
        <v>1917.5999999999997</v>
      </c>
      <c r="V2272" s="70">
        <f>U2272*1</f>
        <v>1917.5999999999997</v>
      </c>
      <c r="W2272" s="70">
        <f>U2272-V2272</f>
        <v>0</v>
      </c>
      <c r="X2272" s="70">
        <f>L2272*37</f>
        <v>1509.6</v>
      </c>
      <c r="Y2272" s="71">
        <f>+T2272-X2272</f>
        <v>40.799999999999955</v>
      </c>
      <c r="Z2272" s="12" t="s">
        <v>41</v>
      </c>
      <c r="AA2272" s="12" t="s">
        <v>78</v>
      </c>
    </row>
    <row r="2273" spans="1:27" x14ac:dyDescent="0.25">
      <c r="A2273" s="10">
        <v>45691</v>
      </c>
      <c r="B2273" s="69">
        <v>7.8125E-3</v>
      </c>
      <c r="C2273" s="11" t="s">
        <v>4639</v>
      </c>
      <c r="D2273" s="11">
        <v>16803</v>
      </c>
      <c r="E2273" s="11" t="s">
        <v>63</v>
      </c>
      <c r="F2273" s="11" t="s">
        <v>26</v>
      </c>
      <c r="G2273" s="11" t="s">
        <v>26</v>
      </c>
      <c r="H2273" s="12" t="s">
        <v>4422</v>
      </c>
      <c r="I2273" s="12" t="s">
        <v>27</v>
      </c>
      <c r="J2273" s="12" t="s">
        <v>42</v>
      </c>
      <c r="K2273" s="12" t="s">
        <v>43</v>
      </c>
      <c r="L2273" s="13">
        <v>41.28</v>
      </c>
      <c r="M2273" s="13">
        <v>25</v>
      </c>
      <c r="N2273" s="13">
        <f t="shared" si="70"/>
        <v>1.6512</v>
      </c>
      <c r="O2273" s="13">
        <v>83</v>
      </c>
      <c r="P2273" s="13" t="s">
        <v>30</v>
      </c>
      <c r="Q2273" s="13">
        <v>0</v>
      </c>
      <c r="R2273" s="70">
        <f>L2273*O2273</f>
        <v>3426.2400000000002</v>
      </c>
      <c r="S2273" s="70">
        <v>38</v>
      </c>
      <c r="T2273" s="70">
        <f>L2273*S2273</f>
        <v>1568.64</v>
      </c>
      <c r="U2273" s="70">
        <f>R2273-T2273</f>
        <v>1857.6000000000001</v>
      </c>
      <c r="V2273" s="70">
        <f>U2273*1</f>
        <v>1857.6000000000001</v>
      </c>
      <c r="W2273" s="70">
        <f>U2273-V2273</f>
        <v>0</v>
      </c>
      <c r="X2273" s="70">
        <f>L2273*36</f>
        <v>1486.08</v>
      </c>
      <c r="Y2273" s="71">
        <f>+T2273-X2273</f>
        <v>82.560000000000173</v>
      </c>
      <c r="Z2273" s="12" t="s">
        <v>140</v>
      </c>
      <c r="AA2273" s="12" t="s">
        <v>78</v>
      </c>
    </row>
    <row r="2274" spans="1:27" x14ac:dyDescent="0.25">
      <c r="A2274" s="10">
        <v>45691</v>
      </c>
      <c r="B2274" s="69">
        <v>6.3541666666666607E-3</v>
      </c>
      <c r="C2274" s="11" t="s">
        <v>4640</v>
      </c>
      <c r="D2274" s="11">
        <v>16804</v>
      </c>
      <c r="E2274" s="11" t="s">
        <v>68</v>
      </c>
      <c r="F2274" s="11" t="s">
        <v>26</v>
      </c>
      <c r="G2274" s="11">
        <v>76364</v>
      </c>
      <c r="H2274" s="12" t="s">
        <v>4448</v>
      </c>
      <c r="I2274" s="12" t="s">
        <v>55</v>
      </c>
      <c r="J2274" s="12" t="s">
        <v>55</v>
      </c>
      <c r="K2274" s="12" t="s">
        <v>56</v>
      </c>
      <c r="L2274" s="13">
        <v>33.96</v>
      </c>
      <c r="M2274" s="13">
        <v>25</v>
      </c>
      <c r="N2274" s="13">
        <f t="shared" si="70"/>
        <v>1.3584000000000001</v>
      </c>
      <c r="O2274" s="13">
        <v>15</v>
      </c>
      <c r="P2274" s="13" t="s">
        <v>30</v>
      </c>
      <c r="Q2274" s="13">
        <v>0</v>
      </c>
      <c r="R2274" s="70">
        <f>+L2274*O2274</f>
        <v>509.40000000000003</v>
      </c>
      <c r="S2274" s="70">
        <v>0</v>
      </c>
      <c r="T2274" s="70">
        <f>+L2274*S2274</f>
        <v>0</v>
      </c>
      <c r="U2274" s="70">
        <f>+R2274-T2274</f>
        <v>509.40000000000003</v>
      </c>
      <c r="V2274" s="70">
        <f>+U2274*0.75</f>
        <v>382.05</v>
      </c>
      <c r="W2274" s="70">
        <f>+U2274-V2274</f>
        <v>127.35000000000002</v>
      </c>
      <c r="X2274" s="70">
        <v>0</v>
      </c>
      <c r="Y2274" s="14">
        <f t="shared" ref="Y2274:Y2275" si="110">T2274-X2274</f>
        <v>0</v>
      </c>
      <c r="Z2274" s="11" t="s">
        <v>26</v>
      </c>
      <c r="AA2274" s="12" t="s">
        <v>31</v>
      </c>
    </row>
    <row r="2275" spans="1:27" x14ac:dyDescent="0.25">
      <c r="A2275" s="10">
        <v>45691</v>
      </c>
      <c r="B2275" s="69">
        <v>1.3518518518518485E-2</v>
      </c>
      <c r="C2275" s="11" t="s">
        <v>4641</v>
      </c>
      <c r="D2275" s="11">
        <v>16805</v>
      </c>
      <c r="E2275" s="11" t="s">
        <v>50</v>
      </c>
      <c r="F2275" s="11" t="s">
        <v>26</v>
      </c>
      <c r="G2275" s="11">
        <v>931</v>
      </c>
      <c r="H2275" s="12" t="s">
        <v>163</v>
      </c>
      <c r="I2275" s="12" t="s">
        <v>55</v>
      </c>
      <c r="J2275" s="12" t="s">
        <v>55</v>
      </c>
      <c r="K2275" s="12" t="s">
        <v>56</v>
      </c>
      <c r="L2275" s="13">
        <v>39.94</v>
      </c>
      <c r="M2275" s="13">
        <v>25</v>
      </c>
      <c r="N2275" s="13">
        <f t="shared" si="70"/>
        <v>1.5975999999999999</v>
      </c>
      <c r="O2275" s="13" t="s">
        <v>30</v>
      </c>
      <c r="P2275" s="13">
        <v>25</v>
      </c>
      <c r="Q2275" s="13">
        <v>0</v>
      </c>
      <c r="R2275" s="70">
        <f>M2275*P2275</f>
        <v>625</v>
      </c>
      <c r="S2275" s="70">
        <v>0</v>
      </c>
      <c r="T2275" s="70">
        <f>M2275*S2275</f>
        <v>0</v>
      </c>
      <c r="U2275" s="70">
        <f>R2275-T2275</f>
        <v>625</v>
      </c>
      <c r="V2275" s="70">
        <f>U2275*0</f>
        <v>0</v>
      </c>
      <c r="W2275" s="70">
        <f>U2275-V2275</f>
        <v>625</v>
      </c>
      <c r="X2275" s="70">
        <v>0</v>
      </c>
      <c r="Y2275" s="14">
        <f t="shared" si="110"/>
        <v>0</v>
      </c>
      <c r="Z2275" s="11" t="s">
        <v>26</v>
      </c>
      <c r="AA2275" s="12" t="s">
        <v>31</v>
      </c>
    </row>
    <row r="2276" spans="1:27" x14ac:dyDescent="0.25">
      <c r="A2276" s="10">
        <v>45691</v>
      </c>
      <c r="B2276" s="69">
        <v>1.0069444444444464E-2</v>
      </c>
      <c r="C2276" s="11" t="s">
        <v>4642</v>
      </c>
      <c r="D2276" s="11">
        <v>16806</v>
      </c>
      <c r="E2276" s="11" t="s">
        <v>53</v>
      </c>
      <c r="F2276" s="11" t="s">
        <v>26</v>
      </c>
      <c r="G2276" s="11" t="s">
        <v>26</v>
      </c>
      <c r="H2276" s="12" t="s">
        <v>4422</v>
      </c>
      <c r="I2276" s="12" t="s">
        <v>27</v>
      </c>
      <c r="J2276" s="12" t="s">
        <v>42</v>
      </c>
      <c r="K2276" s="12" t="s">
        <v>43</v>
      </c>
      <c r="L2276" s="13">
        <v>42.42</v>
      </c>
      <c r="M2276" s="13">
        <v>25</v>
      </c>
      <c r="N2276" s="13">
        <f t="shared" si="70"/>
        <v>1.6968000000000001</v>
      </c>
      <c r="O2276" s="13">
        <v>83</v>
      </c>
      <c r="P2276" s="13" t="s">
        <v>30</v>
      </c>
      <c r="Q2276" s="13">
        <v>0</v>
      </c>
      <c r="R2276" s="70">
        <f>L2276*O2276</f>
        <v>3520.86</v>
      </c>
      <c r="S2276" s="70">
        <v>38</v>
      </c>
      <c r="T2276" s="70">
        <f>L2276*S2276</f>
        <v>1611.96</v>
      </c>
      <c r="U2276" s="70">
        <f>R2276-T2276</f>
        <v>1908.9</v>
      </c>
      <c r="V2276" s="70">
        <f>U2276*1</f>
        <v>1908.9</v>
      </c>
      <c r="W2276" s="70">
        <f>U2276-V2276</f>
        <v>0</v>
      </c>
      <c r="X2276" s="70">
        <f>L2276*37</f>
        <v>1569.54</v>
      </c>
      <c r="Y2276" s="71">
        <f>+T2276-X2276</f>
        <v>42.420000000000073</v>
      </c>
      <c r="Z2276" s="12" t="s">
        <v>41</v>
      </c>
      <c r="AA2276" s="12" t="s">
        <v>78</v>
      </c>
    </row>
    <row r="2277" spans="1:27" x14ac:dyDescent="0.25">
      <c r="A2277" s="10">
        <v>45691</v>
      </c>
      <c r="B2277" s="69">
        <v>1.4456018518518521E-2</v>
      </c>
      <c r="C2277" s="11" t="s">
        <v>4643</v>
      </c>
      <c r="D2277" s="11">
        <v>16807</v>
      </c>
      <c r="E2277" s="11" t="s">
        <v>525</v>
      </c>
      <c r="F2277" s="11" t="s">
        <v>26</v>
      </c>
      <c r="G2277" s="11">
        <v>26337</v>
      </c>
      <c r="H2277" s="12" t="s">
        <v>4448</v>
      </c>
      <c r="I2277" s="12" t="s">
        <v>27</v>
      </c>
      <c r="J2277" s="12" t="s">
        <v>42</v>
      </c>
      <c r="K2277" s="12" t="s">
        <v>43</v>
      </c>
      <c r="L2277" s="13">
        <v>45.06</v>
      </c>
      <c r="M2277" s="13">
        <v>28</v>
      </c>
      <c r="N2277" s="13">
        <f t="shared" si="70"/>
        <v>1.6092857142857144</v>
      </c>
      <c r="O2277" s="13">
        <v>42.5</v>
      </c>
      <c r="P2277" s="13"/>
      <c r="Q2277" s="13">
        <v>0</v>
      </c>
      <c r="R2277" s="70">
        <f>+L2277*O2277</f>
        <v>1915.0500000000002</v>
      </c>
      <c r="S2277" s="70">
        <v>0</v>
      </c>
      <c r="T2277" s="70">
        <f>+L2277*S2277</f>
        <v>0</v>
      </c>
      <c r="U2277" s="70">
        <f>+R2277-T2277</f>
        <v>1915.0500000000002</v>
      </c>
      <c r="V2277" s="70">
        <f>+U2277*0.75</f>
        <v>1436.2875000000001</v>
      </c>
      <c r="W2277" s="70">
        <f>+U2277-V2277</f>
        <v>478.76250000000005</v>
      </c>
      <c r="X2277" s="70">
        <v>0</v>
      </c>
      <c r="Y2277" s="14">
        <f t="shared" ref="Y2277:Y2286" si="111">T2277-X2277</f>
        <v>0</v>
      </c>
      <c r="Z2277" s="11" t="s">
        <v>26</v>
      </c>
      <c r="AA2277" s="12" t="s">
        <v>31</v>
      </c>
    </row>
    <row r="2278" spans="1:27" x14ac:dyDescent="0.25">
      <c r="A2278" s="10">
        <v>45691</v>
      </c>
      <c r="B2278" s="69">
        <v>1.2129629629629657E-2</v>
      </c>
      <c r="C2278" s="11" t="s">
        <v>4644</v>
      </c>
      <c r="D2278" s="11">
        <v>16808</v>
      </c>
      <c r="E2278" s="11" t="s">
        <v>97</v>
      </c>
      <c r="F2278" s="11" t="s">
        <v>26</v>
      </c>
      <c r="G2278" s="11">
        <v>9852</v>
      </c>
      <c r="H2278" s="12" t="s">
        <v>4447</v>
      </c>
      <c r="I2278" s="12" t="s">
        <v>27</v>
      </c>
      <c r="J2278" s="12" t="s">
        <v>42</v>
      </c>
      <c r="K2278" s="12" t="s">
        <v>43</v>
      </c>
      <c r="L2278" s="13">
        <v>19.64</v>
      </c>
      <c r="M2278" s="13">
        <v>12</v>
      </c>
      <c r="N2278" s="13">
        <f t="shared" si="70"/>
        <v>1.6366666666666667</v>
      </c>
      <c r="O2278" s="13" t="s">
        <v>30</v>
      </c>
      <c r="P2278" s="13">
        <v>65.599999999999994</v>
      </c>
      <c r="Q2278" s="13">
        <v>0</v>
      </c>
      <c r="R2278" s="70">
        <f>+M2278*P2278</f>
        <v>787.19999999999993</v>
      </c>
      <c r="S2278" s="70">
        <v>0</v>
      </c>
      <c r="T2278" s="70">
        <f>+M2278*S2278</f>
        <v>0</v>
      </c>
      <c r="U2278" s="70">
        <f t="shared" ref="U2278" si="112">+R2278-T2278</f>
        <v>787.19999999999993</v>
      </c>
      <c r="V2278" s="70">
        <f>+U2278*1</f>
        <v>787.19999999999993</v>
      </c>
      <c r="W2278" s="70">
        <f t="shared" ref="W2278" si="113">+U2278-V2278</f>
        <v>0</v>
      </c>
      <c r="X2278" s="70">
        <v>0</v>
      </c>
      <c r="Y2278" s="14">
        <f t="shared" si="111"/>
        <v>0</v>
      </c>
      <c r="Z2278" s="11" t="s">
        <v>26</v>
      </c>
      <c r="AA2278" s="12" t="s">
        <v>31</v>
      </c>
    </row>
    <row r="2279" spans="1:27" x14ac:dyDescent="0.25">
      <c r="A2279" s="10">
        <v>45691</v>
      </c>
      <c r="B2279" s="69">
        <v>4.1076388888888815E-2</v>
      </c>
      <c r="C2279" s="11" t="s">
        <v>4645</v>
      </c>
      <c r="D2279" s="11">
        <v>16809</v>
      </c>
      <c r="E2279" s="11" t="s">
        <v>75</v>
      </c>
      <c r="F2279" s="11" t="s">
        <v>26</v>
      </c>
      <c r="G2279" s="11">
        <v>42040</v>
      </c>
      <c r="H2279" s="12" t="s">
        <v>565</v>
      </c>
      <c r="I2279" s="12" t="s">
        <v>55</v>
      </c>
      <c r="J2279" s="12" t="s">
        <v>566</v>
      </c>
      <c r="K2279" s="12" t="s">
        <v>550</v>
      </c>
      <c r="L2279" s="13">
        <v>40.04</v>
      </c>
      <c r="M2279" s="13">
        <v>25</v>
      </c>
      <c r="N2279" s="13">
        <f t="shared" si="70"/>
        <v>1.6015999999999999</v>
      </c>
      <c r="O2279" s="13">
        <v>25</v>
      </c>
      <c r="P2279" s="13" t="s">
        <v>30</v>
      </c>
      <c r="Q2279" s="13">
        <v>0</v>
      </c>
      <c r="R2279" s="70">
        <f t="shared" ref="R2279" si="114">L2279*O2279</f>
        <v>1001</v>
      </c>
      <c r="S2279" s="70">
        <v>0</v>
      </c>
      <c r="T2279" s="70">
        <f t="shared" ref="T2279" si="115">L2279*S2279</f>
        <v>0</v>
      </c>
      <c r="U2279" s="70">
        <f t="shared" ref="U2279" si="116">R2279-T2279</f>
        <v>1001</v>
      </c>
      <c r="V2279" s="70">
        <f>U2279*0</f>
        <v>0</v>
      </c>
      <c r="W2279" s="70">
        <f t="shared" ref="W2279" si="117">U2279-V2279</f>
        <v>1001</v>
      </c>
      <c r="X2279" s="70">
        <v>0</v>
      </c>
      <c r="Y2279" s="14">
        <f t="shared" si="111"/>
        <v>0</v>
      </c>
      <c r="Z2279" s="11" t="s">
        <v>26</v>
      </c>
      <c r="AA2279" s="12" t="s">
        <v>31</v>
      </c>
    </row>
    <row r="2280" spans="1:27" x14ac:dyDescent="0.25">
      <c r="A2280" s="10">
        <v>45691</v>
      </c>
      <c r="B2280" s="69">
        <v>0.10459490740740746</v>
      </c>
      <c r="C2280" s="11" t="s">
        <v>4646</v>
      </c>
      <c r="D2280" s="11">
        <v>16810</v>
      </c>
      <c r="E2280" s="11" t="s">
        <v>593</v>
      </c>
      <c r="F2280" s="11" t="s">
        <v>26</v>
      </c>
      <c r="G2280" s="11">
        <v>44317</v>
      </c>
      <c r="H2280" s="12" t="s">
        <v>4423</v>
      </c>
      <c r="I2280" s="12" t="s">
        <v>27</v>
      </c>
      <c r="J2280" s="12" t="s">
        <v>42</v>
      </c>
      <c r="K2280" s="12" t="s">
        <v>43</v>
      </c>
      <c r="L2280" s="13">
        <v>37.200000000000003</v>
      </c>
      <c r="M2280" s="13">
        <v>25</v>
      </c>
      <c r="N2280" s="13">
        <f t="shared" si="70"/>
        <v>1.4880000000000002</v>
      </c>
      <c r="O2280" s="13">
        <v>42</v>
      </c>
      <c r="P2280" s="13" t="s">
        <v>30</v>
      </c>
      <c r="Q2280" s="13">
        <v>0</v>
      </c>
      <c r="R2280" s="70">
        <f t="shared" ref="R2280" si="118">+L2280*O2280</f>
        <v>1562.4</v>
      </c>
      <c r="S2280" s="70">
        <v>0</v>
      </c>
      <c r="T2280" s="70">
        <f t="shared" ref="T2280:T2281" si="119">+L2280*S2280</f>
        <v>0</v>
      </c>
      <c r="U2280" s="70">
        <f t="shared" ref="U2280:U2281" si="120">+R2280-T2280</f>
        <v>1562.4</v>
      </c>
      <c r="V2280" s="70">
        <f>+U2280*1</f>
        <v>1562.4</v>
      </c>
      <c r="W2280" s="70">
        <f t="shared" ref="W2280:W2281" si="121">+U2280-V2280</f>
        <v>0</v>
      </c>
      <c r="X2280" s="70">
        <v>0</v>
      </c>
      <c r="Y2280" s="14">
        <f t="shared" si="111"/>
        <v>0</v>
      </c>
      <c r="Z2280" s="11" t="s">
        <v>26</v>
      </c>
      <c r="AA2280" s="12" t="s">
        <v>31</v>
      </c>
    </row>
    <row r="2281" spans="1:27" x14ac:dyDescent="0.25">
      <c r="A2281" s="10">
        <v>45691</v>
      </c>
      <c r="B2281" s="69">
        <v>3.2638888888888995E-3</v>
      </c>
      <c r="C2281" s="11" t="s">
        <v>4647</v>
      </c>
      <c r="D2281" s="11">
        <v>16811</v>
      </c>
      <c r="E2281" s="11" t="s">
        <v>3938</v>
      </c>
      <c r="F2281" s="11" t="s">
        <v>26</v>
      </c>
      <c r="G2281" s="11" t="s">
        <v>35</v>
      </c>
      <c r="H2281" s="12" t="s">
        <v>36</v>
      </c>
      <c r="I2281" s="12" t="s">
        <v>55</v>
      </c>
      <c r="J2281" s="12" t="s">
        <v>55</v>
      </c>
      <c r="K2281" s="12" t="s">
        <v>56</v>
      </c>
      <c r="L2281" s="13">
        <v>8.6999999999999993</v>
      </c>
      <c r="M2281" s="13">
        <v>6</v>
      </c>
      <c r="N2281" s="13">
        <f t="shared" si="70"/>
        <v>1.45</v>
      </c>
      <c r="O2281" s="13">
        <v>20</v>
      </c>
      <c r="P2281" s="13" t="s">
        <v>30</v>
      </c>
      <c r="Q2281" s="13">
        <v>0</v>
      </c>
      <c r="R2281" s="70">
        <f>(L2281*O2281)-Q2281</f>
        <v>174</v>
      </c>
      <c r="S2281" s="70">
        <v>0</v>
      </c>
      <c r="T2281" s="70">
        <f t="shared" si="119"/>
        <v>0</v>
      </c>
      <c r="U2281" s="70">
        <f t="shared" si="120"/>
        <v>174</v>
      </c>
      <c r="V2281" s="70">
        <f>+U2281*0</f>
        <v>0</v>
      </c>
      <c r="W2281" s="70">
        <f t="shared" si="121"/>
        <v>174</v>
      </c>
      <c r="X2281" s="70">
        <v>0</v>
      </c>
      <c r="Y2281" s="14">
        <f t="shared" si="111"/>
        <v>0</v>
      </c>
      <c r="Z2281" s="11" t="s">
        <v>26</v>
      </c>
      <c r="AA2281" s="12" t="s">
        <v>31</v>
      </c>
    </row>
    <row r="2282" spans="1:27" x14ac:dyDescent="0.25">
      <c r="A2282" s="10">
        <v>45691</v>
      </c>
      <c r="B2282" s="69">
        <v>1.7326388888888877E-2</v>
      </c>
      <c r="C2282" s="11" t="s">
        <v>4648</v>
      </c>
      <c r="D2282" s="11">
        <v>16812</v>
      </c>
      <c r="E2282" s="11" t="s">
        <v>496</v>
      </c>
      <c r="F2282" s="11" t="s">
        <v>26</v>
      </c>
      <c r="G2282" s="11">
        <v>22919</v>
      </c>
      <c r="H2282" s="12" t="s">
        <v>4448</v>
      </c>
      <c r="I2282" s="12" t="s">
        <v>27</v>
      </c>
      <c r="J2282" s="12" t="s">
        <v>42</v>
      </c>
      <c r="K2282" s="12" t="s">
        <v>43</v>
      </c>
      <c r="L2282" s="13">
        <v>42.66</v>
      </c>
      <c r="M2282" s="13">
        <v>25</v>
      </c>
      <c r="N2282" s="13">
        <f t="shared" si="70"/>
        <v>1.7063999999999999</v>
      </c>
      <c r="O2282" s="13">
        <v>42.5</v>
      </c>
      <c r="P2282" s="13"/>
      <c r="Q2282" s="13">
        <v>0</v>
      </c>
      <c r="R2282" s="70">
        <f>+L2282*O2282</f>
        <v>1813.05</v>
      </c>
      <c r="S2282" s="70">
        <v>0</v>
      </c>
      <c r="T2282" s="70">
        <f>+L2282*S2282</f>
        <v>0</v>
      </c>
      <c r="U2282" s="70">
        <f>+R2282-T2282</f>
        <v>1813.05</v>
      </c>
      <c r="V2282" s="70">
        <f>+U2282*0.75</f>
        <v>1359.7874999999999</v>
      </c>
      <c r="W2282" s="70">
        <f>+U2282-V2282</f>
        <v>453.26250000000005</v>
      </c>
      <c r="X2282" s="70">
        <v>0</v>
      </c>
      <c r="Y2282" s="14">
        <f t="shared" si="111"/>
        <v>0</v>
      </c>
      <c r="Z2282" s="11" t="s">
        <v>26</v>
      </c>
      <c r="AA2282" s="12" t="s">
        <v>31</v>
      </c>
    </row>
    <row r="2283" spans="1:27" x14ac:dyDescent="0.25">
      <c r="A2283" s="10">
        <v>45691</v>
      </c>
      <c r="B2283" s="69">
        <v>0.13623842592592589</v>
      </c>
      <c r="C2283" s="11" t="s">
        <v>4649</v>
      </c>
      <c r="D2283" s="11">
        <v>16813</v>
      </c>
      <c r="E2283" s="11" t="s">
        <v>589</v>
      </c>
      <c r="F2283" s="11" t="s">
        <v>26</v>
      </c>
      <c r="G2283" s="11">
        <v>56905</v>
      </c>
      <c r="H2283" s="12" t="s">
        <v>4423</v>
      </c>
      <c r="I2283" s="12" t="s">
        <v>27</v>
      </c>
      <c r="J2283" s="12" t="s">
        <v>33</v>
      </c>
      <c r="K2283" s="12" t="s">
        <v>34</v>
      </c>
      <c r="L2283" s="13">
        <v>30.98</v>
      </c>
      <c r="M2283" s="13">
        <v>25</v>
      </c>
      <c r="N2283" s="13">
        <f t="shared" si="70"/>
        <v>1.2392000000000001</v>
      </c>
      <c r="O2283" s="13">
        <v>45</v>
      </c>
      <c r="P2283" s="13" t="s">
        <v>30</v>
      </c>
      <c r="Q2283" s="13">
        <v>0</v>
      </c>
      <c r="R2283" s="70">
        <f>+L2283*O2283</f>
        <v>1394.1</v>
      </c>
      <c r="S2283" s="70">
        <v>0</v>
      </c>
      <c r="T2283" s="70">
        <f>+L2283*S2283</f>
        <v>0</v>
      </c>
      <c r="U2283" s="70">
        <f t="shared" ref="U2283" si="122">+R2283-T2283</f>
        <v>1394.1</v>
      </c>
      <c r="V2283" s="70">
        <f>+U2283*1</f>
        <v>1394.1</v>
      </c>
      <c r="W2283" s="70">
        <f t="shared" ref="W2283" si="123">+U2283-V2283</f>
        <v>0</v>
      </c>
      <c r="X2283" s="70">
        <v>0</v>
      </c>
      <c r="Y2283" s="14">
        <f t="shared" si="111"/>
        <v>0</v>
      </c>
      <c r="Z2283" s="11" t="s">
        <v>26</v>
      </c>
      <c r="AA2283" s="12" t="s">
        <v>31</v>
      </c>
    </row>
    <row r="2284" spans="1:27" x14ac:dyDescent="0.25">
      <c r="A2284" s="10">
        <v>45691</v>
      </c>
      <c r="B2284" s="69">
        <v>1.2777777777777777E-2</v>
      </c>
      <c r="C2284" s="11" t="s">
        <v>4650</v>
      </c>
      <c r="D2284" s="11">
        <v>16814</v>
      </c>
      <c r="E2284" s="11" t="s">
        <v>100</v>
      </c>
      <c r="F2284" s="11" t="s">
        <v>26</v>
      </c>
      <c r="G2284" s="11">
        <v>21742</v>
      </c>
      <c r="H2284" s="12" t="s">
        <v>4448</v>
      </c>
      <c r="I2284" s="12" t="s">
        <v>27</v>
      </c>
      <c r="J2284" s="12" t="s">
        <v>42</v>
      </c>
      <c r="K2284" s="12" t="s">
        <v>43</v>
      </c>
      <c r="L2284" s="13">
        <v>41.38</v>
      </c>
      <c r="M2284" s="13">
        <v>25</v>
      </c>
      <c r="N2284" s="13">
        <f t="shared" si="70"/>
        <v>1.6552</v>
      </c>
      <c r="O2284" s="13">
        <v>42.5</v>
      </c>
      <c r="P2284" s="13"/>
      <c r="Q2284" s="13">
        <v>0</v>
      </c>
      <c r="R2284" s="70">
        <f>+L2284*O2284</f>
        <v>1758.65</v>
      </c>
      <c r="S2284" s="70">
        <v>0</v>
      </c>
      <c r="T2284" s="70">
        <f>+L2284*S2284</f>
        <v>0</v>
      </c>
      <c r="U2284" s="70">
        <f>+R2284-T2284</f>
        <v>1758.65</v>
      </c>
      <c r="V2284" s="70">
        <f>+U2284*0.75</f>
        <v>1318.9875000000002</v>
      </c>
      <c r="W2284" s="70">
        <f>+U2284-V2284</f>
        <v>439.66249999999991</v>
      </c>
      <c r="X2284" s="70">
        <v>0</v>
      </c>
      <c r="Y2284" s="14">
        <f t="shared" si="111"/>
        <v>0</v>
      </c>
      <c r="Z2284" s="11" t="s">
        <v>26</v>
      </c>
      <c r="AA2284" s="12" t="s">
        <v>31</v>
      </c>
    </row>
    <row r="2285" spans="1:27" x14ac:dyDescent="0.25">
      <c r="A2285" s="10">
        <v>45691</v>
      </c>
      <c r="B2285" s="69">
        <v>1.1203703703703716E-2</v>
      </c>
      <c r="C2285" s="11" t="s">
        <v>4651</v>
      </c>
      <c r="D2285" s="11">
        <v>16815</v>
      </c>
      <c r="E2285" s="11" t="s">
        <v>520</v>
      </c>
      <c r="F2285" s="11" t="s">
        <v>26</v>
      </c>
      <c r="G2285" s="11">
        <v>4387</v>
      </c>
      <c r="H2285" s="12" t="s">
        <v>140</v>
      </c>
      <c r="I2285" s="12" t="s">
        <v>27</v>
      </c>
      <c r="J2285" s="12" t="s">
        <v>42</v>
      </c>
      <c r="K2285" s="12" t="s">
        <v>43</v>
      </c>
      <c r="L2285" s="13">
        <v>40.479999999999997</v>
      </c>
      <c r="M2285" s="13">
        <v>25</v>
      </c>
      <c r="N2285" s="13">
        <f t="shared" si="70"/>
        <v>1.6192</v>
      </c>
      <c r="O2285" s="13">
        <v>35</v>
      </c>
      <c r="P2285" s="13"/>
      <c r="Q2285" s="13">
        <v>0</v>
      </c>
      <c r="R2285" s="70">
        <f>+L2285*O2285</f>
        <v>1416.8</v>
      </c>
      <c r="S2285" s="70">
        <v>0</v>
      </c>
      <c r="T2285" s="70">
        <f>+L2285*S2285</f>
        <v>0</v>
      </c>
      <c r="U2285" s="70">
        <f>+R2285-T2285</f>
        <v>1416.8</v>
      </c>
      <c r="V2285" s="70">
        <f>+U2285*0</f>
        <v>0</v>
      </c>
      <c r="W2285" s="70">
        <f>+U2285-V2285</f>
        <v>1416.8</v>
      </c>
      <c r="X2285" s="70">
        <v>0</v>
      </c>
      <c r="Y2285" s="14">
        <f t="shared" si="111"/>
        <v>0</v>
      </c>
      <c r="Z2285" s="11" t="s">
        <v>26</v>
      </c>
      <c r="AA2285" s="12" t="s">
        <v>31</v>
      </c>
    </row>
    <row r="2286" spans="1:27" x14ac:dyDescent="0.25">
      <c r="A2286" s="10">
        <v>45691</v>
      </c>
      <c r="B2286" s="69">
        <v>3.5995370370370261E-3</v>
      </c>
      <c r="C2286" s="11" t="s">
        <v>4652</v>
      </c>
      <c r="D2286" s="11">
        <v>16816</v>
      </c>
      <c r="E2286" s="11" t="s">
        <v>3938</v>
      </c>
      <c r="F2286" s="11" t="s">
        <v>26</v>
      </c>
      <c r="G2286" s="11" t="s">
        <v>35</v>
      </c>
      <c r="H2286" s="12" t="s">
        <v>36</v>
      </c>
      <c r="I2286" s="12" t="s">
        <v>55</v>
      </c>
      <c r="J2286" s="12" t="s">
        <v>55</v>
      </c>
      <c r="K2286" s="12" t="s">
        <v>56</v>
      </c>
      <c r="L2286" s="13">
        <v>10.039999999999999</v>
      </c>
      <c r="M2286" s="13">
        <v>7</v>
      </c>
      <c r="N2286" s="13">
        <f t="shared" si="70"/>
        <v>1.4342857142857142</v>
      </c>
      <c r="O2286" s="13">
        <v>20</v>
      </c>
      <c r="P2286" s="13" t="s">
        <v>30</v>
      </c>
      <c r="Q2286" s="13">
        <v>0</v>
      </c>
      <c r="R2286" s="70">
        <f>(L2286*O2286)-Q2286</f>
        <v>200.79999999999998</v>
      </c>
      <c r="S2286" s="70">
        <v>0</v>
      </c>
      <c r="T2286" s="70">
        <f t="shared" ref="T2286" si="124">+L2286*S2286</f>
        <v>0</v>
      </c>
      <c r="U2286" s="70">
        <f t="shared" ref="U2286" si="125">+R2286-T2286</f>
        <v>200.79999999999998</v>
      </c>
      <c r="V2286" s="70">
        <f>+U2286*0</f>
        <v>0</v>
      </c>
      <c r="W2286" s="70">
        <f t="shared" ref="W2286" si="126">+U2286-V2286</f>
        <v>200.79999999999998</v>
      </c>
      <c r="X2286" s="70">
        <v>0</v>
      </c>
      <c r="Y2286" s="14">
        <f t="shared" si="111"/>
        <v>0</v>
      </c>
      <c r="Z2286" s="11" t="s">
        <v>26</v>
      </c>
      <c r="AA2286" s="12" t="s">
        <v>31</v>
      </c>
    </row>
    <row r="2287" spans="1:27" x14ac:dyDescent="0.25">
      <c r="A2287" s="10">
        <v>45691</v>
      </c>
      <c r="B2287" s="69">
        <v>1.5208333333333324E-2</v>
      </c>
      <c r="C2287" s="11" t="s">
        <v>4653</v>
      </c>
      <c r="D2287" s="11">
        <v>16817</v>
      </c>
      <c r="E2287" s="11" t="s">
        <v>80</v>
      </c>
      <c r="F2287" s="11" t="s">
        <v>26</v>
      </c>
      <c r="G2287" s="11" t="s">
        <v>26</v>
      </c>
      <c r="H2287" s="12" t="s">
        <v>4422</v>
      </c>
      <c r="I2287" s="12" t="s">
        <v>27</v>
      </c>
      <c r="J2287" s="12" t="s">
        <v>33</v>
      </c>
      <c r="K2287" s="12" t="s">
        <v>34</v>
      </c>
      <c r="L2287" s="13">
        <v>42.42</v>
      </c>
      <c r="M2287" s="13">
        <v>29</v>
      </c>
      <c r="N2287" s="13">
        <f t="shared" si="70"/>
        <v>1.4627586206896552</v>
      </c>
      <c r="O2287" s="13">
        <v>85</v>
      </c>
      <c r="P2287" s="13" t="s">
        <v>30</v>
      </c>
      <c r="Q2287" s="13">
        <v>0</v>
      </c>
      <c r="R2287" s="70">
        <f>L2287*O2287</f>
        <v>3605.7000000000003</v>
      </c>
      <c r="S2287" s="70">
        <v>38</v>
      </c>
      <c r="T2287" s="70">
        <f>L2287*S2287</f>
        <v>1611.96</v>
      </c>
      <c r="U2287" s="70">
        <f>R2287-T2287</f>
        <v>1993.7400000000002</v>
      </c>
      <c r="V2287" s="70">
        <f>U2287*1</f>
        <v>1993.7400000000002</v>
      </c>
      <c r="W2287" s="70">
        <f>U2287-V2287</f>
        <v>0</v>
      </c>
      <c r="X2287" s="70">
        <f>L2287*36</f>
        <v>1527.1200000000001</v>
      </c>
      <c r="Y2287" s="71">
        <f>+T2287-X2287</f>
        <v>84.839999999999918</v>
      </c>
      <c r="Z2287" s="12" t="s">
        <v>140</v>
      </c>
      <c r="AA2287" s="12" t="s">
        <v>78</v>
      </c>
    </row>
    <row r="2288" spans="1:27" x14ac:dyDescent="0.25">
      <c r="A2288" s="10">
        <v>45691</v>
      </c>
      <c r="B2288" s="69">
        <v>1.5601851851851811E-2</v>
      </c>
      <c r="C2288" s="11" t="s">
        <v>4654</v>
      </c>
      <c r="D2288" s="11">
        <v>16818</v>
      </c>
      <c r="E2288" s="11" t="s">
        <v>1200</v>
      </c>
      <c r="F2288" s="11" t="s">
        <v>26</v>
      </c>
      <c r="G2288" s="11">
        <v>934</v>
      </c>
      <c r="H2288" s="12" t="s">
        <v>163</v>
      </c>
      <c r="I2288" s="12" t="s">
        <v>27</v>
      </c>
      <c r="J2288" s="12" t="s">
        <v>42</v>
      </c>
      <c r="K2288" s="12" t="s">
        <v>43</v>
      </c>
      <c r="L2288" s="13">
        <v>40.200000000000003</v>
      </c>
      <c r="M2288" s="13">
        <v>25</v>
      </c>
      <c r="N2288" s="13">
        <f t="shared" si="70"/>
        <v>1.6080000000000001</v>
      </c>
      <c r="O2288" s="13" t="s">
        <v>30</v>
      </c>
      <c r="P2288" s="13">
        <v>64</v>
      </c>
      <c r="Q2288" s="13">
        <v>0</v>
      </c>
      <c r="R2288" s="70">
        <f>M2288*P2288</f>
        <v>1600</v>
      </c>
      <c r="S2288" s="70">
        <v>0</v>
      </c>
      <c r="T2288" s="70">
        <f>M2288*S2288</f>
        <v>0</v>
      </c>
      <c r="U2288" s="70">
        <f>R2288-T2288</f>
        <v>1600</v>
      </c>
      <c r="V2288" s="70">
        <f>U2288*0</f>
        <v>0</v>
      </c>
      <c r="W2288" s="70">
        <f>U2288-V2288</f>
        <v>1600</v>
      </c>
      <c r="X2288" s="70">
        <v>0</v>
      </c>
      <c r="Y2288" s="14">
        <f t="shared" ref="Y2288:Y2290" si="127">T2288-X2288</f>
        <v>0</v>
      </c>
      <c r="Z2288" s="11" t="s">
        <v>26</v>
      </c>
      <c r="AA2288" s="12" t="s">
        <v>31</v>
      </c>
    </row>
    <row r="2289" spans="1:27" x14ac:dyDescent="0.25">
      <c r="A2289" s="10">
        <v>45691</v>
      </c>
      <c r="B2289" s="69">
        <v>7.1180555555555025E-3</v>
      </c>
      <c r="C2289" s="11" t="s">
        <v>4655</v>
      </c>
      <c r="D2289" s="11">
        <v>16819</v>
      </c>
      <c r="E2289" s="11" t="s">
        <v>1725</v>
      </c>
      <c r="F2289" s="11" t="s">
        <v>26</v>
      </c>
      <c r="G2289" s="11">
        <v>3298</v>
      </c>
      <c r="H2289" s="12" t="s">
        <v>4448</v>
      </c>
      <c r="I2289" s="12" t="s">
        <v>55</v>
      </c>
      <c r="J2289" s="12" t="s">
        <v>55</v>
      </c>
      <c r="K2289" s="12" t="s">
        <v>56</v>
      </c>
      <c r="L2289" s="13">
        <v>38.9</v>
      </c>
      <c r="M2289" s="13">
        <v>25</v>
      </c>
      <c r="N2289" s="13">
        <f t="shared" si="70"/>
        <v>1.556</v>
      </c>
      <c r="O2289" s="13">
        <v>15</v>
      </c>
      <c r="P2289" s="13" t="s">
        <v>30</v>
      </c>
      <c r="Q2289" s="13">
        <v>0</v>
      </c>
      <c r="R2289" s="70">
        <f>+L2289*O2289</f>
        <v>583.5</v>
      </c>
      <c r="S2289" s="70">
        <v>0</v>
      </c>
      <c r="T2289" s="70">
        <f>+L2289*S2289</f>
        <v>0</v>
      </c>
      <c r="U2289" s="70">
        <f>+R2289-T2289</f>
        <v>583.5</v>
      </c>
      <c r="V2289" s="70">
        <f>+U2289*0.75</f>
        <v>437.625</v>
      </c>
      <c r="W2289" s="70">
        <f>+U2289-V2289</f>
        <v>145.875</v>
      </c>
      <c r="X2289" s="70">
        <v>0</v>
      </c>
      <c r="Y2289" s="14">
        <f t="shared" si="127"/>
        <v>0</v>
      </c>
      <c r="Z2289" s="11" t="s">
        <v>26</v>
      </c>
      <c r="AA2289" s="12" t="s">
        <v>31</v>
      </c>
    </row>
    <row r="2290" spans="1:27" x14ac:dyDescent="0.25">
      <c r="A2290" s="10">
        <v>45691</v>
      </c>
      <c r="B2290" s="69">
        <v>8.0555555555555935E-3</v>
      </c>
      <c r="C2290" s="11" t="s">
        <v>4656</v>
      </c>
      <c r="D2290" s="11">
        <v>16820</v>
      </c>
      <c r="E2290" s="11" t="s">
        <v>482</v>
      </c>
      <c r="F2290" s="11" t="s">
        <v>26</v>
      </c>
      <c r="G2290" s="11">
        <v>24153</v>
      </c>
      <c r="H2290" s="12" t="s">
        <v>4448</v>
      </c>
      <c r="I2290" s="12" t="s">
        <v>55</v>
      </c>
      <c r="J2290" s="12" t="s">
        <v>55</v>
      </c>
      <c r="K2290" s="12" t="s">
        <v>56</v>
      </c>
      <c r="L2290" s="13">
        <v>37.5</v>
      </c>
      <c r="M2290" s="13">
        <v>25</v>
      </c>
      <c r="N2290" s="13">
        <f t="shared" si="70"/>
        <v>1.5</v>
      </c>
      <c r="O2290" s="13">
        <v>15</v>
      </c>
      <c r="P2290" s="13" t="s">
        <v>30</v>
      </c>
      <c r="Q2290" s="13">
        <v>0</v>
      </c>
      <c r="R2290" s="70">
        <f>+L2290*O2290</f>
        <v>562.5</v>
      </c>
      <c r="S2290" s="70">
        <v>0</v>
      </c>
      <c r="T2290" s="70">
        <f>+L2290*S2290</f>
        <v>0</v>
      </c>
      <c r="U2290" s="70">
        <f>+R2290-T2290</f>
        <v>562.5</v>
      </c>
      <c r="V2290" s="70">
        <f>+U2290*0.75</f>
        <v>421.875</v>
      </c>
      <c r="W2290" s="70">
        <f>+U2290-V2290</f>
        <v>140.625</v>
      </c>
      <c r="X2290" s="70">
        <v>0</v>
      </c>
      <c r="Y2290" s="14">
        <f t="shared" si="127"/>
        <v>0</v>
      </c>
      <c r="Z2290" s="11" t="s">
        <v>26</v>
      </c>
      <c r="AA2290" s="12" t="s">
        <v>31</v>
      </c>
    </row>
    <row r="2291" spans="1:27" x14ac:dyDescent="0.25">
      <c r="A2291" s="10">
        <v>45691</v>
      </c>
      <c r="B2291" s="69">
        <v>1.1296296296296304E-2</v>
      </c>
      <c r="C2291" s="11" t="s">
        <v>4657</v>
      </c>
      <c r="D2291" s="11">
        <v>16821</v>
      </c>
      <c r="E2291" s="11" t="s">
        <v>483</v>
      </c>
      <c r="F2291" s="11" t="s">
        <v>26</v>
      </c>
      <c r="G2291" s="11" t="s">
        <v>26</v>
      </c>
      <c r="H2291" s="12" t="s">
        <v>4422</v>
      </c>
      <c r="I2291" s="12" t="s">
        <v>27</v>
      </c>
      <c r="J2291" s="12" t="s">
        <v>33</v>
      </c>
      <c r="K2291" s="12" t="s">
        <v>34</v>
      </c>
      <c r="L2291" s="13">
        <v>42.36</v>
      </c>
      <c r="M2291" s="13">
        <v>29</v>
      </c>
      <c r="N2291" s="13">
        <f t="shared" si="70"/>
        <v>1.4606896551724138</v>
      </c>
      <c r="O2291" s="13">
        <v>85</v>
      </c>
      <c r="P2291" s="13" t="s">
        <v>30</v>
      </c>
      <c r="Q2291" s="13">
        <v>0</v>
      </c>
      <c r="R2291" s="70">
        <f>L2291*O2291</f>
        <v>3600.6</v>
      </c>
      <c r="S2291" s="70">
        <v>38</v>
      </c>
      <c r="T2291" s="70">
        <f>L2291*S2291</f>
        <v>1609.68</v>
      </c>
      <c r="U2291" s="70">
        <f>R2291-T2291</f>
        <v>1990.9199999999998</v>
      </c>
      <c r="V2291" s="70">
        <f>U2291*1</f>
        <v>1990.9199999999998</v>
      </c>
      <c r="W2291" s="70">
        <f>U2291-V2291</f>
        <v>0</v>
      </c>
      <c r="X2291" s="70">
        <f>L2291*37</f>
        <v>1567.32</v>
      </c>
      <c r="Y2291" s="71">
        <f>+T2291-X2291</f>
        <v>42.360000000000127</v>
      </c>
      <c r="Z2291" s="12" t="s">
        <v>41</v>
      </c>
      <c r="AA2291" s="12" t="s">
        <v>78</v>
      </c>
    </row>
    <row r="2292" spans="1:27" x14ac:dyDescent="0.25">
      <c r="A2292" s="10">
        <v>45691</v>
      </c>
      <c r="B2292" s="69">
        <v>5.9513888888888922E-2</v>
      </c>
      <c r="C2292" s="11" t="s">
        <v>4658</v>
      </c>
      <c r="D2292" s="11">
        <v>16822</v>
      </c>
      <c r="E2292" s="11" t="s">
        <v>479</v>
      </c>
      <c r="F2292" s="11" t="s">
        <v>26</v>
      </c>
      <c r="G2292" s="11">
        <v>22002</v>
      </c>
      <c r="H2292" s="12" t="s">
        <v>4448</v>
      </c>
      <c r="I2292" s="12" t="s">
        <v>27</v>
      </c>
      <c r="J2292" s="12" t="s">
        <v>33</v>
      </c>
      <c r="K2292" s="12" t="s">
        <v>34</v>
      </c>
      <c r="L2292" s="13">
        <v>39.9</v>
      </c>
      <c r="M2292" s="13">
        <v>28</v>
      </c>
      <c r="N2292" s="13">
        <f t="shared" si="70"/>
        <v>1.425</v>
      </c>
      <c r="O2292" s="13">
        <v>45.33</v>
      </c>
      <c r="P2292" s="13" t="s">
        <v>30</v>
      </c>
      <c r="Q2292" s="13">
        <v>0</v>
      </c>
      <c r="R2292" s="70">
        <f>+L2292*O2292</f>
        <v>1808.6669999999999</v>
      </c>
      <c r="S2292" s="70">
        <v>0</v>
      </c>
      <c r="T2292" s="70">
        <f>+L2292*S2292</f>
        <v>0</v>
      </c>
      <c r="U2292" s="70">
        <f>+R2292-T2292</f>
        <v>1808.6669999999999</v>
      </c>
      <c r="V2292" s="70">
        <f>+U2292*0.75</f>
        <v>1356.5002500000001</v>
      </c>
      <c r="W2292" s="70">
        <f>+U2292-V2292</f>
        <v>452.16674999999987</v>
      </c>
      <c r="X2292" s="70">
        <v>0</v>
      </c>
      <c r="Y2292" s="14">
        <f t="shared" ref="Y2292:Y2305" si="128">T2292-X2292</f>
        <v>0</v>
      </c>
      <c r="Z2292" s="11" t="s">
        <v>26</v>
      </c>
      <c r="AA2292" s="12" t="s">
        <v>31</v>
      </c>
    </row>
    <row r="2293" spans="1:27" x14ac:dyDescent="0.25">
      <c r="A2293" s="10">
        <v>45691</v>
      </c>
      <c r="B2293" s="69">
        <v>5.3506944444444426E-2</v>
      </c>
      <c r="C2293" s="11" t="s">
        <v>4659</v>
      </c>
      <c r="D2293" s="11">
        <v>16823</v>
      </c>
      <c r="E2293" s="11" t="s">
        <v>1651</v>
      </c>
      <c r="F2293" s="11" t="s">
        <v>26</v>
      </c>
      <c r="G2293" s="11">
        <v>42042</v>
      </c>
      <c r="H2293" s="12" t="s">
        <v>565</v>
      </c>
      <c r="I2293" s="12" t="s">
        <v>27</v>
      </c>
      <c r="J2293" s="12" t="s">
        <v>33</v>
      </c>
      <c r="K2293" s="12" t="s">
        <v>34</v>
      </c>
      <c r="L2293" s="13">
        <v>35.04</v>
      </c>
      <c r="M2293" s="13">
        <v>24</v>
      </c>
      <c r="N2293" s="13">
        <f t="shared" si="70"/>
        <v>1.46</v>
      </c>
      <c r="O2293" s="13"/>
      <c r="P2293" s="13">
        <v>60</v>
      </c>
      <c r="Q2293" s="13">
        <v>0</v>
      </c>
      <c r="R2293" s="70">
        <f>M2293*P2293</f>
        <v>1440</v>
      </c>
      <c r="S2293" s="70">
        <v>0</v>
      </c>
      <c r="T2293" s="70">
        <f>M2293*S2293</f>
        <v>0</v>
      </c>
      <c r="U2293" s="70">
        <f>R2293-T2293</f>
        <v>1440</v>
      </c>
      <c r="V2293" s="70">
        <f>U2293*0</f>
        <v>0</v>
      </c>
      <c r="W2293" s="70">
        <f>+U2293-V2293</f>
        <v>1440</v>
      </c>
      <c r="X2293" s="70">
        <v>0</v>
      </c>
      <c r="Y2293" s="14">
        <f t="shared" si="128"/>
        <v>0</v>
      </c>
      <c r="Z2293" s="11" t="s">
        <v>26</v>
      </c>
      <c r="AA2293" s="12" t="s">
        <v>31</v>
      </c>
    </row>
    <row r="2294" spans="1:27" x14ac:dyDescent="0.25">
      <c r="A2294" s="10">
        <v>45691</v>
      </c>
      <c r="B2294" s="69">
        <v>1.1793981481481475E-2</v>
      </c>
      <c r="C2294" s="11" t="s">
        <v>4660</v>
      </c>
      <c r="D2294" s="11">
        <v>16824</v>
      </c>
      <c r="E2294" s="11" t="s">
        <v>98</v>
      </c>
      <c r="F2294" s="11" t="s">
        <v>26</v>
      </c>
      <c r="G2294" s="11">
        <v>10710</v>
      </c>
      <c r="H2294" s="12" t="s">
        <v>140</v>
      </c>
      <c r="I2294" s="12" t="s">
        <v>27</v>
      </c>
      <c r="J2294" s="12" t="s">
        <v>42</v>
      </c>
      <c r="K2294" s="12" t="s">
        <v>43</v>
      </c>
      <c r="L2294" s="13">
        <v>42.9</v>
      </c>
      <c r="M2294" s="13">
        <v>25</v>
      </c>
      <c r="N2294" s="13">
        <f t="shared" ref="N2294:N2338" si="129">L2294/M2294</f>
        <v>1.716</v>
      </c>
      <c r="O2294" s="13">
        <v>35</v>
      </c>
      <c r="P2294" s="13"/>
      <c r="Q2294" s="13">
        <v>0</v>
      </c>
      <c r="R2294" s="70">
        <f>+L2294*O2294</f>
        <v>1501.5</v>
      </c>
      <c r="S2294" s="70">
        <v>0</v>
      </c>
      <c r="T2294" s="70">
        <f>+L2294*S2294</f>
        <v>0</v>
      </c>
      <c r="U2294" s="70">
        <f>+R2294-T2294</f>
        <v>1501.5</v>
      </c>
      <c r="V2294" s="70">
        <f>+U2294*0</f>
        <v>0</v>
      </c>
      <c r="W2294" s="70">
        <f>+U2294-V2294</f>
        <v>1501.5</v>
      </c>
      <c r="X2294" s="70">
        <v>0</v>
      </c>
      <c r="Y2294" s="14">
        <f t="shared" si="128"/>
        <v>0</v>
      </c>
      <c r="Z2294" s="11" t="s">
        <v>26</v>
      </c>
      <c r="AA2294" s="12" t="s">
        <v>31</v>
      </c>
    </row>
    <row r="2295" spans="1:27" x14ac:dyDescent="0.25">
      <c r="A2295" s="10">
        <v>45691</v>
      </c>
      <c r="B2295" s="69">
        <v>0.26613425925925926</v>
      </c>
      <c r="C2295" s="11" t="s">
        <v>4661</v>
      </c>
      <c r="D2295" s="11">
        <v>16825</v>
      </c>
      <c r="E2295" s="11" t="s">
        <v>570</v>
      </c>
      <c r="F2295" s="11" t="s">
        <v>26</v>
      </c>
      <c r="G2295" s="11">
        <v>10345</v>
      </c>
      <c r="H2295" s="12" t="s">
        <v>140</v>
      </c>
      <c r="I2295" s="12" t="s">
        <v>27</v>
      </c>
      <c r="J2295" s="12" t="s">
        <v>47</v>
      </c>
      <c r="K2295" s="12" t="s">
        <v>48</v>
      </c>
      <c r="L2295" s="13">
        <v>41.6</v>
      </c>
      <c r="M2295" s="13">
        <v>28</v>
      </c>
      <c r="N2295" s="13">
        <f t="shared" si="129"/>
        <v>1.4857142857142858</v>
      </c>
      <c r="O2295" s="13">
        <v>40</v>
      </c>
      <c r="P2295" s="13"/>
      <c r="Q2295" s="13">
        <v>0</v>
      </c>
      <c r="R2295" s="70">
        <f>+L2295*O2295</f>
        <v>1664</v>
      </c>
      <c r="S2295" s="70">
        <v>0</v>
      </c>
      <c r="T2295" s="70">
        <f>+L2295*S2295</f>
        <v>0</v>
      </c>
      <c r="U2295" s="70">
        <f>+R2295-T2295</f>
        <v>1664</v>
      </c>
      <c r="V2295" s="70">
        <f>+U2295*0</f>
        <v>0</v>
      </c>
      <c r="W2295" s="70">
        <f>+U2295-V2295</f>
        <v>1664</v>
      </c>
      <c r="X2295" s="70">
        <v>0</v>
      </c>
      <c r="Y2295" s="14">
        <f t="shared" si="128"/>
        <v>0</v>
      </c>
      <c r="Z2295" s="11" t="s">
        <v>26</v>
      </c>
      <c r="AA2295" s="12" t="s">
        <v>31</v>
      </c>
    </row>
    <row r="2296" spans="1:27" x14ac:dyDescent="0.25">
      <c r="A2296" s="10">
        <v>45691</v>
      </c>
      <c r="B2296" s="69">
        <v>4.9872685185185117E-2</v>
      </c>
      <c r="C2296" s="11" t="s">
        <v>4662</v>
      </c>
      <c r="D2296" s="11">
        <v>16826</v>
      </c>
      <c r="E2296" s="11" t="s">
        <v>97</v>
      </c>
      <c r="F2296" s="11" t="s">
        <v>26</v>
      </c>
      <c r="G2296" s="11">
        <v>9853</v>
      </c>
      <c r="H2296" s="12" t="s">
        <v>4447</v>
      </c>
      <c r="I2296" s="12" t="s">
        <v>27</v>
      </c>
      <c r="J2296" s="12" t="s">
        <v>33</v>
      </c>
      <c r="K2296" s="12" t="s">
        <v>34</v>
      </c>
      <c r="L2296" s="13">
        <v>18.52</v>
      </c>
      <c r="M2296" s="13">
        <v>12</v>
      </c>
      <c r="N2296" s="13">
        <f t="shared" si="129"/>
        <v>1.5433333333333332</v>
      </c>
      <c r="O2296" s="13" t="s">
        <v>30</v>
      </c>
      <c r="P2296" s="13">
        <v>63</v>
      </c>
      <c r="Q2296" s="13">
        <v>0</v>
      </c>
      <c r="R2296" s="70">
        <f>+M2296*P2296</f>
        <v>756</v>
      </c>
      <c r="S2296" s="70">
        <v>0</v>
      </c>
      <c r="T2296" s="70">
        <f>+M2296*S2296</f>
        <v>0</v>
      </c>
      <c r="U2296" s="70">
        <f t="shared" ref="U2296:U2297" si="130">+R2296-T2296</f>
        <v>756</v>
      </c>
      <c r="V2296" s="70">
        <f>+U2296*1</f>
        <v>756</v>
      </c>
      <c r="W2296" s="70">
        <f t="shared" ref="W2296:W2297" si="131">+U2296-V2296</f>
        <v>0</v>
      </c>
      <c r="X2296" s="70">
        <v>0</v>
      </c>
      <c r="Y2296" s="14">
        <f t="shared" si="128"/>
        <v>0</v>
      </c>
      <c r="Z2296" s="11" t="s">
        <v>26</v>
      </c>
      <c r="AA2296" s="12" t="s">
        <v>31</v>
      </c>
    </row>
    <row r="2297" spans="1:27" x14ac:dyDescent="0.25">
      <c r="A2297" s="10">
        <v>45691</v>
      </c>
      <c r="B2297" s="69">
        <v>4.9189814814813992E-3</v>
      </c>
      <c r="C2297" s="11" t="s">
        <v>4663</v>
      </c>
      <c r="D2297" s="11">
        <v>16827</v>
      </c>
      <c r="E2297" s="11" t="s">
        <v>552</v>
      </c>
      <c r="F2297" s="11" t="s">
        <v>26</v>
      </c>
      <c r="G2297" s="11">
        <v>69145</v>
      </c>
      <c r="H2297" s="12" t="s">
        <v>4423</v>
      </c>
      <c r="I2297" s="12" t="s">
        <v>27</v>
      </c>
      <c r="J2297" s="12" t="s">
        <v>42</v>
      </c>
      <c r="K2297" s="12" t="s">
        <v>43</v>
      </c>
      <c r="L2297" s="13">
        <v>33.520000000000003</v>
      </c>
      <c r="M2297" s="13">
        <v>25</v>
      </c>
      <c r="N2297" s="13">
        <f t="shared" si="129"/>
        <v>1.3408000000000002</v>
      </c>
      <c r="O2297" s="13">
        <v>42</v>
      </c>
      <c r="P2297" s="13" t="s">
        <v>30</v>
      </c>
      <c r="Q2297" s="13">
        <v>0</v>
      </c>
      <c r="R2297" s="70">
        <f t="shared" ref="R2297" si="132">+L2297*O2297</f>
        <v>1407.8400000000001</v>
      </c>
      <c r="S2297" s="70">
        <v>0</v>
      </c>
      <c r="T2297" s="70">
        <f t="shared" ref="T2297" si="133">+L2297*S2297</f>
        <v>0</v>
      </c>
      <c r="U2297" s="70">
        <f t="shared" si="130"/>
        <v>1407.8400000000001</v>
      </c>
      <c r="V2297" s="70">
        <f>+U2297*1</f>
        <v>1407.8400000000001</v>
      </c>
      <c r="W2297" s="70">
        <f t="shared" si="131"/>
        <v>0</v>
      </c>
      <c r="X2297" s="70">
        <v>0</v>
      </c>
      <c r="Y2297" s="14">
        <f t="shared" si="128"/>
        <v>0</v>
      </c>
      <c r="Z2297" s="11" t="s">
        <v>26</v>
      </c>
      <c r="AA2297" s="12" t="s">
        <v>31</v>
      </c>
    </row>
    <row r="2298" spans="1:27" x14ac:dyDescent="0.25">
      <c r="A2298" s="10">
        <v>45691</v>
      </c>
      <c r="B2298" s="69">
        <v>1.0682870370370412E-2</v>
      </c>
      <c r="C2298" s="11" t="s">
        <v>4664</v>
      </c>
      <c r="D2298" s="11">
        <v>16828</v>
      </c>
      <c r="E2298" s="11" t="s">
        <v>501</v>
      </c>
      <c r="F2298" s="11" t="s">
        <v>26</v>
      </c>
      <c r="G2298" s="11">
        <v>815</v>
      </c>
      <c r="H2298" s="12" t="s">
        <v>141</v>
      </c>
      <c r="I2298" s="12" t="s">
        <v>37</v>
      </c>
      <c r="J2298" s="12" t="s">
        <v>599</v>
      </c>
      <c r="K2298" s="12" t="s">
        <v>82</v>
      </c>
      <c r="L2298" s="13">
        <v>40.42</v>
      </c>
      <c r="M2298" s="13">
        <v>25</v>
      </c>
      <c r="N2298" s="13">
        <f t="shared" si="129"/>
        <v>1.6168</v>
      </c>
      <c r="O2298" s="13">
        <v>29</v>
      </c>
      <c r="P2298" s="13" t="s">
        <v>30</v>
      </c>
      <c r="Q2298" s="13">
        <v>0</v>
      </c>
      <c r="R2298" s="70">
        <f>L2298*O2298</f>
        <v>1172.18</v>
      </c>
      <c r="S2298" s="70">
        <v>0</v>
      </c>
      <c r="T2298" s="70">
        <f>L2298*S2298</f>
        <v>0</v>
      </c>
      <c r="U2298" s="70">
        <f>R2298-T2298</f>
        <v>1172.18</v>
      </c>
      <c r="V2298" s="70">
        <f>U2298*0</f>
        <v>0</v>
      </c>
      <c r="W2298" s="70">
        <f>U2298-V2298</f>
        <v>1172.18</v>
      </c>
      <c r="X2298" s="70">
        <v>0</v>
      </c>
      <c r="Y2298" s="14">
        <f t="shared" si="128"/>
        <v>0</v>
      </c>
      <c r="Z2298" s="11" t="s">
        <v>26</v>
      </c>
      <c r="AA2298" s="12" t="s">
        <v>31</v>
      </c>
    </row>
    <row r="2299" spans="1:27" x14ac:dyDescent="0.25">
      <c r="A2299" s="10">
        <v>45691</v>
      </c>
      <c r="B2299" s="69">
        <v>4.7337962962962887E-2</v>
      </c>
      <c r="C2299" s="11" t="s">
        <v>4665</v>
      </c>
      <c r="D2299" s="11">
        <v>16829</v>
      </c>
      <c r="E2299" s="11" t="s">
        <v>57</v>
      </c>
      <c r="F2299" s="11" t="s">
        <v>26</v>
      </c>
      <c r="G2299" s="11">
        <v>3682</v>
      </c>
      <c r="H2299" s="12" t="s">
        <v>41</v>
      </c>
      <c r="I2299" s="12" t="s">
        <v>27</v>
      </c>
      <c r="J2299" s="12" t="s">
        <v>33</v>
      </c>
      <c r="K2299" s="12" t="s">
        <v>34</v>
      </c>
      <c r="L2299" s="13">
        <v>38.42</v>
      </c>
      <c r="M2299" s="13">
        <v>25</v>
      </c>
      <c r="N2299" s="13">
        <f t="shared" si="129"/>
        <v>1.5368000000000002</v>
      </c>
      <c r="O2299" s="13" t="s">
        <v>30</v>
      </c>
      <c r="P2299" s="13">
        <v>60</v>
      </c>
      <c r="Q2299" s="13">
        <v>0</v>
      </c>
      <c r="R2299" s="70">
        <f>M2299*P2299</f>
        <v>1500</v>
      </c>
      <c r="S2299" s="70">
        <v>0</v>
      </c>
      <c r="T2299" s="70">
        <f>M2299*S2299</f>
        <v>0</v>
      </c>
      <c r="U2299" s="70">
        <f t="shared" ref="U2299" si="134">+R2299-T2299</f>
        <v>1500</v>
      </c>
      <c r="V2299" s="70">
        <f>+U2299*0</f>
        <v>0</v>
      </c>
      <c r="W2299" s="70">
        <f t="shared" ref="W2299" si="135">+U2299-V2299</f>
        <v>1500</v>
      </c>
      <c r="X2299" s="70">
        <v>0</v>
      </c>
      <c r="Y2299" s="14">
        <f t="shared" si="128"/>
        <v>0</v>
      </c>
      <c r="Z2299" s="11" t="s">
        <v>26</v>
      </c>
      <c r="AA2299" s="12" t="s">
        <v>31</v>
      </c>
    </row>
    <row r="2300" spans="1:27" x14ac:dyDescent="0.25">
      <c r="A2300" s="10">
        <v>45691</v>
      </c>
      <c r="B2300" s="69">
        <v>2.5104166666666705E-2</v>
      </c>
      <c r="C2300" s="11" t="s">
        <v>4666</v>
      </c>
      <c r="D2300" s="11">
        <v>16830</v>
      </c>
      <c r="E2300" s="11" t="s">
        <v>53</v>
      </c>
      <c r="F2300" s="11" t="s">
        <v>26</v>
      </c>
      <c r="G2300" s="11">
        <v>3788</v>
      </c>
      <c r="H2300" s="12" t="s">
        <v>41</v>
      </c>
      <c r="I2300" s="12" t="s">
        <v>27</v>
      </c>
      <c r="J2300" s="12" t="s">
        <v>42</v>
      </c>
      <c r="K2300" s="12" t="s">
        <v>43</v>
      </c>
      <c r="L2300" s="13">
        <v>42</v>
      </c>
      <c r="M2300" s="13">
        <v>25</v>
      </c>
      <c r="N2300" s="13">
        <f t="shared" si="129"/>
        <v>1.68</v>
      </c>
      <c r="O2300" s="13" t="s">
        <v>30</v>
      </c>
      <c r="P2300" s="13">
        <v>64</v>
      </c>
      <c r="Q2300" s="13">
        <v>0</v>
      </c>
      <c r="R2300" s="70">
        <f>M2300*P2300</f>
        <v>1600</v>
      </c>
      <c r="S2300" s="70">
        <v>0</v>
      </c>
      <c r="T2300" s="70">
        <f>M2300*S2300</f>
        <v>0</v>
      </c>
      <c r="U2300" s="70">
        <f>+R2300-T2300</f>
        <v>1600</v>
      </c>
      <c r="V2300" s="70">
        <f>+U2300*0</f>
        <v>0</v>
      </c>
      <c r="W2300" s="70">
        <f>+U2300-V2300</f>
        <v>1600</v>
      </c>
      <c r="X2300" s="70">
        <v>0</v>
      </c>
      <c r="Y2300" s="14">
        <f t="shared" si="128"/>
        <v>0</v>
      </c>
      <c r="Z2300" s="11" t="s">
        <v>26</v>
      </c>
      <c r="AA2300" s="12" t="s">
        <v>31</v>
      </c>
    </row>
    <row r="2301" spans="1:27" x14ac:dyDescent="0.25">
      <c r="A2301" s="10">
        <v>45691</v>
      </c>
      <c r="B2301" s="69">
        <v>9.2592592592591894E-3</v>
      </c>
      <c r="C2301" s="11" t="s">
        <v>4667</v>
      </c>
      <c r="D2301" s="11">
        <v>16831</v>
      </c>
      <c r="E2301" s="11" t="s">
        <v>589</v>
      </c>
      <c r="F2301" s="11" t="s">
        <v>26</v>
      </c>
      <c r="G2301" s="11">
        <v>56906</v>
      </c>
      <c r="H2301" s="12" t="s">
        <v>4423</v>
      </c>
      <c r="I2301" s="12" t="s">
        <v>27</v>
      </c>
      <c r="J2301" s="12" t="s">
        <v>42</v>
      </c>
      <c r="K2301" s="12" t="s">
        <v>43</v>
      </c>
      <c r="L2301" s="13">
        <v>35.92</v>
      </c>
      <c r="M2301" s="13">
        <v>25</v>
      </c>
      <c r="N2301" s="13">
        <f t="shared" si="129"/>
        <v>1.4368000000000001</v>
      </c>
      <c r="O2301" s="13">
        <v>42</v>
      </c>
      <c r="P2301" s="13" t="s">
        <v>30</v>
      </c>
      <c r="Q2301" s="13">
        <v>0</v>
      </c>
      <c r="R2301" s="70">
        <f t="shared" ref="R2301" si="136">+L2301*O2301</f>
        <v>1508.64</v>
      </c>
      <c r="S2301" s="70">
        <v>0</v>
      </c>
      <c r="T2301" s="70">
        <f t="shared" ref="T2301" si="137">+L2301*S2301</f>
        <v>0</v>
      </c>
      <c r="U2301" s="70">
        <f t="shared" ref="U2301:U2302" si="138">+R2301-T2301</f>
        <v>1508.64</v>
      </c>
      <c r="V2301" s="70">
        <f>+U2301*1</f>
        <v>1508.64</v>
      </c>
      <c r="W2301" s="70">
        <f t="shared" ref="W2301:W2302" si="139">+U2301-V2301</f>
        <v>0</v>
      </c>
      <c r="X2301" s="70">
        <v>0</v>
      </c>
      <c r="Y2301" s="14">
        <f t="shared" si="128"/>
        <v>0</v>
      </c>
      <c r="Z2301" s="11" t="s">
        <v>26</v>
      </c>
      <c r="AA2301" s="12" t="s">
        <v>31</v>
      </c>
    </row>
    <row r="2302" spans="1:27" x14ac:dyDescent="0.25">
      <c r="A2302" s="10">
        <v>45691</v>
      </c>
      <c r="B2302" s="69">
        <v>1.2939814814814765E-2</v>
      </c>
      <c r="C2302" s="11" t="s">
        <v>4668</v>
      </c>
      <c r="D2302" s="11">
        <v>16832</v>
      </c>
      <c r="E2302" s="11" t="s">
        <v>69</v>
      </c>
      <c r="F2302" s="11" t="s">
        <v>26</v>
      </c>
      <c r="G2302" s="11">
        <v>2110</v>
      </c>
      <c r="H2302" s="12" t="s">
        <v>70</v>
      </c>
      <c r="I2302" s="12" t="s">
        <v>27</v>
      </c>
      <c r="J2302" s="12" t="s">
        <v>42</v>
      </c>
      <c r="K2302" s="12" t="s">
        <v>43</v>
      </c>
      <c r="L2302" s="13">
        <v>43.7</v>
      </c>
      <c r="M2302" s="13">
        <v>25</v>
      </c>
      <c r="N2302" s="13">
        <f t="shared" si="129"/>
        <v>1.7480000000000002</v>
      </c>
      <c r="O2302" s="13" t="s">
        <v>30</v>
      </c>
      <c r="P2302" s="13">
        <v>64</v>
      </c>
      <c r="Q2302" s="13">
        <v>0</v>
      </c>
      <c r="R2302" s="70">
        <f>+M2302*P2302</f>
        <v>1600</v>
      </c>
      <c r="S2302" s="70">
        <v>0</v>
      </c>
      <c r="T2302" s="70">
        <f>+M2302*S2302</f>
        <v>0</v>
      </c>
      <c r="U2302" s="70">
        <f t="shared" si="138"/>
        <v>1600</v>
      </c>
      <c r="V2302" s="70">
        <f>+U2302*0</f>
        <v>0</v>
      </c>
      <c r="W2302" s="70">
        <f t="shared" si="139"/>
        <v>1600</v>
      </c>
      <c r="X2302" s="70">
        <v>0</v>
      </c>
      <c r="Y2302" s="14">
        <f t="shared" si="128"/>
        <v>0</v>
      </c>
      <c r="Z2302" s="11" t="s">
        <v>26</v>
      </c>
      <c r="AA2302" s="12" t="s">
        <v>31</v>
      </c>
    </row>
    <row r="2303" spans="1:27" x14ac:dyDescent="0.25">
      <c r="A2303" s="10">
        <v>45691</v>
      </c>
      <c r="B2303" s="69">
        <v>5.714120370370368E-2</v>
      </c>
      <c r="C2303" s="11" t="s">
        <v>4669</v>
      </c>
      <c r="D2303" s="11">
        <v>16833</v>
      </c>
      <c r="E2303" s="11" t="s">
        <v>54</v>
      </c>
      <c r="F2303" s="11" t="s">
        <v>26</v>
      </c>
      <c r="G2303" s="11">
        <v>112408</v>
      </c>
      <c r="H2303" s="12" t="s">
        <v>4446</v>
      </c>
      <c r="I2303" s="12" t="s">
        <v>27</v>
      </c>
      <c r="J2303" s="12" t="s">
        <v>33</v>
      </c>
      <c r="K2303" s="12" t="s">
        <v>34</v>
      </c>
      <c r="L2303" s="13">
        <v>34.1</v>
      </c>
      <c r="M2303" s="13">
        <v>25</v>
      </c>
      <c r="N2303" s="13">
        <f t="shared" si="129"/>
        <v>1.3640000000000001</v>
      </c>
      <c r="O2303" s="13">
        <v>44</v>
      </c>
      <c r="P2303" s="13" t="s">
        <v>30</v>
      </c>
      <c r="Q2303" s="13">
        <v>0</v>
      </c>
      <c r="R2303" s="70">
        <f t="shared" ref="R2303" si="140">+L2303*O2303</f>
        <v>1500.4</v>
      </c>
      <c r="S2303" s="70">
        <v>0</v>
      </c>
      <c r="T2303" s="70">
        <f>+L2303*S2303</f>
        <v>0</v>
      </c>
      <c r="U2303" s="70">
        <f>+R2303-T2303</f>
        <v>1500.4</v>
      </c>
      <c r="V2303" s="70">
        <f>+U2303*1</f>
        <v>1500.4</v>
      </c>
      <c r="W2303" s="70">
        <f>+U2303-V2303</f>
        <v>0</v>
      </c>
      <c r="X2303" s="70">
        <v>0</v>
      </c>
      <c r="Y2303" s="14">
        <f t="shared" si="128"/>
        <v>0</v>
      </c>
      <c r="Z2303" s="11" t="s">
        <v>26</v>
      </c>
      <c r="AA2303" s="12" t="s">
        <v>31</v>
      </c>
    </row>
    <row r="2304" spans="1:27" x14ac:dyDescent="0.25">
      <c r="A2304" s="10">
        <v>45691</v>
      </c>
      <c r="B2304" s="69">
        <v>5.0497685185185159E-2</v>
      </c>
      <c r="C2304" s="11" t="s">
        <v>4670</v>
      </c>
      <c r="D2304" s="11">
        <v>16834</v>
      </c>
      <c r="E2304" s="11" t="s">
        <v>50</v>
      </c>
      <c r="F2304" s="11" t="s">
        <v>26</v>
      </c>
      <c r="G2304" s="11">
        <v>932</v>
      </c>
      <c r="H2304" s="12" t="s">
        <v>163</v>
      </c>
      <c r="I2304" s="12" t="s">
        <v>27</v>
      </c>
      <c r="J2304" s="12" t="s">
        <v>42</v>
      </c>
      <c r="K2304" s="12" t="s">
        <v>43</v>
      </c>
      <c r="L2304" s="13">
        <v>40.22</v>
      </c>
      <c r="M2304" s="13">
        <v>25</v>
      </c>
      <c r="N2304" s="13">
        <f t="shared" si="129"/>
        <v>1.6088</v>
      </c>
      <c r="O2304" s="13" t="s">
        <v>30</v>
      </c>
      <c r="P2304" s="13">
        <v>64</v>
      </c>
      <c r="Q2304" s="13">
        <v>0</v>
      </c>
      <c r="R2304" s="70">
        <f>M2304*P2304</f>
        <v>1600</v>
      </c>
      <c r="S2304" s="70">
        <v>0</v>
      </c>
      <c r="T2304" s="70">
        <f>M2304*S2304</f>
        <v>0</v>
      </c>
      <c r="U2304" s="70">
        <f>R2304-T2304</f>
        <v>1600</v>
      </c>
      <c r="V2304" s="70">
        <f>U2304*0</f>
        <v>0</v>
      </c>
      <c r="W2304" s="70">
        <f>U2304-V2304</f>
        <v>1600</v>
      </c>
      <c r="X2304" s="70">
        <v>0</v>
      </c>
      <c r="Y2304" s="14">
        <f t="shared" si="128"/>
        <v>0</v>
      </c>
      <c r="Z2304" s="11" t="s">
        <v>26</v>
      </c>
      <c r="AA2304" s="12" t="s">
        <v>31</v>
      </c>
    </row>
    <row r="2305" spans="1:27" x14ac:dyDescent="0.25">
      <c r="A2305" s="10">
        <v>45691</v>
      </c>
      <c r="B2305" s="69">
        <v>2.4259259259259203E-2</v>
      </c>
      <c r="C2305" s="11" t="s">
        <v>4671</v>
      </c>
      <c r="D2305" s="11">
        <v>16835</v>
      </c>
      <c r="E2305" s="11" t="s">
        <v>444</v>
      </c>
      <c r="F2305" s="11" t="s">
        <v>26</v>
      </c>
      <c r="G2305" s="11" t="s">
        <v>35</v>
      </c>
      <c r="H2305" s="12" t="s">
        <v>36</v>
      </c>
      <c r="I2305" s="12" t="s">
        <v>27</v>
      </c>
      <c r="J2305" s="12" t="s">
        <v>557</v>
      </c>
      <c r="K2305" s="12" t="s">
        <v>558</v>
      </c>
      <c r="L2305" s="13">
        <v>32.1</v>
      </c>
      <c r="M2305" s="13">
        <v>20</v>
      </c>
      <c r="N2305" s="13">
        <f t="shared" si="129"/>
        <v>1.605</v>
      </c>
      <c r="O2305" s="13">
        <v>65</v>
      </c>
      <c r="P2305" s="13" t="s">
        <v>30</v>
      </c>
      <c r="Q2305" s="13">
        <v>0</v>
      </c>
      <c r="R2305" s="70">
        <f>(L2305*O2305)-Q2305</f>
        <v>2086.5</v>
      </c>
      <c r="S2305" s="70">
        <v>0</v>
      </c>
      <c r="T2305" s="70">
        <f t="shared" ref="T2305" si="141">+L2305*S2305</f>
        <v>0</v>
      </c>
      <c r="U2305" s="70">
        <f t="shared" ref="U2305" si="142">+R2305-T2305</f>
        <v>2086.5</v>
      </c>
      <c r="V2305" s="70">
        <f>+U2305*0</f>
        <v>0</v>
      </c>
      <c r="W2305" s="70">
        <f t="shared" ref="W2305" si="143">+U2305-V2305</f>
        <v>2086.5</v>
      </c>
      <c r="X2305" s="70">
        <v>0</v>
      </c>
      <c r="Y2305" s="14">
        <f t="shared" si="128"/>
        <v>0</v>
      </c>
      <c r="Z2305" s="11" t="s">
        <v>26</v>
      </c>
      <c r="AA2305" s="12" t="s">
        <v>31</v>
      </c>
    </row>
    <row r="2306" spans="1:27" x14ac:dyDescent="0.25">
      <c r="A2306" s="10">
        <v>45691</v>
      </c>
      <c r="B2306" s="69">
        <v>2.1076388888888853E-2</v>
      </c>
      <c r="C2306" s="11" t="s">
        <v>4672</v>
      </c>
      <c r="D2306" s="11">
        <v>16836</v>
      </c>
      <c r="E2306" s="11" t="s">
        <v>240</v>
      </c>
      <c r="F2306" s="11" t="s">
        <v>26</v>
      </c>
      <c r="G2306" s="11" t="s">
        <v>26</v>
      </c>
      <c r="H2306" s="12" t="s">
        <v>4422</v>
      </c>
      <c r="I2306" s="12" t="s">
        <v>27</v>
      </c>
      <c r="J2306" s="12" t="s">
        <v>42</v>
      </c>
      <c r="K2306" s="12" t="s">
        <v>43</v>
      </c>
      <c r="L2306" s="13">
        <v>41.06</v>
      </c>
      <c r="M2306" s="13">
        <v>25</v>
      </c>
      <c r="N2306" s="13">
        <f t="shared" si="129"/>
        <v>1.6424000000000001</v>
      </c>
      <c r="O2306" s="13">
        <v>83</v>
      </c>
      <c r="P2306" s="13" t="s">
        <v>30</v>
      </c>
      <c r="Q2306" s="13">
        <v>0</v>
      </c>
      <c r="R2306" s="70">
        <f>L2306*O2306</f>
        <v>3407.98</v>
      </c>
      <c r="S2306" s="70">
        <v>38</v>
      </c>
      <c r="T2306" s="70">
        <f>L2306*S2306</f>
        <v>1560.2800000000002</v>
      </c>
      <c r="U2306" s="70">
        <f>R2306-T2306</f>
        <v>1847.6999999999998</v>
      </c>
      <c r="V2306" s="70">
        <f>U2306*1</f>
        <v>1847.6999999999998</v>
      </c>
      <c r="W2306" s="70">
        <f>U2306-V2306</f>
        <v>0</v>
      </c>
      <c r="X2306" s="70">
        <f>L2306*37</f>
        <v>1519.22</v>
      </c>
      <c r="Y2306" s="71">
        <f>+T2306-X2306</f>
        <v>41.060000000000173</v>
      </c>
      <c r="Z2306" s="12" t="s">
        <v>41</v>
      </c>
      <c r="AA2306" s="12" t="s">
        <v>78</v>
      </c>
    </row>
    <row r="2307" spans="1:27" x14ac:dyDescent="0.25">
      <c r="A2307" s="10">
        <v>45691</v>
      </c>
      <c r="B2307" s="69">
        <v>7.4768518518519844E-3</v>
      </c>
      <c r="C2307" s="11" t="s">
        <v>4673</v>
      </c>
      <c r="D2307" s="11">
        <v>16837</v>
      </c>
      <c r="E2307" s="11" t="s">
        <v>237</v>
      </c>
      <c r="F2307" s="11" t="s">
        <v>26</v>
      </c>
      <c r="G2307" s="11">
        <v>61871</v>
      </c>
      <c r="H2307" s="12" t="s">
        <v>4423</v>
      </c>
      <c r="I2307" s="12" t="s">
        <v>27</v>
      </c>
      <c r="J2307" s="12" t="s">
        <v>42</v>
      </c>
      <c r="K2307" s="12" t="s">
        <v>43</v>
      </c>
      <c r="L2307" s="13">
        <v>35.76</v>
      </c>
      <c r="M2307" s="13">
        <v>25</v>
      </c>
      <c r="N2307" s="13">
        <f t="shared" si="129"/>
        <v>1.4303999999999999</v>
      </c>
      <c r="O2307" s="13">
        <v>42</v>
      </c>
      <c r="P2307" s="13" t="s">
        <v>30</v>
      </c>
      <c r="Q2307" s="13">
        <v>0</v>
      </c>
      <c r="R2307" s="70">
        <f t="shared" ref="R2307:R2310" si="144">+L2307*O2307</f>
        <v>1501.9199999999998</v>
      </c>
      <c r="S2307" s="70">
        <v>0</v>
      </c>
      <c r="T2307" s="70">
        <f t="shared" ref="T2307" si="145">+L2307*S2307</f>
        <v>0</v>
      </c>
      <c r="U2307" s="70">
        <f t="shared" ref="U2307" si="146">+R2307-T2307</f>
        <v>1501.9199999999998</v>
      </c>
      <c r="V2307" s="70">
        <f>+U2307*1</f>
        <v>1501.9199999999998</v>
      </c>
      <c r="W2307" s="70">
        <f t="shared" ref="W2307" si="147">+U2307-V2307</f>
        <v>0</v>
      </c>
      <c r="X2307" s="70">
        <v>0</v>
      </c>
      <c r="Y2307" s="14">
        <f t="shared" ref="Y2307:Y2320" si="148">T2307-X2307</f>
        <v>0</v>
      </c>
      <c r="Z2307" s="11" t="s">
        <v>26</v>
      </c>
      <c r="AA2307" s="12" t="s">
        <v>31</v>
      </c>
    </row>
    <row r="2308" spans="1:27" x14ac:dyDescent="0.25">
      <c r="A2308" s="10">
        <v>45691</v>
      </c>
      <c r="B2308" s="69">
        <v>4.9918981481481439E-2</v>
      </c>
      <c r="C2308" s="11" t="s">
        <v>4674</v>
      </c>
      <c r="D2308" s="11">
        <v>16838</v>
      </c>
      <c r="E2308" s="11" t="s">
        <v>322</v>
      </c>
      <c r="F2308" s="11" t="s">
        <v>26</v>
      </c>
      <c r="G2308" s="11">
        <v>112400</v>
      </c>
      <c r="H2308" s="12" t="s">
        <v>4446</v>
      </c>
      <c r="I2308" s="12" t="s">
        <v>27</v>
      </c>
      <c r="J2308" s="12" t="s">
        <v>33</v>
      </c>
      <c r="K2308" s="12" t="s">
        <v>34</v>
      </c>
      <c r="L2308" s="13">
        <v>34.619999999999997</v>
      </c>
      <c r="M2308" s="13">
        <v>25</v>
      </c>
      <c r="N2308" s="13">
        <f t="shared" si="129"/>
        <v>1.3847999999999998</v>
      </c>
      <c r="O2308" s="13">
        <v>44</v>
      </c>
      <c r="P2308" s="13" t="s">
        <v>30</v>
      </c>
      <c r="Q2308" s="13">
        <v>0</v>
      </c>
      <c r="R2308" s="70">
        <f t="shared" si="144"/>
        <v>1523.28</v>
      </c>
      <c r="S2308" s="70">
        <v>0</v>
      </c>
      <c r="T2308" s="70">
        <f>+L2308*S2308</f>
        <v>0</v>
      </c>
      <c r="U2308" s="70">
        <f>+R2308-T2308</f>
        <v>1523.28</v>
      </c>
      <c r="V2308" s="70">
        <f>+U2308*1</f>
        <v>1523.28</v>
      </c>
      <c r="W2308" s="70">
        <f>+U2308-V2308</f>
        <v>0</v>
      </c>
      <c r="X2308" s="70">
        <v>0</v>
      </c>
      <c r="Y2308" s="14">
        <f t="shared" si="148"/>
        <v>0</v>
      </c>
      <c r="Z2308" s="11" t="s">
        <v>26</v>
      </c>
      <c r="AA2308" s="12" t="s">
        <v>31</v>
      </c>
    </row>
    <row r="2309" spans="1:27" x14ac:dyDescent="0.25">
      <c r="A2309" s="10">
        <v>45691</v>
      </c>
      <c r="B2309" s="69">
        <v>1.3819444444444495E-2</v>
      </c>
      <c r="C2309" s="11" t="s">
        <v>4675</v>
      </c>
      <c r="D2309" s="11">
        <v>16839</v>
      </c>
      <c r="E2309" s="11" t="s">
        <v>224</v>
      </c>
      <c r="F2309" s="11" t="s">
        <v>26</v>
      </c>
      <c r="G2309" s="11">
        <v>55349</v>
      </c>
      <c r="H2309" s="12" t="s">
        <v>4423</v>
      </c>
      <c r="I2309" s="12" t="s">
        <v>27</v>
      </c>
      <c r="J2309" s="12" t="s">
        <v>42</v>
      </c>
      <c r="K2309" s="12" t="s">
        <v>43</v>
      </c>
      <c r="L2309" s="13">
        <v>33.119999999999997</v>
      </c>
      <c r="M2309" s="13">
        <v>25</v>
      </c>
      <c r="N2309" s="13">
        <f t="shared" si="129"/>
        <v>1.3248</v>
      </c>
      <c r="O2309" s="13">
        <v>42</v>
      </c>
      <c r="P2309" s="13" t="s">
        <v>30</v>
      </c>
      <c r="Q2309" s="13">
        <v>0</v>
      </c>
      <c r="R2309" s="70">
        <f t="shared" si="144"/>
        <v>1391.04</v>
      </c>
      <c r="S2309" s="70">
        <v>0</v>
      </c>
      <c r="T2309" s="70">
        <f t="shared" ref="T2309:T2310" si="149">+L2309*S2309</f>
        <v>0</v>
      </c>
      <c r="U2309" s="70">
        <f t="shared" ref="U2309:U2310" si="150">+R2309-T2309</f>
        <v>1391.04</v>
      </c>
      <c r="V2309" s="70">
        <f>+U2309*1</f>
        <v>1391.04</v>
      </c>
      <c r="W2309" s="70">
        <f t="shared" ref="W2309:W2310" si="151">+U2309-V2309</f>
        <v>0</v>
      </c>
      <c r="X2309" s="70">
        <v>0</v>
      </c>
      <c r="Y2309" s="14">
        <f t="shared" si="148"/>
        <v>0</v>
      </c>
      <c r="Z2309" s="11" t="s">
        <v>26</v>
      </c>
      <c r="AA2309" s="12" t="s">
        <v>31</v>
      </c>
    </row>
    <row r="2310" spans="1:27" x14ac:dyDescent="0.25">
      <c r="A2310" s="10">
        <v>45691</v>
      </c>
      <c r="B2310" s="69">
        <v>3.8113425925925926E-2</v>
      </c>
      <c r="C2310" s="11" t="s">
        <v>4676</v>
      </c>
      <c r="D2310" s="11">
        <v>16840</v>
      </c>
      <c r="E2310" s="11" t="s">
        <v>593</v>
      </c>
      <c r="F2310" s="11" t="s">
        <v>26</v>
      </c>
      <c r="G2310" s="11">
        <v>44318</v>
      </c>
      <c r="H2310" s="12" t="s">
        <v>4423</v>
      </c>
      <c r="I2310" s="12" t="s">
        <v>27</v>
      </c>
      <c r="J2310" s="12" t="s">
        <v>47</v>
      </c>
      <c r="K2310" s="12" t="s">
        <v>48</v>
      </c>
      <c r="L2310" s="13">
        <v>35.619999999999997</v>
      </c>
      <c r="M2310" s="13">
        <v>25</v>
      </c>
      <c r="N2310" s="13">
        <f t="shared" si="129"/>
        <v>1.4247999999999998</v>
      </c>
      <c r="O2310" s="13">
        <v>46</v>
      </c>
      <c r="P2310" s="13" t="s">
        <v>30</v>
      </c>
      <c r="Q2310" s="13">
        <v>0</v>
      </c>
      <c r="R2310" s="70">
        <f t="shared" si="144"/>
        <v>1638.52</v>
      </c>
      <c r="S2310" s="70">
        <v>0</v>
      </c>
      <c r="T2310" s="70">
        <f t="shared" si="149"/>
        <v>0</v>
      </c>
      <c r="U2310" s="70">
        <f t="shared" si="150"/>
        <v>1638.52</v>
      </c>
      <c r="V2310" s="70">
        <f>+U2310*1</f>
        <v>1638.52</v>
      </c>
      <c r="W2310" s="70">
        <f t="shared" si="151"/>
        <v>0</v>
      </c>
      <c r="X2310" s="70">
        <v>0</v>
      </c>
      <c r="Y2310" s="14">
        <f t="shared" si="148"/>
        <v>0</v>
      </c>
      <c r="Z2310" s="11" t="s">
        <v>26</v>
      </c>
      <c r="AA2310" s="12" t="s">
        <v>31</v>
      </c>
    </row>
    <row r="2311" spans="1:27" x14ac:dyDescent="0.25">
      <c r="A2311" s="10">
        <v>45691</v>
      </c>
      <c r="B2311" s="69">
        <v>1.2962962962962954E-2</v>
      </c>
      <c r="C2311" s="11" t="s">
        <v>4677</v>
      </c>
      <c r="D2311" s="11">
        <v>16841</v>
      </c>
      <c r="E2311" s="11" t="s">
        <v>574</v>
      </c>
      <c r="F2311" s="11" t="s">
        <v>26</v>
      </c>
      <c r="G2311" s="11">
        <v>789</v>
      </c>
      <c r="H2311" s="12" t="s">
        <v>141</v>
      </c>
      <c r="I2311" s="12" t="s">
        <v>37</v>
      </c>
      <c r="J2311" s="12" t="s">
        <v>599</v>
      </c>
      <c r="K2311" s="12" t="s">
        <v>82</v>
      </c>
      <c r="L2311" s="13">
        <v>37.5</v>
      </c>
      <c r="M2311" s="13">
        <v>25</v>
      </c>
      <c r="N2311" s="13">
        <f t="shared" si="129"/>
        <v>1.5</v>
      </c>
      <c r="O2311" s="13">
        <v>29</v>
      </c>
      <c r="P2311" s="13" t="s">
        <v>30</v>
      </c>
      <c r="Q2311" s="13">
        <v>0</v>
      </c>
      <c r="R2311" s="70">
        <f>L2311*O2311</f>
        <v>1087.5</v>
      </c>
      <c r="S2311" s="70">
        <v>0</v>
      </c>
      <c r="T2311" s="70">
        <f>L2311*S2311</f>
        <v>0</v>
      </c>
      <c r="U2311" s="70">
        <f>R2311-T2311</f>
        <v>1087.5</v>
      </c>
      <c r="V2311" s="70">
        <f>U2311*0</f>
        <v>0</v>
      </c>
      <c r="W2311" s="70">
        <f>U2311-V2311</f>
        <v>1087.5</v>
      </c>
      <c r="X2311" s="70">
        <v>0</v>
      </c>
      <c r="Y2311" s="14">
        <f t="shared" si="148"/>
        <v>0</v>
      </c>
      <c r="Z2311" s="11" t="s">
        <v>26</v>
      </c>
      <c r="AA2311" s="12" t="s">
        <v>31</v>
      </c>
    </row>
    <row r="2312" spans="1:27" x14ac:dyDescent="0.25">
      <c r="A2312" s="10">
        <v>45691</v>
      </c>
      <c r="B2312" s="69">
        <v>9.5486111111111605E-3</v>
      </c>
      <c r="C2312" s="11" t="s">
        <v>4678</v>
      </c>
      <c r="D2312" s="11">
        <v>16842</v>
      </c>
      <c r="E2312" s="11" t="s">
        <v>52</v>
      </c>
      <c r="F2312" s="11" t="s">
        <v>26</v>
      </c>
      <c r="G2312" s="11">
        <v>790</v>
      </c>
      <c r="H2312" s="12" t="s">
        <v>141</v>
      </c>
      <c r="I2312" s="12" t="s">
        <v>55</v>
      </c>
      <c r="J2312" s="12" t="s">
        <v>55</v>
      </c>
      <c r="K2312" s="12" t="s">
        <v>56</v>
      </c>
      <c r="L2312" s="13">
        <v>40.46</v>
      </c>
      <c r="M2312" s="13">
        <v>25</v>
      </c>
      <c r="N2312" s="13">
        <f t="shared" si="129"/>
        <v>1.6184000000000001</v>
      </c>
      <c r="O2312" s="13">
        <v>15</v>
      </c>
      <c r="P2312" s="13" t="s">
        <v>30</v>
      </c>
      <c r="Q2312" s="13">
        <v>0</v>
      </c>
      <c r="R2312" s="70">
        <f>L2312*O2312</f>
        <v>606.9</v>
      </c>
      <c r="S2312" s="70">
        <v>0</v>
      </c>
      <c r="T2312" s="70">
        <f>L2312*S2312</f>
        <v>0</v>
      </c>
      <c r="U2312" s="70">
        <f>R2312-T2312</f>
        <v>606.9</v>
      </c>
      <c r="V2312" s="70">
        <f>U2312*0</f>
        <v>0</v>
      </c>
      <c r="W2312" s="70">
        <f>U2312-V2312</f>
        <v>606.9</v>
      </c>
      <c r="X2312" s="70">
        <v>0</v>
      </c>
      <c r="Y2312" s="14">
        <f t="shared" si="148"/>
        <v>0</v>
      </c>
      <c r="Z2312" s="11" t="s">
        <v>26</v>
      </c>
      <c r="AA2312" s="12" t="s">
        <v>31</v>
      </c>
    </row>
    <row r="2313" spans="1:27" x14ac:dyDescent="0.25">
      <c r="A2313" s="10">
        <v>45691</v>
      </c>
      <c r="B2313" s="69">
        <v>1.4432870370370332E-2</v>
      </c>
      <c r="C2313" s="11" t="s">
        <v>4679</v>
      </c>
      <c r="D2313" s="11">
        <v>16843</v>
      </c>
      <c r="E2313" s="11" t="s">
        <v>177</v>
      </c>
      <c r="F2313" s="11" t="s">
        <v>26</v>
      </c>
      <c r="G2313" s="11">
        <v>791</v>
      </c>
      <c r="H2313" s="12" t="s">
        <v>141</v>
      </c>
      <c r="I2313" s="12" t="s">
        <v>55</v>
      </c>
      <c r="J2313" s="12" t="s">
        <v>55</v>
      </c>
      <c r="K2313" s="12" t="s">
        <v>56</v>
      </c>
      <c r="L2313" s="13">
        <v>39.299999999999997</v>
      </c>
      <c r="M2313" s="13">
        <v>25</v>
      </c>
      <c r="N2313" s="13">
        <f t="shared" si="129"/>
        <v>1.5719999999999998</v>
      </c>
      <c r="O2313" s="13">
        <v>15</v>
      </c>
      <c r="P2313" s="13" t="s">
        <v>30</v>
      </c>
      <c r="Q2313" s="13">
        <v>0</v>
      </c>
      <c r="R2313" s="70">
        <f>L2313*O2313</f>
        <v>589.5</v>
      </c>
      <c r="S2313" s="70">
        <v>0</v>
      </c>
      <c r="T2313" s="70">
        <f>L2313*S2313</f>
        <v>0</v>
      </c>
      <c r="U2313" s="70">
        <f>R2313-T2313</f>
        <v>589.5</v>
      </c>
      <c r="V2313" s="70">
        <f>U2313*0</f>
        <v>0</v>
      </c>
      <c r="W2313" s="70">
        <f>U2313-V2313</f>
        <v>589.5</v>
      </c>
      <c r="X2313" s="70">
        <v>0</v>
      </c>
      <c r="Y2313" s="14">
        <f t="shared" si="148"/>
        <v>0</v>
      </c>
      <c r="Z2313" s="11" t="s">
        <v>26</v>
      </c>
      <c r="AA2313" s="12" t="s">
        <v>31</v>
      </c>
    </row>
    <row r="2314" spans="1:27" x14ac:dyDescent="0.25">
      <c r="A2314" s="10">
        <v>45691</v>
      </c>
      <c r="B2314" s="69">
        <v>9.8032407407407929E-3</v>
      </c>
      <c r="C2314" s="11" t="s">
        <v>4680</v>
      </c>
      <c r="D2314" s="11">
        <v>16844</v>
      </c>
      <c r="E2314" s="11" t="s">
        <v>63</v>
      </c>
      <c r="F2314" s="11" t="s">
        <v>26</v>
      </c>
      <c r="G2314" s="11">
        <v>10178</v>
      </c>
      <c r="H2314" s="12" t="s">
        <v>140</v>
      </c>
      <c r="I2314" s="12" t="s">
        <v>27</v>
      </c>
      <c r="J2314" s="12" t="s">
        <v>42</v>
      </c>
      <c r="K2314" s="12" t="s">
        <v>43</v>
      </c>
      <c r="L2314" s="13">
        <v>40.200000000000003</v>
      </c>
      <c r="M2314" s="13">
        <v>25</v>
      </c>
      <c r="N2314" s="13">
        <f t="shared" si="129"/>
        <v>1.6080000000000001</v>
      </c>
      <c r="O2314" s="13">
        <v>35</v>
      </c>
      <c r="P2314" s="13"/>
      <c r="Q2314" s="13">
        <v>0</v>
      </c>
      <c r="R2314" s="70">
        <f>+L2314*O2314</f>
        <v>1407</v>
      </c>
      <c r="S2314" s="70">
        <v>0</v>
      </c>
      <c r="T2314" s="70">
        <f>+L2314*S2314</f>
        <v>0</v>
      </c>
      <c r="U2314" s="70">
        <f>+R2314-T2314</f>
        <v>1407</v>
      </c>
      <c r="V2314" s="70">
        <f>+U2314*0</f>
        <v>0</v>
      </c>
      <c r="W2314" s="70">
        <f>+U2314-V2314</f>
        <v>1407</v>
      </c>
      <c r="X2314" s="70">
        <v>0</v>
      </c>
      <c r="Y2314" s="14">
        <f t="shared" si="148"/>
        <v>0</v>
      </c>
      <c r="Z2314" s="11" t="s">
        <v>26</v>
      </c>
      <c r="AA2314" s="12" t="s">
        <v>31</v>
      </c>
    </row>
    <row r="2315" spans="1:27" x14ac:dyDescent="0.25">
      <c r="A2315" s="10">
        <v>45691</v>
      </c>
      <c r="B2315" s="69">
        <v>1.7442129629629655E-2</v>
      </c>
      <c r="C2315" s="11" t="s">
        <v>4681</v>
      </c>
      <c r="D2315" s="11">
        <v>16845</v>
      </c>
      <c r="E2315" s="11" t="s">
        <v>39</v>
      </c>
      <c r="F2315" s="11" t="s">
        <v>26</v>
      </c>
      <c r="G2315" s="11">
        <v>792</v>
      </c>
      <c r="H2315" s="12" t="s">
        <v>141</v>
      </c>
      <c r="I2315" s="12" t="s">
        <v>55</v>
      </c>
      <c r="J2315" s="12" t="s">
        <v>55</v>
      </c>
      <c r="K2315" s="12" t="s">
        <v>56</v>
      </c>
      <c r="L2315" s="13">
        <v>39.18</v>
      </c>
      <c r="M2315" s="13">
        <v>25</v>
      </c>
      <c r="N2315" s="13">
        <f t="shared" si="129"/>
        <v>1.5671999999999999</v>
      </c>
      <c r="O2315" s="13">
        <v>15</v>
      </c>
      <c r="P2315" s="13" t="s">
        <v>30</v>
      </c>
      <c r="Q2315" s="13">
        <v>0</v>
      </c>
      <c r="R2315" s="70">
        <f>L2315*O2315</f>
        <v>587.70000000000005</v>
      </c>
      <c r="S2315" s="70">
        <v>0</v>
      </c>
      <c r="T2315" s="70">
        <f>L2315*S2315</f>
        <v>0</v>
      </c>
      <c r="U2315" s="70">
        <f>R2315-T2315</f>
        <v>587.70000000000005</v>
      </c>
      <c r="V2315" s="70">
        <f>U2315*0</f>
        <v>0</v>
      </c>
      <c r="W2315" s="70">
        <f>U2315-V2315</f>
        <v>587.70000000000005</v>
      </c>
      <c r="X2315" s="70">
        <v>0</v>
      </c>
      <c r="Y2315" s="14">
        <f t="shared" si="148"/>
        <v>0</v>
      </c>
      <c r="Z2315" s="11" t="s">
        <v>26</v>
      </c>
      <c r="AA2315" s="12" t="s">
        <v>31</v>
      </c>
    </row>
    <row r="2316" spans="1:27" x14ac:dyDescent="0.25">
      <c r="A2316" s="10">
        <v>45691</v>
      </c>
      <c r="B2316" s="69">
        <v>9.594907407407427E-3</v>
      </c>
      <c r="C2316" s="11" t="s">
        <v>4682</v>
      </c>
      <c r="D2316" s="11">
        <v>16846</v>
      </c>
      <c r="E2316" s="11" t="s">
        <v>3938</v>
      </c>
      <c r="F2316" s="11" t="s">
        <v>26</v>
      </c>
      <c r="G2316" s="11" t="s">
        <v>35</v>
      </c>
      <c r="H2316" s="12" t="s">
        <v>36</v>
      </c>
      <c r="I2316" s="12" t="s">
        <v>55</v>
      </c>
      <c r="J2316" s="12" t="s">
        <v>55</v>
      </c>
      <c r="K2316" s="12" t="s">
        <v>56</v>
      </c>
      <c r="L2316" s="13">
        <v>10.1</v>
      </c>
      <c r="M2316" s="13">
        <v>7</v>
      </c>
      <c r="N2316" s="13">
        <f t="shared" si="129"/>
        <v>1.4428571428571428</v>
      </c>
      <c r="O2316" s="13">
        <v>20</v>
      </c>
      <c r="P2316" s="13" t="s">
        <v>30</v>
      </c>
      <c r="Q2316" s="13">
        <v>0</v>
      </c>
      <c r="R2316" s="70">
        <f>(L2316*O2316)-Q2316</f>
        <v>202</v>
      </c>
      <c r="S2316" s="70">
        <v>0</v>
      </c>
      <c r="T2316" s="70">
        <f t="shared" ref="T2316" si="152">+L2316*S2316</f>
        <v>0</v>
      </c>
      <c r="U2316" s="70">
        <f t="shared" ref="U2316" si="153">+R2316-T2316</f>
        <v>202</v>
      </c>
      <c r="V2316" s="70">
        <f>+U2316*0</f>
        <v>0</v>
      </c>
      <c r="W2316" s="70">
        <f t="shared" ref="W2316" si="154">+U2316-V2316</f>
        <v>202</v>
      </c>
      <c r="X2316" s="70">
        <v>0</v>
      </c>
      <c r="Y2316" s="14">
        <f t="shared" si="148"/>
        <v>0</v>
      </c>
      <c r="Z2316" s="11" t="s">
        <v>26</v>
      </c>
      <c r="AA2316" s="12" t="s">
        <v>31</v>
      </c>
    </row>
    <row r="2317" spans="1:27" x14ac:dyDescent="0.25">
      <c r="A2317" s="10">
        <v>45691</v>
      </c>
      <c r="B2317" s="69">
        <v>9.6412037037037046E-2</v>
      </c>
      <c r="C2317" s="11" t="s">
        <v>4683</v>
      </c>
      <c r="D2317" s="11">
        <v>16847</v>
      </c>
      <c r="E2317" s="11" t="s">
        <v>75</v>
      </c>
      <c r="F2317" s="11" t="s">
        <v>26</v>
      </c>
      <c r="G2317" s="11">
        <v>42043</v>
      </c>
      <c r="H2317" s="12" t="s">
        <v>565</v>
      </c>
      <c r="I2317" s="12" t="s">
        <v>27</v>
      </c>
      <c r="J2317" s="12" t="s">
        <v>33</v>
      </c>
      <c r="K2317" s="12" t="s">
        <v>34</v>
      </c>
      <c r="L2317" s="13">
        <v>41.5</v>
      </c>
      <c r="M2317" s="13">
        <v>28</v>
      </c>
      <c r="N2317" s="13">
        <f t="shared" si="129"/>
        <v>1.4821428571428572</v>
      </c>
      <c r="O2317" s="13"/>
      <c r="P2317" s="13">
        <v>60</v>
      </c>
      <c r="Q2317" s="13">
        <v>0</v>
      </c>
      <c r="R2317" s="70">
        <f>M2317*P2317</f>
        <v>1680</v>
      </c>
      <c r="S2317" s="70">
        <v>0</v>
      </c>
      <c r="T2317" s="70">
        <f>M2317*S2317</f>
        <v>0</v>
      </c>
      <c r="U2317" s="70">
        <f>R2317-T2317</f>
        <v>1680</v>
      </c>
      <c r="V2317" s="70">
        <f>U2317*0</f>
        <v>0</v>
      </c>
      <c r="W2317" s="70">
        <f>+U2317-V2317</f>
        <v>1680</v>
      </c>
      <c r="X2317" s="70">
        <v>0</v>
      </c>
      <c r="Y2317" s="14">
        <f t="shared" si="148"/>
        <v>0</v>
      </c>
      <c r="Z2317" s="11" t="s">
        <v>26</v>
      </c>
      <c r="AA2317" s="12" t="s">
        <v>31</v>
      </c>
    </row>
    <row r="2318" spans="1:27" x14ac:dyDescent="0.25">
      <c r="A2318" s="10">
        <v>45691</v>
      </c>
      <c r="B2318" s="69">
        <v>1.0219907407407414E-2</v>
      </c>
      <c r="C2318" s="11" t="s">
        <v>4684</v>
      </c>
      <c r="D2318" s="11">
        <v>16848</v>
      </c>
      <c r="E2318" s="11" t="s">
        <v>658</v>
      </c>
      <c r="F2318" s="11" t="s">
        <v>26</v>
      </c>
      <c r="G2318" s="11">
        <v>863</v>
      </c>
      <c r="H2318" s="12" t="s">
        <v>141</v>
      </c>
      <c r="I2318" s="12" t="s">
        <v>37</v>
      </c>
      <c r="J2318" s="12" t="s">
        <v>599</v>
      </c>
      <c r="K2318" s="12" t="s">
        <v>82</v>
      </c>
      <c r="L2318" s="13">
        <v>39.380000000000003</v>
      </c>
      <c r="M2318" s="13">
        <v>25</v>
      </c>
      <c r="N2318" s="13">
        <f t="shared" si="129"/>
        <v>1.5752000000000002</v>
      </c>
      <c r="O2318" s="13">
        <v>29</v>
      </c>
      <c r="P2318" s="13" t="s">
        <v>30</v>
      </c>
      <c r="Q2318" s="13">
        <v>0</v>
      </c>
      <c r="R2318" s="70">
        <f>L2318*O2318</f>
        <v>1142.02</v>
      </c>
      <c r="S2318" s="70">
        <v>0</v>
      </c>
      <c r="T2318" s="70">
        <f>L2318*S2318</f>
        <v>0</v>
      </c>
      <c r="U2318" s="70">
        <f>R2318-T2318</f>
        <v>1142.02</v>
      </c>
      <c r="V2318" s="70">
        <f>U2318*0</f>
        <v>0</v>
      </c>
      <c r="W2318" s="70">
        <f>U2318-V2318</f>
        <v>1142.02</v>
      </c>
      <c r="X2318" s="70">
        <v>0</v>
      </c>
      <c r="Y2318" s="14">
        <f t="shared" si="148"/>
        <v>0</v>
      </c>
      <c r="Z2318" s="11" t="s">
        <v>26</v>
      </c>
      <c r="AA2318" s="12" t="s">
        <v>31</v>
      </c>
    </row>
    <row r="2319" spans="1:27" x14ac:dyDescent="0.25">
      <c r="A2319" s="10">
        <v>45691</v>
      </c>
      <c r="B2319" s="69">
        <v>7.9282407407407218E-3</v>
      </c>
      <c r="C2319" s="11" t="s">
        <v>4685</v>
      </c>
      <c r="D2319" s="11">
        <v>16849</v>
      </c>
      <c r="E2319" s="11" t="s">
        <v>604</v>
      </c>
      <c r="F2319" s="11" t="s">
        <v>26</v>
      </c>
      <c r="G2319" s="11">
        <v>1117</v>
      </c>
      <c r="H2319" s="12" t="s">
        <v>141</v>
      </c>
      <c r="I2319" s="12" t="s">
        <v>37</v>
      </c>
      <c r="J2319" s="12" t="s">
        <v>599</v>
      </c>
      <c r="K2319" s="12" t="s">
        <v>82</v>
      </c>
      <c r="L2319" s="13">
        <v>39.28</v>
      </c>
      <c r="M2319" s="13">
        <v>25</v>
      </c>
      <c r="N2319" s="13">
        <f t="shared" si="129"/>
        <v>1.5712000000000002</v>
      </c>
      <c r="O2319" s="13">
        <v>29</v>
      </c>
      <c r="P2319" s="13" t="s">
        <v>30</v>
      </c>
      <c r="Q2319" s="13">
        <v>0</v>
      </c>
      <c r="R2319" s="70">
        <f>L2319*O2319</f>
        <v>1139.1200000000001</v>
      </c>
      <c r="S2319" s="70">
        <v>0</v>
      </c>
      <c r="T2319" s="70">
        <f>L2319*S2319</f>
        <v>0</v>
      </c>
      <c r="U2319" s="70">
        <f>R2319-T2319</f>
        <v>1139.1200000000001</v>
      </c>
      <c r="V2319" s="70">
        <f>U2319*0</f>
        <v>0</v>
      </c>
      <c r="W2319" s="70">
        <f>U2319-V2319</f>
        <v>1139.1200000000001</v>
      </c>
      <c r="X2319" s="70">
        <v>0</v>
      </c>
      <c r="Y2319" s="14">
        <f t="shared" si="148"/>
        <v>0</v>
      </c>
      <c r="Z2319" s="11" t="s">
        <v>26</v>
      </c>
      <c r="AA2319" s="12" t="s">
        <v>31</v>
      </c>
    </row>
    <row r="2320" spans="1:27" x14ac:dyDescent="0.25">
      <c r="A2320" s="10">
        <v>45691</v>
      </c>
      <c r="B2320" s="69">
        <v>8.2638888888889594E-3</v>
      </c>
      <c r="C2320" s="11" t="s">
        <v>4686</v>
      </c>
      <c r="D2320" s="11">
        <v>16850</v>
      </c>
      <c r="E2320" s="11" t="s">
        <v>509</v>
      </c>
      <c r="F2320" s="11" t="s">
        <v>26</v>
      </c>
      <c r="G2320" s="11">
        <v>1311</v>
      </c>
      <c r="H2320" s="12" t="s">
        <v>141</v>
      </c>
      <c r="I2320" s="12" t="s">
        <v>37</v>
      </c>
      <c r="J2320" s="12" t="s">
        <v>599</v>
      </c>
      <c r="K2320" s="12" t="s">
        <v>82</v>
      </c>
      <c r="L2320" s="13">
        <v>38.14</v>
      </c>
      <c r="M2320" s="13">
        <v>25</v>
      </c>
      <c r="N2320" s="13">
        <f t="shared" si="129"/>
        <v>1.5256000000000001</v>
      </c>
      <c r="O2320" s="13">
        <v>29</v>
      </c>
      <c r="P2320" s="13" t="s">
        <v>30</v>
      </c>
      <c r="Q2320" s="13">
        <v>0</v>
      </c>
      <c r="R2320" s="70">
        <f>L2320*O2320</f>
        <v>1106.06</v>
      </c>
      <c r="S2320" s="70">
        <v>0</v>
      </c>
      <c r="T2320" s="70">
        <f>L2320*S2320</f>
        <v>0</v>
      </c>
      <c r="U2320" s="70">
        <f>R2320-T2320</f>
        <v>1106.06</v>
      </c>
      <c r="V2320" s="70">
        <f>U2320*0</f>
        <v>0</v>
      </c>
      <c r="W2320" s="70">
        <f>U2320-V2320</f>
        <v>1106.06</v>
      </c>
      <c r="X2320" s="70">
        <v>0</v>
      </c>
      <c r="Y2320" s="14">
        <f t="shared" si="148"/>
        <v>0</v>
      </c>
      <c r="Z2320" s="11" t="s">
        <v>26</v>
      </c>
      <c r="AA2320" s="12" t="s">
        <v>31</v>
      </c>
    </row>
    <row r="2321" spans="1:27" x14ac:dyDescent="0.25">
      <c r="A2321" s="10">
        <v>45691</v>
      </c>
      <c r="B2321" s="69">
        <v>1.1238425925925943E-2</v>
      </c>
      <c r="C2321" s="11" t="s">
        <v>4687</v>
      </c>
      <c r="D2321" s="11">
        <v>16851</v>
      </c>
      <c r="E2321" s="11" t="s">
        <v>444</v>
      </c>
      <c r="F2321" s="11" t="s">
        <v>26</v>
      </c>
      <c r="G2321" s="11">
        <v>2110</v>
      </c>
      <c r="H2321" s="12" t="s">
        <v>4449</v>
      </c>
      <c r="I2321" s="12" t="s">
        <v>37</v>
      </c>
      <c r="J2321" s="12" t="s">
        <v>4688</v>
      </c>
      <c r="K2321" s="12" t="s">
        <v>82</v>
      </c>
      <c r="L2321" s="13">
        <v>34.479999999999997</v>
      </c>
      <c r="M2321" s="13">
        <v>21</v>
      </c>
      <c r="N2321" s="13">
        <f t="shared" si="129"/>
        <v>1.6419047619047618</v>
      </c>
      <c r="O2321" s="13">
        <v>0</v>
      </c>
      <c r="P2321" s="13" t="s">
        <v>30</v>
      </c>
      <c r="Q2321" s="13"/>
      <c r="R2321" s="70"/>
      <c r="S2321" s="70"/>
      <c r="T2321" s="70"/>
      <c r="U2321" s="70"/>
      <c r="V2321" s="70"/>
      <c r="W2321" s="70"/>
      <c r="X2321" s="70">
        <v>0</v>
      </c>
      <c r="Y2321" s="71">
        <f>T2321-X2321</f>
        <v>0</v>
      </c>
      <c r="Z2321" s="11" t="s">
        <v>26</v>
      </c>
      <c r="AA2321" s="12" t="s">
        <v>31</v>
      </c>
    </row>
    <row r="2322" spans="1:27" x14ac:dyDescent="0.25">
      <c r="A2322" s="10">
        <v>45691</v>
      </c>
      <c r="B2322" s="69">
        <v>1.070601851851849E-2</v>
      </c>
      <c r="C2322" s="11" t="s">
        <v>4689</v>
      </c>
      <c r="D2322" s="11">
        <v>16852</v>
      </c>
      <c r="E2322" s="11" t="s">
        <v>98</v>
      </c>
      <c r="F2322" s="11" t="s">
        <v>26</v>
      </c>
      <c r="G2322" s="11">
        <v>10711</v>
      </c>
      <c r="H2322" s="12" t="s">
        <v>140</v>
      </c>
      <c r="I2322" s="12" t="s">
        <v>27</v>
      </c>
      <c r="J2322" s="12" t="s">
        <v>42</v>
      </c>
      <c r="K2322" s="12" t="s">
        <v>43</v>
      </c>
      <c r="L2322" s="13">
        <v>41.18</v>
      </c>
      <c r="M2322" s="13">
        <v>25</v>
      </c>
      <c r="N2322" s="13">
        <f t="shared" si="129"/>
        <v>1.6472</v>
      </c>
      <c r="O2322" s="13">
        <v>35</v>
      </c>
      <c r="P2322" s="13"/>
      <c r="Q2322" s="13">
        <v>0</v>
      </c>
      <c r="R2322" s="70">
        <f>+L2322*O2322</f>
        <v>1441.3</v>
      </c>
      <c r="S2322" s="70">
        <v>0</v>
      </c>
      <c r="T2322" s="70">
        <f>+L2322*S2322</f>
        <v>0</v>
      </c>
      <c r="U2322" s="70">
        <f>+R2322-T2322</f>
        <v>1441.3</v>
      </c>
      <c r="V2322" s="70">
        <f>+U2322*0</f>
        <v>0</v>
      </c>
      <c r="W2322" s="70">
        <f>+U2322-V2322</f>
        <v>1441.3</v>
      </c>
      <c r="X2322" s="70">
        <v>0</v>
      </c>
      <c r="Y2322" s="14">
        <f t="shared" ref="Y2322:Y2326" si="155">T2322-X2322</f>
        <v>0</v>
      </c>
      <c r="Z2322" s="11" t="s">
        <v>26</v>
      </c>
      <c r="AA2322" s="12" t="s">
        <v>31</v>
      </c>
    </row>
    <row r="2323" spans="1:27" x14ac:dyDescent="0.25">
      <c r="A2323" s="10">
        <v>45691</v>
      </c>
      <c r="B2323" s="69">
        <v>1.5601851851851922E-2</v>
      </c>
      <c r="C2323" s="11" t="s">
        <v>4690</v>
      </c>
      <c r="D2323" s="11">
        <v>16853</v>
      </c>
      <c r="E2323" s="11" t="s">
        <v>64</v>
      </c>
      <c r="F2323" s="11" t="s">
        <v>26</v>
      </c>
      <c r="G2323" s="11">
        <v>793</v>
      </c>
      <c r="H2323" s="12" t="s">
        <v>141</v>
      </c>
      <c r="I2323" s="12" t="s">
        <v>55</v>
      </c>
      <c r="J2323" s="12" t="s">
        <v>55</v>
      </c>
      <c r="K2323" s="12" t="s">
        <v>56</v>
      </c>
      <c r="L2323" s="13">
        <v>38.380000000000003</v>
      </c>
      <c r="M2323" s="13">
        <v>25</v>
      </c>
      <c r="N2323" s="13">
        <f t="shared" si="129"/>
        <v>1.5352000000000001</v>
      </c>
      <c r="O2323" s="13">
        <v>15</v>
      </c>
      <c r="P2323" s="13" t="s">
        <v>30</v>
      </c>
      <c r="Q2323" s="13">
        <v>0</v>
      </c>
      <c r="R2323" s="70">
        <f>L2323*O2323</f>
        <v>575.70000000000005</v>
      </c>
      <c r="S2323" s="70">
        <v>0</v>
      </c>
      <c r="T2323" s="70">
        <f>L2323*S2323</f>
        <v>0</v>
      </c>
      <c r="U2323" s="70">
        <f>R2323-T2323</f>
        <v>575.70000000000005</v>
      </c>
      <c r="V2323" s="70">
        <f>U2323*0</f>
        <v>0</v>
      </c>
      <c r="W2323" s="70">
        <f>U2323-V2323</f>
        <v>575.70000000000005</v>
      </c>
      <c r="X2323" s="70">
        <v>0</v>
      </c>
      <c r="Y2323" s="14">
        <f t="shared" si="155"/>
        <v>0</v>
      </c>
      <c r="Z2323" s="11" t="s">
        <v>26</v>
      </c>
      <c r="AA2323" s="12" t="s">
        <v>31</v>
      </c>
    </row>
    <row r="2324" spans="1:27" x14ac:dyDescent="0.25">
      <c r="A2324" s="10">
        <v>45691</v>
      </c>
      <c r="B2324" s="69">
        <v>9.4560185185185164E-3</v>
      </c>
      <c r="C2324" s="11" t="s">
        <v>4691</v>
      </c>
      <c r="D2324" s="11">
        <v>16854</v>
      </c>
      <c r="E2324" s="11" t="s">
        <v>3938</v>
      </c>
      <c r="F2324" s="11" t="s">
        <v>26</v>
      </c>
      <c r="G2324" s="11" t="s">
        <v>35</v>
      </c>
      <c r="H2324" s="12" t="s">
        <v>36</v>
      </c>
      <c r="I2324" s="12" t="s">
        <v>55</v>
      </c>
      <c r="J2324" s="12" t="s">
        <v>55</v>
      </c>
      <c r="K2324" s="12" t="s">
        <v>56</v>
      </c>
      <c r="L2324" s="13">
        <v>10.1</v>
      </c>
      <c r="M2324" s="13">
        <v>7</v>
      </c>
      <c r="N2324" s="13">
        <f t="shared" si="129"/>
        <v>1.4428571428571428</v>
      </c>
      <c r="O2324" s="13">
        <v>20</v>
      </c>
      <c r="P2324" s="13" t="s">
        <v>30</v>
      </c>
      <c r="Q2324" s="13">
        <v>0</v>
      </c>
      <c r="R2324" s="70">
        <f>(L2324*O2324)-Q2324</f>
        <v>202</v>
      </c>
      <c r="S2324" s="70">
        <v>0</v>
      </c>
      <c r="T2324" s="70">
        <f t="shared" ref="T2324" si="156">+L2324*S2324</f>
        <v>0</v>
      </c>
      <c r="U2324" s="70">
        <f t="shared" ref="U2324" si="157">+R2324-T2324</f>
        <v>202</v>
      </c>
      <c r="V2324" s="70">
        <f>+U2324*0</f>
        <v>0</v>
      </c>
      <c r="W2324" s="70">
        <f t="shared" ref="W2324" si="158">+U2324-V2324</f>
        <v>202</v>
      </c>
      <c r="X2324" s="70">
        <v>0</v>
      </c>
      <c r="Y2324" s="14">
        <f t="shared" si="155"/>
        <v>0</v>
      </c>
      <c r="Z2324" s="11" t="s">
        <v>26</v>
      </c>
      <c r="AA2324" s="12" t="s">
        <v>31</v>
      </c>
    </row>
    <row r="2325" spans="1:27" x14ac:dyDescent="0.25">
      <c r="A2325" s="10">
        <v>45691</v>
      </c>
      <c r="B2325" s="69">
        <v>8.9872685185185208E-2</v>
      </c>
      <c r="C2325" s="11" t="s">
        <v>4692</v>
      </c>
      <c r="D2325" s="11">
        <v>16855</v>
      </c>
      <c r="E2325" s="11" t="s">
        <v>506</v>
      </c>
      <c r="F2325" s="11" t="s">
        <v>26</v>
      </c>
      <c r="G2325" s="11">
        <v>1544</v>
      </c>
      <c r="H2325" s="12" t="s">
        <v>45</v>
      </c>
      <c r="I2325" s="12" t="s">
        <v>27</v>
      </c>
      <c r="J2325" s="12" t="s">
        <v>33</v>
      </c>
      <c r="K2325" s="12" t="s">
        <v>34</v>
      </c>
      <c r="L2325" s="13">
        <v>38.82</v>
      </c>
      <c r="M2325" s="13">
        <v>25</v>
      </c>
      <c r="N2325" s="13">
        <f t="shared" si="129"/>
        <v>1.5528</v>
      </c>
      <c r="O2325" s="13" t="s">
        <v>30</v>
      </c>
      <c r="P2325" s="13">
        <v>58</v>
      </c>
      <c r="Q2325" s="13">
        <v>0</v>
      </c>
      <c r="R2325" s="70">
        <f>M2325*P2325</f>
        <v>1450</v>
      </c>
      <c r="S2325" s="70">
        <v>0</v>
      </c>
      <c r="T2325" s="70">
        <f>M2325*S2325</f>
        <v>0</v>
      </c>
      <c r="U2325" s="70">
        <f>R2325-T2325</f>
        <v>1450</v>
      </c>
      <c r="V2325" s="70">
        <f>U2325*0</f>
        <v>0</v>
      </c>
      <c r="W2325" s="70">
        <f>U2325-V2325</f>
        <v>1450</v>
      </c>
      <c r="X2325" s="70">
        <v>0</v>
      </c>
      <c r="Y2325" s="14">
        <f t="shared" si="155"/>
        <v>0</v>
      </c>
      <c r="Z2325" s="11" t="s">
        <v>26</v>
      </c>
      <c r="AA2325" s="12" t="s">
        <v>31</v>
      </c>
    </row>
    <row r="2326" spans="1:27" x14ac:dyDescent="0.25">
      <c r="A2326" s="10">
        <v>45691</v>
      </c>
      <c r="B2326" s="69">
        <v>1.7314814814814783E-2</v>
      </c>
      <c r="C2326" s="11" t="s">
        <v>4693</v>
      </c>
      <c r="D2326" s="11">
        <v>16856</v>
      </c>
      <c r="E2326" s="11" t="s">
        <v>87</v>
      </c>
      <c r="F2326" s="11" t="s">
        <v>26</v>
      </c>
      <c r="G2326" s="11">
        <v>56956</v>
      </c>
      <c r="H2326" s="12" t="s">
        <v>4423</v>
      </c>
      <c r="I2326" s="12" t="s">
        <v>27</v>
      </c>
      <c r="J2326" s="12" t="s">
        <v>42</v>
      </c>
      <c r="K2326" s="12" t="s">
        <v>43</v>
      </c>
      <c r="L2326" s="13">
        <v>37</v>
      </c>
      <c r="M2326" s="13">
        <v>25</v>
      </c>
      <c r="N2326" s="13">
        <f t="shared" si="129"/>
        <v>1.48</v>
      </c>
      <c r="O2326" s="13">
        <v>42</v>
      </c>
      <c r="P2326" s="13" t="s">
        <v>30</v>
      </c>
      <c r="Q2326" s="13">
        <v>0</v>
      </c>
      <c r="R2326" s="70">
        <f t="shared" ref="R2326" si="159">+L2326*O2326</f>
        <v>1554</v>
      </c>
      <c r="S2326" s="70">
        <v>0</v>
      </c>
      <c r="T2326" s="70">
        <f t="shared" ref="T2326" si="160">+L2326*S2326</f>
        <v>0</v>
      </c>
      <c r="U2326" s="70">
        <f t="shared" ref="U2326" si="161">+R2326-T2326</f>
        <v>1554</v>
      </c>
      <c r="V2326" s="70">
        <f>+U2326*1</f>
        <v>1554</v>
      </c>
      <c r="W2326" s="70">
        <f t="shared" ref="W2326" si="162">+U2326-V2326</f>
        <v>0</v>
      </c>
      <c r="X2326" s="70">
        <v>0</v>
      </c>
      <c r="Y2326" s="14">
        <f t="shared" si="155"/>
        <v>0</v>
      </c>
      <c r="Z2326" s="11" t="s">
        <v>26</v>
      </c>
      <c r="AA2326" s="12" t="s">
        <v>31</v>
      </c>
    </row>
    <row r="2327" spans="1:27" x14ac:dyDescent="0.25">
      <c r="A2327" s="10">
        <v>45691</v>
      </c>
      <c r="B2327" s="69">
        <v>2.1145833333333308E-2</v>
      </c>
      <c r="C2327" s="11" t="s">
        <v>4694</v>
      </c>
      <c r="D2327" s="11">
        <v>16857</v>
      </c>
      <c r="E2327" s="11" t="s">
        <v>435</v>
      </c>
      <c r="F2327" s="11" t="s">
        <v>26</v>
      </c>
      <c r="G2327" s="11" t="s">
        <v>26</v>
      </c>
      <c r="H2327" s="12" t="s">
        <v>4422</v>
      </c>
      <c r="I2327" s="12" t="s">
        <v>27</v>
      </c>
      <c r="J2327" s="12" t="s">
        <v>42</v>
      </c>
      <c r="K2327" s="12" t="s">
        <v>43</v>
      </c>
      <c r="L2327" s="13">
        <v>43.82</v>
      </c>
      <c r="M2327" s="13">
        <v>25</v>
      </c>
      <c r="N2327" s="13">
        <f t="shared" si="129"/>
        <v>1.7527999999999999</v>
      </c>
      <c r="O2327" s="13">
        <v>83</v>
      </c>
      <c r="P2327" s="13" t="s">
        <v>30</v>
      </c>
      <c r="Q2327" s="13">
        <v>0</v>
      </c>
      <c r="R2327" s="70">
        <f>L2327*O2327</f>
        <v>3637.06</v>
      </c>
      <c r="S2327" s="70">
        <v>38</v>
      </c>
      <c r="T2327" s="70">
        <f>L2327*S2327</f>
        <v>1665.16</v>
      </c>
      <c r="U2327" s="70">
        <f>R2327-T2327</f>
        <v>1971.8999999999999</v>
      </c>
      <c r="V2327" s="70">
        <f>U2327*1</f>
        <v>1971.8999999999999</v>
      </c>
      <c r="W2327" s="70">
        <f>U2327-V2327</f>
        <v>0</v>
      </c>
      <c r="X2327" s="70">
        <f>L2327*37</f>
        <v>1621.34</v>
      </c>
      <c r="Y2327" s="71">
        <f>+T2327-X2327</f>
        <v>43.820000000000164</v>
      </c>
      <c r="Z2327" s="12" t="s">
        <v>41</v>
      </c>
      <c r="AA2327" s="12" t="s">
        <v>78</v>
      </c>
    </row>
    <row r="2328" spans="1:27" x14ac:dyDescent="0.25">
      <c r="A2328" s="10">
        <v>45691</v>
      </c>
      <c r="B2328" s="69">
        <v>0.11222222222222222</v>
      </c>
      <c r="C2328" s="11" t="s">
        <v>4695</v>
      </c>
      <c r="D2328" s="11">
        <v>16858</v>
      </c>
      <c r="E2328" s="11" t="s">
        <v>80</v>
      </c>
      <c r="F2328" s="11" t="s">
        <v>26</v>
      </c>
      <c r="G2328" s="11">
        <v>10672</v>
      </c>
      <c r="H2328" s="12" t="s">
        <v>140</v>
      </c>
      <c r="I2328" s="12" t="s">
        <v>27</v>
      </c>
      <c r="J2328" s="12" t="s">
        <v>47</v>
      </c>
      <c r="K2328" s="12" t="s">
        <v>48</v>
      </c>
      <c r="L2328" s="13">
        <v>40.659999999999997</v>
      </c>
      <c r="M2328" s="13">
        <v>28</v>
      </c>
      <c r="N2328" s="13">
        <f t="shared" si="129"/>
        <v>1.452142857142857</v>
      </c>
      <c r="O2328" s="13">
        <v>40</v>
      </c>
      <c r="P2328" s="13"/>
      <c r="Q2328" s="13">
        <v>0</v>
      </c>
      <c r="R2328" s="70">
        <f>+L2328*O2328</f>
        <v>1626.3999999999999</v>
      </c>
      <c r="S2328" s="70">
        <v>0</v>
      </c>
      <c r="T2328" s="70">
        <f>+L2328*S2328</f>
        <v>0</v>
      </c>
      <c r="U2328" s="70">
        <f>+R2328-T2328</f>
        <v>1626.3999999999999</v>
      </c>
      <c r="V2328" s="70">
        <f>+U2328*0</f>
        <v>0</v>
      </c>
      <c r="W2328" s="70">
        <f>+U2328-V2328</f>
        <v>1626.3999999999999</v>
      </c>
      <c r="X2328" s="70">
        <v>0</v>
      </c>
      <c r="Y2328" s="14">
        <f t="shared" ref="Y2328:Y2351" si="163">T2328-X2328</f>
        <v>0</v>
      </c>
      <c r="Z2328" s="11" t="s">
        <v>26</v>
      </c>
      <c r="AA2328" s="12" t="s">
        <v>31</v>
      </c>
    </row>
    <row r="2329" spans="1:27" x14ac:dyDescent="0.25">
      <c r="A2329" s="10">
        <v>45691</v>
      </c>
      <c r="B2329" s="69">
        <v>8.4537037037037077E-2</v>
      </c>
      <c r="C2329" s="11" t="s">
        <v>4696</v>
      </c>
      <c r="D2329" s="11">
        <v>16859</v>
      </c>
      <c r="E2329" s="11" t="s">
        <v>97</v>
      </c>
      <c r="F2329" s="11" t="s">
        <v>26</v>
      </c>
      <c r="G2329" s="11">
        <v>9854</v>
      </c>
      <c r="H2329" s="12" t="s">
        <v>4447</v>
      </c>
      <c r="I2329" s="12" t="s">
        <v>27</v>
      </c>
      <c r="J2329" s="12" t="s">
        <v>33</v>
      </c>
      <c r="K2329" s="12" t="s">
        <v>34</v>
      </c>
      <c r="L2329" s="13">
        <v>18.82</v>
      </c>
      <c r="M2329" s="13">
        <v>12</v>
      </c>
      <c r="N2329" s="13">
        <f t="shared" si="129"/>
        <v>1.5683333333333334</v>
      </c>
      <c r="O2329" s="13" t="s">
        <v>30</v>
      </c>
      <c r="P2329" s="13">
        <v>63</v>
      </c>
      <c r="Q2329" s="13">
        <v>0</v>
      </c>
      <c r="R2329" s="70">
        <f>+M2329*P2329</f>
        <v>756</v>
      </c>
      <c r="S2329" s="70">
        <v>0</v>
      </c>
      <c r="T2329" s="70">
        <f>+M2329*S2329</f>
        <v>0</v>
      </c>
      <c r="U2329" s="70">
        <f t="shared" ref="U2329:U2330" si="164">+R2329-T2329</f>
        <v>756</v>
      </c>
      <c r="V2329" s="70">
        <f>+U2329*1</f>
        <v>756</v>
      </c>
      <c r="W2329" s="70">
        <f t="shared" ref="W2329:W2330" si="165">+U2329-V2329</f>
        <v>0</v>
      </c>
      <c r="X2329" s="70">
        <v>0</v>
      </c>
      <c r="Y2329" s="14">
        <f t="shared" si="163"/>
        <v>0</v>
      </c>
      <c r="Z2329" s="11" t="s">
        <v>26</v>
      </c>
      <c r="AA2329" s="12" t="s">
        <v>31</v>
      </c>
    </row>
    <row r="2330" spans="1:27" x14ac:dyDescent="0.25">
      <c r="A2330" s="10">
        <v>45691</v>
      </c>
      <c r="B2330" s="69">
        <v>3.6087962962962905E-2</v>
      </c>
      <c r="C2330" s="11" t="s">
        <v>4697</v>
      </c>
      <c r="D2330" s="11">
        <v>16860</v>
      </c>
      <c r="E2330" s="11" t="s">
        <v>179</v>
      </c>
      <c r="F2330" s="11" t="s">
        <v>26</v>
      </c>
      <c r="G2330" s="11">
        <v>62067</v>
      </c>
      <c r="H2330" s="12" t="s">
        <v>4423</v>
      </c>
      <c r="I2330" s="12" t="s">
        <v>27</v>
      </c>
      <c r="J2330" s="12" t="s">
        <v>42</v>
      </c>
      <c r="K2330" s="12" t="s">
        <v>43</v>
      </c>
      <c r="L2330" s="13">
        <v>37.799999999999997</v>
      </c>
      <c r="M2330" s="13">
        <v>25</v>
      </c>
      <c r="N2330" s="13">
        <f t="shared" si="129"/>
        <v>1.5119999999999998</v>
      </c>
      <c r="O2330" s="13">
        <v>42</v>
      </c>
      <c r="P2330" s="13" t="s">
        <v>30</v>
      </c>
      <c r="Q2330" s="13">
        <v>0</v>
      </c>
      <c r="R2330" s="70">
        <f t="shared" ref="R2330" si="166">+L2330*O2330</f>
        <v>1587.6</v>
      </c>
      <c r="S2330" s="70">
        <v>0</v>
      </c>
      <c r="T2330" s="70">
        <f t="shared" ref="T2330" si="167">+L2330*S2330</f>
        <v>0</v>
      </c>
      <c r="U2330" s="70">
        <f t="shared" si="164"/>
        <v>1587.6</v>
      </c>
      <c r="V2330" s="70">
        <f>+U2330*1</f>
        <v>1587.6</v>
      </c>
      <c r="W2330" s="70">
        <f t="shared" si="165"/>
        <v>0</v>
      </c>
      <c r="X2330" s="70">
        <v>0</v>
      </c>
      <c r="Y2330" s="14">
        <f t="shared" si="163"/>
        <v>0</v>
      </c>
      <c r="Z2330" s="11" t="s">
        <v>26</v>
      </c>
      <c r="AA2330" s="12" t="s">
        <v>31</v>
      </c>
    </row>
    <row r="2331" spans="1:27" x14ac:dyDescent="0.25">
      <c r="A2331" s="10">
        <v>45691</v>
      </c>
      <c r="B2331" s="69">
        <v>1.5937500000000049E-2</v>
      </c>
      <c r="C2331" s="11" t="s">
        <v>4698</v>
      </c>
      <c r="D2331" s="11">
        <v>16861</v>
      </c>
      <c r="E2331" s="11" t="s">
        <v>240</v>
      </c>
      <c r="F2331" s="11" t="s">
        <v>26</v>
      </c>
      <c r="G2331" s="11">
        <v>2862</v>
      </c>
      <c r="H2331" s="12" t="s">
        <v>41</v>
      </c>
      <c r="I2331" s="12" t="s">
        <v>27</v>
      </c>
      <c r="J2331" s="12" t="s">
        <v>42</v>
      </c>
      <c r="K2331" s="12" t="s">
        <v>43</v>
      </c>
      <c r="L2331" s="13">
        <v>39.82</v>
      </c>
      <c r="M2331" s="13">
        <v>25</v>
      </c>
      <c r="N2331" s="13">
        <f t="shared" si="129"/>
        <v>1.5928</v>
      </c>
      <c r="O2331" s="13" t="s">
        <v>30</v>
      </c>
      <c r="P2331" s="13">
        <v>64</v>
      </c>
      <c r="Q2331" s="13">
        <v>0</v>
      </c>
      <c r="R2331" s="70">
        <f>M2331*P2331</f>
        <v>1600</v>
      </c>
      <c r="S2331" s="70">
        <v>0</v>
      </c>
      <c r="T2331" s="70">
        <f>M2331*S2331</f>
        <v>0</v>
      </c>
      <c r="U2331" s="70">
        <f>+R2331-T2331</f>
        <v>1600</v>
      </c>
      <c r="V2331" s="70">
        <f t="shared" ref="V2331:V2336" si="168">+U2331*0</f>
        <v>0</v>
      </c>
      <c r="W2331" s="70">
        <f>+U2331-V2331</f>
        <v>1600</v>
      </c>
      <c r="X2331" s="70">
        <v>0</v>
      </c>
      <c r="Y2331" s="14">
        <f t="shared" si="163"/>
        <v>0</v>
      </c>
      <c r="Z2331" s="11" t="s">
        <v>26</v>
      </c>
      <c r="AA2331" s="12" t="s">
        <v>31</v>
      </c>
    </row>
    <row r="2332" spans="1:27" x14ac:dyDescent="0.25">
      <c r="A2332" s="10">
        <v>45691</v>
      </c>
      <c r="B2332" s="69">
        <v>1.4710648148148153E-2</v>
      </c>
      <c r="C2332" s="11" t="s">
        <v>4699</v>
      </c>
      <c r="D2332" s="11">
        <v>16862</v>
      </c>
      <c r="E2332" s="11" t="s">
        <v>3938</v>
      </c>
      <c r="F2332" s="11" t="s">
        <v>26</v>
      </c>
      <c r="G2332" s="11" t="s">
        <v>35</v>
      </c>
      <c r="H2332" s="12" t="s">
        <v>36</v>
      </c>
      <c r="I2332" s="12" t="s">
        <v>55</v>
      </c>
      <c r="J2332" s="12" t="s">
        <v>55</v>
      </c>
      <c r="K2332" s="12" t="s">
        <v>56</v>
      </c>
      <c r="L2332" s="13">
        <v>10.34</v>
      </c>
      <c r="M2332" s="13">
        <v>7</v>
      </c>
      <c r="N2332" s="13">
        <f t="shared" si="129"/>
        <v>1.4771428571428571</v>
      </c>
      <c r="O2332" s="13">
        <v>20</v>
      </c>
      <c r="P2332" s="13" t="s">
        <v>30</v>
      </c>
      <c r="Q2332" s="13">
        <v>0</v>
      </c>
      <c r="R2332" s="70">
        <f>(L2332*O2332)-Q2332</f>
        <v>206.8</v>
      </c>
      <c r="S2332" s="70">
        <v>0</v>
      </c>
      <c r="T2332" s="70">
        <f t="shared" ref="T2332" si="169">+L2332*S2332</f>
        <v>0</v>
      </c>
      <c r="U2332" s="70">
        <f t="shared" ref="U2332" si="170">+R2332-T2332</f>
        <v>206.8</v>
      </c>
      <c r="V2332" s="70">
        <f t="shared" si="168"/>
        <v>0</v>
      </c>
      <c r="W2332" s="70">
        <f t="shared" ref="W2332" si="171">+U2332-V2332</f>
        <v>206.8</v>
      </c>
      <c r="X2332" s="70">
        <v>0</v>
      </c>
      <c r="Y2332" s="14">
        <f t="shared" si="163"/>
        <v>0</v>
      </c>
      <c r="Z2332" s="11" t="s">
        <v>26</v>
      </c>
      <c r="AA2332" s="12" t="s">
        <v>31</v>
      </c>
    </row>
    <row r="2333" spans="1:27" x14ac:dyDescent="0.25">
      <c r="A2333" s="10">
        <v>45691</v>
      </c>
      <c r="B2333" s="69">
        <v>2.2152777777777799E-2</v>
      </c>
      <c r="C2333" s="11" t="s">
        <v>4700</v>
      </c>
      <c r="D2333" s="11">
        <v>16863</v>
      </c>
      <c r="E2333" s="11" t="s">
        <v>57</v>
      </c>
      <c r="F2333" s="11" t="s">
        <v>26</v>
      </c>
      <c r="G2333" s="11">
        <v>3683</v>
      </c>
      <c r="H2333" s="12" t="s">
        <v>41</v>
      </c>
      <c r="I2333" s="12" t="s">
        <v>27</v>
      </c>
      <c r="J2333" s="12" t="s">
        <v>42</v>
      </c>
      <c r="K2333" s="12" t="s">
        <v>43</v>
      </c>
      <c r="L2333" s="13">
        <v>36.96</v>
      </c>
      <c r="M2333" s="13">
        <v>23</v>
      </c>
      <c r="N2333" s="13">
        <f t="shared" si="129"/>
        <v>1.6069565217391304</v>
      </c>
      <c r="O2333" s="13" t="s">
        <v>30</v>
      </c>
      <c r="P2333" s="13">
        <v>64</v>
      </c>
      <c r="Q2333" s="13">
        <v>0</v>
      </c>
      <c r="R2333" s="70">
        <f>M2333*P2333</f>
        <v>1472</v>
      </c>
      <c r="S2333" s="70">
        <v>0</v>
      </c>
      <c r="T2333" s="70">
        <f>M2333*S2333</f>
        <v>0</v>
      </c>
      <c r="U2333" s="70">
        <f>+R2333-T2333</f>
        <v>1472</v>
      </c>
      <c r="V2333" s="70">
        <f t="shared" si="168"/>
        <v>0</v>
      </c>
      <c r="W2333" s="70">
        <f>+U2333-V2333</f>
        <v>1472</v>
      </c>
      <c r="X2333" s="70">
        <v>0</v>
      </c>
      <c r="Y2333" s="14">
        <f t="shared" si="163"/>
        <v>0</v>
      </c>
      <c r="Z2333" s="11" t="s">
        <v>26</v>
      </c>
      <c r="AA2333" s="12" t="s">
        <v>31</v>
      </c>
    </row>
    <row r="2334" spans="1:27" x14ac:dyDescent="0.25">
      <c r="A2334" s="10">
        <v>45691</v>
      </c>
      <c r="B2334" s="69">
        <v>2.4166666666666559E-2</v>
      </c>
      <c r="C2334" s="11" t="s">
        <v>4701</v>
      </c>
      <c r="D2334" s="11">
        <v>16864</v>
      </c>
      <c r="E2334" s="11" t="s">
        <v>69</v>
      </c>
      <c r="F2334" s="11" t="s">
        <v>26</v>
      </c>
      <c r="G2334" s="11">
        <v>2111</v>
      </c>
      <c r="H2334" s="12" t="s">
        <v>70</v>
      </c>
      <c r="I2334" s="12" t="s">
        <v>27</v>
      </c>
      <c r="J2334" s="12" t="s">
        <v>42</v>
      </c>
      <c r="K2334" s="12" t="s">
        <v>43</v>
      </c>
      <c r="L2334" s="13">
        <v>43.3</v>
      </c>
      <c r="M2334" s="13">
        <v>25</v>
      </c>
      <c r="N2334" s="13">
        <f t="shared" si="129"/>
        <v>1.732</v>
      </c>
      <c r="O2334" s="13" t="s">
        <v>30</v>
      </c>
      <c r="P2334" s="13">
        <v>64</v>
      </c>
      <c r="Q2334" s="13">
        <v>0</v>
      </c>
      <c r="R2334" s="70">
        <f>+M2334*P2334</f>
        <v>1600</v>
      </c>
      <c r="S2334" s="70">
        <v>0</v>
      </c>
      <c r="T2334" s="70">
        <f>+M2334*S2334</f>
        <v>0</v>
      </c>
      <c r="U2334" s="70">
        <f t="shared" ref="U2334" si="172">+R2334-T2334</f>
        <v>1600</v>
      </c>
      <c r="V2334" s="70">
        <f t="shared" si="168"/>
        <v>0</v>
      </c>
      <c r="W2334" s="70">
        <f t="shared" ref="W2334" si="173">+U2334-V2334</f>
        <v>1600</v>
      </c>
      <c r="X2334" s="70">
        <v>0</v>
      </c>
      <c r="Y2334" s="14">
        <f t="shared" si="163"/>
        <v>0</v>
      </c>
      <c r="Z2334" s="11" t="s">
        <v>26</v>
      </c>
      <c r="AA2334" s="12" t="s">
        <v>31</v>
      </c>
    </row>
    <row r="2335" spans="1:27" x14ac:dyDescent="0.25">
      <c r="A2335" s="10">
        <v>45691</v>
      </c>
      <c r="B2335" s="69">
        <v>3.0196759259259243E-2</v>
      </c>
      <c r="C2335" s="11" t="s">
        <v>4702</v>
      </c>
      <c r="D2335" s="11">
        <v>16865</v>
      </c>
      <c r="E2335" s="11" t="s">
        <v>570</v>
      </c>
      <c r="F2335" s="11" t="s">
        <v>26</v>
      </c>
      <c r="G2335" s="11">
        <v>10346</v>
      </c>
      <c r="H2335" s="12" t="s">
        <v>140</v>
      </c>
      <c r="I2335" s="12" t="s">
        <v>27</v>
      </c>
      <c r="J2335" s="12" t="s">
        <v>42</v>
      </c>
      <c r="K2335" s="12" t="s">
        <v>43</v>
      </c>
      <c r="L2335" s="13">
        <v>40.76</v>
      </c>
      <c r="M2335" s="13">
        <v>25</v>
      </c>
      <c r="N2335" s="13">
        <f t="shared" si="129"/>
        <v>1.6303999999999998</v>
      </c>
      <c r="O2335" s="13">
        <v>35</v>
      </c>
      <c r="P2335" s="13"/>
      <c r="Q2335" s="13">
        <v>0</v>
      </c>
      <c r="R2335" s="70">
        <f>+L2335*O2335</f>
        <v>1426.6</v>
      </c>
      <c r="S2335" s="70">
        <v>0</v>
      </c>
      <c r="T2335" s="70">
        <f>+L2335*S2335</f>
        <v>0</v>
      </c>
      <c r="U2335" s="70">
        <f>+R2335-T2335</f>
        <v>1426.6</v>
      </c>
      <c r="V2335" s="70">
        <f t="shared" si="168"/>
        <v>0</v>
      </c>
      <c r="W2335" s="70">
        <f>+U2335-V2335</f>
        <v>1426.6</v>
      </c>
      <c r="X2335" s="70">
        <v>0</v>
      </c>
      <c r="Y2335" s="14">
        <f t="shared" si="163"/>
        <v>0</v>
      </c>
      <c r="Z2335" s="11" t="s">
        <v>26</v>
      </c>
      <c r="AA2335" s="12" t="s">
        <v>31</v>
      </c>
    </row>
    <row r="2336" spans="1:27" x14ac:dyDescent="0.25">
      <c r="A2336" s="10">
        <v>45691</v>
      </c>
      <c r="B2336" s="69">
        <v>5.5231481481481381E-2</v>
      </c>
      <c r="C2336" s="11" t="s">
        <v>4703</v>
      </c>
      <c r="D2336" s="11">
        <v>16866</v>
      </c>
      <c r="E2336" s="11" t="s">
        <v>2109</v>
      </c>
      <c r="F2336" s="11" t="s">
        <v>26</v>
      </c>
      <c r="G2336" s="11">
        <v>10615</v>
      </c>
      <c r="H2336" s="12" t="s">
        <v>140</v>
      </c>
      <c r="I2336" s="12" t="s">
        <v>27</v>
      </c>
      <c r="J2336" s="12" t="s">
        <v>42</v>
      </c>
      <c r="K2336" s="12" t="s">
        <v>43</v>
      </c>
      <c r="L2336" s="13">
        <v>40.98</v>
      </c>
      <c r="M2336" s="13">
        <v>25</v>
      </c>
      <c r="N2336" s="13">
        <f t="shared" si="129"/>
        <v>1.6391999999999998</v>
      </c>
      <c r="O2336" s="13">
        <v>35</v>
      </c>
      <c r="P2336" s="13"/>
      <c r="Q2336" s="13">
        <v>0</v>
      </c>
      <c r="R2336" s="70">
        <f>+L2336*O2336</f>
        <v>1434.3</v>
      </c>
      <c r="S2336" s="70">
        <v>0</v>
      </c>
      <c r="T2336" s="70">
        <f>+L2336*S2336</f>
        <v>0</v>
      </c>
      <c r="U2336" s="70">
        <f>+R2336-T2336</f>
        <v>1434.3</v>
      </c>
      <c r="V2336" s="70">
        <f t="shared" si="168"/>
        <v>0</v>
      </c>
      <c r="W2336" s="70">
        <f>+U2336-V2336</f>
        <v>1434.3</v>
      </c>
      <c r="X2336" s="70">
        <v>0</v>
      </c>
      <c r="Y2336" s="14">
        <f t="shared" si="163"/>
        <v>0</v>
      </c>
      <c r="Z2336" s="11" t="s">
        <v>26</v>
      </c>
      <c r="AA2336" s="12" t="s">
        <v>31</v>
      </c>
    </row>
    <row r="2337" spans="1:27" x14ac:dyDescent="0.25">
      <c r="A2337" s="10">
        <v>45691</v>
      </c>
      <c r="B2337" s="69">
        <v>4.3819444444444411E-2</v>
      </c>
      <c r="C2337" s="11" t="s">
        <v>4704</v>
      </c>
      <c r="D2337" s="11">
        <v>16867</v>
      </c>
      <c r="E2337" s="11" t="s">
        <v>50</v>
      </c>
      <c r="F2337" s="11" t="s">
        <v>26</v>
      </c>
      <c r="G2337" s="11">
        <v>933</v>
      </c>
      <c r="H2337" s="12" t="s">
        <v>163</v>
      </c>
      <c r="I2337" s="12" t="s">
        <v>55</v>
      </c>
      <c r="J2337" s="12" t="s">
        <v>55</v>
      </c>
      <c r="K2337" s="12" t="s">
        <v>56</v>
      </c>
      <c r="L2337" s="13">
        <v>41.14</v>
      </c>
      <c r="M2337" s="13">
        <v>25</v>
      </c>
      <c r="N2337" s="13">
        <f t="shared" si="129"/>
        <v>1.6456</v>
      </c>
      <c r="O2337" s="13" t="s">
        <v>30</v>
      </c>
      <c r="P2337" s="13">
        <v>25</v>
      </c>
      <c r="Q2337" s="13">
        <v>0</v>
      </c>
      <c r="R2337" s="70">
        <f>M2337*P2337</f>
        <v>625</v>
      </c>
      <c r="S2337" s="70">
        <v>0</v>
      </c>
      <c r="T2337" s="70">
        <f>M2337*S2337</f>
        <v>0</v>
      </c>
      <c r="U2337" s="70">
        <f>R2337-T2337</f>
        <v>625</v>
      </c>
      <c r="V2337" s="70">
        <f>U2337*0</f>
        <v>0</v>
      </c>
      <c r="W2337" s="70">
        <f>U2337-V2337</f>
        <v>625</v>
      </c>
      <c r="X2337" s="70">
        <v>0</v>
      </c>
      <c r="Y2337" s="14">
        <f t="shared" si="163"/>
        <v>0</v>
      </c>
      <c r="Z2337" s="11" t="s">
        <v>26</v>
      </c>
      <c r="AA2337" s="12" t="s">
        <v>31</v>
      </c>
    </row>
    <row r="2338" spans="1:27" x14ac:dyDescent="0.25">
      <c r="A2338" s="10">
        <v>45691</v>
      </c>
      <c r="B2338" s="69">
        <v>3.255787037037039E-2</v>
      </c>
      <c r="C2338" s="11" t="s">
        <v>4705</v>
      </c>
      <c r="D2338" s="11">
        <v>16868</v>
      </c>
      <c r="E2338" s="11" t="s">
        <v>561</v>
      </c>
      <c r="F2338" s="11" t="s">
        <v>26</v>
      </c>
      <c r="G2338" s="11">
        <v>112411</v>
      </c>
      <c r="H2338" s="12" t="s">
        <v>4446</v>
      </c>
      <c r="I2338" s="12" t="s">
        <v>27</v>
      </c>
      <c r="J2338" s="12" t="s">
        <v>42</v>
      </c>
      <c r="K2338" s="12" t="s">
        <v>43</v>
      </c>
      <c r="L2338" s="13">
        <v>37.880000000000003</v>
      </c>
      <c r="M2338" s="13">
        <v>24</v>
      </c>
      <c r="N2338" s="13">
        <f t="shared" si="129"/>
        <v>1.5783333333333334</v>
      </c>
      <c r="O2338" s="13">
        <v>42</v>
      </c>
      <c r="P2338" s="13" t="s">
        <v>30</v>
      </c>
      <c r="Q2338" s="13">
        <v>0</v>
      </c>
      <c r="R2338" s="70">
        <f t="shared" ref="R2338" si="174">+L2338*O2338</f>
        <v>1590.96</v>
      </c>
      <c r="S2338" s="70">
        <v>0</v>
      </c>
      <c r="T2338" s="70">
        <f>+L2338*S2338</f>
        <v>0</v>
      </c>
      <c r="U2338" s="70">
        <f t="shared" ref="U2338" si="175">+R2338-T2338</f>
        <v>1590.96</v>
      </c>
      <c r="V2338" s="70">
        <f>+U2338*1</f>
        <v>1590.96</v>
      </c>
      <c r="W2338" s="70">
        <f t="shared" ref="W2338" si="176">+U2338-V2338</f>
        <v>0</v>
      </c>
      <c r="X2338" s="70">
        <v>0</v>
      </c>
      <c r="Y2338" s="14">
        <f t="shared" si="163"/>
        <v>0</v>
      </c>
      <c r="Z2338" s="11" t="s">
        <v>26</v>
      </c>
      <c r="AA2338" s="12" t="s">
        <v>31</v>
      </c>
    </row>
    <row r="2339" spans="1:27" x14ac:dyDescent="0.25">
      <c r="A2339" s="10">
        <v>45692</v>
      </c>
      <c r="B2339" s="69">
        <v>9.9652777777777812E-3</v>
      </c>
      <c r="C2339" s="11" t="s">
        <v>4706</v>
      </c>
      <c r="D2339" s="11">
        <v>16869</v>
      </c>
      <c r="E2339" s="11" t="s">
        <v>496</v>
      </c>
      <c r="F2339" s="11" t="s">
        <v>26</v>
      </c>
      <c r="G2339" s="11">
        <v>22920</v>
      </c>
      <c r="H2339" s="12" t="s">
        <v>4448</v>
      </c>
      <c r="I2339" s="12" t="s">
        <v>27</v>
      </c>
      <c r="J2339" s="12" t="s">
        <v>47</v>
      </c>
      <c r="K2339" s="12" t="s">
        <v>48</v>
      </c>
      <c r="L2339" s="13">
        <v>37.28</v>
      </c>
      <c r="M2339" s="13">
        <v>25</v>
      </c>
      <c r="N2339" s="13">
        <f>L2339/M2339</f>
        <v>1.4912000000000001</v>
      </c>
      <c r="O2339" s="13">
        <v>46.66</v>
      </c>
      <c r="P2339" s="13" t="s">
        <v>30</v>
      </c>
      <c r="Q2339" s="13">
        <v>0</v>
      </c>
      <c r="R2339" s="70">
        <f>+L2339*O2339</f>
        <v>1739.4848</v>
      </c>
      <c r="S2339" s="70">
        <v>0</v>
      </c>
      <c r="T2339" s="70">
        <f>+L2339*S2339</f>
        <v>0</v>
      </c>
      <c r="U2339" s="70">
        <f>+R2339-T2339</f>
        <v>1739.4848</v>
      </c>
      <c r="V2339" s="70">
        <f>+U2339*0.75</f>
        <v>1304.6135999999999</v>
      </c>
      <c r="W2339" s="70">
        <f>+U2339-V2339</f>
        <v>434.87120000000004</v>
      </c>
      <c r="X2339" s="70">
        <v>0</v>
      </c>
      <c r="Y2339" s="14">
        <f t="shared" si="163"/>
        <v>0</v>
      </c>
      <c r="Z2339" s="11" t="s">
        <v>26</v>
      </c>
      <c r="AA2339" s="12" t="s">
        <v>31</v>
      </c>
    </row>
    <row r="2340" spans="1:27" x14ac:dyDescent="0.25">
      <c r="A2340" s="10">
        <v>45692</v>
      </c>
      <c r="B2340" s="69">
        <v>9.942129629629648E-3</v>
      </c>
      <c r="C2340" s="11" t="s">
        <v>4707</v>
      </c>
      <c r="D2340" s="11">
        <v>16870</v>
      </c>
      <c r="E2340" s="11" t="s">
        <v>552</v>
      </c>
      <c r="F2340" s="11" t="s">
        <v>26</v>
      </c>
      <c r="G2340" s="11">
        <v>69146</v>
      </c>
      <c r="H2340" s="12" t="s">
        <v>4423</v>
      </c>
      <c r="I2340" s="12" t="s">
        <v>27</v>
      </c>
      <c r="J2340" s="12" t="s">
        <v>47</v>
      </c>
      <c r="K2340" s="12" t="s">
        <v>48</v>
      </c>
      <c r="L2340" s="13">
        <v>34.96</v>
      </c>
      <c r="M2340" s="13">
        <v>25</v>
      </c>
      <c r="N2340" s="13">
        <f t="shared" ref="N2340:N2403" si="177">L2340/M2340</f>
        <v>1.3984000000000001</v>
      </c>
      <c r="O2340" s="13">
        <v>46</v>
      </c>
      <c r="P2340" s="13" t="s">
        <v>30</v>
      </c>
      <c r="Q2340" s="13">
        <v>0</v>
      </c>
      <c r="R2340" s="70">
        <f t="shared" ref="R2340" si="178">+L2340*O2340</f>
        <v>1608.16</v>
      </c>
      <c r="S2340" s="70">
        <v>0</v>
      </c>
      <c r="T2340" s="70">
        <f t="shared" ref="T2340" si="179">+L2340*S2340</f>
        <v>0</v>
      </c>
      <c r="U2340" s="70">
        <f t="shared" ref="U2340" si="180">+R2340-T2340</f>
        <v>1608.16</v>
      </c>
      <c r="V2340" s="70">
        <f>+U2340*1</f>
        <v>1608.16</v>
      </c>
      <c r="W2340" s="70">
        <f t="shared" ref="W2340" si="181">+U2340-V2340</f>
        <v>0</v>
      </c>
      <c r="X2340" s="70">
        <v>0</v>
      </c>
      <c r="Y2340" s="14">
        <f t="shared" si="163"/>
        <v>0</v>
      </c>
      <c r="Z2340" s="11" t="s">
        <v>26</v>
      </c>
      <c r="AA2340" s="12" t="s">
        <v>31</v>
      </c>
    </row>
    <row r="2341" spans="1:27" x14ac:dyDescent="0.25">
      <c r="A2341" s="10">
        <v>45692</v>
      </c>
      <c r="B2341" s="69">
        <v>1.4062499999999978E-2</v>
      </c>
      <c r="C2341" s="11" t="s">
        <v>4708</v>
      </c>
      <c r="D2341" s="11">
        <v>16871</v>
      </c>
      <c r="E2341" s="11" t="s">
        <v>100</v>
      </c>
      <c r="F2341" s="11" t="s">
        <v>26</v>
      </c>
      <c r="G2341" s="11">
        <v>21743</v>
      </c>
      <c r="H2341" s="12" t="s">
        <v>4448</v>
      </c>
      <c r="I2341" s="12" t="s">
        <v>27</v>
      </c>
      <c r="J2341" s="12" t="s">
        <v>33</v>
      </c>
      <c r="K2341" s="12" t="s">
        <v>34</v>
      </c>
      <c r="L2341" s="13">
        <v>37.86</v>
      </c>
      <c r="M2341" s="13">
        <v>25</v>
      </c>
      <c r="N2341" s="13">
        <f t="shared" si="177"/>
        <v>1.5144</v>
      </c>
      <c r="O2341" s="13">
        <v>45.33</v>
      </c>
      <c r="P2341" s="13" t="s">
        <v>30</v>
      </c>
      <c r="Q2341" s="13">
        <v>0</v>
      </c>
      <c r="R2341" s="70">
        <f>+L2341*O2341</f>
        <v>1716.1938</v>
      </c>
      <c r="S2341" s="70">
        <v>0</v>
      </c>
      <c r="T2341" s="70">
        <f>+L2341*S2341</f>
        <v>0</v>
      </c>
      <c r="U2341" s="70">
        <f>+R2341-T2341</f>
        <v>1716.1938</v>
      </c>
      <c r="V2341" s="70">
        <f>+U2341*0.75</f>
        <v>1287.14535</v>
      </c>
      <c r="W2341" s="70">
        <f>+U2341-V2341</f>
        <v>429.04845</v>
      </c>
      <c r="X2341" s="70">
        <v>0</v>
      </c>
      <c r="Y2341" s="14">
        <f t="shared" si="163"/>
        <v>0</v>
      </c>
      <c r="Z2341" s="11" t="s">
        <v>26</v>
      </c>
      <c r="AA2341" s="12" t="s">
        <v>31</v>
      </c>
    </row>
    <row r="2342" spans="1:27" x14ac:dyDescent="0.25">
      <c r="A2342" s="10">
        <v>45692</v>
      </c>
      <c r="B2342" s="69">
        <v>1.4710648148148153E-2</v>
      </c>
      <c r="C2342" s="11" t="s">
        <v>4709</v>
      </c>
      <c r="D2342" s="11">
        <v>16872</v>
      </c>
      <c r="E2342" s="11" t="s">
        <v>553</v>
      </c>
      <c r="F2342" s="11" t="s">
        <v>26</v>
      </c>
      <c r="G2342" s="11">
        <v>4676</v>
      </c>
      <c r="H2342" s="12" t="s">
        <v>4423</v>
      </c>
      <c r="I2342" s="12" t="s">
        <v>27</v>
      </c>
      <c r="J2342" s="12" t="s">
        <v>33</v>
      </c>
      <c r="K2342" s="12" t="s">
        <v>34</v>
      </c>
      <c r="L2342" s="13">
        <v>33.74</v>
      </c>
      <c r="M2342" s="13">
        <v>25</v>
      </c>
      <c r="N2342" s="13">
        <f t="shared" si="177"/>
        <v>1.3496000000000001</v>
      </c>
      <c r="O2342" s="13">
        <v>45</v>
      </c>
      <c r="P2342" s="13" t="s">
        <v>30</v>
      </c>
      <c r="Q2342" s="13">
        <v>0</v>
      </c>
      <c r="R2342" s="70">
        <f>+L2342*O2342</f>
        <v>1518.3000000000002</v>
      </c>
      <c r="S2342" s="70">
        <v>0</v>
      </c>
      <c r="T2342" s="70">
        <f>+L2342*S2342</f>
        <v>0</v>
      </c>
      <c r="U2342" s="70">
        <f t="shared" ref="U2342" si="182">+R2342-T2342</f>
        <v>1518.3000000000002</v>
      </c>
      <c r="V2342" s="70">
        <f>+U2342*1</f>
        <v>1518.3000000000002</v>
      </c>
      <c r="W2342" s="70">
        <f t="shared" ref="W2342" si="183">+U2342-V2342</f>
        <v>0</v>
      </c>
      <c r="X2342" s="70">
        <v>0</v>
      </c>
      <c r="Y2342" s="14">
        <f t="shared" si="163"/>
        <v>0</v>
      </c>
      <c r="Z2342" s="11" t="s">
        <v>26</v>
      </c>
      <c r="AA2342" s="12" t="s">
        <v>31</v>
      </c>
    </row>
    <row r="2343" spans="1:27" x14ac:dyDescent="0.25">
      <c r="A2343" s="10">
        <v>45692</v>
      </c>
      <c r="B2343" s="69">
        <v>1.9050925925925943E-2</v>
      </c>
      <c r="C2343" s="11" t="s">
        <v>4710</v>
      </c>
      <c r="D2343" s="11">
        <v>16873</v>
      </c>
      <c r="E2343" s="11" t="s">
        <v>322</v>
      </c>
      <c r="F2343" s="11" t="s">
        <v>26</v>
      </c>
      <c r="G2343" s="11">
        <v>112413</v>
      </c>
      <c r="H2343" s="12" t="s">
        <v>4446</v>
      </c>
      <c r="I2343" s="12" t="s">
        <v>27</v>
      </c>
      <c r="J2343" s="12" t="s">
        <v>33</v>
      </c>
      <c r="K2343" s="12" t="s">
        <v>34</v>
      </c>
      <c r="L2343" s="13">
        <v>35.22</v>
      </c>
      <c r="M2343" s="13">
        <v>25</v>
      </c>
      <c r="N2343" s="13">
        <f t="shared" si="177"/>
        <v>1.4088000000000001</v>
      </c>
      <c r="O2343" s="13">
        <v>44</v>
      </c>
      <c r="P2343" s="13" t="s">
        <v>30</v>
      </c>
      <c r="Q2343" s="13">
        <v>0</v>
      </c>
      <c r="R2343" s="70">
        <f t="shared" ref="R2343" si="184">+L2343*O2343</f>
        <v>1549.6799999999998</v>
      </c>
      <c r="S2343" s="70">
        <v>0</v>
      </c>
      <c r="T2343" s="70">
        <f>+L2343*S2343</f>
        <v>0</v>
      </c>
      <c r="U2343" s="70">
        <f>+R2343-T2343</f>
        <v>1549.6799999999998</v>
      </c>
      <c r="V2343" s="70">
        <f>+U2343*1</f>
        <v>1549.6799999999998</v>
      </c>
      <c r="W2343" s="70">
        <f>+U2343-V2343</f>
        <v>0</v>
      </c>
      <c r="X2343" s="70">
        <v>0</v>
      </c>
      <c r="Y2343" s="14">
        <f t="shared" si="163"/>
        <v>0</v>
      </c>
      <c r="Z2343" s="11" t="s">
        <v>26</v>
      </c>
      <c r="AA2343" s="12" t="s">
        <v>31</v>
      </c>
    </row>
    <row r="2344" spans="1:27" x14ac:dyDescent="0.25">
      <c r="A2344" s="10">
        <v>45692</v>
      </c>
      <c r="B2344" s="69">
        <v>8.0671296296296324E-3</v>
      </c>
      <c r="C2344" s="11" t="s">
        <v>4711</v>
      </c>
      <c r="D2344" s="11">
        <v>16874</v>
      </c>
      <c r="E2344" s="11" t="s">
        <v>49</v>
      </c>
      <c r="F2344" s="11" t="s">
        <v>26</v>
      </c>
      <c r="G2344" s="11">
        <v>1583</v>
      </c>
      <c r="H2344" s="12" t="s">
        <v>45</v>
      </c>
      <c r="I2344" s="12" t="s">
        <v>27</v>
      </c>
      <c r="J2344" s="12" t="s">
        <v>42</v>
      </c>
      <c r="K2344" s="12" t="s">
        <v>43</v>
      </c>
      <c r="L2344" s="13">
        <v>41.66</v>
      </c>
      <c r="M2344" s="13">
        <v>25</v>
      </c>
      <c r="N2344" s="13">
        <f t="shared" si="177"/>
        <v>1.6663999999999999</v>
      </c>
      <c r="O2344" s="13" t="s">
        <v>30</v>
      </c>
      <c r="P2344" s="13">
        <v>62</v>
      </c>
      <c r="Q2344" s="13">
        <v>0</v>
      </c>
      <c r="R2344" s="70">
        <f>M2344*P2344</f>
        <v>1550</v>
      </c>
      <c r="S2344" s="70">
        <v>0</v>
      </c>
      <c r="T2344" s="70">
        <f>M2344*S2344</f>
        <v>0</v>
      </c>
      <c r="U2344" s="70">
        <f>R2344-T2344</f>
        <v>1550</v>
      </c>
      <c r="V2344" s="70">
        <f>U2344*0</f>
        <v>0</v>
      </c>
      <c r="W2344" s="70">
        <f>U2344-V2344</f>
        <v>1550</v>
      </c>
      <c r="X2344" s="70">
        <v>0</v>
      </c>
      <c r="Y2344" s="14">
        <f t="shared" si="163"/>
        <v>0</v>
      </c>
      <c r="Z2344" s="11" t="s">
        <v>26</v>
      </c>
      <c r="AA2344" s="12" t="s">
        <v>31</v>
      </c>
    </row>
    <row r="2345" spans="1:27" x14ac:dyDescent="0.25">
      <c r="A2345" s="10">
        <v>45692</v>
      </c>
      <c r="B2345" s="69">
        <v>8.0671296296296324E-3</v>
      </c>
      <c r="C2345" s="11" t="s">
        <v>4712</v>
      </c>
      <c r="D2345" s="11">
        <v>16875</v>
      </c>
      <c r="E2345" s="11" t="s">
        <v>224</v>
      </c>
      <c r="F2345" s="11" t="s">
        <v>26</v>
      </c>
      <c r="G2345" s="11">
        <v>55350</v>
      </c>
      <c r="H2345" s="12" t="s">
        <v>4423</v>
      </c>
      <c r="I2345" s="12" t="s">
        <v>27</v>
      </c>
      <c r="J2345" s="12" t="s">
        <v>33</v>
      </c>
      <c r="K2345" s="12" t="s">
        <v>34</v>
      </c>
      <c r="L2345" s="13">
        <v>34.92</v>
      </c>
      <c r="M2345" s="13">
        <v>25</v>
      </c>
      <c r="N2345" s="13">
        <f t="shared" si="177"/>
        <v>1.3968</v>
      </c>
      <c r="O2345" s="13">
        <v>45</v>
      </c>
      <c r="P2345" s="13" t="s">
        <v>30</v>
      </c>
      <c r="Q2345" s="13">
        <v>0</v>
      </c>
      <c r="R2345" s="70">
        <f>+L2345*O2345</f>
        <v>1571.4</v>
      </c>
      <c r="S2345" s="70">
        <v>0</v>
      </c>
      <c r="T2345" s="70">
        <f>+L2345*S2345</f>
        <v>0</v>
      </c>
      <c r="U2345" s="70">
        <f t="shared" ref="U2345" si="185">+R2345-T2345</f>
        <v>1571.4</v>
      </c>
      <c r="V2345" s="70">
        <f>+U2345*1</f>
        <v>1571.4</v>
      </c>
      <c r="W2345" s="70">
        <f t="shared" ref="W2345" si="186">+U2345-V2345</f>
        <v>0</v>
      </c>
      <c r="X2345" s="70">
        <v>0</v>
      </c>
      <c r="Y2345" s="14">
        <f t="shared" si="163"/>
        <v>0</v>
      </c>
      <c r="Z2345" s="11" t="s">
        <v>26</v>
      </c>
      <c r="AA2345" s="12" t="s">
        <v>31</v>
      </c>
    </row>
    <row r="2346" spans="1:27" x14ac:dyDescent="0.25">
      <c r="A2346" s="10">
        <v>45692</v>
      </c>
      <c r="B2346" s="69">
        <v>1.2326388888888928E-2</v>
      </c>
      <c r="C2346" s="11" t="s">
        <v>4713</v>
      </c>
      <c r="D2346" s="11">
        <v>16876</v>
      </c>
      <c r="E2346" s="11" t="s">
        <v>44</v>
      </c>
      <c r="F2346" s="11" t="s">
        <v>26</v>
      </c>
      <c r="G2346" s="11">
        <v>1588</v>
      </c>
      <c r="H2346" s="12" t="s">
        <v>45</v>
      </c>
      <c r="I2346" s="12" t="s">
        <v>27</v>
      </c>
      <c r="J2346" s="12" t="s">
        <v>42</v>
      </c>
      <c r="K2346" s="12" t="s">
        <v>43</v>
      </c>
      <c r="L2346" s="13">
        <v>41.88</v>
      </c>
      <c r="M2346" s="13">
        <v>25</v>
      </c>
      <c r="N2346" s="13">
        <f t="shared" si="177"/>
        <v>1.6752</v>
      </c>
      <c r="O2346" s="13" t="s">
        <v>30</v>
      </c>
      <c r="P2346" s="13">
        <v>62</v>
      </c>
      <c r="Q2346" s="13">
        <v>0</v>
      </c>
      <c r="R2346" s="70">
        <f>M2346*P2346</f>
        <v>1550</v>
      </c>
      <c r="S2346" s="70">
        <v>0</v>
      </c>
      <c r="T2346" s="70">
        <f>M2346*S2346</f>
        <v>0</v>
      </c>
      <c r="U2346" s="70">
        <f>R2346-T2346</f>
        <v>1550</v>
      </c>
      <c r="V2346" s="70">
        <f>U2346*0</f>
        <v>0</v>
      </c>
      <c r="W2346" s="70">
        <f>U2346-V2346</f>
        <v>1550</v>
      </c>
      <c r="X2346" s="70">
        <v>0</v>
      </c>
      <c r="Y2346" s="14">
        <f t="shared" si="163"/>
        <v>0</v>
      </c>
      <c r="Z2346" s="11" t="s">
        <v>26</v>
      </c>
      <c r="AA2346" s="12" t="s">
        <v>31</v>
      </c>
    </row>
    <row r="2347" spans="1:27" x14ac:dyDescent="0.25">
      <c r="A2347" s="10">
        <v>45692</v>
      </c>
      <c r="B2347" s="69">
        <v>2.6678240740740766E-2</v>
      </c>
      <c r="C2347" s="11" t="s">
        <v>4714</v>
      </c>
      <c r="D2347" s="11">
        <v>16877</v>
      </c>
      <c r="E2347" s="11" t="s">
        <v>2126</v>
      </c>
      <c r="F2347" s="11" t="s">
        <v>26</v>
      </c>
      <c r="G2347" s="11">
        <v>112414</v>
      </c>
      <c r="H2347" s="12" t="s">
        <v>4446</v>
      </c>
      <c r="I2347" s="12" t="s">
        <v>27</v>
      </c>
      <c r="J2347" s="12" t="s">
        <v>33</v>
      </c>
      <c r="K2347" s="12" t="s">
        <v>34</v>
      </c>
      <c r="L2347" s="13">
        <v>34.979999999999997</v>
      </c>
      <c r="M2347" s="13">
        <v>25</v>
      </c>
      <c r="N2347" s="13">
        <f t="shared" si="177"/>
        <v>1.3991999999999998</v>
      </c>
      <c r="O2347" s="13">
        <v>44</v>
      </c>
      <c r="P2347" s="13" t="s">
        <v>30</v>
      </c>
      <c r="Q2347" s="13">
        <v>0</v>
      </c>
      <c r="R2347" s="70">
        <f t="shared" ref="R2347" si="187">+L2347*O2347</f>
        <v>1539.12</v>
      </c>
      <c r="S2347" s="70">
        <v>0</v>
      </c>
      <c r="T2347" s="70">
        <f>+L2347*S2347</f>
        <v>0</v>
      </c>
      <c r="U2347" s="70">
        <f>+R2347-T2347</f>
        <v>1539.12</v>
      </c>
      <c r="V2347" s="70">
        <f>+U2347*1</f>
        <v>1539.12</v>
      </c>
      <c r="W2347" s="70">
        <f>+U2347-V2347</f>
        <v>0</v>
      </c>
      <c r="X2347" s="70">
        <v>0</v>
      </c>
      <c r="Y2347" s="14">
        <f t="shared" si="163"/>
        <v>0</v>
      </c>
      <c r="Z2347" s="11" t="s">
        <v>26</v>
      </c>
      <c r="AA2347" s="12" t="s">
        <v>31</v>
      </c>
    </row>
    <row r="2348" spans="1:27" x14ac:dyDescent="0.25">
      <c r="A2348" s="10">
        <v>45692</v>
      </c>
      <c r="B2348" s="69">
        <v>3.0486111111111103E-2</v>
      </c>
      <c r="C2348" s="11" t="s">
        <v>4715</v>
      </c>
      <c r="D2348" s="11">
        <v>16878</v>
      </c>
      <c r="E2348" s="11" t="s">
        <v>1725</v>
      </c>
      <c r="F2348" s="11" t="s">
        <v>26</v>
      </c>
      <c r="G2348" s="11">
        <v>3299</v>
      </c>
      <c r="H2348" s="12" t="s">
        <v>4448</v>
      </c>
      <c r="I2348" s="12" t="s">
        <v>55</v>
      </c>
      <c r="J2348" s="12" t="s">
        <v>55</v>
      </c>
      <c r="K2348" s="12" t="s">
        <v>56</v>
      </c>
      <c r="L2348" s="13">
        <v>37.340000000000003</v>
      </c>
      <c r="M2348" s="13">
        <v>25</v>
      </c>
      <c r="N2348" s="13">
        <f t="shared" si="177"/>
        <v>1.4936</v>
      </c>
      <c r="O2348" s="13">
        <v>15</v>
      </c>
      <c r="P2348" s="13" t="s">
        <v>30</v>
      </c>
      <c r="Q2348" s="13">
        <v>0</v>
      </c>
      <c r="R2348" s="70">
        <f>+L2348*O2348</f>
        <v>560.1</v>
      </c>
      <c r="S2348" s="70">
        <v>0</v>
      </c>
      <c r="T2348" s="70">
        <f>+L2348*S2348</f>
        <v>0</v>
      </c>
      <c r="U2348" s="70">
        <f>+R2348-T2348</f>
        <v>560.1</v>
      </c>
      <c r="V2348" s="70">
        <f>+U2348*0.75</f>
        <v>420.07500000000005</v>
      </c>
      <c r="W2348" s="70">
        <f>+U2348-V2348</f>
        <v>140.02499999999998</v>
      </c>
      <c r="X2348" s="70">
        <v>0</v>
      </c>
      <c r="Y2348" s="14">
        <f t="shared" si="163"/>
        <v>0</v>
      </c>
      <c r="Z2348" s="11" t="s">
        <v>26</v>
      </c>
      <c r="AA2348" s="12" t="s">
        <v>31</v>
      </c>
    </row>
    <row r="2349" spans="1:27" x14ac:dyDescent="0.25">
      <c r="A2349" s="10">
        <v>45692</v>
      </c>
      <c r="B2349" s="69">
        <v>3.7511574074074017E-2</v>
      </c>
      <c r="C2349" s="11" t="s">
        <v>4716</v>
      </c>
      <c r="D2349" s="11">
        <v>16879</v>
      </c>
      <c r="E2349" s="11" t="s">
        <v>481</v>
      </c>
      <c r="F2349" s="11" t="s">
        <v>26</v>
      </c>
      <c r="G2349" s="11">
        <v>74000</v>
      </c>
      <c r="H2349" s="12" t="s">
        <v>4448</v>
      </c>
      <c r="I2349" s="12" t="s">
        <v>55</v>
      </c>
      <c r="J2349" s="12" t="s">
        <v>55</v>
      </c>
      <c r="K2349" s="12" t="s">
        <v>56</v>
      </c>
      <c r="L2349" s="13">
        <v>36.18</v>
      </c>
      <c r="M2349" s="13">
        <v>25</v>
      </c>
      <c r="N2349" s="13">
        <f t="shared" si="177"/>
        <v>1.4472</v>
      </c>
      <c r="O2349" s="13">
        <v>15</v>
      </c>
      <c r="P2349" s="13" t="s">
        <v>30</v>
      </c>
      <c r="Q2349" s="13">
        <v>0</v>
      </c>
      <c r="R2349" s="70">
        <f>+L2349*O2349</f>
        <v>542.70000000000005</v>
      </c>
      <c r="S2349" s="70">
        <v>0</v>
      </c>
      <c r="T2349" s="70">
        <f>+L2349*S2349</f>
        <v>0</v>
      </c>
      <c r="U2349" s="70">
        <f>+R2349-T2349</f>
        <v>542.70000000000005</v>
      </c>
      <c r="V2349" s="70">
        <f>+U2349*0.75</f>
        <v>407.02500000000003</v>
      </c>
      <c r="W2349" s="70">
        <f>+U2349-V2349</f>
        <v>135.67500000000001</v>
      </c>
      <c r="X2349" s="70">
        <v>0</v>
      </c>
      <c r="Y2349" s="14">
        <f t="shared" si="163"/>
        <v>0</v>
      </c>
      <c r="Z2349" s="11" t="s">
        <v>26</v>
      </c>
      <c r="AA2349" s="12" t="s">
        <v>31</v>
      </c>
    </row>
    <row r="2350" spans="1:27" x14ac:dyDescent="0.25">
      <c r="A2350" s="10">
        <v>45692</v>
      </c>
      <c r="B2350" s="69">
        <v>2.4444444444444435E-2</v>
      </c>
      <c r="C2350" s="11" t="s">
        <v>4717</v>
      </c>
      <c r="D2350" s="11">
        <v>16880</v>
      </c>
      <c r="E2350" s="11" t="s">
        <v>461</v>
      </c>
      <c r="F2350" s="11" t="s">
        <v>26</v>
      </c>
      <c r="G2350" s="11" t="s">
        <v>35</v>
      </c>
      <c r="H2350" s="12" t="s">
        <v>36</v>
      </c>
      <c r="I2350" s="12" t="s">
        <v>55</v>
      </c>
      <c r="J2350" s="12" t="s">
        <v>55</v>
      </c>
      <c r="K2350" s="12" t="s">
        <v>56</v>
      </c>
      <c r="L2350" s="13">
        <v>30.08</v>
      </c>
      <c r="M2350" s="13">
        <v>18</v>
      </c>
      <c r="N2350" s="13">
        <f t="shared" si="177"/>
        <v>1.671111111111111</v>
      </c>
      <c r="O2350" s="13">
        <v>20</v>
      </c>
      <c r="P2350" s="13" t="s">
        <v>30</v>
      </c>
      <c r="Q2350" s="13">
        <v>0</v>
      </c>
      <c r="R2350" s="70">
        <f>(L2350*O2350)-Q2350</f>
        <v>601.59999999999991</v>
      </c>
      <c r="S2350" s="70">
        <v>0</v>
      </c>
      <c r="T2350" s="70">
        <f t="shared" ref="T2350" si="188">+L2350*S2350</f>
        <v>0</v>
      </c>
      <c r="U2350" s="70">
        <f t="shared" ref="U2350" si="189">+R2350-T2350</f>
        <v>601.59999999999991</v>
      </c>
      <c r="V2350" s="70">
        <f t="shared" ref="V2350:V2351" si="190">+U2350*0</f>
        <v>0</v>
      </c>
      <c r="W2350" s="70">
        <f t="shared" ref="W2350" si="191">+U2350-V2350</f>
        <v>601.59999999999991</v>
      </c>
      <c r="X2350" s="70">
        <v>0</v>
      </c>
      <c r="Y2350" s="14">
        <f t="shared" si="163"/>
        <v>0</v>
      </c>
      <c r="Z2350" s="11" t="s">
        <v>26</v>
      </c>
      <c r="AA2350" s="12" t="s">
        <v>31</v>
      </c>
    </row>
    <row r="2351" spans="1:27" x14ac:dyDescent="0.25">
      <c r="A2351" s="10">
        <v>45692</v>
      </c>
      <c r="B2351" s="69">
        <v>4.1585648148148191E-2</v>
      </c>
      <c r="C2351" s="11" t="s">
        <v>4718</v>
      </c>
      <c r="D2351" s="11">
        <v>16881</v>
      </c>
      <c r="E2351" s="11" t="s">
        <v>2109</v>
      </c>
      <c r="F2351" s="11" t="s">
        <v>26</v>
      </c>
      <c r="G2351" s="11">
        <v>10616</v>
      </c>
      <c r="H2351" s="12" t="s">
        <v>140</v>
      </c>
      <c r="I2351" s="12" t="s">
        <v>27</v>
      </c>
      <c r="J2351" s="12" t="s">
        <v>33</v>
      </c>
      <c r="K2351" s="12" t="s">
        <v>34</v>
      </c>
      <c r="L2351" s="13">
        <v>41.22</v>
      </c>
      <c r="M2351" s="13">
        <v>28</v>
      </c>
      <c r="N2351" s="13">
        <f t="shared" si="177"/>
        <v>1.4721428571428572</v>
      </c>
      <c r="O2351" s="13">
        <v>40</v>
      </c>
      <c r="P2351" s="13"/>
      <c r="Q2351" s="13">
        <v>0</v>
      </c>
      <c r="R2351" s="70">
        <f>+L2351*O2351</f>
        <v>1648.8</v>
      </c>
      <c r="S2351" s="70">
        <v>0</v>
      </c>
      <c r="T2351" s="70">
        <f>+L2351*S2351</f>
        <v>0</v>
      </c>
      <c r="U2351" s="70">
        <f>+R2351-T2351</f>
        <v>1648.8</v>
      </c>
      <c r="V2351" s="70">
        <f t="shared" si="190"/>
        <v>0</v>
      </c>
      <c r="W2351" s="70">
        <f>+U2351-V2351</f>
        <v>1648.8</v>
      </c>
      <c r="X2351" s="70">
        <v>0</v>
      </c>
      <c r="Y2351" s="14">
        <f t="shared" si="163"/>
        <v>0</v>
      </c>
      <c r="Z2351" s="11" t="s">
        <v>26</v>
      </c>
      <c r="AA2351" s="12" t="s">
        <v>31</v>
      </c>
    </row>
    <row r="2352" spans="1:27" x14ac:dyDescent="0.25">
      <c r="A2352" s="10">
        <v>45692</v>
      </c>
      <c r="B2352" s="69">
        <v>3.7037037037037035E-2</v>
      </c>
      <c r="C2352" s="11" t="s">
        <v>4719</v>
      </c>
      <c r="D2352" s="11">
        <v>16882</v>
      </c>
      <c r="E2352" s="11" t="s">
        <v>53</v>
      </c>
      <c r="F2352" s="11" t="s">
        <v>26</v>
      </c>
      <c r="G2352" s="11" t="s">
        <v>26</v>
      </c>
      <c r="H2352" s="12" t="s">
        <v>4422</v>
      </c>
      <c r="I2352" s="12" t="s">
        <v>27</v>
      </c>
      <c r="J2352" s="12" t="s">
        <v>42</v>
      </c>
      <c r="K2352" s="12" t="s">
        <v>43</v>
      </c>
      <c r="L2352" s="13">
        <v>43.1</v>
      </c>
      <c r="M2352" s="13">
        <v>25</v>
      </c>
      <c r="N2352" s="13">
        <f t="shared" si="177"/>
        <v>1.724</v>
      </c>
      <c r="O2352" s="13">
        <v>83</v>
      </c>
      <c r="P2352" s="13" t="s">
        <v>30</v>
      </c>
      <c r="Q2352" s="13">
        <v>0</v>
      </c>
      <c r="R2352" s="70">
        <f>L2352*O2352</f>
        <v>3577.3</v>
      </c>
      <c r="S2352" s="70">
        <v>38</v>
      </c>
      <c r="T2352" s="70">
        <f>L2352*S2352</f>
        <v>1637.8</v>
      </c>
      <c r="U2352" s="70">
        <f>R2352-T2352</f>
        <v>1939.5000000000002</v>
      </c>
      <c r="V2352" s="70">
        <f>U2352*1</f>
        <v>1939.5000000000002</v>
      </c>
      <c r="W2352" s="70">
        <f>U2352-V2352</f>
        <v>0</v>
      </c>
      <c r="X2352" s="70">
        <f>L2352*37</f>
        <v>1594.7</v>
      </c>
      <c r="Y2352" s="71">
        <f>+T2352-X2352</f>
        <v>43.099999999999909</v>
      </c>
      <c r="Z2352" s="12" t="s">
        <v>41</v>
      </c>
      <c r="AA2352" s="12" t="s">
        <v>78</v>
      </c>
    </row>
    <row r="2353" spans="1:27" x14ac:dyDescent="0.25">
      <c r="A2353" s="10">
        <v>45692</v>
      </c>
      <c r="B2353" s="69">
        <v>2.7905092592592551E-2</v>
      </c>
      <c r="C2353" s="11" t="s">
        <v>4720</v>
      </c>
      <c r="D2353" s="11">
        <v>16883</v>
      </c>
      <c r="E2353" s="11" t="s">
        <v>98</v>
      </c>
      <c r="F2353" s="11" t="s">
        <v>26</v>
      </c>
      <c r="G2353" s="11">
        <v>10712</v>
      </c>
      <c r="H2353" s="12" t="s">
        <v>140</v>
      </c>
      <c r="I2353" s="12" t="s">
        <v>27</v>
      </c>
      <c r="J2353" s="12" t="s">
        <v>42</v>
      </c>
      <c r="K2353" s="12" t="s">
        <v>43</v>
      </c>
      <c r="L2353" s="13">
        <v>41.22</v>
      </c>
      <c r="M2353" s="13">
        <v>25</v>
      </c>
      <c r="N2353" s="13">
        <f t="shared" si="177"/>
        <v>1.6488</v>
      </c>
      <c r="O2353" s="13">
        <v>35</v>
      </c>
      <c r="P2353" s="13"/>
      <c r="Q2353" s="13">
        <v>0</v>
      </c>
      <c r="R2353" s="70">
        <f>+L2353*O2353</f>
        <v>1442.7</v>
      </c>
      <c r="S2353" s="70">
        <v>0</v>
      </c>
      <c r="T2353" s="70">
        <f>+L2353*S2353</f>
        <v>0</v>
      </c>
      <c r="U2353" s="70">
        <f>+R2353-T2353</f>
        <v>1442.7</v>
      </c>
      <c r="V2353" s="70">
        <f t="shared" ref="V2353" si="192">+U2353*0</f>
        <v>0</v>
      </c>
      <c r="W2353" s="70">
        <f>+U2353-V2353</f>
        <v>1442.7</v>
      </c>
      <c r="X2353" s="70">
        <v>0</v>
      </c>
      <c r="Y2353" s="14">
        <f t="shared" ref="Y2353:Y2355" si="193">T2353-X2353</f>
        <v>0</v>
      </c>
      <c r="Z2353" s="11" t="s">
        <v>26</v>
      </c>
      <c r="AA2353" s="12" t="s">
        <v>31</v>
      </c>
    </row>
    <row r="2354" spans="1:27" x14ac:dyDescent="0.25">
      <c r="A2354" s="10">
        <v>45692</v>
      </c>
      <c r="B2354" s="69">
        <v>5.5486111111111125E-2</v>
      </c>
      <c r="C2354" s="11" t="s">
        <v>4721</v>
      </c>
      <c r="D2354" s="11">
        <v>16884</v>
      </c>
      <c r="E2354" s="11" t="s">
        <v>589</v>
      </c>
      <c r="F2354" s="11" t="s">
        <v>26</v>
      </c>
      <c r="G2354" s="11">
        <v>56907</v>
      </c>
      <c r="H2354" s="12" t="s">
        <v>4423</v>
      </c>
      <c r="I2354" s="12" t="s">
        <v>27</v>
      </c>
      <c r="J2354" s="12" t="s">
        <v>42</v>
      </c>
      <c r="K2354" s="12" t="s">
        <v>43</v>
      </c>
      <c r="L2354" s="13">
        <v>36.799999999999997</v>
      </c>
      <c r="M2354" s="13">
        <v>25</v>
      </c>
      <c r="N2354" s="13">
        <f t="shared" si="177"/>
        <v>1.472</v>
      </c>
      <c r="O2354" s="13">
        <v>42</v>
      </c>
      <c r="P2354" s="13" t="s">
        <v>30</v>
      </c>
      <c r="Q2354" s="13">
        <v>0</v>
      </c>
      <c r="R2354" s="70">
        <f t="shared" ref="R2354" si="194">+L2354*O2354</f>
        <v>1545.6</v>
      </c>
      <c r="S2354" s="70">
        <v>0</v>
      </c>
      <c r="T2354" s="70">
        <f t="shared" ref="T2354" si="195">+L2354*S2354</f>
        <v>0</v>
      </c>
      <c r="U2354" s="70">
        <f t="shared" ref="U2354" si="196">+R2354-T2354</f>
        <v>1545.6</v>
      </c>
      <c r="V2354" s="70">
        <f>+U2354*1</f>
        <v>1545.6</v>
      </c>
      <c r="W2354" s="70">
        <f t="shared" ref="W2354" si="197">+U2354-V2354</f>
        <v>0</v>
      </c>
      <c r="X2354" s="70">
        <v>0</v>
      </c>
      <c r="Y2354" s="14">
        <f t="shared" si="193"/>
        <v>0</v>
      </c>
      <c r="Z2354" s="11" t="s">
        <v>26</v>
      </c>
      <c r="AA2354" s="12" t="s">
        <v>31</v>
      </c>
    </row>
    <row r="2355" spans="1:27" x14ac:dyDescent="0.25">
      <c r="A2355" s="10">
        <v>45692</v>
      </c>
      <c r="B2355" s="69">
        <v>7.9861111111111938E-3</v>
      </c>
      <c r="C2355" s="11" t="s">
        <v>4722</v>
      </c>
      <c r="D2355" s="11">
        <v>16885</v>
      </c>
      <c r="E2355" s="11" t="s">
        <v>68</v>
      </c>
      <c r="F2355" s="11" t="s">
        <v>26</v>
      </c>
      <c r="G2355" s="11">
        <v>76365</v>
      </c>
      <c r="H2355" s="12" t="s">
        <v>4448</v>
      </c>
      <c r="I2355" s="12" t="s">
        <v>55</v>
      </c>
      <c r="J2355" s="12" t="s">
        <v>55</v>
      </c>
      <c r="K2355" s="12" t="s">
        <v>56</v>
      </c>
      <c r="L2355" s="13">
        <v>37.659999999999997</v>
      </c>
      <c r="M2355" s="13">
        <v>25</v>
      </c>
      <c r="N2355" s="13">
        <f t="shared" si="177"/>
        <v>1.5064</v>
      </c>
      <c r="O2355" s="13">
        <v>15</v>
      </c>
      <c r="P2355" s="13" t="s">
        <v>30</v>
      </c>
      <c r="Q2355" s="13">
        <v>0</v>
      </c>
      <c r="R2355" s="70">
        <f>+L2355*O2355</f>
        <v>564.9</v>
      </c>
      <c r="S2355" s="70">
        <v>0</v>
      </c>
      <c r="T2355" s="70">
        <f>+L2355*S2355</f>
        <v>0</v>
      </c>
      <c r="U2355" s="70">
        <f>+R2355-T2355</f>
        <v>564.9</v>
      </c>
      <c r="V2355" s="70">
        <f>+U2355*0.75</f>
        <v>423.67499999999995</v>
      </c>
      <c r="W2355" s="70">
        <f>+U2355-V2355</f>
        <v>141.22500000000002</v>
      </c>
      <c r="X2355" s="70">
        <v>0</v>
      </c>
      <c r="Y2355" s="14">
        <f t="shared" si="193"/>
        <v>0</v>
      </c>
      <c r="Z2355" s="11" t="s">
        <v>26</v>
      </c>
      <c r="AA2355" s="12" t="s">
        <v>31</v>
      </c>
    </row>
    <row r="2356" spans="1:27" x14ac:dyDescent="0.25">
      <c r="A2356" s="10">
        <v>45692</v>
      </c>
      <c r="B2356" s="69">
        <v>1.2638888888888866E-2</v>
      </c>
      <c r="C2356" s="11" t="s">
        <v>4723</v>
      </c>
      <c r="D2356" s="11">
        <v>16886</v>
      </c>
      <c r="E2356" s="11" t="s">
        <v>240</v>
      </c>
      <c r="F2356" s="11" t="s">
        <v>26</v>
      </c>
      <c r="G2356" s="11" t="s">
        <v>26</v>
      </c>
      <c r="H2356" s="12" t="s">
        <v>4422</v>
      </c>
      <c r="I2356" s="12" t="s">
        <v>27</v>
      </c>
      <c r="J2356" s="12" t="s">
        <v>33</v>
      </c>
      <c r="K2356" s="12" t="s">
        <v>34</v>
      </c>
      <c r="L2356" s="13">
        <v>42.22</v>
      </c>
      <c r="M2356" s="13">
        <v>29</v>
      </c>
      <c r="N2356" s="13">
        <f t="shared" si="177"/>
        <v>1.4558620689655173</v>
      </c>
      <c r="O2356" s="13">
        <v>85</v>
      </c>
      <c r="P2356" s="13" t="s">
        <v>30</v>
      </c>
      <c r="Q2356" s="13">
        <v>0</v>
      </c>
      <c r="R2356" s="70">
        <f>L2356*O2356</f>
        <v>3588.7</v>
      </c>
      <c r="S2356" s="70">
        <v>38</v>
      </c>
      <c r="T2356" s="70">
        <f>L2356*S2356</f>
        <v>1604.36</v>
      </c>
      <c r="U2356" s="70">
        <f>R2356-T2356</f>
        <v>1984.34</v>
      </c>
      <c r="V2356" s="70">
        <f>U2356*1</f>
        <v>1984.34</v>
      </c>
      <c r="W2356" s="70">
        <f>U2356-V2356</f>
        <v>0</v>
      </c>
      <c r="X2356" s="70">
        <f>L2356*37</f>
        <v>1562.1399999999999</v>
      </c>
      <c r="Y2356" s="71">
        <f>+T2356-X2356</f>
        <v>42.220000000000027</v>
      </c>
      <c r="Z2356" s="12" t="s">
        <v>41</v>
      </c>
      <c r="AA2356" s="12" t="s">
        <v>78</v>
      </c>
    </row>
    <row r="2357" spans="1:27" x14ac:dyDescent="0.25">
      <c r="A2357" s="10">
        <v>45692</v>
      </c>
      <c r="B2357" s="69">
        <v>1.583333333333331E-2</v>
      </c>
      <c r="C2357" s="11" t="s">
        <v>4724</v>
      </c>
      <c r="D2357" s="11">
        <v>16887</v>
      </c>
      <c r="E2357" s="11" t="s">
        <v>520</v>
      </c>
      <c r="F2357" s="11" t="s">
        <v>26</v>
      </c>
      <c r="G2357" s="11">
        <v>4389</v>
      </c>
      <c r="H2357" s="12" t="s">
        <v>140</v>
      </c>
      <c r="I2357" s="12" t="s">
        <v>27</v>
      </c>
      <c r="J2357" s="12" t="s">
        <v>42</v>
      </c>
      <c r="K2357" s="12" t="s">
        <v>43</v>
      </c>
      <c r="L2357" s="13">
        <v>41.02</v>
      </c>
      <c r="M2357" s="13">
        <v>25</v>
      </c>
      <c r="N2357" s="13">
        <f t="shared" si="177"/>
        <v>1.6408</v>
      </c>
      <c r="O2357" s="13">
        <v>35</v>
      </c>
      <c r="P2357" s="13"/>
      <c r="Q2357" s="13">
        <v>0</v>
      </c>
      <c r="R2357" s="70">
        <f>+L2357*O2357</f>
        <v>1435.7</v>
      </c>
      <c r="S2357" s="70">
        <v>0</v>
      </c>
      <c r="T2357" s="70">
        <f>+L2357*S2357</f>
        <v>0</v>
      </c>
      <c r="U2357" s="70">
        <f>+R2357-T2357</f>
        <v>1435.7</v>
      </c>
      <c r="V2357" s="70">
        <f t="shared" ref="V2357:V2358" si="198">+U2357*0</f>
        <v>0</v>
      </c>
      <c r="W2357" s="70">
        <f>+U2357-V2357</f>
        <v>1435.7</v>
      </c>
      <c r="X2357" s="70">
        <v>0</v>
      </c>
      <c r="Y2357" s="14">
        <f t="shared" ref="Y2357:Y2380" si="199">T2357-X2357</f>
        <v>0</v>
      </c>
      <c r="Z2357" s="11" t="s">
        <v>26</v>
      </c>
      <c r="AA2357" s="12" t="s">
        <v>31</v>
      </c>
    </row>
    <row r="2358" spans="1:27" x14ac:dyDescent="0.25">
      <c r="A2358" s="10">
        <v>45692</v>
      </c>
      <c r="B2358" s="69">
        <v>2.7476851851851836E-2</v>
      </c>
      <c r="C2358" s="11" t="s">
        <v>4725</v>
      </c>
      <c r="D2358" s="11">
        <v>16888</v>
      </c>
      <c r="E2358" s="11" t="s">
        <v>63</v>
      </c>
      <c r="F2358" s="11" t="s">
        <v>26</v>
      </c>
      <c r="G2358" s="11">
        <v>10179</v>
      </c>
      <c r="H2358" s="12" t="s">
        <v>140</v>
      </c>
      <c r="I2358" s="12" t="s">
        <v>27</v>
      </c>
      <c r="J2358" s="12" t="s">
        <v>33</v>
      </c>
      <c r="K2358" s="12" t="s">
        <v>34</v>
      </c>
      <c r="L2358" s="13">
        <v>39.9</v>
      </c>
      <c r="M2358" s="13">
        <v>29</v>
      </c>
      <c r="N2358" s="13">
        <f t="shared" si="177"/>
        <v>1.3758620689655172</v>
      </c>
      <c r="O2358" s="13">
        <v>40</v>
      </c>
      <c r="P2358" s="13"/>
      <c r="Q2358" s="13">
        <v>0</v>
      </c>
      <c r="R2358" s="70">
        <f>+L2358*O2358</f>
        <v>1596</v>
      </c>
      <c r="S2358" s="70">
        <v>0</v>
      </c>
      <c r="T2358" s="70">
        <f>+L2358*S2358</f>
        <v>0</v>
      </c>
      <c r="U2358" s="70">
        <f>+R2358-T2358</f>
        <v>1596</v>
      </c>
      <c r="V2358" s="70">
        <f t="shared" si="198"/>
        <v>0</v>
      </c>
      <c r="W2358" s="70">
        <f>+U2358-V2358</f>
        <v>1596</v>
      </c>
      <c r="X2358" s="70">
        <v>0</v>
      </c>
      <c r="Y2358" s="14">
        <f t="shared" si="199"/>
        <v>0</v>
      </c>
      <c r="Z2358" s="11" t="s">
        <v>26</v>
      </c>
      <c r="AA2358" s="12" t="s">
        <v>31</v>
      </c>
    </row>
    <row r="2359" spans="1:27" x14ac:dyDescent="0.25">
      <c r="A2359" s="10">
        <v>45692</v>
      </c>
      <c r="B2359" s="69">
        <v>0.11262731481481481</v>
      </c>
      <c r="C2359" s="11" t="s">
        <v>4726</v>
      </c>
      <c r="D2359" s="11">
        <v>16889</v>
      </c>
      <c r="E2359" s="11" t="s">
        <v>50</v>
      </c>
      <c r="F2359" s="11" t="s">
        <v>26</v>
      </c>
      <c r="G2359" s="11">
        <v>935</v>
      </c>
      <c r="H2359" s="12" t="s">
        <v>163</v>
      </c>
      <c r="I2359" s="12" t="s">
        <v>27</v>
      </c>
      <c r="J2359" s="12" t="s">
        <v>47</v>
      </c>
      <c r="K2359" s="12" t="s">
        <v>48</v>
      </c>
      <c r="L2359" s="13">
        <v>38.86</v>
      </c>
      <c r="M2359" s="13">
        <v>25</v>
      </c>
      <c r="N2359" s="13">
        <f t="shared" si="177"/>
        <v>1.5544</v>
      </c>
      <c r="O2359" s="13" t="s">
        <v>30</v>
      </c>
      <c r="P2359" s="13">
        <v>60</v>
      </c>
      <c r="Q2359" s="13">
        <v>0</v>
      </c>
      <c r="R2359" s="70">
        <f>M2359*P2359</f>
        <v>1500</v>
      </c>
      <c r="S2359" s="70">
        <v>0</v>
      </c>
      <c r="T2359" s="70">
        <f>M2359*S2359</f>
        <v>0</v>
      </c>
      <c r="U2359" s="70">
        <f>R2359-T2359</f>
        <v>1500</v>
      </c>
      <c r="V2359" s="70">
        <f>U2359*0</f>
        <v>0</v>
      </c>
      <c r="W2359" s="70">
        <f>U2359-V2359</f>
        <v>1500</v>
      </c>
      <c r="X2359" s="70">
        <v>0</v>
      </c>
      <c r="Y2359" s="14">
        <f t="shared" si="199"/>
        <v>0</v>
      </c>
      <c r="Z2359" s="11" t="s">
        <v>26</v>
      </c>
      <c r="AA2359" s="12" t="s">
        <v>31</v>
      </c>
    </row>
    <row r="2360" spans="1:27" x14ac:dyDescent="0.25">
      <c r="A2360" s="10">
        <v>45692</v>
      </c>
      <c r="B2360" s="69">
        <v>1.0497685185185179E-2</v>
      </c>
      <c r="C2360" s="11" t="s">
        <v>4727</v>
      </c>
      <c r="D2360" s="11">
        <v>16890</v>
      </c>
      <c r="E2360" s="11" t="s">
        <v>486</v>
      </c>
      <c r="F2360" s="11" t="s">
        <v>26</v>
      </c>
      <c r="G2360" s="11">
        <v>70303</v>
      </c>
      <c r="H2360" s="12" t="s">
        <v>4448</v>
      </c>
      <c r="I2360" s="12" t="s">
        <v>27</v>
      </c>
      <c r="J2360" s="12" t="s">
        <v>42</v>
      </c>
      <c r="K2360" s="12" t="s">
        <v>43</v>
      </c>
      <c r="L2360" s="13">
        <v>43.42</v>
      </c>
      <c r="M2360" s="13">
        <v>25</v>
      </c>
      <c r="N2360" s="13">
        <f t="shared" si="177"/>
        <v>1.7368000000000001</v>
      </c>
      <c r="O2360" s="13">
        <v>42.5</v>
      </c>
      <c r="P2360" s="13"/>
      <c r="Q2360" s="13">
        <v>0</v>
      </c>
      <c r="R2360" s="70">
        <f>+L2360*O2360</f>
        <v>1845.3500000000001</v>
      </c>
      <c r="S2360" s="70">
        <v>0</v>
      </c>
      <c r="T2360" s="70">
        <f>+L2360*S2360</f>
        <v>0</v>
      </c>
      <c r="U2360" s="70">
        <f>+R2360-T2360</f>
        <v>1845.3500000000001</v>
      </c>
      <c r="V2360" s="70">
        <f>+U2360*0.75</f>
        <v>1384.0125</v>
      </c>
      <c r="W2360" s="70">
        <f>+U2360-V2360</f>
        <v>461.33750000000009</v>
      </c>
      <c r="X2360" s="70">
        <v>0</v>
      </c>
      <c r="Y2360" s="14">
        <f t="shared" si="199"/>
        <v>0</v>
      </c>
      <c r="Z2360" s="11" t="s">
        <v>26</v>
      </c>
      <c r="AA2360" s="12" t="s">
        <v>31</v>
      </c>
    </row>
    <row r="2361" spans="1:27" x14ac:dyDescent="0.25">
      <c r="A2361" s="10">
        <v>45692</v>
      </c>
      <c r="B2361" s="69">
        <v>8.4490740740740256E-3</v>
      </c>
      <c r="C2361" s="11" t="s">
        <v>4728</v>
      </c>
      <c r="D2361" s="11">
        <v>16891</v>
      </c>
      <c r="E2361" s="11" t="s">
        <v>544</v>
      </c>
      <c r="F2361" s="11" t="s">
        <v>26</v>
      </c>
      <c r="G2361" s="11">
        <v>70184</v>
      </c>
      <c r="H2361" s="12" t="s">
        <v>4448</v>
      </c>
      <c r="I2361" s="12" t="s">
        <v>55</v>
      </c>
      <c r="J2361" s="12" t="s">
        <v>55</v>
      </c>
      <c r="K2361" s="12" t="s">
        <v>56</v>
      </c>
      <c r="L2361" s="13">
        <v>36.78</v>
      </c>
      <c r="M2361" s="13">
        <v>25</v>
      </c>
      <c r="N2361" s="13">
        <f t="shared" si="177"/>
        <v>1.4712000000000001</v>
      </c>
      <c r="O2361" s="13">
        <v>15</v>
      </c>
      <c r="P2361" s="13" t="s">
        <v>30</v>
      </c>
      <c r="Q2361" s="13">
        <v>0</v>
      </c>
      <c r="R2361" s="70">
        <f>+L2361*O2361</f>
        <v>551.70000000000005</v>
      </c>
      <c r="S2361" s="70">
        <v>0</v>
      </c>
      <c r="T2361" s="70">
        <f>+L2361*S2361</f>
        <v>0</v>
      </c>
      <c r="U2361" s="70">
        <f>+R2361-T2361</f>
        <v>551.70000000000005</v>
      </c>
      <c r="V2361" s="70">
        <f>+U2361*0.75</f>
        <v>413.77500000000003</v>
      </c>
      <c r="W2361" s="70">
        <f>+U2361-V2361</f>
        <v>137.92500000000001</v>
      </c>
      <c r="X2361" s="70">
        <v>0</v>
      </c>
      <c r="Y2361" s="14">
        <f t="shared" si="199"/>
        <v>0</v>
      </c>
      <c r="Z2361" s="11" t="s">
        <v>26</v>
      </c>
      <c r="AA2361" s="12" t="s">
        <v>31</v>
      </c>
    </row>
    <row r="2362" spans="1:27" x14ac:dyDescent="0.25">
      <c r="A2362" s="10">
        <v>45692</v>
      </c>
      <c r="B2362" s="69">
        <v>8.9120370370370239E-3</v>
      </c>
      <c r="C2362" s="11" t="s">
        <v>4729</v>
      </c>
      <c r="D2362" s="11">
        <v>16892</v>
      </c>
      <c r="E2362" s="11" t="s">
        <v>525</v>
      </c>
      <c r="F2362" s="11" t="s">
        <v>26</v>
      </c>
      <c r="G2362" s="11">
        <v>26339</v>
      </c>
      <c r="H2362" s="12" t="s">
        <v>4448</v>
      </c>
      <c r="I2362" s="12" t="s">
        <v>27</v>
      </c>
      <c r="J2362" s="12" t="s">
        <v>42</v>
      </c>
      <c r="K2362" s="12" t="s">
        <v>43</v>
      </c>
      <c r="L2362" s="13">
        <v>43.62</v>
      </c>
      <c r="M2362" s="13">
        <v>25</v>
      </c>
      <c r="N2362" s="13">
        <f t="shared" si="177"/>
        <v>1.7447999999999999</v>
      </c>
      <c r="O2362" s="13">
        <v>42.5</v>
      </c>
      <c r="P2362" s="13"/>
      <c r="Q2362" s="13">
        <v>0</v>
      </c>
      <c r="R2362" s="70">
        <f>+L2362*O2362</f>
        <v>1853.85</v>
      </c>
      <c r="S2362" s="70">
        <v>0</v>
      </c>
      <c r="T2362" s="70">
        <f>+L2362*S2362</f>
        <v>0</v>
      </c>
      <c r="U2362" s="70">
        <f>+R2362-T2362</f>
        <v>1853.85</v>
      </c>
      <c r="V2362" s="70">
        <f>+U2362*0.75</f>
        <v>1390.3874999999998</v>
      </c>
      <c r="W2362" s="70">
        <f>+U2362-V2362</f>
        <v>463.46250000000009</v>
      </c>
      <c r="X2362" s="70">
        <v>0</v>
      </c>
      <c r="Y2362" s="14">
        <f t="shared" si="199"/>
        <v>0</v>
      </c>
      <c r="Z2362" s="11" t="s">
        <v>26</v>
      </c>
      <c r="AA2362" s="12" t="s">
        <v>31</v>
      </c>
    </row>
    <row r="2363" spans="1:27" x14ac:dyDescent="0.25">
      <c r="A2363" s="10">
        <v>45692</v>
      </c>
      <c r="B2363" s="69">
        <v>5.1273148148148207E-3</v>
      </c>
      <c r="C2363" s="11" t="s">
        <v>4730</v>
      </c>
      <c r="D2363" s="11">
        <v>16893</v>
      </c>
      <c r="E2363" s="11" t="s">
        <v>3938</v>
      </c>
      <c r="F2363" s="11" t="s">
        <v>26</v>
      </c>
      <c r="G2363" s="11" t="s">
        <v>35</v>
      </c>
      <c r="H2363" s="12" t="s">
        <v>36</v>
      </c>
      <c r="I2363" s="12" t="s">
        <v>55</v>
      </c>
      <c r="J2363" s="12" t="s">
        <v>55</v>
      </c>
      <c r="K2363" s="12" t="s">
        <v>56</v>
      </c>
      <c r="L2363" s="13">
        <v>10.6</v>
      </c>
      <c r="M2363" s="13">
        <v>6</v>
      </c>
      <c r="N2363" s="13">
        <f t="shared" si="177"/>
        <v>1.7666666666666666</v>
      </c>
      <c r="O2363" s="13">
        <v>20</v>
      </c>
      <c r="P2363" s="13" t="s">
        <v>30</v>
      </c>
      <c r="Q2363" s="13">
        <v>0</v>
      </c>
      <c r="R2363" s="70">
        <f>(L2363*O2363)-Q2363</f>
        <v>212</v>
      </c>
      <c r="S2363" s="70">
        <v>0</v>
      </c>
      <c r="T2363" s="70">
        <f t="shared" ref="T2363:T2366" si="200">+L2363*S2363</f>
        <v>0</v>
      </c>
      <c r="U2363" s="70">
        <f t="shared" ref="U2363:U2366" si="201">+R2363-T2363</f>
        <v>212</v>
      </c>
      <c r="V2363" s="70">
        <f t="shared" ref="V2363" si="202">+U2363*0</f>
        <v>0</v>
      </c>
      <c r="W2363" s="70">
        <f t="shared" ref="W2363:W2366" si="203">+U2363-V2363</f>
        <v>212</v>
      </c>
      <c r="X2363" s="70">
        <v>0</v>
      </c>
      <c r="Y2363" s="14">
        <f t="shared" si="199"/>
        <v>0</v>
      </c>
      <c r="Z2363" s="11" t="s">
        <v>26</v>
      </c>
      <c r="AA2363" s="12" t="s">
        <v>31</v>
      </c>
    </row>
    <row r="2364" spans="1:27" x14ac:dyDescent="0.25">
      <c r="A2364" s="10">
        <v>45692</v>
      </c>
      <c r="B2364" s="69">
        <v>4.9351851851851869E-2</v>
      </c>
      <c r="C2364" s="11" t="s">
        <v>4731</v>
      </c>
      <c r="D2364" s="11">
        <v>16894</v>
      </c>
      <c r="E2364" s="11" t="s">
        <v>87</v>
      </c>
      <c r="F2364" s="11" t="s">
        <v>26</v>
      </c>
      <c r="G2364" s="11">
        <v>56957</v>
      </c>
      <c r="H2364" s="12" t="s">
        <v>4423</v>
      </c>
      <c r="I2364" s="12" t="s">
        <v>27</v>
      </c>
      <c r="J2364" s="12" t="s">
        <v>42</v>
      </c>
      <c r="K2364" s="12" t="s">
        <v>43</v>
      </c>
      <c r="L2364" s="13">
        <v>36.32</v>
      </c>
      <c r="M2364" s="13">
        <v>25</v>
      </c>
      <c r="N2364" s="13">
        <f t="shared" si="177"/>
        <v>1.4528000000000001</v>
      </c>
      <c r="O2364" s="13">
        <v>42</v>
      </c>
      <c r="P2364" s="13" t="s">
        <v>30</v>
      </c>
      <c r="Q2364" s="13">
        <v>0</v>
      </c>
      <c r="R2364" s="70">
        <f t="shared" ref="R2364:R2365" si="204">+L2364*O2364</f>
        <v>1525.44</v>
      </c>
      <c r="S2364" s="70">
        <v>0</v>
      </c>
      <c r="T2364" s="70">
        <f t="shared" si="200"/>
        <v>0</v>
      </c>
      <c r="U2364" s="70">
        <f t="shared" si="201"/>
        <v>1525.44</v>
      </c>
      <c r="V2364" s="70">
        <f>+U2364*1</f>
        <v>1525.44</v>
      </c>
      <c r="W2364" s="70">
        <f t="shared" si="203"/>
        <v>0</v>
      </c>
      <c r="X2364" s="70">
        <v>0</v>
      </c>
      <c r="Y2364" s="14">
        <f t="shared" si="199"/>
        <v>0</v>
      </c>
      <c r="Z2364" s="11" t="s">
        <v>26</v>
      </c>
      <c r="AA2364" s="12" t="s">
        <v>31</v>
      </c>
    </row>
    <row r="2365" spans="1:27" x14ac:dyDescent="0.25">
      <c r="A2365" s="10">
        <v>45692</v>
      </c>
      <c r="B2365" s="69">
        <v>8.7037037037037135E-3</v>
      </c>
      <c r="C2365" s="11" t="s">
        <v>4732</v>
      </c>
      <c r="D2365" s="11">
        <v>16895</v>
      </c>
      <c r="E2365" s="11" t="s">
        <v>552</v>
      </c>
      <c r="F2365" s="11" t="s">
        <v>26</v>
      </c>
      <c r="G2365" s="11">
        <v>69147</v>
      </c>
      <c r="H2365" s="12" t="s">
        <v>4423</v>
      </c>
      <c r="I2365" s="12" t="s">
        <v>27</v>
      </c>
      <c r="J2365" s="12" t="s">
        <v>42</v>
      </c>
      <c r="K2365" s="12" t="s">
        <v>43</v>
      </c>
      <c r="L2365" s="13">
        <v>36.54</v>
      </c>
      <c r="M2365" s="13">
        <v>25</v>
      </c>
      <c r="N2365" s="13">
        <f t="shared" si="177"/>
        <v>1.4616</v>
      </c>
      <c r="O2365" s="13">
        <v>42</v>
      </c>
      <c r="P2365" s="13" t="s">
        <v>30</v>
      </c>
      <c r="Q2365" s="13">
        <v>0</v>
      </c>
      <c r="R2365" s="70">
        <f t="shared" si="204"/>
        <v>1534.68</v>
      </c>
      <c r="S2365" s="70">
        <v>0</v>
      </c>
      <c r="T2365" s="70">
        <f t="shared" si="200"/>
        <v>0</v>
      </c>
      <c r="U2365" s="70">
        <f t="shared" si="201"/>
        <v>1534.68</v>
      </c>
      <c r="V2365" s="70">
        <f>+U2365*1</f>
        <v>1534.68</v>
      </c>
      <c r="W2365" s="70">
        <f t="shared" si="203"/>
        <v>0</v>
      </c>
      <c r="X2365" s="70">
        <v>0</v>
      </c>
      <c r="Y2365" s="14">
        <f t="shared" si="199"/>
        <v>0</v>
      </c>
      <c r="Z2365" s="11" t="s">
        <v>26</v>
      </c>
      <c r="AA2365" s="12" t="s">
        <v>31</v>
      </c>
    </row>
    <row r="2366" spans="1:27" x14ac:dyDescent="0.25">
      <c r="A2366" s="10">
        <v>45692</v>
      </c>
      <c r="B2366" s="69">
        <v>3.1250000000000444E-3</v>
      </c>
      <c r="C2366" s="11" t="s">
        <v>4733</v>
      </c>
      <c r="D2366" s="11">
        <v>16896</v>
      </c>
      <c r="E2366" s="11" t="s">
        <v>3938</v>
      </c>
      <c r="F2366" s="11" t="s">
        <v>26</v>
      </c>
      <c r="G2366" s="11" t="s">
        <v>35</v>
      </c>
      <c r="H2366" s="12" t="s">
        <v>36</v>
      </c>
      <c r="I2366" s="12" t="s">
        <v>55</v>
      </c>
      <c r="J2366" s="12" t="s">
        <v>55</v>
      </c>
      <c r="K2366" s="12" t="s">
        <v>56</v>
      </c>
      <c r="L2366" s="13">
        <v>10.52</v>
      </c>
      <c r="M2366" s="13">
        <v>6</v>
      </c>
      <c r="N2366" s="13">
        <f t="shared" si="177"/>
        <v>1.7533333333333332</v>
      </c>
      <c r="O2366" s="13">
        <v>20</v>
      </c>
      <c r="P2366" s="13" t="s">
        <v>30</v>
      </c>
      <c r="Q2366" s="13">
        <v>0</v>
      </c>
      <c r="R2366" s="70">
        <f>(L2366*O2366)-Q2366</f>
        <v>210.39999999999998</v>
      </c>
      <c r="S2366" s="70">
        <v>0</v>
      </c>
      <c r="T2366" s="70">
        <f t="shared" si="200"/>
        <v>0</v>
      </c>
      <c r="U2366" s="70">
        <f t="shared" si="201"/>
        <v>210.39999999999998</v>
      </c>
      <c r="V2366" s="70">
        <f t="shared" ref="V2366" si="205">+U2366*0</f>
        <v>0</v>
      </c>
      <c r="W2366" s="70">
        <f t="shared" si="203"/>
        <v>210.39999999999998</v>
      </c>
      <c r="X2366" s="70">
        <v>0</v>
      </c>
      <c r="Y2366" s="14">
        <f t="shared" si="199"/>
        <v>0</v>
      </c>
      <c r="Z2366" s="11" t="s">
        <v>26</v>
      </c>
      <c r="AA2366" s="12" t="s">
        <v>31</v>
      </c>
    </row>
    <row r="2367" spans="1:27" x14ac:dyDescent="0.25">
      <c r="A2367" s="10">
        <v>45692</v>
      </c>
      <c r="B2367" s="69">
        <v>6.7361111111111094E-3</v>
      </c>
      <c r="C2367" s="11" t="s">
        <v>4734</v>
      </c>
      <c r="D2367" s="11">
        <v>16897</v>
      </c>
      <c r="E2367" s="11" t="s">
        <v>444</v>
      </c>
      <c r="F2367" s="11" t="s">
        <v>26</v>
      </c>
      <c r="G2367" s="11">
        <v>2111</v>
      </c>
      <c r="H2367" s="12" t="s">
        <v>4449</v>
      </c>
      <c r="I2367" s="12" t="s">
        <v>55</v>
      </c>
      <c r="J2367" s="12" t="s">
        <v>55</v>
      </c>
      <c r="K2367" s="12" t="s">
        <v>56</v>
      </c>
      <c r="L2367" s="13">
        <v>37.14</v>
      </c>
      <c r="M2367" s="13">
        <v>22</v>
      </c>
      <c r="N2367" s="13">
        <f t="shared" si="177"/>
        <v>1.6881818181818182</v>
      </c>
      <c r="O2367" s="13">
        <v>15</v>
      </c>
      <c r="P2367" s="13" t="s">
        <v>30</v>
      </c>
      <c r="Q2367" s="13">
        <v>0</v>
      </c>
      <c r="R2367" s="70">
        <f>L2367*O2367</f>
        <v>557.1</v>
      </c>
      <c r="S2367" s="70">
        <v>0</v>
      </c>
      <c r="T2367" s="70">
        <f>L2367*S2367</f>
        <v>0</v>
      </c>
      <c r="U2367" s="70">
        <f>R2367-T2367</f>
        <v>557.1</v>
      </c>
      <c r="V2367" s="70">
        <f>U2367*0</f>
        <v>0</v>
      </c>
      <c r="W2367" s="70">
        <f>U2367-V2367</f>
        <v>557.1</v>
      </c>
      <c r="X2367" s="70">
        <v>0</v>
      </c>
      <c r="Y2367" s="14">
        <f t="shared" si="199"/>
        <v>0</v>
      </c>
      <c r="Z2367" s="11" t="s">
        <v>26</v>
      </c>
      <c r="AA2367" s="12" t="s">
        <v>31</v>
      </c>
    </row>
    <row r="2368" spans="1:27" x14ac:dyDescent="0.25">
      <c r="A2368" s="10">
        <v>45692</v>
      </c>
      <c r="B2368" s="69">
        <v>9.3750000000000222E-3</v>
      </c>
      <c r="C2368" s="11" t="s">
        <v>4735</v>
      </c>
      <c r="D2368" s="11">
        <v>16898</v>
      </c>
      <c r="E2368" s="11" t="s">
        <v>231</v>
      </c>
      <c r="F2368" s="11" t="s">
        <v>26</v>
      </c>
      <c r="G2368" s="11">
        <v>22963</v>
      </c>
      <c r="H2368" s="12" t="s">
        <v>4448</v>
      </c>
      <c r="I2368" s="12" t="s">
        <v>55</v>
      </c>
      <c r="J2368" s="12" t="s">
        <v>55</v>
      </c>
      <c r="K2368" s="12" t="s">
        <v>56</v>
      </c>
      <c r="L2368" s="13">
        <v>37.42</v>
      </c>
      <c r="M2368" s="13">
        <v>25</v>
      </c>
      <c r="N2368" s="13">
        <f t="shared" si="177"/>
        <v>1.4968000000000001</v>
      </c>
      <c r="O2368" s="13">
        <v>15</v>
      </c>
      <c r="P2368" s="13" t="s">
        <v>30</v>
      </c>
      <c r="Q2368" s="13">
        <v>0</v>
      </c>
      <c r="R2368" s="70">
        <f>+L2368*O2368</f>
        <v>561.30000000000007</v>
      </c>
      <c r="S2368" s="70">
        <v>0</v>
      </c>
      <c r="T2368" s="70">
        <f>+L2368*S2368</f>
        <v>0</v>
      </c>
      <c r="U2368" s="70">
        <f>+R2368-T2368</f>
        <v>561.30000000000007</v>
      </c>
      <c r="V2368" s="70">
        <f>+U2368*0.75</f>
        <v>420.97500000000002</v>
      </c>
      <c r="W2368" s="70">
        <f>+U2368-V2368</f>
        <v>140.32500000000005</v>
      </c>
      <c r="X2368" s="70">
        <v>0</v>
      </c>
      <c r="Y2368" s="14">
        <f t="shared" si="199"/>
        <v>0</v>
      </c>
      <c r="Z2368" s="11" t="s">
        <v>26</v>
      </c>
      <c r="AA2368" s="12" t="s">
        <v>31</v>
      </c>
    </row>
    <row r="2369" spans="1:27" x14ac:dyDescent="0.25">
      <c r="A2369" s="10">
        <v>45692</v>
      </c>
      <c r="B2369" s="69">
        <v>0.11410879629629628</v>
      </c>
      <c r="C2369" s="11" t="s">
        <v>4736</v>
      </c>
      <c r="D2369" s="11">
        <v>16899</v>
      </c>
      <c r="E2369" s="11" t="s">
        <v>1200</v>
      </c>
      <c r="F2369" s="11" t="s">
        <v>26</v>
      </c>
      <c r="G2369" s="11">
        <v>2952</v>
      </c>
      <c r="H2369" s="12" t="s">
        <v>163</v>
      </c>
      <c r="I2369" s="12" t="s">
        <v>27</v>
      </c>
      <c r="J2369" s="12" t="s">
        <v>42</v>
      </c>
      <c r="K2369" s="12" t="s">
        <v>43</v>
      </c>
      <c r="L2369" s="13">
        <v>40.159999999999997</v>
      </c>
      <c r="M2369" s="13">
        <v>25</v>
      </c>
      <c r="N2369" s="13">
        <f t="shared" si="177"/>
        <v>1.6063999999999998</v>
      </c>
      <c r="O2369" s="13" t="s">
        <v>30</v>
      </c>
      <c r="P2369" s="13">
        <v>64</v>
      </c>
      <c r="Q2369" s="13">
        <v>0</v>
      </c>
      <c r="R2369" s="70">
        <f>M2369*P2369</f>
        <v>1600</v>
      </c>
      <c r="S2369" s="70">
        <v>0</v>
      </c>
      <c r="T2369" s="70">
        <f>M2369*S2369</f>
        <v>0</v>
      </c>
      <c r="U2369" s="70">
        <f>R2369-T2369</f>
        <v>1600</v>
      </c>
      <c r="V2369" s="70">
        <f>U2369*0</f>
        <v>0</v>
      </c>
      <c r="W2369" s="70">
        <f>U2369-V2369</f>
        <v>1600</v>
      </c>
      <c r="X2369" s="70">
        <v>0</v>
      </c>
      <c r="Y2369" s="14">
        <f t="shared" si="199"/>
        <v>0</v>
      </c>
      <c r="Z2369" s="11" t="s">
        <v>26</v>
      </c>
      <c r="AA2369" s="12" t="s">
        <v>31</v>
      </c>
    </row>
    <row r="2370" spans="1:27" x14ac:dyDescent="0.25">
      <c r="A2370" s="10">
        <v>45692</v>
      </c>
      <c r="B2370" s="69">
        <v>1.1944444444444424E-2</v>
      </c>
      <c r="C2370" s="11" t="s">
        <v>4737</v>
      </c>
      <c r="D2370" s="11">
        <v>16900</v>
      </c>
      <c r="E2370" s="11" t="s">
        <v>461</v>
      </c>
      <c r="F2370" s="11" t="s">
        <v>26</v>
      </c>
      <c r="G2370" s="11" t="s">
        <v>35</v>
      </c>
      <c r="H2370" s="12" t="s">
        <v>36</v>
      </c>
      <c r="I2370" s="12" t="s">
        <v>55</v>
      </c>
      <c r="J2370" s="12" t="s">
        <v>55</v>
      </c>
      <c r="K2370" s="12" t="s">
        <v>56</v>
      </c>
      <c r="L2370" s="13">
        <v>30.16</v>
      </c>
      <c r="M2370" s="13">
        <v>18</v>
      </c>
      <c r="N2370" s="13">
        <f t="shared" si="177"/>
        <v>1.6755555555555555</v>
      </c>
      <c r="O2370" s="13">
        <v>20</v>
      </c>
      <c r="P2370" s="13" t="s">
        <v>30</v>
      </c>
      <c r="Q2370" s="13">
        <v>0</v>
      </c>
      <c r="R2370" s="70">
        <f>(L2370*O2370)-Q2370</f>
        <v>603.20000000000005</v>
      </c>
      <c r="S2370" s="70">
        <v>0</v>
      </c>
      <c r="T2370" s="70">
        <f t="shared" ref="T2370" si="206">+L2370*S2370</f>
        <v>0</v>
      </c>
      <c r="U2370" s="70">
        <f t="shared" ref="U2370" si="207">+R2370-T2370</f>
        <v>603.20000000000005</v>
      </c>
      <c r="V2370" s="70">
        <f t="shared" ref="V2370" si="208">+U2370*0</f>
        <v>0</v>
      </c>
      <c r="W2370" s="70">
        <f t="shared" ref="W2370" si="209">+U2370-V2370</f>
        <v>603.20000000000005</v>
      </c>
      <c r="X2370" s="70">
        <v>0</v>
      </c>
      <c r="Y2370" s="14">
        <f t="shared" si="199"/>
        <v>0</v>
      </c>
      <c r="Z2370" s="11" t="s">
        <v>26</v>
      </c>
      <c r="AA2370" s="12" t="s">
        <v>31</v>
      </c>
    </row>
    <row r="2371" spans="1:27" x14ac:dyDescent="0.25">
      <c r="A2371" s="10">
        <v>45692</v>
      </c>
      <c r="B2371" s="69">
        <v>7.9097222222222263E-2</v>
      </c>
      <c r="C2371" s="11" t="s">
        <v>4738</v>
      </c>
      <c r="D2371" s="11">
        <v>16901</v>
      </c>
      <c r="E2371" s="11" t="s">
        <v>75</v>
      </c>
      <c r="F2371" s="11" t="s">
        <v>26</v>
      </c>
      <c r="G2371" s="11">
        <v>42044</v>
      </c>
      <c r="H2371" s="12" t="s">
        <v>565</v>
      </c>
      <c r="I2371" s="12" t="s">
        <v>55</v>
      </c>
      <c r="J2371" s="12" t="s">
        <v>55</v>
      </c>
      <c r="K2371" s="12" t="s">
        <v>56</v>
      </c>
      <c r="L2371" s="13">
        <v>37.840000000000003</v>
      </c>
      <c r="M2371" s="13">
        <v>25</v>
      </c>
      <c r="N2371" s="13">
        <f t="shared" si="177"/>
        <v>1.5136000000000001</v>
      </c>
      <c r="O2371" s="13"/>
      <c r="P2371" s="13">
        <v>24</v>
      </c>
      <c r="Q2371" s="13">
        <v>0</v>
      </c>
      <c r="R2371" s="70">
        <f>M2371*P2371</f>
        <v>600</v>
      </c>
      <c r="S2371" s="70">
        <v>0</v>
      </c>
      <c r="T2371" s="70">
        <f>M2371*S2371</f>
        <v>0</v>
      </c>
      <c r="U2371" s="70">
        <f>R2371-T2371</f>
        <v>600</v>
      </c>
      <c r="V2371" s="70">
        <f>U2371*0</f>
        <v>0</v>
      </c>
      <c r="W2371" s="70">
        <f>+U2371-V2371</f>
        <v>600</v>
      </c>
      <c r="X2371" s="70">
        <v>0</v>
      </c>
      <c r="Y2371" s="14">
        <f t="shared" si="199"/>
        <v>0</v>
      </c>
      <c r="Z2371" s="11" t="s">
        <v>26</v>
      </c>
      <c r="AA2371" s="12" t="s">
        <v>31</v>
      </c>
    </row>
    <row r="2372" spans="1:27" x14ac:dyDescent="0.25">
      <c r="A2372" s="10">
        <v>45692</v>
      </c>
      <c r="B2372" s="69">
        <v>8.3437500000000053E-2</v>
      </c>
      <c r="C2372" s="11" t="s">
        <v>4739</v>
      </c>
      <c r="D2372" s="11">
        <v>16902</v>
      </c>
      <c r="E2372" s="11" t="s">
        <v>230</v>
      </c>
      <c r="F2372" s="11" t="s">
        <v>26</v>
      </c>
      <c r="G2372" s="11">
        <v>23150</v>
      </c>
      <c r="H2372" s="12" t="s">
        <v>565</v>
      </c>
      <c r="I2372" s="12" t="s">
        <v>55</v>
      </c>
      <c r="J2372" s="12" t="s">
        <v>55</v>
      </c>
      <c r="K2372" s="12" t="s">
        <v>56</v>
      </c>
      <c r="L2372" s="13">
        <v>37.340000000000003</v>
      </c>
      <c r="M2372" s="13">
        <v>25</v>
      </c>
      <c r="N2372" s="13">
        <f t="shared" si="177"/>
        <v>1.4936</v>
      </c>
      <c r="O2372" s="13"/>
      <c r="P2372" s="13">
        <v>24</v>
      </c>
      <c r="Q2372" s="13">
        <v>0</v>
      </c>
      <c r="R2372" s="70">
        <f>M2372*P2372</f>
        <v>600</v>
      </c>
      <c r="S2372" s="70">
        <v>0</v>
      </c>
      <c r="T2372" s="70">
        <f>M2372*S2372</f>
        <v>0</v>
      </c>
      <c r="U2372" s="70">
        <f>R2372-T2372</f>
        <v>600</v>
      </c>
      <c r="V2372" s="70">
        <f>U2372*0</f>
        <v>0</v>
      </c>
      <c r="W2372" s="70">
        <f>+U2372-V2372</f>
        <v>600</v>
      </c>
      <c r="X2372" s="70">
        <v>0</v>
      </c>
      <c r="Y2372" s="14">
        <f t="shared" si="199"/>
        <v>0</v>
      </c>
      <c r="Z2372" s="11" t="s">
        <v>26</v>
      </c>
      <c r="AA2372" s="12" t="s">
        <v>31</v>
      </c>
    </row>
    <row r="2373" spans="1:27" x14ac:dyDescent="0.25">
      <c r="A2373" s="10">
        <v>45692</v>
      </c>
      <c r="B2373" s="69">
        <v>2.7627314814814785E-2</v>
      </c>
      <c r="C2373" s="11" t="s">
        <v>4740</v>
      </c>
      <c r="D2373" s="11">
        <v>16903</v>
      </c>
      <c r="E2373" s="11" t="s">
        <v>53</v>
      </c>
      <c r="F2373" s="11" t="s">
        <v>26</v>
      </c>
      <c r="G2373" s="11">
        <v>3789</v>
      </c>
      <c r="H2373" s="12" t="s">
        <v>41</v>
      </c>
      <c r="I2373" s="12" t="s">
        <v>55</v>
      </c>
      <c r="J2373" s="12" t="s">
        <v>55</v>
      </c>
      <c r="K2373" s="12" t="s">
        <v>56</v>
      </c>
      <c r="L2373" s="13">
        <v>39.54</v>
      </c>
      <c r="M2373" s="13">
        <v>25</v>
      </c>
      <c r="N2373" s="13">
        <f t="shared" si="177"/>
        <v>1.5815999999999999</v>
      </c>
      <c r="O2373" s="13" t="s">
        <v>30</v>
      </c>
      <c r="P2373" s="13">
        <v>24</v>
      </c>
      <c r="Q2373" s="13">
        <v>0</v>
      </c>
      <c r="R2373" s="70">
        <f>+M2373*P2373</f>
        <v>600</v>
      </c>
      <c r="S2373" s="70">
        <v>0</v>
      </c>
      <c r="T2373" s="70">
        <f>+M2373*S2373</f>
        <v>0</v>
      </c>
      <c r="U2373" s="70">
        <f t="shared" ref="U2373:U2374" si="210">+R2373-T2373</f>
        <v>600</v>
      </c>
      <c r="V2373" s="70">
        <f>+U2373*0</f>
        <v>0</v>
      </c>
      <c r="W2373" s="70">
        <f t="shared" ref="W2373:W2374" si="211">+U2373-V2373</f>
        <v>600</v>
      </c>
      <c r="X2373" s="70">
        <v>0</v>
      </c>
      <c r="Y2373" s="14">
        <f t="shared" si="199"/>
        <v>0</v>
      </c>
      <c r="Z2373" s="11" t="s">
        <v>26</v>
      </c>
      <c r="AA2373" s="12" t="s">
        <v>31</v>
      </c>
    </row>
    <row r="2374" spans="1:27" x14ac:dyDescent="0.25">
      <c r="A2374" s="10">
        <v>45692</v>
      </c>
      <c r="B2374" s="69">
        <v>1.1342592592592626E-2</v>
      </c>
      <c r="C2374" s="11" t="s">
        <v>4741</v>
      </c>
      <c r="D2374" s="11">
        <v>16904</v>
      </c>
      <c r="E2374" s="11" t="s">
        <v>3938</v>
      </c>
      <c r="F2374" s="11" t="s">
        <v>26</v>
      </c>
      <c r="G2374" s="11" t="s">
        <v>35</v>
      </c>
      <c r="H2374" s="12" t="s">
        <v>36</v>
      </c>
      <c r="I2374" s="12" t="s">
        <v>55</v>
      </c>
      <c r="J2374" s="12" t="s">
        <v>55</v>
      </c>
      <c r="K2374" s="12" t="s">
        <v>56</v>
      </c>
      <c r="L2374" s="13">
        <v>10.220000000000001</v>
      </c>
      <c r="M2374" s="13">
        <v>6</v>
      </c>
      <c r="N2374" s="13">
        <f t="shared" si="177"/>
        <v>1.7033333333333334</v>
      </c>
      <c r="O2374" s="13">
        <v>20</v>
      </c>
      <c r="P2374" s="13" t="s">
        <v>30</v>
      </c>
      <c r="Q2374" s="13">
        <v>0</v>
      </c>
      <c r="R2374" s="70">
        <f>(L2374*O2374)-Q2374</f>
        <v>204.4</v>
      </c>
      <c r="S2374" s="70">
        <v>0</v>
      </c>
      <c r="T2374" s="70">
        <f t="shared" ref="T2374" si="212">+L2374*S2374</f>
        <v>0</v>
      </c>
      <c r="U2374" s="70">
        <f t="shared" si="210"/>
        <v>204.4</v>
      </c>
      <c r="V2374" s="70">
        <f t="shared" ref="V2374" si="213">+U2374*0</f>
        <v>0</v>
      </c>
      <c r="W2374" s="70">
        <f t="shared" si="211"/>
        <v>204.4</v>
      </c>
      <c r="X2374" s="70">
        <v>0</v>
      </c>
      <c r="Y2374" s="14">
        <f t="shared" si="199"/>
        <v>0</v>
      </c>
      <c r="Z2374" s="11" t="s">
        <v>26</v>
      </c>
      <c r="AA2374" s="12" t="s">
        <v>31</v>
      </c>
    </row>
    <row r="2375" spans="1:27" x14ac:dyDescent="0.25">
      <c r="A2375" s="10">
        <v>45692</v>
      </c>
      <c r="B2375" s="69">
        <v>1.5231481481481512E-2</v>
      </c>
      <c r="C2375" s="11" t="s">
        <v>4742</v>
      </c>
      <c r="D2375" s="11">
        <v>16905</v>
      </c>
      <c r="E2375" s="11" t="s">
        <v>519</v>
      </c>
      <c r="F2375" s="11" t="s">
        <v>26</v>
      </c>
      <c r="G2375" s="11">
        <v>21768</v>
      </c>
      <c r="H2375" s="12" t="s">
        <v>4448</v>
      </c>
      <c r="I2375" s="12" t="s">
        <v>55</v>
      </c>
      <c r="J2375" s="12" t="s">
        <v>55</v>
      </c>
      <c r="K2375" s="12" t="s">
        <v>56</v>
      </c>
      <c r="L2375" s="13">
        <v>36.619999999999997</v>
      </c>
      <c r="M2375" s="13">
        <v>25</v>
      </c>
      <c r="N2375" s="13">
        <f t="shared" si="177"/>
        <v>1.4647999999999999</v>
      </c>
      <c r="O2375" s="13">
        <v>15</v>
      </c>
      <c r="P2375" s="13" t="s">
        <v>30</v>
      </c>
      <c r="Q2375" s="13">
        <v>0</v>
      </c>
      <c r="R2375" s="70">
        <f>+L2375*O2375</f>
        <v>549.29999999999995</v>
      </c>
      <c r="S2375" s="70">
        <v>0</v>
      </c>
      <c r="T2375" s="70">
        <f>+L2375*S2375</f>
        <v>0</v>
      </c>
      <c r="U2375" s="70">
        <f>+R2375-T2375</f>
        <v>549.29999999999995</v>
      </c>
      <c r="V2375" s="70">
        <f>+U2375*0.75</f>
        <v>411.97499999999997</v>
      </c>
      <c r="W2375" s="70">
        <f>+U2375-V2375</f>
        <v>137.32499999999999</v>
      </c>
      <c r="X2375" s="70">
        <v>0</v>
      </c>
      <c r="Y2375" s="14">
        <f t="shared" si="199"/>
        <v>0</v>
      </c>
      <c r="Z2375" s="11" t="s">
        <v>26</v>
      </c>
      <c r="AA2375" s="12" t="s">
        <v>31</v>
      </c>
    </row>
    <row r="2376" spans="1:27" x14ac:dyDescent="0.25">
      <c r="A2376" s="10">
        <v>45692</v>
      </c>
      <c r="B2376" s="69">
        <v>1.1863425925925875E-2</v>
      </c>
      <c r="C2376" s="11" t="s">
        <v>4743</v>
      </c>
      <c r="D2376" s="11">
        <v>16906</v>
      </c>
      <c r="E2376" s="11" t="s">
        <v>246</v>
      </c>
      <c r="F2376" s="11" t="s">
        <v>26</v>
      </c>
      <c r="G2376" s="11">
        <v>2992</v>
      </c>
      <c r="H2376" s="12" t="s">
        <v>41</v>
      </c>
      <c r="I2376" s="12" t="s">
        <v>55</v>
      </c>
      <c r="J2376" s="12" t="s">
        <v>55</v>
      </c>
      <c r="K2376" s="12" t="s">
        <v>56</v>
      </c>
      <c r="L2376" s="13">
        <v>37</v>
      </c>
      <c r="M2376" s="13">
        <v>25</v>
      </c>
      <c r="N2376" s="13">
        <f t="shared" si="177"/>
        <v>1.48</v>
      </c>
      <c r="O2376" s="13" t="s">
        <v>30</v>
      </c>
      <c r="P2376" s="13">
        <v>24</v>
      </c>
      <c r="Q2376" s="13">
        <v>0</v>
      </c>
      <c r="R2376" s="70">
        <f>+M2376*P2376</f>
        <v>600</v>
      </c>
      <c r="S2376" s="70">
        <v>0</v>
      </c>
      <c r="T2376" s="70">
        <f>+M2376*S2376</f>
        <v>0</v>
      </c>
      <c r="U2376" s="70">
        <f t="shared" ref="U2376" si="214">+R2376-T2376</f>
        <v>600</v>
      </c>
      <c r="V2376" s="70">
        <f>+U2376*0</f>
        <v>0</v>
      </c>
      <c r="W2376" s="70">
        <f t="shared" ref="W2376" si="215">+U2376-V2376</f>
        <v>600</v>
      </c>
      <c r="X2376" s="70">
        <v>0</v>
      </c>
      <c r="Y2376" s="14">
        <f t="shared" si="199"/>
        <v>0</v>
      </c>
      <c r="Z2376" s="11" t="s">
        <v>26</v>
      </c>
      <c r="AA2376" s="12" t="s">
        <v>31</v>
      </c>
    </row>
    <row r="2377" spans="1:27" x14ac:dyDescent="0.25">
      <c r="A2377" s="10">
        <v>45692</v>
      </c>
      <c r="B2377" s="69">
        <v>3.1307870370370416E-2</v>
      </c>
      <c r="C2377" s="11" t="s">
        <v>4744</v>
      </c>
      <c r="D2377" s="11">
        <v>16907</v>
      </c>
      <c r="E2377" s="11" t="s">
        <v>98</v>
      </c>
      <c r="F2377" s="11" t="s">
        <v>26</v>
      </c>
      <c r="G2377" s="11">
        <v>10713</v>
      </c>
      <c r="H2377" s="12" t="s">
        <v>140</v>
      </c>
      <c r="I2377" s="12" t="s">
        <v>27</v>
      </c>
      <c r="J2377" s="12" t="s">
        <v>42</v>
      </c>
      <c r="K2377" s="12" t="s">
        <v>43</v>
      </c>
      <c r="L2377" s="13">
        <v>39.44</v>
      </c>
      <c r="M2377" s="13">
        <v>25</v>
      </c>
      <c r="N2377" s="13">
        <f t="shared" si="177"/>
        <v>1.5775999999999999</v>
      </c>
      <c r="O2377" s="13">
        <v>35</v>
      </c>
      <c r="P2377" s="13"/>
      <c r="Q2377" s="13">
        <v>0</v>
      </c>
      <c r="R2377" s="70">
        <f>+L2377*O2377</f>
        <v>1380.3999999999999</v>
      </c>
      <c r="S2377" s="70">
        <v>0</v>
      </c>
      <c r="T2377" s="70">
        <f>+L2377*S2377</f>
        <v>0</v>
      </c>
      <c r="U2377" s="70">
        <f>+R2377-T2377</f>
        <v>1380.3999999999999</v>
      </c>
      <c r="V2377" s="70">
        <f t="shared" ref="V2377:V2380" si="216">+U2377*0</f>
        <v>0</v>
      </c>
      <c r="W2377" s="70">
        <f>+U2377-V2377</f>
        <v>1380.3999999999999</v>
      </c>
      <c r="X2377" s="70">
        <v>0</v>
      </c>
      <c r="Y2377" s="14">
        <f t="shared" si="199"/>
        <v>0</v>
      </c>
      <c r="Z2377" s="11" t="s">
        <v>26</v>
      </c>
      <c r="AA2377" s="12" t="s">
        <v>31</v>
      </c>
    </row>
    <row r="2378" spans="1:27" x14ac:dyDescent="0.25">
      <c r="A2378" s="10">
        <v>45692</v>
      </c>
      <c r="B2378" s="69">
        <v>3.5995370370370372E-2</v>
      </c>
      <c r="C2378" s="11" t="s">
        <v>4745</v>
      </c>
      <c r="D2378" s="11">
        <v>16908</v>
      </c>
      <c r="E2378" s="11" t="s">
        <v>2109</v>
      </c>
      <c r="F2378" s="11" t="s">
        <v>26</v>
      </c>
      <c r="G2378" s="11">
        <v>10617</v>
      </c>
      <c r="H2378" s="12" t="s">
        <v>140</v>
      </c>
      <c r="I2378" s="12" t="s">
        <v>27</v>
      </c>
      <c r="J2378" s="12" t="s">
        <v>42</v>
      </c>
      <c r="K2378" s="12" t="s">
        <v>43</v>
      </c>
      <c r="L2378" s="13">
        <v>40.64</v>
      </c>
      <c r="M2378" s="13">
        <v>25</v>
      </c>
      <c r="N2378" s="13">
        <f t="shared" si="177"/>
        <v>1.6255999999999999</v>
      </c>
      <c r="O2378" s="13">
        <v>35</v>
      </c>
      <c r="P2378" s="13"/>
      <c r="Q2378" s="13">
        <v>0</v>
      </c>
      <c r="R2378" s="70">
        <f>+L2378*O2378</f>
        <v>1422.4</v>
      </c>
      <c r="S2378" s="70">
        <v>0</v>
      </c>
      <c r="T2378" s="70">
        <f>+L2378*S2378</f>
        <v>0</v>
      </c>
      <c r="U2378" s="70">
        <f>+R2378-T2378</f>
        <v>1422.4</v>
      </c>
      <c r="V2378" s="70">
        <f t="shared" si="216"/>
        <v>0</v>
      </c>
      <c r="W2378" s="70">
        <f>+U2378-V2378</f>
        <v>1422.4</v>
      </c>
      <c r="X2378" s="70">
        <v>0</v>
      </c>
      <c r="Y2378" s="14">
        <f t="shared" si="199"/>
        <v>0</v>
      </c>
      <c r="Z2378" s="11" t="s">
        <v>26</v>
      </c>
      <c r="AA2378" s="12" t="s">
        <v>31</v>
      </c>
    </row>
    <row r="2379" spans="1:27" x14ac:dyDescent="0.25">
      <c r="A2379" s="10">
        <v>45692</v>
      </c>
      <c r="B2379" s="69">
        <v>2.5115740740740744E-2</v>
      </c>
      <c r="C2379" s="11" t="s">
        <v>4746</v>
      </c>
      <c r="D2379" s="11">
        <v>16909</v>
      </c>
      <c r="E2379" s="11" t="s">
        <v>520</v>
      </c>
      <c r="F2379" s="11" t="s">
        <v>26</v>
      </c>
      <c r="G2379" s="11">
        <v>4390</v>
      </c>
      <c r="H2379" s="12" t="s">
        <v>140</v>
      </c>
      <c r="I2379" s="12" t="s">
        <v>27</v>
      </c>
      <c r="J2379" s="12" t="s">
        <v>42</v>
      </c>
      <c r="K2379" s="12" t="s">
        <v>43</v>
      </c>
      <c r="L2379" s="13">
        <v>40.06</v>
      </c>
      <c r="M2379" s="13">
        <v>25</v>
      </c>
      <c r="N2379" s="13">
        <f t="shared" si="177"/>
        <v>1.6024</v>
      </c>
      <c r="O2379" s="13">
        <v>35</v>
      </c>
      <c r="P2379" s="13"/>
      <c r="Q2379" s="13">
        <v>0</v>
      </c>
      <c r="R2379" s="70">
        <f>+L2379*O2379</f>
        <v>1402.1000000000001</v>
      </c>
      <c r="S2379" s="70">
        <v>0</v>
      </c>
      <c r="T2379" s="70">
        <f>+L2379*S2379</f>
        <v>0</v>
      </c>
      <c r="U2379" s="70">
        <f>+R2379-T2379</f>
        <v>1402.1000000000001</v>
      </c>
      <c r="V2379" s="70">
        <f t="shared" si="216"/>
        <v>0</v>
      </c>
      <c r="W2379" s="70">
        <f>+U2379-V2379</f>
        <v>1402.1000000000001</v>
      </c>
      <c r="X2379" s="70">
        <v>0</v>
      </c>
      <c r="Y2379" s="14">
        <f t="shared" si="199"/>
        <v>0</v>
      </c>
      <c r="Z2379" s="11" t="s">
        <v>26</v>
      </c>
      <c r="AA2379" s="12" t="s">
        <v>31</v>
      </c>
    </row>
    <row r="2380" spans="1:27" x14ac:dyDescent="0.25">
      <c r="A2380" s="10">
        <v>45692</v>
      </c>
      <c r="B2380" s="69">
        <v>1.2071759259259296E-2</v>
      </c>
      <c r="C2380" s="11" t="s">
        <v>4747</v>
      </c>
      <c r="D2380" s="11">
        <v>16910</v>
      </c>
      <c r="E2380" s="11" t="s">
        <v>3938</v>
      </c>
      <c r="F2380" s="11" t="s">
        <v>26</v>
      </c>
      <c r="G2380" s="11" t="s">
        <v>35</v>
      </c>
      <c r="H2380" s="12" t="s">
        <v>36</v>
      </c>
      <c r="I2380" s="12" t="s">
        <v>55</v>
      </c>
      <c r="J2380" s="12" t="s">
        <v>55</v>
      </c>
      <c r="K2380" s="12" t="s">
        <v>56</v>
      </c>
      <c r="L2380" s="13">
        <v>11.88</v>
      </c>
      <c r="M2380" s="13">
        <v>6</v>
      </c>
      <c r="N2380" s="13">
        <f t="shared" si="177"/>
        <v>1.9800000000000002</v>
      </c>
      <c r="O2380" s="13">
        <v>20</v>
      </c>
      <c r="P2380" s="13" t="s">
        <v>30</v>
      </c>
      <c r="Q2380" s="13">
        <v>0</v>
      </c>
      <c r="R2380" s="70">
        <f>(L2380*O2380)-Q2380</f>
        <v>237.60000000000002</v>
      </c>
      <c r="S2380" s="70">
        <v>0</v>
      </c>
      <c r="T2380" s="70">
        <f t="shared" ref="T2380" si="217">+L2380*S2380</f>
        <v>0</v>
      </c>
      <c r="U2380" s="70">
        <f t="shared" ref="U2380" si="218">+R2380-T2380</f>
        <v>237.60000000000002</v>
      </c>
      <c r="V2380" s="70">
        <f t="shared" si="216"/>
        <v>0</v>
      </c>
      <c r="W2380" s="70">
        <f t="shared" ref="W2380" si="219">+U2380-V2380</f>
        <v>237.60000000000002</v>
      </c>
      <c r="X2380" s="70">
        <v>0</v>
      </c>
      <c r="Y2380" s="14">
        <f t="shared" si="199"/>
        <v>0</v>
      </c>
      <c r="Z2380" s="11" t="s">
        <v>26</v>
      </c>
      <c r="AA2380" s="12" t="s">
        <v>31</v>
      </c>
    </row>
    <row r="2381" spans="1:27" x14ac:dyDescent="0.25">
      <c r="A2381" s="10">
        <v>45692</v>
      </c>
      <c r="B2381" s="69">
        <v>2.8368055555555494E-2</v>
      </c>
      <c r="C2381" s="11" t="s">
        <v>4748</v>
      </c>
      <c r="D2381" s="11">
        <v>16911</v>
      </c>
      <c r="E2381" s="11" t="s">
        <v>240</v>
      </c>
      <c r="F2381" s="11" t="s">
        <v>26</v>
      </c>
      <c r="G2381" s="11" t="s">
        <v>26</v>
      </c>
      <c r="H2381" s="12" t="s">
        <v>4422</v>
      </c>
      <c r="I2381" s="12" t="s">
        <v>27</v>
      </c>
      <c r="J2381" s="12" t="s">
        <v>42</v>
      </c>
      <c r="K2381" s="12" t="s">
        <v>43</v>
      </c>
      <c r="L2381" s="13">
        <v>40.26</v>
      </c>
      <c r="M2381" s="13">
        <v>25</v>
      </c>
      <c r="N2381" s="13">
        <f t="shared" si="177"/>
        <v>1.6103999999999998</v>
      </c>
      <c r="O2381" s="13">
        <v>83</v>
      </c>
      <c r="P2381" s="13" t="s">
        <v>30</v>
      </c>
      <c r="Q2381" s="13">
        <v>0</v>
      </c>
      <c r="R2381" s="70">
        <f>L2381*O2381</f>
        <v>3341.58</v>
      </c>
      <c r="S2381" s="70">
        <v>38</v>
      </c>
      <c r="T2381" s="70">
        <f>L2381*S2381</f>
        <v>1529.8799999999999</v>
      </c>
      <c r="U2381" s="70">
        <f>R2381-T2381</f>
        <v>1811.7</v>
      </c>
      <c r="V2381" s="70">
        <f>U2381*1</f>
        <v>1811.7</v>
      </c>
      <c r="W2381" s="70">
        <f>U2381-V2381</f>
        <v>0</v>
      </c>
      <c r="X2381" s="70">
        <f>L2381*37</f>
        <v>1489.62</v>
      </c>
      <c r="Y2381" s="71">
        <f>+T2381-X2381</f>
        <v>40.259999999999991</v>
      </c>
      <c r="Z2381" s="12" t="s">
        <v>41</v>
      </c>
      <c r="AA2381" s="12" t="s">
        <v>78</v>
      </c>
    </row>
    <row r="2382" spans="1:27" x14ac:dyDescent="0.25">
      <c r="A2382" s="10">
        <v>45692</v>
      </c>
      <c r="B2382" s="69">
        <v>2.8634259259259276E-2</v>
      </c>
      <c r="C2382" s="11" t="s">
        <v>4749</v>
      </c>
      <c r="D2382" s="11">
        <v>16912</v>
      </c>
      <c r="E2382" s="11" t="s">
        <v>57</v>
      </c>
      <c r="F2382" s="11" t="s">
        <v>26</v>
      </c>
      <c r="G2382" s="11">
        <v>3684</v>
      </c>
      <c r="H2382" s="12" t="s">
        <v>41</v>
      </c>
      <c r="I2382" s="12" t="s">
        <v>55</v>
      </c>
      <c r="J2382" s="12" t="s">
        <v>55</v>
      </c>
      <c r="K2382" s="12" t="s">
        <v>56</v>
      </c>
      <c r="L2382" s="13">
        <v>35.799999999999997</v>
      </c>
      <c r="M2382" s="13">
        <v>25</v>
      </c>
      <c r="N2382" s="13">
        <f t="shared" si="177"/>
        <v>1.4319999999999999</v>
      </c>
      <c r="O2382" s="13" t="s">
        <v>30</v>
      </c>
      <c r="P2382" s="13">
        <v>24</v>
      </c>
      <c r="Q2382" s="13">
        <v>0</v>
      </c>
      <c r="R2382" s="70">
        <f>+M2382*P2382</f>
        <v>600</v>
      </c>
      <c r="S2382" s="70">
        <v>0</v>
      </c>
      <c r="T2382" s="70">
        <f>+M2382*S2382</f>
        <v>0</v>
      </c>
      <c r="U2382" s="70">
        <f t="shared" ref="U2382" si="220">+R2382-T2382</f>
        <v>600</v>
      </c>
      <c r="V2382" s="70">
        <f>+U2382*0</f>
        <v>0</v>
      </c>
      <c r="W2382" s="70">
        <f t="shared" ref="W2382" si="221">+U2382-V2382</f>
        <v>600</v>
      </c>
      <c r="X2382" s="70">
        <v>0</v>
      </c>
      <c r="Y2382" s="14">
        <f t="shared" ref="Y2382:Y2393" si="222">T2382-X2382</f>
        <v>0</v>
      </c>
      <c r="Z2382" s="11" t="s">
        <v>26</v>
      </c>
      <c r="AA2382" s="12" t="s">
        <v>31</v>
      </c>
    </row>
    <row r="2383" spans="1:27" x14ac:dyDescent="0.25">
      <c r="A2383" s="10">
        <v>45692</v>
      </c>
      <c r="B2383" s="69">
        <v>2.9525462962963045E-2</v>
      </c>
      <c r="C2383" s="11" t="s">
        <v>4750</v>
      </c>
      <c r="D2383" s="11">
        <v>16913</v>
      </c>
      <c r="E2383" s="11" t="s">
        <v>46</v>
      </c>
      <c r="F2383" s="11" t="s">
        <v>26</v>
      </c>
      <c r="G2383" s="11">
        <v>794</v>
      </c>
      <c r="H2383" s="12" t="s">
        <v>141</v>
      </c>
      <c r="I2383" s="12" t="s">
        <v>55</v>
      </c>
      <c r="J2383" s="12" t="s">
        <v>55</v>
      </c>
      <c r="K2383" s="12" t="s">
        <v>56</v>
      </c>
      <c r="L2383" s="13">
        <v>33.86</v>
      </c>
      <c r="M2383" s="13">
        <v>25</v>
      </c>
      <c r="N2383" s="13">
        <f t="shared" si="177"/>
        <v>1.3544</v>
      </c>
      <c r="O2383" s="13">
        <v>15</v>
      </c>
      <c r="P2383" s="13" t="s">
        <v>30</v>
      </c>
      <c r="Q2383" s="13">
        <v>0</v>
      </c>
      <c r="R2383" s="70">
        <f>L2383*O2383</f>
        <v>507.9</v>
      </c>
      <c r="S2383" s="70">
        <v>0</v>
      </c>
      <c r="T2383" s="70">
        <f>L2383*S2383</f>
        <v>0</v>
      </c>
      <c r="U2383" s="70">
        <f>R2383-T2383</f>
        <v>507.9</v>
      </c>
      <c r="V2383" s="70">
        <f>U2383*0</f>
        <v>0</v>
      </c>
      <c r="W2383" s="70">
        <f>U2383-V2383</f>
        <v>507.9</v>
      </c>
      <c r="X2383" s="70">
        <v>0</v>
      </c>
      <c r="Y2383" s="14">
        <f t="shared" si="222"/>
        <v>0</v>
      </c>
      <c r="Z2383" s="11" t="s">
        <v>26</v>
      </c>
      <c r="AA2383" s="12" t="s">
        <v>31</v>
      </c>
    </row>
    <row r="2384" spans="1:27" x14ac:dyDescent="0.25">
      <c r="A2384" s="10">
        <v>45692</v>
      </c>
      <c r="B2384" s="69">
        <v>1.2094907407407374E-2</v>
      </c>
      <c r="C2384" s="11" t="s">
        <v>4751</v>
      </c>
      <c r="D2384" s="11">
        <v>16914</v>
      </c>
      <c r="E2384" s="11" t="s">
        <v>486</v>
      </c>
      <c r="F2384" s="11" t="s">
        <v>26</v>
      </c>
      <c r="G2384" s="11">
        <v>70304</v>
      </c>
      <c r="H2384" s="12" t="s">
        <v>4448</v>
      </c>
      <c r="I2384" s="12" t="s">
        <v>27</v>
      </c>
      <c r="J2384" s="12" t="s">
        <v>42</v>
      </c>
      <c r="K2384" s="12" t="s">
        <v>43</v>
      </c>
      <c r="L2384" s="13">
        <v>40.020000000000003</v>
      </c>
      <c r="M2384" s="13">
        <v>25</v>
      </c>
      <c r="N2384" s="13">
        <f t="shared" si="177"/>
        <v>1.6008000000000002</v>
      </c>
      <c r="O2384" s="13">
        <v>42.5</v>
      </c>
      <c r="P2384" s="13"/>
      <c r="Q2384" s="13">
        <v>0</v>
      </c>
      <c r="R2384" s="70">
        <f>+L2384*O2384</f>
        <v>1700.8500000000001</v>
      </c>
      <c r="S2384" s="70">
        <v>0</v>
      </c>
      <c r="T2384" s="70">
        <f>+L2384*S2384</f>
        <v>0</v>
      </c>
      <c r="U2384" s="70">
        <f>+R2384-T2384</f>
        <v>1700.8500000000001</v>
      </c>
      <c r="V2384" s="70">
        <f>+U2384*0.75</f>
        <v>1275.6375</v>
      </c>
      <c r="W2384" s="70">
        <f>+U2384-V2384</f>
        <v>425.21250000000009</v>
      </c>
      <c r="X2384" s="70">
        <v>0</v>
      </c>
      <c r="Y2384" s="14">
        <f t="shared" si="222"/>
        <v>0</v>
      </c>
      <c r="Z2384" s="11" t="s">
        <v>26</v>
      </c>
      <c r="AA2384" s="12" t="s">
        <v>31</v>
      </c>
    </row>
    <row r="2385" spans="1:27" x14ac:dyDescent="0.25">
      <c r="A2385" s="10">
        <v>45692</v>
      </c>
      <c r="B2385" s="69">
        <v>8.3148148148148249E-2</v>
      </c>
      <c r="C2385" s="11" t="s">
        <v>4752</v>
      </c>
      <c r="D2385" s="11">
        <v>16915</v>
      </c>
      <c r="E2385" s="11" t="s">
        <v>80</v>
      </c>
      <c r="F2385" s="11" t="s">
        <v>26</v>
      </c>
      <c r="G2385" s="11">
        <v>10673</v>
      </c>
      <c r="H2385" s="12" t="s">
        <v>140</v>
      </c>
      <c r="I2385" s="12" t="s">
        <v>27</v>
      </c>
      <c r="J2385" s="12" t="s">
        <v>42</v>
      </c>
      <c r="K2385" s="12" t="s">
        <v>43</v>
      </c>
      <c r="L2385" s="13">
        <v>40.94</v>
      </c>
      <c r="M2385" s="13">
        <v>25</v>
      </c>
      <c r="N2385" s="13">
        <f t="shared" si="177"/>
        <v>1.6375999999999999</v>
      </c>
      <c r="O2385" s="13">
        <v>35</v>
      </c>
      <c r="P2385" s="13"/>
      <c r="Q2385" s="13">
        <v>0</v>
      </c>
      <c r="R2385" s="70">
        <f>+L2385*O2385</f>
        <v>1432.8999999999999</v>
      </c>
      <c r="S2385" s="70">
        <v>0</v>
      </c>
      <c r="T2385" s="70">
        <f>+L2385*S2385</f>
        <v>0</v>
      </c>
      <c r="U2385" s="70">
        <f>+R2385-T2385</f>
        <v>1432.8999999999999</v>
      </c>
      <c r="V2385" s="70">
        <f t="shared" ref="V2385" si="223">+U2385*0</f>
        <v>0</v>
      </c>
      <c r="W2385" s="70">
        <f>+U2385-V2385</f>
        <v>1432.8999999999999</v>
      </c>
      <c r="X2385" s="70">
        <v>0</v>
      </c>
      <c r="Y2385" s="14">
        <f t="shared" si="222"/>
        <v>0</v>
      </c>
      <c r="Z2385" s="11" t="s">
        <v>26</v>
      </c>
      <c r="AA2385" s="12" t="s">
        <v>31</v>
      </c>
    </row>
    <row r="2386" spans="1:27" x14ac:dyDescent="0.25">
      <c r="A2386" s="10">
        <v>45692</v>
      </c>
      <c r="B2386" s="69">
        <v>3.27662037037037E-2</v>
      </c>
      <c r="C2386" s="11" t="s">
        <v>4753</v>
      </c>
      <c r="D2386" s="11">
        <v>16916</v>
      </c>
      <c r="E2386" s="11" t="s">
        <v>444</v>
      </c>
      <c r="F2386" s="11" t="s">
        <v>26</v>
      </c>
      <c r="G2386" s="11">
        <v>2112</v>
      </c>
      <c r="H2386" s="12" t="s">
        <v>4449</v>
      </c>
      <c r="I2386" s="12" t="s">
        <v>55</v>
      </c>
      <c r="J2386" s="12" t="s">
        <v>55</v>
      </c>
      <c r="K2386" s="12" t="s">
        <v>56</v>
      </c>
      <c r="L2386" s="13">
        <v>33.28</v>
      </c>
      <c r="M2386" s="13">
        <v>22</v>
      </c>
      <c r="N2386" s="13">
        <f t="shared" si="177"/>
        <v>1.5127272727272727</v>
      </c>
      <c r="O2386" s="13">
        <v>15</v>
      </c>
      <c r="P2386" s="13" t="s">
        <v>30</v>
      </c>
      <c r="Q2386" s="13">
        <v>0</v>
      </c>
      <c r="R2386" s="70">
        <f>L2386*O2386</f>
        <v>499.20000000000005</v>
      </c>
      <c r="S2386" s="70">
        <v>0</v>
      </c>
      <c r="T2386" s="70">
        <f>L2386*S2386</f>
        <v>0</v>
      </c>
      <c r="U2386" s="70">
        <f>R2386-T2386</f>
        <v>499.20000000000005</v>
      </c>
      <c r="V2386" s="70">
        <f>U2386*0</f>
        <v>0</v>
      </c>
      <c r="W2386" s="70">
        <f>U2386-V2386</f>
        <v>499.20000000000005</v>
      </c>
      <c r="X2386" s="70">
        <v>0</v>
      </c>
      <c r="Y2386" s="14">
        <f t="shared" si="222"/>
        <v>0</v>
      </c>
      <c r="Z2386" s="11" t="s">
        <v>26</v>
      </c>
      <c r="AA2386" s="12" t="s">
        <v>31</v>
      </c>
    </row>
    <row r="2387" spans="1:27" x14ac:dyDescent="0.25">
      <c r="A2387" s="10">
        <v>45692</v>
      </c>
      <c r="B2387" s="69">
        <v>0.25686342592592598</v>
      </c>
      <c r="C2387" s="11" t="s">
        <v>4754</v>
      </c>
      <c r="D2387" s="11">
        <v>16917</v>
      </c>
      <c r="E2387" s="11" t="s">
        <v>570</v>
      </c>
      <c r="F2387" s="11" t="s">
        <v>26</v>
      </c>
      <c r="G2387" s="11">
        <v>10347</v>
      </c>
      <c r="H2387" s="12" t="s">
        <v>140</v>
      </c>
      <c r="I2387" s="12" t="s">
        <v>27</v>
      </c>
      <c r="J2387" s="12" t="s">
        <v>42</v>
      </c>
      <c r="K2387" s="12" t="s">
        <v>43</v>
      </c>
      <c r="L2387" s="13">
        <v>39.700000000000003</v>
      </c>
      <c r="M2387" s="13">
        <v>25</v>
      </c>
      <c r="N2387" s="13">
        <f t="shared" si="177"/>
        <v>1.5880000000000001</v>
      </c>
      <c r="O2387" s="13">
        <v>35</v>
      </c>
      <c r="P2387" s="13"/>
      <c r="Q2387" s="13">
        <v>0</v>
      </c>
      <c r="R2387" s="70">
        <f>+L2387*O2387</f>
        <v>1389.5</v>
      </c>
      <c r="S2387" s="70">
        <v>0</v>
      </c>
      <c r="T2387" s="70">
        <f>+L2387*S2387</f>
        <v>0</v>
      </c>
      <c r="U2387" s="70">
        <f>+R2387-T2387</f>
        <v>1389.5</v>
      </c>
      <c r="V2387" s="70">
        <f t="shared" ref="V2387" si="224">+U2387*0</f>
        <v>0</v>
      </c>
      <c r="W2387" s="70">
        <f>+U2387-V2387</f>
        <v>1389.5</v>
      </c>
      <c r="X2387" s="70">
        <v>0</v>
      </c>
      <c r="Y2387" s="14">
        <f t="shared" si="222"/>
        <v>0</v>
      </c>
      <c r="Z2387" s="11" t="s">
        <v>26</v>
      </c>
      <c r="AA2387" s="12" t="s">
        <v>31</v>
      </c>
    </row>
    <row r="2388" spans="1:27" x14ac:dyDescent="0.25">
      <c r="A2388" s="10">
        <v>45692</v>
      </c>
      <c r="B2388" s="69">
        <v>3.5543981481481468E-2</v>
      </c>
      <c r="C2388" s="11" t="s">
        <v>4755</v>
      </c>
      <c r="D2388" s="11">
        <v>16918</v>
      </c>
      <c r="E2388" s="11" t="s">
        <v>658</v>
      </c>
      <c r="F2388" s="11" t="s">
        <v>26</v>
      </c>
      <c r="G2388" s="11">
        <v>864</v>
      </c>
      <c r="H2388" s="12" t="s">
        <v>141</v>
      </c>
      <c r="I2388" s="12" t="s">
        <v>37</v>
      </c>
      <c r="J2388" s="12" t="s">
        <v>599</v>
      </c>
      <c r="K2388" s="12" t="s">
        <v>82</v>
      </c>
      <c r="L2388" s="13">
        <v>38.32</v>
      </c>
      <c r="M2388" s="13">
        <v>25</v>
      </c>
      <c r="N2388" s="13">
        <f t="shared" si="177"/>
        <v>1.5327999999999999</v>
      </c>
      <c r="O2388" s="13">
        <v>29</v>
      </c>
      <c r="P2388" s="13" t="s">
        <v>30</v>
      </c>
      <c r="Q2388" s="13">
        <v>0</v>
      </c>
      <c r="R2388" s="70">
        <f>L2388*O2388</f>
        <v>1111.28</v>
      </c>
      <c r="S2388" s="70">
        <v>0</v>
      </c>
      <c r="T2388" s="70">
        <f>L2388*S2388</f>
        <v>0</v>
      </c>
      <c r="U2388" s="70">
        <f>R2388-T2388</f>
        <v>1111.28</v>
      </c>
      <c r="V2388" s="70">
        <f>U2388*0</f>
        <v>0</v>
      </c>
      <c r="W2388" s="70">
        <f>U2388-V2388</f>
        <v>1111.28</v>
      </c>
      <c r="X2388" s="70">
        <v>0</v>
      </c>
      <c r="Y2388" s="14">
        <f t="shared" si="222"/>
        <v>0</v>
      </c>
      <c r="Z2388" s="11" t="s">
        <v>26</v>
      </c>
      <c r="AA2388" s="12" t="s">
        <v>31</v>
      </c>
    </row>
    <row r="2389" spans="1:27" x14ac:dyDescent="0.25">
      <c r="A2389" s="10">
        <v>45692</v>
      </c>
      <c r="B2389" s="69">
        <v>2.0196759259259234E-2</v>
      </c>
      <c r="C2389" s="11" t="s">
        <v>4756</v>
      </c>
      <c r="D2389" s="11">
        <v>16919</v>
      </c>
      <c r="E2389" s="11" t="s">
        <v>63</v>
      </c>
      <c r="F2389" s="11" t="s">
        <v>26</v>
      </c>
      <c r="G2389" s="11">
        <v>10180</v>
      </c>
      <c r="H2389" s="12" t="s">
        <v>140</v>
      </c>
      <c r="I2389" s="12" t="s">
        <v>27</v>
      </c>
      <c r="J2389" s="12" t="s">
        <v>42</v>
      </c>
      <c r="K2389" s="12" t="s">
        <v>43</v>
      </c>
      <c r="L2389" s="13">
        <v>41.72</v>
      </c>
      <c r="M2389" s="13">
        <v>25</v>
      </c>
      <c r="N2389" s="13">
        <f t="shared" si="177"/>
        <v>1.6688000000000001</v>
      </c>
      <c r="O2389" s="13">
        <v>35</v>
      </c>
      <c r="P2389" s="13"/>
      <c r="Q2389" s="13">
        <v>0</v>
      </c>
      <c r="R2389" s="70">
        <f>+L2389*O2389</f>
        <v>1460.2</v>
      </c>
      <c r="S2389" s="70">
        <v>0</v>
      </c>
      <c r="T2389" s="70">
        <f>+L2389*S2389</f>
        <v>0</v>
      </c>
      <c r="U2389" s="70">
        <f>+R2389-T2389</f>
        <v>1460.2</v>
      </c>
      <c r="V2389" s="70">
        <f t="shared" ref="V2389" si="225">+U2389*0</f>
        <v>0</v>
      </c>
      <c r="W2389" s="70">
        <f>+U2389-V2389</f>
        <v>1460.2</v>
      </c>
      <c r="X2389" s="70">
        <v>0</v>
      </c>
      <c r="Y2389" s="14">
        <f t="shared" si="222"/>
        <v>0</v>
      </c>
      <c r="Z2389" s="11" t="s">
        <v>26</v>
      </c>
      <c r="AA2389" s="12" t="s">
        <v>31</v>
      </c>
    </row>
    <row r="2390" spans="1:27" x14ac:dyDescent="0.25">
      <c r="A2390" s="10">
        <v>45692</v>
      </c>
      <c r="B2390" s="69">
        <v>3.1793981481481493E-2</v>
      </c>
      <c r="C2390" s="11" t="s">
        <v>4757</v>
      </c>
      <c r="D2390" s="11">
        <v>16920</v>
      </c>
      <c r="E2390" s="11" t="s">
        <v>539</v>
      </c>
      <c r="F2390" s="11" t="s">
        <v>26</v>
      </c>
      <c r="G2390" s="11">
        <v>2863</v>
      </c>
      <c r="H2390" s="12" t="s">
        <v>41</v>
      </c>
      <c r="I2390" s="12" t="s">
        <v>55</v>
      </c>
      <c r="J2390" s="12" t="s">
        <v>55</v>
      </c>
      <c r="K2390" s="12" t="s">
        <v>56</v>
      </c>
      <c r="L2390" s="13">
        <v>38.1</v>
      </c>
      <c r="M2390" s="13">
        <v>25</v>
      </c>
      <c r="N2390" s="13">
        <f t="shared" si="177"/>
        <v>1.524</v>
      </c>
      <c r="O2390" s="13" t="s">
        <v>30</v>
      </c>
      <c r="P2390" s="13">
        <v>24</v>
      </c>
      <c r="Q2390" s="13">
        <v>0</v>
      </c>
      <c r="R2390" s="70">
        <f>+M2390*P2390</f>
        <v>600</v>
      </c>
      <c r="S2390" s="70">
        <v>0</v>
      </c>
      <c r="T2390" s="70">
        <f>+M2390*S2390</f>
        <v>0</v>
      </c>
      <c r="U2390" s="70">
        <f t="shared" ref="U2390" si="226">+R2390-T2390</f>
        <v>600</v>
      </c>
      <c r="V2390" s="70">
        <f>+U2390*0</f>
        <v>0</v>
      </c>
      <c r="W2390" s="70">
        <f t="shared" ref="W2390" si="227">+U2390-V2390</f>
        <v>600</v>
      </c>
      <c r="X2390" s="70">
        <v>0</v>
      </c>
      <c r="Y2390" s="14">
        <f t="shared" si="222"/>
        <v>0</v>
      </c>
      <c r="Z2390" s="11" t="s">
        <v>26</v>
      </c>
      <c r="AA2390" s="12" t="s">
        <v>31</v>
      </c>
    </row>
    <row r="2391" spans="1:27" x14ac:dyDescent="0.25">
      <c r="A2391" s="10">
        <v>45692</v>
      </c>
      <c r="B2391" s="69">
        <v>3.4780092592592626E-2</v>
      </c>
      <c r="C2391" s="11" t="s">
        <v>4758</v>
      </c>
      <c r="D2391" s="11">
        <v>16921</v>
      </c>
      <c r="E2391" s="11" t="s">
        <v>1651</v>
      </c>
      <c r="F2391" s="11" t="s">
        <v>26</v>
      </c>
      <c r="G2391" s="11">
        <v>42041</v>
      </c>
      <c r="H2391" s="12" t="s">
        <v>565</v>
      </c>
      <c r="I2391" s="12" t="s">
        <v>27</v>
      </c>
      <c r="J2391" s="12" t="s">
        <v>28</v>
      </c>
      <c r="K2391" s="12" t="s">
        <v>29</v>
      </c>
      <c r="L2391" s="13">
        <v>36.26</v>
      </c>
      <c r="M2391" s="13">
        <v>24</v>
      </c>
      <c r="N2391" s="13">
        <f t="shared" si="177"/>
        <v>1.5108333333333333</v>
      </c>
      <c r="O2391" s="13"/>
      <c r="P2391" s="13">
        <v>40.5</v>
      </c>
      <c r="Q2391" s="13">
        <v>0</v>
      </c>
      <c r="R2391" s="70">
        <f>M2391*P2391</f>
        <v>972</v>
      </c>
      <c r="S2391" s="70">
        <v>0</v>
      </c>
      <c r="T2391" s="70">
        <f>M2391*S2391</f>
        <v>0</v>
      </c>
      <c r="U2391" s="70">
        <f>R2391-T2391</f>
        <v>972</v>
      </c>
      <c r="V2391" s="70">
        <f>U2391*0</f>
        <v>0</v>
      </c>
      <c r="W2391" s="70">
        <f>+U2391-V2391</f>
        <v>972</v>
      </c>
      <c r="X2391" s="70">
        <v>0</v>
      </c>
      <c r="Y2391" s="14">
        <f t="shared" si="222"/>
        <v>0</v>
      </c>
      <c r="Z2391" s="11" t="s">
        <v>26</v>
      </c>
      <c r="AA2391" s="12" t="s">
        <v>31</v>
      </c>
    </row>
    <row r="2392" spans="1:27" x14ac:dyDescent="0.25">
      <c r="A2392" s="10">
        <v>45692</v>
      </c>
      <c r="B2392" s="69">
        <v>4.8495370370369439E-3</v>
      </c>
      <c r="C2392" s="11" t="s">
        <v>4759</v>
      </c>
      <c r="D2392" s="11">
        <v>16922</v>
      </c>
      <c r="E2392" s="11" t="s">
        <v>3938</v>
      </c>
      <c r="F2392" s="11" t="s">
        <v>26</v>
      </c>
      <c r="G2392" s="11" t="s">
        <v>35</v>
      </c>
      <c r="H2392" s="12" t="s">
        <v>36</v>
      </c>
      <c r="I2392" s="12" t="s">
        <v>55</v>
      </c>
      <c r="J2392" s="12" t="s">
        <v>55</v>
      </c>
      <c r="K2392" s="12" t="s">
        <v>56</v>
      </c>
      <c r="L2392" s="13">
        <v>10.3</v>
      </c>
      <c r="M2392" s="13">
        <v>6</v>
      </c>
      <c r="N2392" s="13">
        <f t="shared" si="177"/>
        <v>1.7166666666666668</v>
      </c>
      <c r="O2392" s="13">
        <v>20</v>
      </c>
      <c r="P2392" s="13" t="s">
        <v>30</v>
      </c>
      <c r="Q2392" s="13">
        <v>0</v>
      </c>
      <c r="R2392" s="70">
        <f>(L2392*O2392)-Q2392</f>
        <v>206</v>
      </c>
      <c r="S2392" s="70">
        <v>0</v>
      </c>
      <c r="T2392" s="70">
        <f t="shared" ref="T2392" si="228">+L2392*S2392</f>
        <v>0</v>
      </c>
      <c r="U2392" s="70">
        <f t="shared" ref="U2392" si="229">+R2392-T2392</f>
        <v>206</v>
      </c>
      <c r="V2392" s="70">
        <f t="shared" ref="V2392" si="230">+U2392*0</f>
        <v>0</v>
      </c>
      <c r="W2392" s="70">
        <f t="shared" ref="W2392" si="231">+U2392-V2392</f>
        <v>206</v>
      </c>
      <c r="X2392" s="70">
        <v>0</v>
      </c>
      <c r="Y2392" s="14">
        <f t="shared" si="222"/>
        <v>0</v>
      </c>
      <c r="Z2392" s="11" t="s">
        <v>26</v>
      </c>
      <c r="AA2392" s="12" t="s">
        <v>31</v>
      </c>
    </row>
    <row r="2393" spans="1:27" x14ac:dyDescent="0.25">
      <c r="A2393" s="10">
        <v>45692</v>
      </c>
      <c r="B2393" s="69">
        <v>3.2233796296296302E-2</v>
      </c>
      <c r="C2393" s="11" t="s">
        <v>4760</v>
      </c>
      <c r="D2393" s="11">
        <v>16923</v>
      </c>
      <c r="E2393" s="11" t="s">
        <v>1660</v>
      </c>
      <c r="F2393" s="11" t="s">
        <v>26</v>
      </c>
      <c r="G2393" s="11">
        <v>42271</v>
      </c>
      <c r="H2393" s="12" t="s">
        <v>565</v>
      </c>
      <c r="I2393" s="12" t="s">
        <v>27</v>
      </c>
      <c r="J2393" s="12" t="s">
        <v>28</v>
      </c>
      <c r="K2393" s="12" t="s">
        <v>29</v>
      </c>
      <c r="L2393" s="13">
        <v>36.1</v>
      </c>
      <c r="M2393" s="13">
        <v>24</v>
      </c>
      <c r="N2393" s="13">
        <f t="shared" si="177"/>
        <v>1.5041666666666667</v>
      </c>
      <c r="O2393" s="13"/>
      <c r="P2393" s="13">
        <v>40.5</v>
      </c>
      <c r="Q2393" s="13">
        <v>0</v>
      </c>
      <c r="R2393" s="70">
        <f>M2393*P2393</f>
        <v>972</v>
      </c>
      <c r="S2393" s="70">
        <v>0</v>
      </c>
      <c r="T2393" s="70">
        <f>M2393*S2393</f>
        <v>0</v>
      </c>
      <c r="U2393" s="70">
        <f>R2393-T2393</f>
        <v>972</v>
      </c>
      <c r="V2393" s="70">
        <f>U2393*0</f>
        <v>0</v>
      </c>
      <c r="W2393" s="70">
        <f>+U2393-V2393</f>
        <v>972</v>
      </c>
      <c r="X2393" s="70">
        <v>0</v>
      </c>
      <c r="Y2393" s="14">
        <f t="shared" si="222"/>
        <v>0</v>
      </c>
      <c r="Z2393" s="11" t="s">
        <v>26</v>
      </c>
      <c r="AA2393" s="12" t="s">
        <v>31</v>
      </c>
    </row>
    <row r="2394" spans="1:27" x14ac:dyDescent="0.25">
      <c r="A2394" s="10">
        <v>45692</v>
      </c>
      <c r="B2394" s="69">
        <v>3.9155092592592533E-2</v>
      </c>
      <c r="C2394" s="11" t="s">
        <v>4761</v>
      </c>
      <c r="D2394" s="11">
        <v>16924</v>
      </c>
      <c r="E2394" s="11" t="s">
        <v>4762</v>
      </c>
      <c r="F2394" s="11" t="s">
        <v>26</v>
      </c>
      <c r="G2394" s="11" t="s">
        <v>35</v>
      </c>
      <c r="H2394" s="12" t="s">
        <v>36</v>
      </c>
      <c r="I2394" s="12" t="s">
        <v>27</v>
      </c>
      <c r="J2394" s="12" t="s">
        <v>42</v>
      </c>
      <c r="K2394" s="12" t="s">
        <v>43</v>
      </c>
      <c r="L2394" s="13">
        <v>37.92</v>
      </c>
      <c r="M2394" s="13">
        <v>25</v>
      </c>
      <c r="N2394" s="13">
        <f t="shared" si="177"/>
        <v>1.5168000000000001</v>
      </c>
      <c r="O2394" s="13">
        <v>45</v>
      </c>
      <c r="P2394" s="13" t="s">
        <v>30</v>
      </c>
      <c r="Q2394" s="13">
        <v>0</v>
      </c>
      <c r="R2394" s="70">
        <f>(L2394*O2394)-Q2394</f>
        <v>1706.4</v>
      </c>
      <c r="S2394" s="70">
        <v>0</v>
      </c>
      <c r="T2394" s="70">
        <f t="shared" ref="T2394:T2395" si="232">+L2394*S2394</f>
        <v>0</v>
      </c>
      <c r="U2394" s="70">
        <f t="shared" ref="U2394:U2395" si="233">+R2394-T2394</f>
        <v>1706.4</v>
      </c>
      <c r="V2394" s="70">
        <f>+U2394*0</f>
        <v>0</v>
      </c>
      <c r="W2394" s="70">
        <f t="shared" ref="W2394:W2395" si="234">+U2394-V2394</f>
        <v>1706.4</v>
      </c>
      <c r="X2394" s="70">
        <v>0</v>
      </c>
      <c r="Y2394" s="14">
        <f>T2394-X2394</f>
        <v>0</v>
      </c>
      <c r="Z2394" s="11" t="s">
        <v>26</v>
      </c>
      <c r="AA2394" s="12" t="s">
        <v>31</v>
      </c>
    </row>
    <row r="2395" spans="1:27" x14ac:dyDescent="0.25">
      <c r="A2395" s="10">
        <v>45692</v>
      </c>
      <c r="B2395" s="69">
        <v>4.0486111111111112E-2</v>
      </c>
      <c r="C2395" s="11" t="s">
        <v>4763</v>
      </c>
      <c r="D2395" s="11">
        <v>16925</v>
      </c>
      <c r="E2395" s="11" t="s">
        <v>4764</v>
      </c>
      <c r="F2395" s="11" t="s">
        <v>26</v>
      </c>
      <c r="G2395" s="11" t="s">
        <v>35</v>
      </c>
      <c r="H2395" s="12" t="s">
        <v>36</v>
      </c>
      <c r="I2395" s="12" t="s">
        <v>27</v>
      </c>
      <c r="J2395" s="12" t="s">
        <v>42</v>
      </c>
      <c r="K2395" s="12" t="s">
        <v>43</v>
      </c>
      <c r="L2395" s="13">
        <v>32.340000000000003</v>
      </c>
      <c r="M2395" s="13">
        <v>20</v>
      </c>
      <c r="N2395" s="13">
        <f t="shared" si="177"/>
        <v>1.6170000000000002</v>
      </c>
      <c r="O2395" s="13">
        <v>45</v>
      </c>
      <c r="P2395" s="13" t="s">
        <v>30</v>
      </c>
      <c r="Q2395" s="13">
        <v>0</v>
      </c>
      <c r="R2395" s="70">
        <f>(L2395*O2395)-Q2395</f>
        <v>1455.3000000000002</v>
      </c>
      <c r="S2395" s="70">
        <v>0</v>
      </c>
      <c r="T2395" s="70">
        <f t="shared" si="232"/>
        <v>0</v>
      </c>
      <c r="U2395" s="70">
        <f t="shared" si="233"/>
        <v>1455.3000000000002</v>
      </c>
      <c r="V2395" s="70">
        <f>+U2395*0</f>
        <v>0</v>
      </c>
      <c r="W2395" s="70">
        <f t="shared" si="234"/>
        <v>1455.3000000000002</v>
      </c>
      <c r="X2395" s="70">
        <v>0</v>
      </c>
      <c r="Y2395" s="14">
        <f>T2395-X2395</f>
        <v>0</v>
      </c>
      <c r="Z2395" s="11" t="s">
        <v>26</v>
      </c>
      <c r="AA2395" s="12" t="s">
        <v>31</v>
      </c>
    </row>
    <row r="2396" spans="1:27" x14ac:dyDescent="0.25">
      <c r="A2396" s="10">
        <v>45692</v>
      </c>
      <c r="B2396" s="69">
        <v>2.9907407407407383E-2</v>
      </c>
      <c r="C2396" s="11" t="s">
        <v>4765</v>
      </c>
      <c r="D2396" s="11">
        <v>16926</v>
      </c>
      <c r="E2396" s="11" t="s">
        <v>525</v>
      </c>
      <c r="F2396" s="11" t="s">
        <v>26</v>
      </c>
      <c r="G2396" s="11">
        <v>26340</v>
      </c>
      <c r="H2396" s="12" t="s">
        <v>4448</v>
      </c>
      <c r="I2396" s="12" t="s">
        <v>27</v>
      </c>
      <c r="J2396" s="12" t="s">
        <v>42</v>
      </c>
      <c r="K2396" s="12" t="s">
        <v>43</v>
      </c>
      <c r="L2396" s="13">
        <v>40.159999999999997</v>
      </c>
      <c r="M2396" s="13">
        <v>25</v>
      </c>
      <c r="N2396" s="13">
        <f t="shared" si="177"/>
        <v>1.6063999999999998</v>
      </c>
      <c r="O2396" s="13">
        <v>42.5</v>
      </c>
      <c r="P2396" s="13"/>
      <c r="Q2396" s="13">
        <v>0</v>
      </c>
      <c r="R2396" s="70">
        <f>+L2396*O2396</f>
        <v>1706.8</v>
      </c>
      <c r="S2396" s="70">
        <v>0</v>
      </c>
      <c r="T2396" s="70">
        <f>+L2396*S2396</f>
        <v>0</v>
      </c>
      <c r="U2396" s="70">
        <f>+R2396-T2396</f>
        <v>1706.8</v>
      </c>
      <c r="V2396" s="70">
        <f>+U2396*0.75</f>
        <v>1280.0999999999999</v>
      </c>
      <c r="W2396" s="70">
        <f>+U2396-V2396</f>
        <v>426.70000000000005</v>
      </c>
      <c r="X2396" s="70">
        <v>0</v>
      </c>
      <c r="Y2396" s="14">
        <f t="shared" ref="Y2396:Y2405" si="235">T2396-X2396</f>
        <v>0</v>
      </c>
      <c r="Z2396" s="11" t="s">
        <v>26</v>
      </c>
      <c r="AA2396" s="12" t="s">
        <v>31</v>
      </c>
    </row>
    <row r="2397" spans="1:27" x14ac:dyDescent="0.25">
      <c r="A2397" s="10">
        <v>45692</v>
      </c>
      <c r="B2397" s="69">
        <v>1.300925925925922E-2</v>
      </c>
      <c r="C2397" s="11" t="s">
        <v>4766</v>
      </c>
      <c r="D2397" s="11">
        <v>16927</v>
      </c>
      <c r="E2397" s="11" t="s">
        <v>604</v>
      </c>
      <c r="F2397" s="11" t="s">
        <v>26</v>
      </c>
      <c r="G2397" s="11">
        <v>1118</v>
      </c>
      <c r="H2397" s="12" t="s">
        <v>141</v>
      </c>
      <c r="I2397" s="12" t="s">
        <v>37</v>
      </c>
      <c r="J2397" s="12" t="s">
        <v>599</v>
      </c>
      <c r="K2397" s="12" t="s">
        <v>82</v>
      </c>
      <c r="L2397" s="13">
        <v>37.520000000000003</v>
      </c>
      <c r="M2397" s="13">
        <v>25</v>
      </c>
      <c r="N2397" s="13">
        <f t="shared" si="177"/>
        <v>1.5008000000000001</v>
      </c>
      <c r="O2397" s="13">
        <v>29</v>
      </c>
      <c r="P2397" s="13" t="s">
        <v>30</v>
      </c>
      <c r="Q2397" s="13">
        <v>0</v>
      </c>
      <c r="R2397" s="70">
        <f>L2397*O2397</f>
        <v>1088.0800000000002</v>
      </c>
      <c r="S2397" s="70">
        <v>0</v>
      </c>
      <c r="T2397" s="70">
        <f>L2397*S2397</f>
        <v>0</v>
      </c>
      <c r="U2397" s="70">
        <f>R2397-T2397</f>
        <v>1088.0800000000002</v>
      </c>
      <c r="V2397" s="70">
        <f>U2397*0</f>
        <v>0</v>
      </c>
      <c r="W2397" s="70">
        <f>U2397-V2397</f>
        <v>1088.0800000000002</v>
      </c>
      <c r="X2397" s="70">
        <v>0</v>
      </c>
      <c r="Y2397" s="14">
        <f t="shared" si="235"/>
        <v>0</v>
      </c>
      <c r="Z2397" s="11" t="s">
        <v>26</v>
      </c>
      <c r="AA2397" s="12" t="s">
        <v>31</v>
      </c>
    </row>
    <row r="2398" spans="1:27" x14ac:dyDescent="0.25">
      <c r="A2398" s="10">
        <v>45692</v>
      </c>
      <c r="B2398" s="69">
        <v>3.2523148148148051E-3</v>
      </c>
      <c r="C2398" s="11" t="s">
        <v>4767</v>
      </c>
      <c r="D2398" s="11">
        <v>16928</v>
      </c>
      <c r="E2398" s="11" t="s">
        <v>3938</v>
      </c>
      <c r="F2398" s="11" t="s">
        <v>26</v>
      </c>
      <c r="G2398" s="11" t="s">
        <v>35</v>
      </c>
      <c r="H2398" s="12" t="s">
        <v>36</v>
      </c>
      <c r="I2398" s="12" t="s">
        <v>55</v>
      </c>
      <c r="J2398" s="12" t="s">
        <v>55</v>
      </c>
      <c r="K2398" s="12" t="s">
        <v>56</v>
      </c>
      <c r="L2398" s="13">
        <v>10.1</v>
      </c>
      <c r="M2398" s="13">
        <v>6</v>
      </c>
      <c r="N2398" s="13">
        <f t="shared" si="177"/>
        <v>1.6833333333333333</v>
      </c>
      <c r="O2398" s="13">
        <v>20</v>
      </c>
      <c r="P2398" s="13" t="s">
        <v>30</v>
      </c>
      <c r="Q2398" s="13">
        <v>0</v>
      </c>
      <c r="R2398" s="70">
        <f>(L2398*O2398)-Q2398</f>
        <v>202</v>
      </c>
      <c r="S2398" s="70">
        <v>0</v>
      </c>
      <c r="T2398" s="70">
        <f t="shared" ref="T2398:T2401" si="236">+L2398*S2398</f>
        <v>0</v>
      </c>
      <c r="U2398" s="70">
        <f t="shared" ref="U2398:U2403" si="237">+R2398-T2398</f>
        <v>202</v>
      </c>
      <c r="V2398" s="70">
        <f t="shared" ref="V2398:V2399" si="238">+U2398*0</f>
        <v>0</v>
      </c>
      <c r="W2398" s="70">
        <f t="shared" ref="W2398:W2403" si="239">+U2398-V2398</f>
        <v>202</v>
      </c>
      <c r="X2398" s="70">
        <v>0</v>
      </c>
      <c r="Y2398" s="14">
        <f t="shared" si="235"/>
        <v>0</v>
      </c>
      <c r="Z2398" s="11" t="s">
        <v>26</v>
      </c>
      <c r="AA2398" s="12" t="s">
        <v>31</v>
      </c>
    </row>
    <row r="2399" spans="1:27" x14ac:dyDescent="0.25">
      <c r="A2399" s="10">
        <v>45692</v>
      </c>
      <c r="B2399" s="69">
        <v>7.9050925925926441E-3</v>
      </c>
      <c r="C2399" s="11" t="s">
        <v>4768</v>
      </c>
      <c r="D2399" s="11">
        <v>16929</v>
      </c>
      <c r="E2399" s="11" t="s">
        <v>461</v>
      </c>
      <c r="F2399" s="11" t="s">
        <v>26</v>
      </c>
      <c r="G2399" s="11" t="s">
        <v>35</v>
      </c>
      <c r="H2399" s="12" t="s">
        <v>36</v>
      </c>
      <c r="I2399" s="12" t="s">
        <v>55</v>
      </c>
      <c r="J2399" s="12" t="s">
        <v>55</v>
      </c>
      <c r="K2399" s="12" t="s">
        <v>56</v>
      </c>
      <c r="L2399" s="13">
        <v>26.5</v>
      </c>
      <c r="M2399" s="13">
        <v>18</v>
      </c>
      <c r="N2399" s="13">
        <f t="shared" si="177"/>
        <v>1.4722222222222223</v>
      </c>
      <c r="O2399" s="13">
        <v>20</v>
      </c>
      <c r="P2399" s="13" t="s">
        <v>30</v>
      </c>
      <c r="Q2399" s="13">
        <v>0</v>
      </c>
      <c r="R2399" s="70">
        <f>(L2399*O2399)-Q2399</f>
        <v>530</v>
      </c>
      <c r="S2399" s="70">
        <v>0</v>
      </c>
      <c r="T2399" s="70">
        <f t="shared" si="236"/>
        <v>0</v>
      </c>
      <c r="U2399" s="70">
        <f t="shared" si="237"/>
        <v>530</v>
      </c>
      <c r="V2399" s="70">
        <f t="shared" si="238"/>
        <v>0</v>
      </c>
      <c r="W2399" s="70">
        <f t="shared" si="239"/>
        <v>530</v>
      </c>
      <c r="X2399" s="70">
        <v>0</v>
      </c>
      <c r="Y2399" s="14">
        <f t="shared" si="235"/>
        <v>0</v>
      </c>
      <c r="Z2399" s="11" t="s">
        <v>26</v>
      </c>
      <c r="AA2399" s="12" t="s">
        <v>31</v>
      </c>
    </row>
    <row r="2400" spans="1:27" x14ac:dyDescent="0.25">
      <c r="A2400" s="10">
        <v>45692</v>
      </c>
      <c r="B2400" s="69">
        <v>2.1863425925925939E-2</v>
      </c>
      <c r="C2400" s="11" t="s">
        <v>4769</v>
      </c>
      <c r="D2400" s="11">
        <v>16930</v>
      </c>
      <c r="E2400" s="11" t="s">
        <v>224</v>
      </c>
      <c r="F2400" s="11" t="s">
        <v>26</v>
      </c>
      <c r="G2400" s="11">
        <v>3201</v>
      </c>
      <c r="H2400" s="12" t="s">
        <v>4423</v>
      </c>
      <c r="I2400" s="12" t="s">
        <v>27</v>
      </c>
      <c r="J2400" s="12" t="s">
        <v>42</v>
      </c>
      <c r="K2400" s="12" t="s">
        <v>43</v>
      </c>
      <c r="L2400" s="13">
        <v>35.72</v>
      </c>
      <c r="M2400" s="13">
        <v>25</v>
      </c>
      <c r="N2400" s="13">
        <f t="shared" si="177"/>
        <v>1.4287999999999998</v>
      </c>
      <c r="O2400" s="13">
        <v>42</v>
      </c>
      <c r="P2400" s="13" t="s">
        <v>30</v>
      </c>
      <c r="Q2400" s="13">
        <v>0</v>
      </c>
      <c r="R2400" s="70">
        <f t="shared" ref="R2400:R2401" si="240">+L2400*O2400</f>
        <v>1500.24</v>
      </c>
      <c r="S2400" s="70">
        <v>0</v>
      </c>
      <c r="T2400" s="70">
        <f t="shared" si="236"/>
        <v>0</v>
      </c>
      <c r="U2400" s="70">
        <f t="shared" si="237"/>
        <v>1500.24</v>
      </c>
      <c r="V2400" s="70">
        <f>+U2400*1</f>
        <v>1500.24</v>
      </c>
      <c r="W2400" s="70">
        <f t="shared" si="239"/>
        <v>0</v>
      </c>
      <c r="X2400" s="70">
        <v>0</v>
      </c>
      <c r="Y2400" s="14">
        <f t="shared" si="235"/>
        <v>0</v>
      </c>
      <c r="Z2400" s="11" t="s">
        <v>26</v>
      </c>
      <c r="AA2400" s="12" t="s">
        <v>31</v>
      </c>
    </row>
    <row r="2401" spans="1:27" x14ac:dyDescent="0.25">
      <c r="A2401" s="10">
        <v>45692</v>
      </c>
      <c r="B2401" s="69">
        <v>2.5694444444444464E-2</v>
      </c>
      <c r="C2401" s="11" t="s">
        <v>4770</v>
      </c>
      <c r="D2401" s="11">
        <v>16931</v>
      </c>
      <c r="E2401" s="11" t="s">
        <v>589</v>
      </c>
      <c r="F2401" s="11" t="s">
        <v>26</v>
      </c>
      <c r="G2401" s="11">
        <v>56908</v>
      </c>
      <c r="H2401" s="12" t="s">
        <v>4423</v>
      </c>
      <c r="I2401" s="12" t="s">
        <v>27</v>
      </c>
      <c r="J2401" s="12" t="s">
        <v>42</v>
      </c>
      <c r="K2401" s="12" t="s">
        <v>43</v>
      </c>
      <c r="L2401" s="13">
        <v>37.9</v>
      </c>
      <c r="M2401" s="13">
        <v>25</v>
      </c>
      <c r="N2401" s="13">
        <f t="shared" si="177"/>
        <v>1.516</v>
      </c>
      <c r="O2401" s="13">
        <v>42</v>
      </c>
      <c r="P2401" s="13" t="s">
        <v>30</v>
      </c>
      <c r="Q2401" s="13">
        <v>0</v>
      </c>
      <c r="R2401" s="70">
        <f t="shared" si="240"/>
        <v>1591.8</v>
      </c>
      <c r="S2401" s="70">
        <v>0</v>
      </c>
      <c r="T2401" s="70">
        <f t="shared" si="236"/>
        <v>0</v>
      </c>
      <c r="U2401" s="70">
        <f t="shared" si="237"/>
        <v>1591.8</v>
      </c>
      <c r="V2401" s="70">
        <f>+U2401*1</f>
        <v>1591.8</v>
      </c>
      <c r="W2401" s="70">
        <f t="shared" si="239"/>
        <v>0</v>
      </c>
      <c r="X2401" s="70">
        <v>0</v>
      </c>
      <c r="Y2401" s="14">
        <f t="shared" si="235"/>
        <v>0</v>
      </c>
      <c r="Z2401" s="11" t="s">
        <v>26</v>
      </c>
      <c r="AA2401" s="12" t="s">
        <v>31</v>
      </c>
    </row>
    <row r="2402" spans="1:27" x14ac:dyDescent="0.25">
      <c r="A2402" s="10">
        <v>45692</v>
      </c>
      <c r="B2402" s="69">
        <v>2.9930555555555571E-2</v>
      </c>
      <c r="C2402" s="11" t="s">
        <v>4771</v>
      </c>
      <c r="D2402" s="11">
        <v>16932</v>
      </c>
      <c r="E2402" s="11" t="s">
        <v>53</v>
      </c>
      <c r="F2402" s="11" t="s">
        <v>26</v>
      </c>
      <c r="G2402" s="11">
        <v>3791</v>
      </c>
      <c r="H2402" s="12" t="s">
        <v>41</v>
      </c>
      <c r="I2402" s="12" t="s">
        <v>55</v>
      </c>
      <c r="J2402" s="12" t="s">
        <v>55</v>
      </c>
      <c r="K2402" s="12" t="s">
        <v>56</v>
      </c>
      <c r="L2402" s="13">
        <v>37.22</v>
      </c>
      <c r="M2402" s="13">
        <v>23</v>
      </c>
      <c r="N2402" s="13">
        <f t="shared" si="177"/>
        <v>1.6182608695652174</v>
      </c>
      <c r="O2402" s="13" t="s">
        <v>30</v>
      </c>
      <c r="P2402" s="13">
        <v>24</v>
      </c>
      <c r="Q2402" s="13">
        <v>0</v>
      </c>
      <c r="R2402" s="70">
        <f>+M2402*P2402</f>
        <v>552</v>
      </c>
      <c r="S2402" s="70">
        <v>0</v>
      </c>
      <c r="T2402" s="70">
        <f>+M2402*S2402</f>
        <v>0</v>
      </c>
      <c r="U2402" s="70">
        <f t="shared" si="237"/>
        <v>552</v>
      </c>
      <c r="V2402" s="70">
        <f>+U2402*0</f>
        <v>0</v>
      </c>
      <c r="W2402" s="70">
        <f t="shared" si="239"/>
        <v>552</v>
      </c>
      <c r="X2402" s="70">
        <v>0</v>
      </c>
      <c r="Y2402" s="14">
        <f t="shared" si="235"/>
        <v>0</v>
      </c>
      <c r="Z2402" s="11" t="s">
        <v>26</v>
      </c>
      <c r="AA2402" s="12" t="s">
        <v>31</v>
      </c>
    </row>
    <row r="2403" spans="1:27" x14ac:dyDescent="0.25">
      <c r="A2403" s="10">
        <v>45692</v>
      </c>
      <c r="B2403" s="69">
        <v>1.1180555555555638E-2</v>
      </c>
      <c r="C2403" s="11" t="s">
        <v>4772</v>
      </c>
      <c r="D2403" s="11">
        <v>16933</v>
      </c>
      <c r="E2403" s="11" t="s">
        <v>246</v>
      </c>
      <c r="F2403" s="11" t="s">
        <v>26</v>
      </c>
      <c r="G2403" s="11">
        <v>2994</v>
      </c>
      <c r="H2403" s="12" t="s">
        <v>41</v>
      </c>
      <c r="I2403" s="12" t="s">
        <v>55</v>
      </c>
      <c r="J2403" s="12" t="s">
        <v>55</v>
      </c>
      <c r="K2403" s="12" t="s">
        <v>56</v>
      </c>
      <c r="L2403" s="13">
        <v>37.44</v>
      </c>
      <c r="M2403" s="13">
        <v>23</v>
      </c>
      <c r="N2403" s="13">
        <f t="shared" si="177"/>
        <v>1.6278260869565215</v>
      </c>
      <c r="O2403" s="13" t="s">
        <v>30</v>
      </c>
      <c r="P2403" s="13">
        <v>24</v>
      </c>
      <c r="Q2403" s="13">
        <v>0</v>
      </c>
      <c r="R2403" s="70">
        <f>+M2403*P2403</f>
        <v>552</v>
      </c>
      <c r="S2403" s="70">
        <v>0</v>
      </c>
      <c r="T2403" s="70">
        <f>+M2403*S2403</f>
        <v>0</v>
      </c>
      <c r="U2403" s="70">
        <f t="shared" si="237"/>
        <v>552</v>
      </c>
      <c r="V2403" s="70">
        <f>+U2403*0</f>
        <v>0</v>
      </c>
      <c r="W2403" s="70">
        <f t="shared" si="239"/>
        <v>552</v>
      </c>
      <c r="X2403" s="70">
        <v>0</v>
      </c>
      <c r="Y2403" s="14">
        <f t="shared" si="235"/>
        <v>0</v>
      </c>
      <c r="Z2403" s="11" t="s">
        <v>26</v>
      </c>
      <c r="AA2403" s="12" t="s">
        <v>31</v>
      </c>
    </row>
    <row r="2404" spans="1:27" x14ac:dyDescent="0.25">
      <c r="A2404" s="10">
        <v>45692</v>
      </c>
      <c r="B2404" s="69">
        <v>8.5763888888888973E-3</v>
      </c>
      <c r="C2404" s="11" t="s">
        <v>4773</v>
      </c>
      <c r="D2404" s="11">
        <v>16934</v>
      </c>
      <c r="E2404" s="11" t="s">
        <v>444</v>
      </c>
      <c r="F2404" s="11" t="s">
        <v>26</v>
      </c>
      <c r="G2404" s="11">
        <v>2113</v>
      </c>
      <c r="H2404" s="12" t="s">
        <v>4449</v>
      </c>
      <c r="I2404" s="12" t="s">
        <v>55</v>
      </c>
      <c r="J2404" s="12" t="s">
        <v>55</v>
      </c>
      <c r="K2404" s="12" t="s">
        <v>56</v>
      </c>
      <c r="L2404" s="13">
        <v>34.46</v>
      </c>
      <c r="M2404" s="13">
        <v>21</v>
      </c>
      <c r="N2404" s="13">
        <f t="shared" ref="N2404:N2413" si="241">L2404/M2404</f>
        <v>1.6409523809523809</v>
      </c>
      <c r="O2404" s="13">
        <v>15</v>
      </c>
      <c r="P2404" s="13" t="s">
        <v>30</v>
      </c>
      <c r="Q2404" s="13">
        <v>0</v>
      </c>
      <c r="R2404" s="70">
        <f>L2404*O2404</f>
        <v>516.9</v>
      </c>
      <c r="S2404" s="70">
        <v>0</v>
      </c>
      <c r="T2404" s="70">
        <f>L2404*S2404</f>
        <v>0</v>
      </c>
      <c r="U2404" s="70">
        <f>R2404-T2404</f>
        <v>516.9</v>
      </c>
      <c r="V2404" s="70">
        <f>U2404*0</f>
        <v>0</v>
      </c>
      <c r="W2404" s="70">
        <f>U2404-V2404</f>
        <v>516.9</v>
      </c>
      <c r="X2404" s="70">
        <v>0</v>
      </c>
      <c r="Y2404" s="14">
        <f t="shared" si="235"/>
        <v>0</v>
      </c>
      <c r="Z2404" s="11" t="s">
        <v>26</v>
      </c>
      <c r="AA2404" s="12" t="s">
        <v>31</v>
      </c>
    </row>
    <row r="2405" spans="1:27" x14ac:dyDescent="0.25">
      <c r="A2405" s="10">
        <v>45692</v>
      </c>
      <c r="B2405" s="69">
        <v>9.5717592592592382E-3</v>
      </c>
      <c r="C2405" s="11" t="s">
        <v>4774</v>
      </c>
      <c r="D2405" s="11">
        <v>16935</v>
      </c>
      <c r="E2405" s="11" t="s">
        <v>240</v>
      </c>
      <c r="F2405" s="11" t="s">
        <v>26</v>
      </c>
      <c r="G2405" s="11">
        <v>2864</v>
      </c>
      <c r="H2405" s="12" t="s">
        <v>41</v>
      </c>
      <c r="I2405" s="12" t="s">
        <v>55</v>
      </c>
      <c r="J2405" s="12" t="s">
        <v>55</v>
      </c>
      <c r="K2405" s="12" t="s">
        <v>56</v>
      </c>
      <c r="L2405" s="13">
        <v>38.380000000000003</v>
      </c>
      <c r="M2405" s="13">
        <v>24</v>
      </c>
      <c r="N2405" s="13">
        <f t="shared" si="241"/>
        <v>1.5991666666666668</v>
      </c>
      <c r="O2405" s="13" t="s">
        <v>30</v>
      </c>
      <c r="P2405" s="13">
        <v>24</v>
      </c>
      <c r="Q2405" s="13">
        <v>0</v>
      </c>
      <c r="R2405" s="70">
        <f>+M2405*P2405</f>
        <v>576</v>
      </c>
      <c r="S2405" s="70">
        <v>0</v>
      </c>
      <c r="T2405" s="70">
        <f>+M2405*S2405</f>
        <v>0</v>
      </c>
      <c r="U2405" s="70">
        <f t="shared" ref="U2405:U2406" si="242">+R2405-T2405</f>
        <v>576</v>
      </c>
      <c r="V2405" s="70">
        <f>+U2405*0</f>
        <v>0</v>
      </c>
      <c r="W2405" s="70">
        <f t="shared" ref="W2405:W2406" si="243">+U2405-V2405</f>
        <v>576</v>
      </c>
      <c r="X2405" s="70">
        <v>0</v>
      </c>
      <c r="Y2405" s="14">
        <f t="shared" si="235"/>
        <v>0</v>
      </c>
      <c r="Z2405" s="11" t="s">
        <v>26</v>
      </c>
      <c r="AA2405" s="12" t="s">
        <v>31</v>
      </c>
    </row>
    <row r="2406" spans="1:27" x14ac:dyDescent="0.25">
      <c r="A2406" s="10">
        <v>45692</v>
      </c>
      <c r="B2406" s="69">
        <v>1.0335648148148135E-2</v>
      </c>
      <c r="C2406" s="11" t="s">
        <v>4775</v>
      </c>
      <c r="D2406" s="11">
        <v>16936</v>
      </c>
      <c r="E2406" s="11" t="s">
        <v>4776</v>
      </c>
      <c r="F2406" s="11" t="s">
        <v>26</v>
      </c>
      <c r="G2406" s="11" t="s">
        <v>35</v>
      </c>
      <c r="H2406" s="12" t="s">
        <v>36</v>
      </c>
      <c r="I2406" s="12" t="s">
        <v>27</v>
      </c>
      <c r="J2406" s="12" t="s">
        <v>42</v>
      </c>
      <c r="K2406" s="12" t="s">
        <v>43</v>
      </c>
      <c r="L2406" s="13">
        <v>12.78</v>
      </c>
      <c r="M2406" s="13">
        <v>8</v>
      </c>
      <c r="N2406" s="13">
        <f t="shared" si="241"/>
        <v>1.5974999999999999</v>
      </c>
      <c r="O2406" s="13">
        <v>45</v>
      </c>
      <c r="P2406" s="13" t="s">
        <v>30</v>
      </c>
      <c r="Q2406" s="13">
        <v>0</v>
      </c>
      <c r="R2406" s="70">
        <f>(L2406*O2406)-Q2406</f>
        <v>575.1</v>
      </c>
      <c r="S2406" s="70">
        <v>0</v>
      </c>
      <c r="T2406" s="70">
        <f t="shared" ref="T2406" si="244">+L2406*S2406</f>
        <v>0</v>
      </c>
      <c r="U2406" s="70">
        <f t="shared" si="242"/>
        <v>575.1</v>
      </c>
      <c r="V2406" s="70">
        <f>+U2406*0</f>
        <v>0</v>
      </c>
      <c r="W2406" s="70">
        <f t="shared" si="243"/>
        <v>575.1</v>
      </c>
      <c r="X2406" s="70">
        <v>0</v>
      </c>
      <c r="Y2406" s="14">
        <f>T2406-X2406</f>
        <v>0</v>
      </c>
      <c r="Z2406" s="11" t="s">
        <v>26</v>
      </c>
      <c r="AA2406" s="12" t="s">
        <v>31</v>
      </c>
    </row>
    <row r="2407" spans="1:27" x14ac:dyDescent="0.25">
      <c r="A2407" s="10">
        <v>45692</v>
      </c>
      <c r="B2407" s="69">
        <v>1.7106481481481528E-2</v>
      </c>
      <c r="C2407" s="11" t="s">
        <v>4777</v>
      </c>
      <c r="D2407" s="11">
        <v>16937</v>
      </c>
      <c r="E2407" s="11" t="s">
        <v>46</v>
      </c>
      <c r="F2407" s="11" t="s">
        <v>26</v>
      </c>
      <c r="G2407" s="11">
        <v>795</v>
      </c>
      <c r="H2407" s="12" t="s">
        <v>141</v>
      </c>
      <c r="I2407" s="12" t="s">
        <v>55</v>
      </c>
      <c r="J2407" s="12" t="s">
        <v>55</v>
      </c>
      <c r="K2407" s="12" t="s">
        <v>56</v>
      </c>
      <c r="L2407" s="13">
        <v>28.32</v>
      </c>
      <c r="M2407" s="13">
        <v>22</v>
      </c>
      <c r="N2407" s="13">
        <f t="shared" si="241"/>
        <v>1.2872727272727273</v>
      </c>
      <c r="O2407" s="13">
        <v>15</v>
      </c>
      <c r="P2407" s="13" t="s">
        <v>30</v>
      </c>
      <c r="Q2407" s="13">
        <v>0</v>
      </c>
      <c r="R2407" s="70">
        <f>L2407*O2407</f>
        <v>424.8</v>
      </c>
      <c r="S2407" s="70">
        <v>0</v>
      </c>
      <c r="T2407" s="70">
        <f>L2407*S2407</f>
        <v>0</v>
      </c>
      <c r="U2407" s="70">
        <f>R2407-T2407</f>
        <v>424.8</v>
      </c>
      <c r="V2407" s="70">
        <f>U2407*0</f>
        <v>0</v>
      </c>
      <c r="W2407" s="70">
        <f>U2407-V2407</f>
        <v>424.8</v>
      </c>
      <c r="X2407" s="70">
        <v>0</v>
      </c>
      <c r="Y2407" s="14">
        <f t="shared" ref="Y2407:Y2411" si="245">T2407-X2407</f>
        <v>0</v>
      </c>
      <c r="Z2407" s="11" t="s">
        <v>26</v>
      </c>
      <c r="AA2407" s="12" t="s">
        <v>31</v>
      </c>
    </row>
    <row r="2408" spans="1:27" x14ac:dyDescent="0.25">
      <c r="A2408" s="10">
        <v>45692</v>
      </c>
      <c r="B2408" s="69">
        <v>1.1921296296296235E-2</v>
      </c>
      <c r="C2408" s="11" t="s">
        <v>4778</v>
      </c>
      <c r="D2408" s="11">
        <v>16938</v>
      </c>
      <c r="E2408" s="11" t="s">
        <v>57</v>
      </c>
      <c r="F2408" s="11" t="s">
        <v>26</v>
      </c>
      <c r="G2408" s="11">
        <v>3685</v>
      </c>
      <c r="H2408" s="12" t="s">
        <v>41</v>
      </c>
      <c r="I2408" s="12" t="s">
        <v>55</v>
      </c>
      <c r="J2408" s="12" t="s">
        <v>55</v>
      </c>
      <c r="K2408" s="12" t="s">
        <v>56</v>
      </c>
      <c r="L2408" s="13">
        <v>36.200000000000003</v>
      </c>
      <c r="M2408" s="13">
        <v>22</v>
      </c>
      <c r="N2408" s="13">
        <f t="shared" si="241"/>
        <v>1.6454545454545455</v>
      </c>
      <c r="O2408" s="13" t="s">
        <v>30</v>
      </c>
      <c r="P2408" s="13">
        <v>24</v>
      </c>
      <c r="Q2408" s="13">
        <v>0</v>
      </c>
      <c r="R2408" s="70">
        <f>+M2408*P2408</f>
        <v>528</v>
      </c>
      <c r="S2408" s="70">
        <v>0</v>
      </c>
      <c r="T2408" s="70">
        <f>+M2408*S2408</f>
        <v>0</v>
      </c>
      <c r="U2408" s="70">
        <f t="shared" ref="U2408:U2409" si="246">+R2408-T2408</f>
        <v>528</v>
      </c>
      <c r="V2408" s="70">
        <f>+U2408*0</f>
        <v>0</v>
      </c>
      <c r="W2408" s="70">
        <f t="shared" ref="W2408:W2409" si="247">+U2408-V2408</f>
        <v>528</v>
      </c>
      <c r="X2408" s="70">
        <v>0</v>
      </c>
      <c r="Y2408" s="14">
        <f t="shared" si="245"/>
        <v>0</v>
      </c>
      <c r="Z2408" s="11" t="s">
        <v>26</v>
      </c>
      <c r="AA2408" s="12" t="s">
        <v>31</v>
      </c>
    </row>
    <row r="2409" spans="1:27" x14ac:dyDescent="0.25">
      <c r="A2409" s="10">
        <v>45692</v>
      </c>
      <c r="B2409" s="69">
        <v>1.1203703703703716E-2</v>
      </c>
      <c r="C2409" s="11" t="s">
        <v>4779</v>
      </c>
      <c r="D2409" s="11">
        <v>16939</v>
      </c>
      <c r="E2409" s="11" t="s">
        <v>539</v>
      </c>
      <c r="F2409" s="11" t="s">
        <v>26</v>
      </c>
      <c r="G2409" s="11">
        <v>3686</v>
      </c>
      <c r="H2409" s="12" t="s">
        <v>41</v>
      </c>
      <c r="I2409" s="12" t="s">
        <v>55</v>
      </c>
      <c r="J2409" s="12" t="s">
        <v>55</v>
      </c>
      <c r="K2409" s="12" t="s">
        <v>56</v>
      </c>
      <c r="L2409" s="13">
        <v>36.24</v>
      </c>
      <c r="M2409" s="13">
        <v>22</v>
      </c>
      <c r="N2409" s="13">
        <f t="shared" si="241"/>
        <v>1.6472727272727274</v>
      </c>
      <c r="O2409" s="13" t="s">
        <v>30</v>
      </c>
      <c r="P2409" s="13">
        <v>24</v>
      </c>
      <c r="Q2409" s="13">
        <v>0</v>
      </c>
      <c r="R2409" s="70">
        <f>+M2409*P2409</f>
        <v>528</v>
      </c>
      <c r="S2409" s="70">
        <v>0</v>
      </c>
      <c r="T2409" s="70">
        <f>+M2409*S2409</f>
        <v>0</v>
      </c>
      <c r="U2409" s="70">
        <f t="shared" si="246"/>
        <v>528</v>
      </c>
      <c r="V2409" s="70">
        <f>+U2409*0</f>
        <v>0</v>
      </c>
      <c r="W2409" s="70">
        <f t="shared" si="247"/>
        <v>528</v>
      </c>
      <c r="X2409" s="70">
        <v>0</v>
      </c>
      <c r="Y2409" s="14">
        <f t="shared" si="245"/>
        <v>0</v>
      </c>
      <c r="Z2409" s="11" t="s">
        <v>26</v>
      </c>
      <c r="AA2409" s="12" t="s">
        <v>31</v>
      </c>
    </row>
    <row r="2410" spans="1:27" x14ac:dyDescent="0.25">
      <c r="A2410" s="10">
        <v>45692</v>
      </c>
      <c r="B2410" s="69">
        <v>9.7569444444444153E-3</v>
      </c>
      <c r="C2410" s="11" t="s">
        <v>4780</v>
      </c>
      <c r="D2410" s="11">
        <v>16940</v>
      </c>
      <c r="E2410" s="11" t="s">
        <v>520</v>
      </c>
      <c r="F2410" s="11" t="s">
        <v>26</v>
      </c>
      <c r="G2410" s="11">
        <v>4391</v>
      </c>
      <c r="H2410" s="12" t="s">
        <v>140</v>
      </c>
      <c r="I2410" s="12" t="s">
        <v>27</v>
      </c>
      <c r="J2410" s="12" t="s">
        <v>42</v>
      </c>
      <c r="K2410" s="12" t="s">
        <v>43</v>
      </c>
      <c r="L2410" s="13">
        <v>39.4</v>
      </c>
      <c r="M2410" s="13">
        <v>25</v>
      </c>
      <c r="N2410" s="13">
        <f t="shared" si="241"/>
        <v>1.5759999999999998</v>
      </c>
      <c r="O2410" s="13">
        <v>35</v>
      </c>
      <c r="P2410" s="13"/>
      <c r="Q2410" s="13">
        <v>0</v>
      </c>
      <c r="R2410" s="70">
        <f>+L2410*O2410</f>
        <v>1379</v>
      </c>
      <c r="S2410" s="70">
        <v>0</v>
      </c>
      <c r="T2410" s="70">
        <f>+L2410*S2410</f>
        <v>0</v>
      </c>
      <c r="U2410" s="70">
        <f>+R2410-T2410</f>
        <v>1379</v>
      </c>
      <c r="V2410" s="70">
        <f t="shared" ref="V2410" si="248">+U2410*0</f>
        <v>0</v>
      </c>
      <c r="W2410" s="70">
        <f>+U2410-V2410</f>
        <v>1379</v>
      </c>
      <c r="X2410" s="70">
        <v>0</v>
      </c>
      <c r="Y2410" s="14">
        <f t="shared" si="245"/>
        <v>0</v>
      </c>
      <c r="Z2410" s="11" t="s">
        <v>26</v>
      </c>
      <c r="AA2410" s="12" t="s">
        <v>31</v>
      </c>
    </row>
    <row r="2411" spans="1:27" x14ac:dyDescent="0.25">
      <c r="A2411" s="10">
        <v>45692</v>
      </c>
      <c r="B2411" s="69">
        <v>0.16607638888888887</v>
      </c>
      <c r="C2411" s="11" t="s">
        <v>4781</v>
      </c>
      <c r="D2411" s="11">
        <v>16941</v>
      </c>
      <c r="E2411" s="11" t="s">
        <v>50</v>
      </c>
      <c r="F2411" s="11" t="s">
        <v>26</v>
      </c>
      <c r="G2411" s="11">
        <v>936</v>
      </c>
      <c r="H2411" s="12" t="s">
        <v>163</v>
      </c>
      <c r="I2411" s="12" t="s">
        <v>27</v>
      </c>
      <c r="J2411" s="12" t="s">
        <v>33</v>
      </c>
      <c r="K2411" s="12" t="s">
        <v>34</v>
      </c>
      <c r="L2411" s="13">
        <v>35.86</v>
      </c>
      <c r="M2411" s="13">
        <v>25</v>
      </c>
      <c r="N2411" s="13">
        <f t="shared" si="241"/>
        <v>1.4343999999999999</v>
      </c>
      <c r="O2411" s="13" t="s">
        <v>30</v>
      </c>
      <c r="P2411" s="13">
        <v>60</v>
      </c>
      <c r="Q2411" s="13">
        <v>0</v>
      </c>
      <c r="R2411" s="70">
        <f>M2411*P2411</f>
        <v>1500</v>
      </c>
      <c r="S2411" s="70">
        <v>0</v>
      </c>
      <c r="T2411" s="70">
        <f>M2411*S2411</f>
        <v>0</v>
      </c>
      <c r="U2411" s="70">
        <f>R2411-T2411</f>
        <v>1500</v>
      </c>
      <c r="V2411" s="70">
        <f>U2411*0</f>
        <v>0</v>
      </c>
      <c r="W2411" s="70">
        <f>U2411-V2411</f>
        <v>1500</v>
      </c>
      <c r="X2411" s="70">
        <v>0</v>
      </c>
      <c r="Y2411" s="14">
        <f t="shared" si="245"/>
        <v>0</v>
      </c>
      <c r="Z2411" s="11" t="s">
        <v>26</v>
      </c>
      <c r="AA2411" s="12" t="s">
        <v>31</v>
      </c>
    </row>
    <row r="2412" spans="1:27" x14ac:dyDescent="0.25">
      <c r="A2412" s="10">
        <v>45692</v>
      </c>
      <c r="B2412" s="69">
        <v>1.9745370370370274E-2</v>
      </c>
      <c r="C2412" s="11" t="s">
        <v>4782</v>
      </c>
      <c r="D2412" s="11">
        <v>16942</v>
      </c>
      <c r="E2412" s="11" t="s">
        <v>4762</v>
      </c>
      <c r="F2412" s="11" t="s">
        <v>26</v>
      </c>
      <c r="G2412" s="11" t="s">
        <v>35</v>
      </c>
      <c r="H2412" s="12" t="s">
        <v>36</v>
      </c>
      <c r="I2412" s="12" t="s">
        <v>27</v>
      </c>
      <c r="J2412" s="12" t="s">
        <v>42</v>
      </c>
      <c r="K2412" s="12" t="s">
        <v>43</v>
      </c>
      <c r="L2412" s="13">
        <v>38.08</v>
      </c>
      <c r="M2412" s="13">
        <v>25</v>
      </c>
      <c r="N2412" s="13">
        <f t="shared" si="241"/>
        <v>1.5231999999999999</v>
      </c>
      <c r="O2412" s="13">
        <v>45</v>
      </c>
      <c r="P2412" s="13" t="s">
        <v>30</v>
      </c>
      <c r="Q2412" s="13">
        <v>0</v>
      </c>
      <c r="R2412" s="70">
        <f>(L2412*O2412)-Q2412</f>
        <v>1713.6</v>
      </c>
      <c r="S2412" s="70">
        <v>0</v>
      </c>
      <c r="T2412" s="70">
        <f t="shared" ref="T2412:T2413" si="249">+L2412*S2412</f>
        <v>0</v>
      </c>
      <c r="U2412" s="70">
        <f t="shared" ref="U2412:U2413" si="250">+R2412-T2412</f>
        <v>1713.6</v>
      </c>
      <c r="V2412" s="70">
        <f>+U2412*0</f>
        <v>0</v>
      </c>
      <c r="W2412" s="70">
        <f t="shared" ref="W2412:W2413" si="251">+U2412-V2412</f>
        <v>1713.6</v>
      </c>
      <c r="X2412" s="70">
        <v>0</v>
      </c>
      <c r="Y2412" s="14">
        <f>T2412-X2412</f>
        <v>0</v>
      </c>
      <c r="Z2412" s="11" t="s">
        <v>26</v>
      </c>
      <c r="AA2412" s="12" t="s">
        <v>31</v>
      </c>
    </row>
    <row r="2413" spans="1:27" x14ac:dyDescent="0.25">
      <c r="A2413" s="10">
        <v>45692</v>
      </c>
      <c r="B2413" s="69">
        <v>1.2129629629629712E-2</v>
      </c>
      <c r="C2413" s="11" t="s">
        <v>4783</v>
      </c>
      <c r="D2413" s="11">
        <v>16943</v>
      </c>
      <c r="E2413" s="11" t="s">
        <v>4764</v>
      </c>
      <c r="F2413" s="11" t="s">
        <v>26</v>
      </c>
      <c r="G2413" s="11" t="s">
        <v>35</v>
      </c>
      <c r="H2413" s="12" t="s">
        <v>36</v>
      </c>
      <c r="I2413" s="12" t="s">
        <v>27</v>
      </c>
      <c r="J2413" s="12" t="s">
        <v>42</v>
      </c>
      <c r="K2413" s="12" t="s">
        <v>43</v>
      </c>
      <c r="L2413" s="13">
        <v>32.799999999999997</v>
      </c>
      <c r="M2413" s="13">
        <v>20</v>
      </c>
      <c r="N2413" s="13">
        <f t="shared" si="241"/>
        <v>1.64</v>
      </c>
      <c r="O2413" s="13">
        <v>45</v>
      </c>
      <c r="P2413" s="13" t="s">
        <v>30</v>
      </c>
      <c r="Q2413" s="13">
        <v>0</v>
      </c>
      <c r="R2413" s="70">
        <f>(L2413*O2413)-Q2413</f>
        <v>1475.9999999999998</v>
      </c>
      <c r="S2413" s="70">
        <v>0</v>
      </c>
      <c r="T2413" s="70">
        <f t="shared" si="249"/>
        <v>0</v>
      </c>
      <c r="U2413" s="70">
        <f t="shared" si="250"/>
        <v>1475.9999999999998</v>
      </c>
      <c r="V2413" s="70">
        <f>+U2413*0</f>
        <v>0</v>
      </c>
      <c r="W2413" s="70">
        <f t="shared" si="251"/>
        <v>1475.9999999999998</v>
      </c>
      <c r="X2413" s="70">
        <v>0</v>
      </c>
      <c r="Y2413" s="14">
        <f>T2413-X2413</f>
        <v>0</v>
      </c>
      <c r="Z2413" s="11" t="s">
        <v>26</v>
      </c>
      <c r="AA2413" s="12" t="s">
        <v>31</v>
      </c>
    </row>
    <row r="2414" spans="1:27" x14ac:dyDescent="0.25">
      <c r="A2414" s="10">
        <v>45693</v>
      </c>
      <c r="B2414" s="69">
        <v>8.7152777777778079E-3</v>
      </c>
      <c r="C2414" s="11" t="s">
        <v>4784</v>
      </c>
      <c r="D2414" s="11">
        <v>16944</v>
      </c>
      <c r="E2414" s="11" t="s">
        <v>496</v>
      </c>
      <c r="F2414" s="11" t="s">
        <v>26</v>
      </c>
      <c r="G2414" s="11">
        <v>22921</v>
      </c>
      <c r="H2414" s="12" t="s">
        <v>4448</v>
      </c>
      <c r="I2414" s="12" t="s">
        <v>27</v>
      </c>
      <c r="J2414" s="12" t="s">
        <v>47</v>
      </c>
      <c r="K2414" s="12" t="s">
        <v>48</v>
      </c>
      <c r="L2414" s="13">
        <v>36.5</v>
      </c>
      <c r="M2414" s="13">
        <v>25</v>
      </c>
      <c r="N2414" s="13">
        <f>L2414/M2414</f>
        <v>1.46</v>
      </c>
      <c r="O2414" s="13">
        <v>46.66</v>
      </c>
      <c r="P2414" s="13" t="s">
        <v>30</v>
      </c>
      <c r="Q2414" s="13">
        <v>0</v>
      </c>
      <c r="R2414" s="70">
        <f>+L2414*O2414</f>
        <v>1703.09</v>
      </c>
      <c r="S2414" s="70">
        <v>0</v>
      </c>
      <c r="T2414" s="70">
        <f>+L2414*S2414</f>
        <v>0</v>
      </c>
      <c r="U2414" s="70">
        <f>+R2414-T2414</f>
        <v>1703.09</v>
      </c>
      <c r="V2414" s="70">
        <f>+U2414*0.75</f>
        <v>1277.3174999999999</v>
      </c>
      <c r="W2414" s="70">
        <f>+U2414-V2414</f>
        <v>425.77250000000004</v>
      </c>
      <c r="X2414" s="70">
        <v>0</v>
      </c>
      <c r="Y2414" s="14">
        <f t="shared" ref="Y2414:Y2418" si="252">T2414-X2414</f>
        <v>0</v>
      </c>
      <c r="Z2414" s="11" t="s">
        <v>26</v>
      </c>
      <c r="AA2414" s="12" t="s">
        <v>31</v>
      </c>
    </row>
    <row r="2415" spans="1:27" x14ac:dyDescent="0.25">
      <c r="A2415" s="10">
        <v>45693</v>
      </c>
      <c r="B2415" s="69">
        <v>1.0659722222222223E-2</v>
      </c>
      <c r="C2415" s="11" t="s">
        <v>4785</v>
      </c>
      <c r="D2415" s="11">
        <v>16945</v>
      </c>
      <c r="E2415" s="11" t="s">
        <v>100</v>
      </c>
      <c r="F2415" s="11" t="s">
        <v>26</v>
      </c>
      <c r="G2415" s="11">
        <v>21746</v>
      </c>
      <c r="H2415" s="12" t="s">
        <v>4448</v>
      </c>
      <c r="I2415" s="12" t="s">
        <v>27</v>
      </c>
      <c r="J2415" s="12" t="s">
        <v>33</v>
      </c>
      <c r="K2415" s="12" t="s">
        <v>34</v>
      </c>
      <c r="L2415" s="13">
        <v>36.340000000000003</v>
      </c>
      <c r="M2415" s="13">
        <v>25</v>
      </c>
      <c r="N2415" s="13">
        <f t="shared" ref="N2415:N2478" si="253">L2415/M2415</f>
        <v>1.4536000000000002</v>
      </c>
      <c r="O2415" s="13">
        <v>45.33</v>
      </c>
      <c r="P2415" s="13" t="s">
        <v>30</v>
      </c>
      <c r="Q2415" s="13">
        <v>0</v>
      </c>
      <c r="R2415" s="70">
        <f>+L2415*O2415</f>
        <v>1647.2922000000001</v>
      </c>
      <c r="S2415" s="70">
        <v>0</v>
      </c>
      <c r="T2415" s="70">
        <f>+L2415*S2415</f>
        <v>0</v>
      </c>
      <c r="U2415" s="70">
        <f>+R2415-T2415</f>
        <v>1647.2922000000001</v>
      </c>
      <c r="V2415" s="70">
        <f>+U2415*0.75</f>
        <v>1235.4691500000001</v>
      </c>
      <c r="W2415" s="70">
        <f>+U2415-V2415</f>
        <v>411.82304999999997</v>
      </c>
      <c r="X2415" s="70">
        <v>0</v>
      </c>
      <c r="Y2415" s="14">
        <f t="shared" si="252"/>
        <v>0</v>
      </c>
      <c r="Z2415" s="11" t="s">
        <v>26</v>
      </c>
      <c r="AA2415" s="12" t="s">
        <v>31</v>
      </c>
    </row>
    <row r="2416" spans="1:27" x14ac:dyDescent="0.25">
      <c r="A2416" s="10">
        <v>45693</v>
      </c>
      <c r="B2416" s="69">
        <v>1.2939814814814821E-2</v>
      </c>
      <c r="C2416" s="11" t="s">
        <v>4786</v>
      </c>
      <c r="D2416" s="11">
        <v>16946</v>
      </c>
      <c r="E2416" s="11" t="s">
        <v>552</v>
      </c>
      <c r="F2416" s="11" t="s">
        <v>26</v>
      </c>
      <c r="G2416" s="11">
        <v>69149</v>
      </c>
      <c r="H2416" s="12" t="s">
        <v>4423</v>
      </c>
      <c r="I2416" s="12" t="s">
        <v>27</v>
      </c>
      <c r="J2416" s="12" t="s">
        <v>47</v>
      </c>
      <c r="K2416" s="12" t="s">
        <v>48</v>
      </c>
      <c r="L2416" s="13">
        <v>33.880000000000003</v>
      </c>
      <c r="M2416" s="13">
        <v>25</v>
      </c>
      <c r="N2416" s="13">
        <f t="shared" si="253"/>
        <v>1.3552000000000002</v>
      </c>
      <c r="O2416" s="13">
        <v>46</v>
      </c>
      <c r="P2416" s="13" t="s">
        <v>30</v>
      </c>
      <c r="Q2416" s="13">
        <v>0</v>
      </c>
      <c r="R2416" s="70">
        <f t="shared" ref="R2416" si="254">+L2416*O2416</f>
        <v>1558.48</v>
      </c>
      <c r="S2416" s="70">
        <v>0</v>
      </c>
      <c r="T2416" s="70">
        <f t="shared" ref="T2416" si="255">+L2416*S2416</f>
        <v>0</v>
      </c>
      <c r="U2416" s="70">
        <f t="shared" ref="U2416" si="256">+R2416-T2416</f>
        <v>1558.48</v>
      </c>
      <c r="V2416" s="70">
        <f>+U2416*1</f>
        <v>1558.48</v>
      </c>
      <c r="W2416" s="70">
        <f t="shared" ref="W2416" si="257">+U2416-V2416</f>
        <v>0</v>
      </c>
      <c r="X2416" s="70">
        <v>0</v>
      </c>
      <c r="Y2416" s="14">
        <f t="shared" si="252"/>
        <v>0</v>
      </c>
      <c r="Z2416" s="11" t="s">
        <v>26</v>
      </c>
      <c r="AA2416" s="12" t="s">
        <v>31</v>
      </c>
    </row>
    <row r="2417" spans="1:27" x14ac:dyDescent="0.25">
      <c r="A2417" s="10">
        <v>45693</v>
      </c>
      <c r="B2417" s="69">
        <v>1.722222222222225E-2</v>
      </c>
      <c r="C2417" s="11" t="s">
        <v>4787</v>
      </c>
      <c r="D2417" s="11">
        <v>16947</v>
      </c>
      <c r="E2417" s="11" t="s">
        <v>481</v>
      </c>
      <c r="F2417" s="11" t="s">
        <v>26</v>
      </c>
      <c r="G2417" s="11">
        <v>78801</v>
      </c>
      <c r="H2417" s="12" t="s">
        <v>4448</v>
      </c>
      <c r="I2417" s="12" t="s">
        <v>55</v>
      </c>
      <c r="J2417" s="12" t="s">
        <v>55</v>
      </c>
      <c r="K2417" s="12" t="s">
        <v>56</v>
      </c>
      <c r="L2417" s="13">
        <v>35.700000000000003</v>
      </c>
      <c r="M2417" s="13">
        <v>25</v>
      </c>
      <c r="N2417" s="13">
        <f t="shared" si="253"/>
        <v>1.4280000000000002</v>
      </c>
      <c r="O2417" s="13">
        <v>15</v>
      </c>
      <c r="P2417" s="13" t="s">
        <v>30</v>
      </c>
      <c r="Q2417" s="13">
        <v>0</v>
      </c>
      <c r="R2417" s="70">
        <f>+L2417*O2417</f>
        <v>535.5</v>
      </c>
      <c r="S2417" s="70">
        <v>0</v>
      </c>
      <c r="T2417" s="70">
        <f>+L2417*S2417</f>
        <v>0</v>
      </c>
      <c r="U2417" s="70">
        <f>+R2417-T2417</f>
        <v>535.5</v>
      </c>
      <c r="V2417" s="70">
        <f>+U2417*0.75</f>
        <v>401.625</v>
      </c>
      <c r="W2417" s="70">
        <f>+U2417-V2417</f>
        <v>133.875</v>
      </c>
      <c r="X2417" s="70">
        <v>0</v>
      </c>
      <c r="Y2417" s="14">
        <f t="shared" si="252"/>
        <v>0</v>
      </c>
      <c r="Z2417" s="11" t="s">
        <v>26</v>
      </c>
      <c r="AA2417" s="12" t="s">
        <v>31</v>
      </c>
    </row>
    <row r="2418" spans="1:27" x14ac:dyDescent="0.25">
      <c r="A2418" s="10">
        <v>45693</v>
      </c>
      <c r="B2418" s="69">
        <v>1.9803240740740691E-2</v>
      </c>
      <c r="C2418" s="11" t="s">
        <v>4788</v>
      </c>
      <c r="D2418" s="11">
        <v>16948</v>
      </c>
      <c r="E2418" s="11" t="s">
        <v>50</v>
      </c>
      <c r="F2418" s="11" t="s">
        <v>26</v>
      </c>
      <c r="G2418" s="11">
        <v>937</v>
      </c>
      <c r="H2418" s="12" t="s">
        <v>163</v>
      </c>
      <c r="I2418" s="12" t="s">
        <v>27</v>
      </c>
      <c r="J2418" s="12" t="s">
        <v>47</v>
      </c>
      <c r="K2418" s="12" t="s">
        <v>48</v>
      </c>
      <c r="L2418" s="13">
        <v>35.1</v>
      </c>
      <c r="M2418" s="13">
        <v>24</v>
      </c>
      <c r="N2418" s="13">
        <f t="shared" si="253"/>
        <v>1.4625000000000001</v>
      </c>
      <c r="O2418" s="13" t="s">
        <v>30</v>
      </c>
      <c r="P2418" s="13">
        <v>60</v>
      </c>
      <c r="Q2418" s="13">
        <v>0</v>
      </c>
      <c r="R2418" s="70">
        <f>M2418*P2418</f>
        <v>1440</v>
      </c>
      <c r="S2418" s="70">
        <v>0</v>
      </c>
      <c r="T2418" s="70">
        <f>M2418*S2418</f>
        <v>0</v>
      </c>
      <c r="U2418" s="70">
        <f>R2418-T2418</f>
        <v>1440</v>
      </c>
      <c r="V2418" s="70">
        <f>U2418*0</f>
        <v>0</v>
      </c>
      <c r="W2418" s="70">
        <f>U2418-V2418</f>
        <v>1440</v>
      </c>
      <c r="X2418" s="70">
        <v>0</v>
      </c>
      <c r="Y2418" s="14">
        <f t="shared" si="252"/>
        <v>0</v>
      </c>
      <c r="Z2418" s="11" t="s">
        <v>26</v>
      </c>
      <c r="AA2418" s="12" t="s">
        <v>31</v>
      </c>
    </row>
    <row r="2419" spans="1:27" x14ac:dyDescent="0.25">
      <c r="A2419" s="10">
        <v>45693</v>
      </c>
      <c r="B2419" s="69">
        <v>1.8495370370370412E-2</v>
      </c>
      <c r="C2419" s="11" t="s">
        <v>4789</v>
      </c>
      <c r="D2419" s="11">
        <v>16949</v>
      </c>
      <c r="E2419" s="11" t="s">
        <v>539</v>
      </c>
      <c r="F2419" s="11" t="s">
        <v>26</v>
      </c>
      <c r="G2419" s="11" t="s">
        <v>26</v>
      </c>
      <c r="H2419" s="12" t="s">
        <v>4422</v>
      </c>
      <c r="I2419" s="12" t="s">
        <v>27</v>
      </c>
      <c r="J2419" s="12" t="s">
        <v>33</v>
      </c>
      <c r="K2419" s="12" t="s">
        <v>34</v>
      </c>
      <c r="L2419" s="13">
        <v>42.2</v>
      </c>
      <c r="M2419" s="13">
        <v>29</v>
      </c>
      <c r="N2419" s="13">
        <f t="shared" si="253"/>
        <v>1.4551724137931035</v>
      </c>
      <c r="O2419" s="13">
        <v>85</v>
      </c>
      <c r="P2419" s="13" t="s">
        <v>30</v>
      </c>
      <c r="Q2419" s="13">
        <v>0</v>
      </c>
      <c r="R2419" s="70">
        <f>L2419*O2419</f>
        <v>3587.0000000000005</v>
      </c>
      <c r="S2419" s="70">
        <v>38</v>
      </c>
      <c r="T2419" s="70">
        <f>L2419*S2419</f>
        <v>1603.6000000000001</v>
      </c>
      <c r="U2419" s="70">
        <f>R2419-T2419</f>
        <v>1983.4000000000003</v>
      </c>
      <c r="V2419" s="70">
        <f>U2419*1</f>
        <v>1983.4000000000003</v>
      </c>
      <c r="W2419" s="70">
        <f>U2419-V2419</f>
        <v>0</v>
      </c>
      <c r="X2419" s="70">
        <f>L2419*37</f>
        <v>1561.4</v>
      </c>
      <c r="Y2419" s="71">
        <f>+T2419-X2419</f>
        <v>42.200000000000045</v>
      </c>
      <c r="Z2419" s="12" t="s">
        <v>41</v>
      </c>
      <c r="AA2419" s="12" t="s">
        <v>78</v>
      </c>
    </row>
    <row r="2420" spans="1:27" x14ac:dyDescent="0.25">
      <c r="A2420" s="10">
        <v>45693</v>
      </c>
      <c r="B2420" s="69">
        <v>2.2326388888888882E-2</v>
      </c>
      <c r="C2420" s="11" t="s">
        <v>4790</v>
      </c>
      <c r="D2420" s="11">
        <v>16950</v>
      </c>
      <c r="E2420" s="11" t="s">
        <v>480</v>
      </c>
      <c r="F2420" s="11" t="s">
        <v>26</v>
      </c>
      <c r="G2420" s="11">
        <v>70411</v>
      </c>
      <c r="H2420" s="12" t="s">
        <v>4448</v>
      </c>
      <c r="I2420" s="12" t="s">
        <v>55</v>
      </c>
      <c r="J2420" s="12" t="s">
        <v>55</v>
      </c>
      <c r="K2420" s="12" t="s">
        <v>56</v>
      </c>
      <c r="L2420" s="13">
        <v>35.22</v>
      </c>
      <c r="M2420" s="13">
        <v>25</v>
      </c>
      <c r="N2420" s="13">
        <f t="shared" si="253"/>
        <v>1.4088000000000001</v>
      </c>
      <c r="O2420" s="13">
        <v>15</v>
      </c>
      <c r="P2420" s="13" t="s">
        <v>30</v>
      </c>
      <c r="Q2420" s="13">
        <v>0</v>
      </c>
      <c r="R2420" s="70">
        <f>+L2420*O2420</f>
        <v>528.29999999999995</v>
      </c>
      <c r="S2420" s="70">
        <v>0</v>
      </c>
      <c r="T2420" s="70">
        <f>+L2420*S2420</f>
        <v>0</v>
      </c>
      <c r="U2420" s="70">
        <f>+R2420-T2420</f>
        <v>528.29999999999995</v>
      </c>
      <c r="V2420" s="70">
        <f>+U2420*0.75</f>
        <v>396.22499999999997</v>
      </c>
      <c r="W2420" s="70">
        <f>+U2420-V2420</f>
        <v>132.07499999999999</v>
      </c>
      <c r="X2420" s="70">
        <v>0</v>
      </c>
      <c r="Y2420" s="14">
        <f t="shared" ref="Y2420:Y2424" si="258">T2420-X2420</f>
        <v>0</v>
      </c>
      <c r="Z2420" s="11" t="s">
        <v>26</v>
      </c>
      <c r="AA2420" s="12" t="s">
        <v>31</v>
      </c>
    </row>
    <row r="2421" spans="1:27" x14ac:dyDescent="0.25">
      <c r="A2421" s="10">
        <v>45693</v>
      </c>
      <c r="B2421" s="69">
        <v>2.3425925925925961E-2</v>
      </c>
      <c r="C2421" s="11" t="s">
        <v>4791</v>
      </c>
      <c r="D2421" s="11">
        <v>16951</v>
      </c>
      <c r="E2421" s="11" t="s">
        <v>49</v>
      </c>
      <c r="F2421" s="11" t="s">
        <v>26</v>
      </c>
      <c r="G2421" s="11">
        <v>1582</v>
      </c>
      <c r="H2421" s="12" t="s">
        <v>45</v>
      </c>
      <c r="I2421" s="12" t="s">
        <v>27</v>
      </c>
      <c r="J2421" s="12" t="s">
        <v>33</v>
      </c>
      <c r="K2421" s="12" t="s">
        <v>34</v>
      </c>
      <c r="L2421" s="13">
        <v>37.86</v>
      </c>
      <c r="M2421" s="13">
        <v>25</v>
      </c>
      <c r="N2421" s="13">
        <f t="shared" si="253"/>
        <v>1.5144</v>
      </c>
      <c r="O2421" s="13" t="s">
        <v>30</v>
      </c>
      <c r="P2421" s="13">
        <v>58</v>
      </c>
      <c r="Q2421" s="13">
        <v>0</v>
      </c>
      <c r="R2421" s="70">
        <f>M2421*P2421</f>
        <v>1450</v>
      </c>
      <c r="S2421" s="70">
        <v>0</v>
      </c>
      <c r="T2421" s="70">
        <f>M2421*S2421</f>
        <v>0</v>
      </c>
      <c r="U2421" s="70">
        <f>R2421-T2421</f>
        <v>1450</v>
      </c>
      <c r="V2421" s="70">
        <f>U2421*0</f>
        <v>0</v>
      </c>
      <c r="W2421" s="70">
        <f>U2421-V2421</f>
        <v>1450</v>
      </c>
      <c r="X2421" s="70">
        <v>0</v>
      </c>
      <c r="Y2421" s="14">
        <f t="shared" si="258"/>
        <v>0</v>
      </c>
      <c r="Z2421" s="11" t="s">
        <v>26</v>
      </c>
      <c r="AA2421" s="12" t="s">
        <v>31</v>
      </c>
    </row>
    <row r="2422" spans="1:27" x14ac:dyDescent="0.25">
      <c r="A2422" s="10">
        <v>45693</v>
      </c>
      <c r="B2422" s="69">
        <v>2.7881944444444418E-2</v>
      </c>
      <c r="C2422" s="11" t="s">
        <v>4792</v>
      </c>
      <c r="D2422" s="11">
        <v>16952</v>
      </c>
      <c r="E2422" s="11" t="s">
        <v>483</v>
      </c>
      <c r="F2422" s="11" t="s">
        <v>26</v>
      </c>
      <c r="G2422" s="11">
        <v>3577</v>
      </c>
      <c r="H2422" s="12" t="s">
        <v>41</v>
      </c>
      <c r="I2422" s="12" t="s">
        <v>55</v>
      </c>
      <c r="J2422" s="12" t="s">
        <v>55</v>
      </c>
      <c r="K2422" s="12" t="s">
        <v>56</v>
      </c>
      <c r="L2422" s="13">
        <v>36.380000000000003</v>
      </c>
      <c r="M2422" s="13">
        <v>25</v>
      </c>
      <c r="N2422" s="13">
        <f t="shared" si="253"/>
        <v>1.4552</v>
      </c>
      <c r="O2422" s="13" t="s">
        <v>30</v>
      </c>
      <c r="P2422" s="13">
        <v>24</v>
      </c>
      <c r="Q2422" s="13">
        <v>0</v>
      </c>
      <c r="R2422" s="70">
        <f>+M2422*P2422</f>
        <v>600</v>
      </c>
      <c r="S2422" s="70">
        <v>0</v>
      </c>
      <c r="T2422" s="70">
        <f>+M2422*S2422</f>
        <v>0</v>
      </c>
      <c r="U2422" s="70">
        <f t="shared" ref="U2422" si="259">+R2422-T2422</f>
        <v>600</v>
      </c>
      <c r="V2422" s="70">
        <f>+U2422*0</f>
        <v>0</v>
      </c>
      <c r="W2422" s="70">
        <f t="shared" ref="W2422" si="260">+U2422-V2422</f>
        <v>600</v>
      </c>
      <c r="X2422" s="70">
        <v>0</v>
      </c>
      <c r="Y2422" s="14">
        <f t="shared" si="258"/>
        <v>0</v>
      </c>
      <c r="Z2422" s="11" t="s">
        <v>26</v>
      </c>
      <c r="AA2422" s="12" t="s">
        <v>31</v>
      </c>
    </row>
    <row r="2423" spans="1:27" x14ac:dyDescent="0.25">
      <c r="A2423" s="10">
        <v>45693</v>
      </c>
      <c r="B2423" s="69">
        <v>2.7824074074074112E-2</v>
      </c>
      <c r="C2423" s="11" t="s">
        <v>4793</v>
      </c>
      <c r="D2423" s="11">
        <v>16953</v>
      </c>
      <c r="E2423" s="11" t="s">
        <v>490</v>
      </c>
      <c r="F2423" s="11" t="s">
        <v>26</v>
      </c>
      <c r="G2423" s="11">
        <v>22109</v>
      </c>
      <c r="H2423" s="12" t="s">
        <v>4448</v>
      </c>
      <c r="I2423" s="12" t="s">
        <v>55</v>
      </c>
      <c r="J2423" s="12" t="s">
        <v>55</v>
      </c>
      <c r="K2423" s="12" t="s">
        <v>56</v>
      </c>
      <c r="L2423" s="13">
        <v>36.44</v>
      </c>
      <c r="M2423" s="13">
        <v>25</v>
      </c>
      <c r="N2423" s="13">
        <f t="shared" si="253"/>
        <v>1.4576</v>
      </c>
      <c r="O2423" s="13">
        <v>15</v>
      </c>
      <c r="P2423" s="13" t="s">
        <v>30</v>
      </c>
      <c r="Q2423" s="13">
        <v>0</v>
      </c>
      <c r="R2423" s="70">
        <f>+L2423*O2423</f>
        <v>546.59999999999991</v>
      </c>
      <c r="S2423" s="70">
        <v>0</v>
      </c>
      <c r="T2423" s="70">
        <f>+L2423*S2423</f>
        <v>0</v>
      </c>
      <c r="U2423" s="70">
        <f>+R2423-T2423</f>
        <v>546.59999999999991</v>
      </c>
      <c r="V2423" s="70">
        <f>+U2423*0.75</f>
        <v>409.94999999999993</v>
      </c>
      <c r="W2423" s="70">
        <f>+U2423-V2423</f>
        <v>136.64999999999998</v>
      </c>
      <c r="X2423" s="70">
        <v>0</v>
      </c>
      <c r="Y2423" s="14">
        <f t="shared" si="258"/>
        <v>0</v>
      </c>
      <c r="Z2423" s="11" t="s">
        <v>26</v>
      </c>
      <c r="AA2423" s="12" t="s">
        <v>31</v>
      </c>
    </row>
    <row r="2424" spans="1:27" x14ac:dyDescent="0.25">
      <c r="A2424" s="10">
        <v>45693</v>
      </c>
      <c r="B2424" s="69">
        <v>2.2986111111111096E-2</v>
      </c>
      <c r="C2424" s="11" t="s">
        <v>4794</v>
      </c>
      <c r="D2424" s="11">
        <v>16954</v>
      </c>
      <c r="E2424" s="11" t="s">
        <v>461</v>
      </c>
      <c r="F2424" s="11" t="s">
        <v>26</v>
      </c>
      <c r="G2424" s="11" t="s">
        <v>35</v>
      </c>
      <c r="H2424" s="12" t="s">
        <v>36</v>
      </c>
      <c r="I2424" s="12" t="s">
        <v>55</v>
      </c>
      <c r="J2424" s="12" t="s">
        <v>55</v>
      </c>
      <c r="K2424" s="12" t="s">
        <v>56</v>
      </c>
      <c r="L2424" s="13">
        <v>29.76</v>
      </c>
      <c r="M2424" s="13">
        <v>20</v>
      </c>
      <c r="N2424" s="13">
        <f t="shared" si="253"/>
        <v>1.488</v>
      </c>
      <c r="O2424" s="13">
        <v>20</v>
      </c>
      <c r="P2424" s="13" t="s">
        <v>30</v>
      </c>
      <c r="Q2424" s="13">
        <v>0</v>
      </c>
      <c r="R2424" s="70">
        <f>(L2424*O2424)-Q2424</f>
        <v>595.20000000000005</v>
      </c>
      <c r="S2424" s="70">
        <v>0</v>
      </c>
      <c r="T2424" s="70">
        <f t="shared" ref="T2424" si="261">+L2424*S2424</f>
        <v>0</v>
      </c>
      <c r="U2424" s="70">
        <f t="shared" ref="U2424" si="262">+R2424-T2424</f>
        <v>595.20000000000005</v>
      </c>
      <c r="V2424" s="70">
        <f t="shared" ref="V2424" si="263">+U2424*0</f>
        <v>0</v>
      </c>
      <c r="W2424" s="70">
        <f t="shared" ref="W2424" si="264">+U2424-V2424</f>
        <v>595.20000000000005</v>
      </c>
      <c r="X2424" s="70">
        <v>0</v>
      </c>
      <c r="Y2424" s="14">
        <f t="shared" si="258"/>
        <v>0</v>
      </c>
      <c r="Z2424" s="11" t="s">
        <v>26</v>
      </c>
      <c r="AA2424" s="12" t="s">
        <v>31</v>
      </c>
    </row>
    <row r="2425" spans="1:27" x14ac:dyDescent="0.25">
      <c r="A2425" s="10">
        <v>45693</v>
      </c>
      <c r="B2425" s="69">
        <v>3.5567129629629657E-2</v>
      </c>
      <c r="C2425" s="11" t="s">
        <v>4795</v>
      </c>
      <c r="D2425" s="11">
        <v>16955</v>
      </c>
      <c r="E2425" s="11" t="s">
        <v>57</v>
      </c>
      <c r="F2425" s="11" t="s">
        <v>26</v>
      </c>
      <c r="G2425" s="11" t="s">
        <v>26</v>
      </c>
      <c r="H2425" s="12" t="s">
        <v>4422</v>
      </c>
      <c r="I2425" s="12" t="s">
        <v>27</v>
      </c>
      <c r="J2425" s="12" t="s">
        <v>47</v>
      </c>
      <c r="K2425" s="12" t="s">
        <v>48</v>
      </c>
      <c r="L2425" s="13">
        <v>42.66</v>
      </c>
      <c r="M2425" s="13">
        <v>29</v>
      </c>
      <c r="N2425" s="13">
        <f t="shared" si="253"/>
        <v>1.4710344827586206</v>
      </c>
      <c r="O2425" s="13">
        <v>87</v>
      </c>
      <c r="P2425" s="13" t="s">
        <v>30</v>
      </c>
      <c r="Q2425" s="13">
        <v>0</v>
      </c>
      <c r="R2425" s="70">
        <f>L2425*O2425</f>
        <v>3711.4199999999996</v>
      </c>
      <c r="S2425" s="70">
        <v>38</v>
      </c>
      <c r="T2425" s="70">
        <f>L2425*S2425</f>
        <v>1621.08</v>
      </c>
      <c r="U2425" s="70">
        <f>R2425-T2425</f>
        <v>2090.3399999999997</v>
      </c>
      <c r="V2425" s="70">
        <f>U2425*1</f>
        <v>2090.3399999999997</v>
      </c>
      <c r="W2425" s="70">
        <f>U2425-V2425</f>
        <v>0</v>
      </c>
      <c r="X2425" s="70">
        <f>L2425*37</f>
        <v>1578.4199999999998</v>
      </c>
      <c r="Y2425" s="71">
        <f>+T2425-X2425</f>
        <v>42.660000000000082</v>
      </c>
      <c r="Z2425" s="12" t="s">
        <v>41</v>
      </c>
      <c r="AA2425" s="12" t="s">
        <v>78</v>
      </c>
    </row>
    <row r="2426" spans="1:27" x14ac:dyDescent="0.25">
      <c r="A2426" s="10">
        <v>45693</v>
      </c>
      <c r="B2426" s="69">
        <v>2.8900462962962947E-2</v>
      </c>
      <c r="C2426" s="11" t="s">
        <v>4796</v>
      </c>
      <c r="D2426" s="11">
        <v>16956</v>
      </c>
      <c r="E2426" s="11" t="s">
        <v>479</v>
      </c>
      <c r="F2426" s="11" t="s">
        <v>26</v>
      </c>
      <c r="G2426" s="11">
        <v>22006</v>
      </c>
      <c r="H2426" s="12" t="s">
        <v>4448</v>
      </c>
      <c r="I2426" s="12" t="s">
        <v>55</v>
      </c>
      <c r="J2426" s="12" t="s">
        <v>55</v>
      </c>
      <c r="K2426" s="12" t="s">
        <v>56</v>
      </c>
      <c r="L2426" s="13">
        <v>33.520000000000003</v>
      </c>
      <c r="M2426" s="13">
        <v>25</v>
      </c>
      <c r="N2426" s="13">
        <f t="shared" si="253"/>
        <v>1.3408000000000002</v>
      </c>
      <c r="O2426" s="13">
        <v>15</v>
      </c>
      <c r="P2426" s="13" t="s">
        <v>30</v>
      </c>
      <c r="Q2426" s="13">
        <v>0</v>
      </c>
      <c r="R2426" s="70">
        <f>+L2426*O2426</f>
        <v>502.80000000000007</v>
      </c>
      <c r="S2426" s="70">
        <v>0</v>
      </c>
      <c r="T2426" s="70">
        <f>+L2426*S2426</f>
        <v>0</v>
      </c>
      <c r="U2426" s="70">
        <f>+R2426-T2426</f>
        <v>502.80000000000007</v>
      </c>
      <c r="V2426" s="70">
        <f>+U2426*0.75</f>
        <v>377.1</v>
      </c>
      <c r="W2426" s="70">
        <f>+U2426-V2426</f>
        <v>125.70000000000005</v>
      </c>
      <c r="X2426" s="70">
        <v>0</v>
      </c>
      <c r="Y2426" s="14">
        <f t="shared" ref="Y2426" si="265">T2426-X2426</f>
        <v>0</v>
      </c>
      <c r="Z2426" s="11" t="s">
        <v>26</v>
      </c>
      <c r="AA2426" s="12" t="s">
        <v>31</v>
      </c>
    </row>
    <row r="2427" spans="1:27" x14ac:dyDescent="0.25">
      <c r="A2427" s="10">
        <v>45693</v>
      </c>
      <c r="B2427" s="69">
        <v>3.6388888888888915E-2</v>
      </c>
      <c r="C2427" s="11" t="s">
        <v>4797</v>
      </c>
      <c r="D2427" s="11">
        <v>16957</v>
      </c>
      <c r="E2427" s="11" t="s">
        <v>246</v>
      </c>
      <c r="F2427" s="11" t="s">
        <v>26</v>
      </c>
      <c r="G2427" s="11" t="s">
        <v>26</v>
      </c>
      <c r="H2427" s="12" t="s">
        <v>4422</v>
      </c>
      <c r="I2427" s="12" t="s">
        <v>27</v>
      </c>
      <c r="J2427" s="12" t="s">
        <v>42</v>
      </c>
      <c r="K2427" s="12" t="s">
        <v>43</v>
      </c>
      <c r="L2427" s="13">
        <v>42.28</v>
      </c>
      <c r="M2427" s="13">
        <v>25</v>
      </c>
      <c r="N2427" s="13">
        <f t="shared" si="253"/>
        <v>1.6912</v>
      </c>
      <c r="O2427" s="13">
        <v>83</v>
      </c>
      <c r="P2427" s="13" t="s">
        <v>30</v>
      </c>
      <c r="Q2427" s="13">
        <v>0</v>
      </c>
      <c r="R2427" s="70">
        <f>L2427*O2427</f>
        <v>3509.2400000000002</v>
      </c>
      <c r="S2427" s="70">
        <v>38</v>
      </c>
      <c r="T2427" s="70">
        <f>L2427*S2427</f>
        <v>1606.64</v>
      </c>
      <c r="U2427" s="70">
        <f>R2427-T2427</f>
        <v>1902.6000000000001</v>
      </c>
      <c r="V2427" s="70">
        <f>U2427*1</f>
        <v>1902.6000000000001</v>
      </c>
      <c r="W2427" s="70">
        <f>U2427-V2427</f>
        <v>0</v>
      </c>
      <c r="X2427" s="70">
        <f>L2427*37</f>
        <v>1564.3600000000001</v>
      </c>
      <c r="Y2427" s="71">
        <f>+T2427-X2427</f>
        <v>42.279999999999973</v>
      </c>
      <c r="Z2427" s="12" t="s">
        <v>41</v>
      </c>
      <c r="AA2427" s="12" t="s">
        <v>78</v>
      </c>
    </row>
    <row r="2428" spans="1:27" x14ac:dyDescent="0.25">
      <c r="A2428" s="10">
        <v>45693</v>
      </c>
      <c r="B2428" s="69">
        <v>3.1932870370370348E-2</v>
      </c>
      <c r="C2428" s="11" t="s">
        <v>4798</v>
      </c>
      <c r="D2428" s="11">
        <v>16958</v>
      </c>
      <c r="E2428" s="11" t="s">
        <v>240</v>
      </c>
      <c r="F2428" s="11" t="s">
        <v>26</v>
      </c>
      <c r="G2428" s="11">
        <v>2866</v>
      </c>
      <c r="H2428" s="12" t="s">
        <v>41</v>
      </c>
      <c r="I2428" s="12" t="s">
        <v>55</v>
      </c>
      <c r="J2428" s="12" t="s">
        <v>55</v>
      </c>
      <c r="K2428" s="12" t="s">
        <v>56</v>
      </c>
      <c r="L2428" s="13">
        <v>35.58</v>
      </c>
      <c r="M2428" s="13">
        <v>25</v>
      </c>
      <c r="N2428" s="13">
        <f t="shared" si="253"/>
        <v>1.4232</v>
      </c>
      <c r="O2428" s="13" t="s">
        <v>30</v>
      </c>
      <c r="P2428" s="13">
        <v>24</v>
      </c>
      <c r="Q2428" s="13">
        <v>0</v>
      </c>
      <c r="R2428" s="70">
        <f>+M2428*P2428</f>
        <v>600</v>
      </c>
      <c r="S2428" s="70">
        <v>0</v>
      </c>
      <c r="T2428" s="70">
        <f>+M2428*S2428</f>
        <v>0</v>
      </c>
      <c r="U2428" s="70">
        <f t="shared" ref="U2428" si="266">+R2428-T2428</f>
        <v>600</v>
      </c>
      <c r="V2428" s="70">
        <f>+U2428*0</f>
        <v>0</v>
      </c>
      <c r="W2428" s="70">
        <f t="shared" ref="W2428" si="267">+U2428-V2428</f>
        <v>600</v>
      </c>
      <c r="X2428" s="70">
        <v>0</v>
      </c>
      <c r="Y2428" s="14">
        <f t="shared" ref="Y2428:Y2486" si="268">T2428-X2428</f>
        <v>0</v>
      </c>
      <c r="Z2428" s="11" t="s">
        <v>26</v>
      </c>
      <c r="AA2428" s="12" t="s">
        <v>31</v>
      </c>
    </row>
    <row r="2429" spans="1:27" x14ac:dyDescent="0.25">
      <c r="A2429" s="10">
        <v>45693</v>
      </c>
      <c r="B2429" s="69">
        <v>4.1168981481481459E-2</v>
      </c>
      <c r="C2429" s="11" t="s">
        <v>4799</v>
      </c>
      <c r="D2429" s="11">
        <v>16959</v>
      </c>
      <c r="E2429" s="11" t="s">
        <v>44</v>
      </c>
      <c r="F2429" s="11" t="s">
        <v>26</v>
      </c>
      <c r="G2429" s="11">
        <v>1589</v>
      </c>
      <c r="H2429" s="12" t="s">
        <v>45</v>
      </c>
      <c r="I2429" s="12" t="s">
        <v>27</v>
      </c>
      <c r="J2429" s="12" t="s">
        <v>33</v>
      </c>
      <c r="K2429" s="12" t="s">
        <v>34</v>
      </c>
      <c r="L2429" s="13">
        <v>38.78</v>
      </c>
      <c r="M2429" s="13">
        <v>25</v>
      </c>
      <c r="N2429" s="13">
        <f t="shared" si="253"/>
        <v>1.5512000000000001</v>
      </c>
      <c r="O2429" s="13" t="s">
        <v>30</v>
      </c>
      <c r="P2429" s="13">
        <v>58</v>
      </c>
      <c r="Q2429" s="13">
        <v>0</v>
      </c>
      <c r="R2429" s="70">
        <f>M2429*P2429</f>
        <v>1450</v>
      </c>
      <c r="S2429" s="70">
        <v>0</v>
      </c>
      <c r="T2429" s="70">
        <f>M2429*S2429</f>
        <v>0</v>
      </c>
      <c r="U2429" s="70">
        <f>R2429-T2429</f>
        <v>1450</v>
      </c>
      <c r="V2429" s="70">
        <f>U2429*0</f>
        <v>0</v>
      </c>
      <c r="W2429" s="70">
        <f>U2429-V2429</f>
        <v>1450</v>
      </c>
      <c r="X2429" s="70">
        <v>0</v>
      </c>
      <c r="Y2429" s="14">
        <f t="shared" si="268"/>
        <v>0</v>
      </c>
      <c r="Z2429" s="11" t="s">
        <v>26</v>
      </c>
      <c r="AA2429" s="12" t="s">
        <v>31</v>
      </c>
    </row>
    <row r="2430" spans="1:27" x14ac:dyDescent="0.25">
      <c r="A2430" s="10">
        <v>45693</v>
      </c>
      <c r="B2430" s="69">
        <v>4.086805555555556E-2</v>
      </c>
      <c r="C2430" s="11" t="s">
        <v>4800</v>
      </c>
      <c r="D2430" s="11">
        <v>16960</v>
      </c>
      <c r="E2430" s="11" t="s">
        <v>53</v>
      </c>
      <c r="F2430" s="11" t="s">
        <v>26</v>
      </c>
      <c r="G2430" s="11">
        <v>3792</v>
      </c>
      <c r="H2430" s="12" t="s">
        <v>41</v>
      </c>
      <c r="I2430" s="12" t="s">
        <v>55</v>
      </c>
      <c r="J2430" s="12" t="s">
        <v>55</v>
      </c>
      <c r="K2430" s="12" t="s">
        <v>56</v>
      </c>
      <c r="L2430" s="13">
        <v>39.5</v>
      </c>
      <c r="M2430" s="13">
        <v>25</v>
      </c>
      <c r="N2430" s="13">
        <f t="shared" si="253"/>
        <v>1.58</v>
      </c>
      <c r="O2430" s="13" t="s">
        <v>30</v>
      </c>
      <c r="P2430" s="13">
        <v>24</v>
      </c>
      <c r="Q2430" s="13">
        <v>0</v>
      </c>
      <c r="R2430" s="70">
        <f>+M2430*P2430</f>
        <v>600</v>
      </c>
      <c r="S2430" s="70">
        <v>0</v>
      </c>
      <c r="T2430" s="70">
        <f>+M2430*S2430</f>
        <v>0</v>
      </c>
      <c r="U2430" s="70">
        <f t="shared" ref="U2430" si="269">+R2430-T2430</f>
        <v>600</v>
      </c>
      <c r="V2430" s="70">
        <f>+U2430*0</f>
        <v>0</v>
      </c>
      <c r="W2430" s="70">
        <f t="shared" ref="W2430" si="270">+U2430-V2430</f>
        <v>600</v>
      </c>
      <c r="X2430" s="70">
        <v>0</v>
      </c>
      <c r="Y2430" s="14">
        <f t="shared" si="268"/>
        <v>0</v>
      </c>
      <c r="Z2430" s="11" t="s">
        <v>26</v>
      </c>
      <c r="AA2430" s="12" t="s">
        <v>31</v>
      </c>
    </row>
    <row r="2431" spans="1:27" x14ac:dyDescent="0.25">
      <c r="A2431" s="10">
        <v>45693</v>
      </c>
      <c r="B2431" s="69">
        <v>3.4375000000000044E-2</v>
      </c>
      <c r="C2431" s="11" t="s">
        <v>4801</v>
      </c>
      <c r="D2431" s="11">
        <v>16961</v>
      </c>
      <c r="E2431" s="11" t="s">
        <v>1200</v>
      </c>
      <c r="F2431" s="11" t="s">
        <v>26</v>
      </c>
      <c r="G2431" s="11">
        <v>2953</v>
      </c>
      <c r="H2431" s="12" t="s">
        <v>163</v>
      </c>
      <c r="I2431" s="12" t="s">
        <v>27</v>
      </c>
      <c r="J2431" s="12" t="s">
        <v>33</v>
      </c>
      <c r="K2431" s="12" t="s">
        <v>34</v>
      </c>
      <c r="L2431" s="13">
        <v>38.92</v>
      </c>
      <c r="M2431" s="13">
        <v>25</v>
      </c>
      <c r="N2431" s="13">
        <f t="shared" si="253"/>
        <v>1.5568</v>
      </c>
      <c r="O2431" s="13" t="s">
        <v>30</v>
      </c>
      <c r="P2431" s="13">
        <v>60</v>
      </c>
      <c r="Q2431" s="13">
        <v>0</v>
      </c>
      <c r="R2431" s="70">
        <f>M2431*P2431</f>
        <v>1500</v>
      </c>
      <c r="S2431" s="70">
        <v>0</v>
      </c>
      <c r="T2431" s="70">
        <f>M2431*S2431</f>
        <v>0</v>
      </c>
      <c r="U2431" s="70">
        <f>R2431-T2431</f>
        <v>1500</v>
      </c>
      <c r="V2431" s="70">
        <f>U2431*0</f>
        <v>0</v>
      </c>
      <c r="W2431" s="70">
        <f>U2431-V2431</f>
        <v>1500</v>
      </c>
      <c r="X2431" s="70">
        <v>0</v>
      </c>
      <c r="Y2431" s="14">
        <f t="shared" si="268"/>
        <v>0</v>
      </c>
      <c r="Z2431" s="11" t="s">
        <v>26</v>
      </c>
      <c r="AA2431" s="12" t="s">
        <v>31</v>
      </c>
    </row>
    <row r="2432" spans="1:27" x14ac:dyDescent="0.25">
      <c r="A2432" s="10">
        <v>45693</v>
      </c>
      <c r="B2432" s="69">
        <v>3.6597222222222225E-2</v>
      </c>
      <c r="C2432" s="11" t="s">
        <v>4802</v>
      </c>
      <c r="D2432" s="11">
        <v>16962</v>
      </c>
      <c r="E2432" s="11" t="s">
        <v>559</v>
      </c>
      <c r="F2432" s="11" t="s">
        <v>26</v>
      </c>
      <c r="G2432" s="11">
        <v>2589</v>
      </c>
      <c r="H2432" s="12" t="s">
        <v>41</v>
      </c>
      <c r="I2432" s="12" t="s">
        <v>27</v>
      </c>
      <c r="J2432" s="12" t="s">
        <v>42</v>
      </c>
      <c r="K2432" s="12" t="s">
        <v>43</v>
      </c>
      <c r="L2432" s="13">
        <v>32.880000000000003</v>
      </c>
      <c r="M2432" s="13">
        <v>20</v>
      </c>
      <c r="N2432" s="13">
        <f t="shared" si="253"/>
        <v>1.6440000000000001</v>
      </c>
      <c r="O2432" s="13" t="s">
        <v>30</v>
      </c>
      <c r="P2432" s="13">
        <v>64</v>
      </c>
      <c r="Q2432" s="13">
        <v>0</v>
      </c>
      <c r="R2432" s="70">
        <f>M2432*P2432</f>
        <v>1280</v>
      </c>
      <c r="S2432" s="70">
        <v>0</v>
      </c>
      <c r="T2432" s="70">
        <f>M2432*S2432</f>
        <v>0</v>
      </c>
      <c r="U2432" s="70">
        <f>+R2432-T2432</f>
        <v>1280</v>
      </c>
      <c r="V2432" s="70">
        <f t="shared" ref="V2432:V2433" si="271">+U2432*0</f>
        <v>0</v>
      </c>
      <c r="W2432" s="70">
        <f>+U2432-V2432</f>
        <v>1280</v>
      </c>
      <c r="X2432" s="70">
        <v>0</v>
      </c>
      <c r="Y2432" s="14">
        <f t="shared" si="268"/>
        <v>0</v>
      </c>
      <c r="Z2432" s="11" t="s">
        <v>26</v>
      </c>
      <c r="AA2432" s="12" t="s">
        <v>31</v>
      </c>
    </row>
    <row r="2433" spans="1:27" x14ac:dyDescent="0.25">
      <c r="A2433" s="10">
        <v>45693</v>
      </c>
      <c r="B2433" s="69">
        <v>4.1863425925925957E-2</v>
      </c>
      <c r="C2433" s="11" t="s">
        <v>4803</v>
      </c>
      <c r="D2433" s="11">
        <v>16963</v>
      </c>
      <c r="E2433" s="11" t="s">
        <v>63</v>
      </c>
      <c r="F2433" s="11" t="s">
        <v>26</v>
      </c>
      <c r="G2433" s="11">
        <v>10181</v>
      </c>
      <c r="H2433" s="12" t="s">
        <v>140</v>
      </c>
      <c r="I2433" s="12" t="s">
        <v>27</v>
      </c>
      <c r="J2433" s="12" t="s">
        <v>33</v>
      </c>
      <c r="K2433" s="12" t="s">
        <v>34</v>
      </c>
      <c r="L2433" s="13">
        <v>38.380000000000003</v>
      </c>
      <c r="M2433" s="13">
        <v>25</v>
      </c>
      <c r="N2433" s="13">
        <f t="shared" si="253"/>
        <v>1.5352000000000001</v>
      </c>
      <c r="O2433" s="13">
        <v>40</v>
      </c>
      <c r="P2433" s="13"/>
      <c r="Q2433" s="13">
        <v>0</v>
      </c>
      <c r="R2433" s="70">
        <f>+L2433*O2433</f>
        <v>1535.2</v>
      </c>
      <c r="S2433" s="70">
        <v>0</v>
      </c>
      <c r="T2433" s="70">
        <f>+L2433*S2433</f>
        <v>0</v>
      </c>
      <c r="U2433" s="70">
        <f>+R2433-T2433</f>
        <v>1535.2</v>
      </c>
      <c r="V2433" s="70">
        <f t="shared" si="271"/>
        <v>0</v>
      </c>
      <c r="W2433" s="70">
        <f>+U2433-V2433</f>
        <v>1535.2</v>
      </c>
      <c r="X2433" s="70">
        <v>0</v>
      </c>
      <c r="Y2433" s="14">
        <f t="shared" si="268"/>
        <v>0</v>
      </c>
      <c r="Z2433" s="11" t="s">
        <v>26</v>
      </c>
      <c r="AA2433" s="12" t="s">
        <v>31</v>
      </c>
    </row>
    <row r="2434" spans="1:27" x14ac:dyDescent="0.25">
      <c r="A2434" s="10">
        <v>45693</v>
      </c>
      <c r="B2434" s="69">
        <v>2.4768518518518579E-2</v>
      </c>
      <c r="C2434" s="11" t="s">
        <v>4804</v>
      </c>
      <c r="D2434" s="11">
        <v>16964</v>
      </c>
      <c r="E2434" s="11" t="s">
        <v>40</v>
      </c>
      <c r="F2434" s="11" t="s">
        <v>26</v>
      </c>
      <c r="G2434" s="11">
        <v>3749</v>
      </c>
      <c r="H2434" s="12" t="s">
        <v>41</v>
      </c>
      <c r="I2434" s="12" t="s">
        <v>55</v>
      </c>
      <c r="J2434" s="12" t="s">
        <v>55</v>
      </c>
      <c r="K2434" s="12" t="s">
        <v>56</v>
      </c>
      <c r="L2434" s="13">
        <v>38.14</v>
      </c>
      <c r="M2434" s="13">
        <v>25</v>
      </c>
      <c r="N2434" s="13">
        <f t="shared" si="253"/>
        <v>1.5256000000000001</v>
      </c>
      <c r="O2434" s="13" t="s">
        <v>30</v>
      </c>
      <c r="P2434" s="13">
        <v>24</v>
      </c>
      <c r="Q2434" s="13">
        <v>0</v>
      </c>
      <c r="R2434" s="70">
        <f>+M2434*P2434</f>
        <v>600</v>
      </c>
      <c r="S2434" s="70">
        <v>0</v>
      </c>
      <c r="T2434" s="70">
        <f>+M2434*S2434</f>
        <v>0</v>
      </c>
      <c r="U2434" s="70">
        <f t="shared" ref="U2434" si="272">+R2434-T2434</f>
        <v>600</v>
      </c>
      <c r="V2434" s="70">
        <f>+U2434*0</f>
        <v>0</v>
      </c>
      <c r="W2434" s="70">
        <f t="shared" ref="W2434" si="273">+U2434-V2434</f>
        <v>600</v>
      </c>
      <c r="X2434" s="70">
        <v>0</v>
      </c>
      <c r="Y2434" s="14">
        <f t="shared" si="268"/>
        <v>0</v>
      </c>
      <c r="Z2434" s="11" t="s">
        <v>26</v>
      </c>
      <c r="AA2434" s="12" t="s">
        <v>31</v>
      </c>
    </row>
    <row r="2435" spans="1:27" x14ac:dyDescent="0.25">
      <c r="A2435" s="10">
        <v>45693</v>
      </c>
      <c r="B2435" s="69">
        <v>1.9120370370370399E-2</v>
      </c>
      <c r="C2435" s="11" t="s">
        <v>4805</v>
      </c>
      <c r="D2435" s="11">
        <v>16965</v>
      </c>
      <c r="E2435" s="11" t="s">
        <v>46</v>
      </c>
      <c r="F2435" s="11" t="s">
        <v>26</v>
      </c>
      <c r="G2435" s="11">
        <v>796</v>
      </c>
      <c r="H2435" s="12" t="s">
        <v>141</v>
      </c>
      <c r="I2435" s="12" t="s">
        <v>55</v>
      </c>
      <c r="J2435" s="12" t="s">
        <v>55</v>
      </c>
      <c r="K2435" s="12" t="s">
        <v>56</v>
      </c>
      <c r="L2435" s="13">
        <v>29.78</v>
      </c>
      <c r="M2435" s="13">
        <v>22</v>
      </c>
      <c r="N2435" s="13">
        <f t="shared" si="253"/>
        <v>1.3536363636363637</v>
      </c>
      <c r="O2435" s="13">
        <v>15</v>
      </c>
      <c r="P2435" s="13" t="s">
        <v>30</v>
      </c>
      <c r="Q2435" s="13">
        <v>0</v>
      </c>
      <c r="R2435" s="70">
        <f>L2435*O2435</f>
        <v>446.70000000000005</v>
      </c>
      <c r="S2435" s="70">
        <v>0</v>
      </c>
      <c r="T2435" s="70">
        <f>L2435*S2435</f>
        <v>0</v>
      </c>
      <c r="U2435" s="70">
        <f>R2435-T2435</f>
        <v>446.70000000000005</v>
      </c>
      <c r="V2435" s="70">
        <f>U2435*0</f>
        <v>0</v>
      </c>
      <c r="W2435" s="70">
        <f>U2435-V2435</f>
        <v>446.70000000000005</v>
      </c>
      <c r="X2435" s="70">
        <v>0</v>
      </c>
      <c r="Y2435" s="14">
        <f t="shared" si="268"/>
        <v>0</v>
      </c>
      <c r="Z2435" s="11" t="s">
        <v>26</v>
      </c>
      <c r="AA2435" s="12" t="s">
        <v>31</v>
      </c>
    </row>
    <row r="2436" spans="1:27" x14ac:dyDescent="0.25">
      <c r="A2436" s="10">
        <v>45693</v>
      </c>
      <c r="B2436" s="69">
        <v>2.8935185185185175E-2</v>
      </c>
      <c r="C2436" s="11" t="s">
        <v>4806</v>
      </c>
      <c r="D2436" s="11">
        <v>16966</v>
      </c>
      <c r="E2436" s="11" t="s">
        <v>435</v>
      </c>
      <c r="F2436" s="11" t="s">
        <v>26</v>
      </c>
      <c r="G2436" s="11">
        <v>3550</v>
      </c>
      <c r="H2436" s="12" t="s">
        <v>41</v>
      </c>
      <c r="I2436" s="12" t="s">
        <v>55</v>
      </c>
      <c r="J2436" s="12" t="s">
        <v>55</v>
      </c>
      <c r="K2436" s="12" t="s">
        <v>56</v>
      </c>
      <c r="L2436" s="13">
        <v>40</v>
      </c>
      <c r="M2436" s="13">
        <v>25</v>
      </c>
      <c r="N2436" s="13">
        <f t="shared" si="253"/>
        <v>1.6</v>
      </c>
      <c r="O2436" s="13" t="s">
        <v>30</v>
      </c>
      <c r="P2436" s="13">
        <v>24</v>
      </c>
      <c r="Q2436" s="13">
        <v>0</v>
      </c>
      <c r="R2436" s="70">
        <f>+M2436*P2436</f>
        <v>600</v>
      </c>
      <c r="S2436" s="70">
        <v>0</v>
      </c>
      <c r="T2436" s="70">
        <f>+M2436*S2436</f>
        <v>0</v>
      </c>
      <c r="U2436" s="70">
        <f t="shared" ref="U2436:U2440" si="274">+R2436-T2436</f>
        <v>600</v>
      </c>
      <c r="V2436" s="70">
        <f>+U2436*0</f>
        <v>0</v>
      </c>
      <c r="W2436" s="70">
        <f t="shared" ref="W2436:W2440" si="275">+U2436-V2436</f>
        <v>600</v>
      </c>
      <c r="X2436" s="70">
        <v>0</v>
      </c>
      <c r="Y2436" s="14">
        <f t="shared" si="268"/>
        <v>0</v>
      </c>
      <c r="Z2436" s="11" t="s">
        <v>26</v>
      </c>
      <c r="AA2436" s="12" t="s">
        <v>31</v>
      </c>
    </row>
    <row r="2437" spans="1:27" x14ac:dyDescent="0.25">
      <c r="A2437" s="10">
        <v>45693</v>
      </c>
      <c r="B2437" s="69">
        <v>8.5995370370370305E-3</v>
      </c>
      <c r="C2437" s="11" t="s">
        <v>4807</v>
      </c>
      <c r="D2437" s="11">
        <v>16967</v>
      </c>
      <c r="E2437" s="11" t="s">
        <v>4776</v>
      </c>
      <c r="F2437" s="11" t="s">
        <v>26</v>
      </c>
      <c r="G2437" s="11" t="s">
        <v>35</v>
      </c>
      <c r="H2437" s="12" t="s">
        <v>36</v>
      </c>
      <c r="I2437" s="12" t="s">
        <v>55</v>
      </c>
      <c r="J2437" s="12" t="s">
        <v>55</v>
      </c>
      <c r="K2437" s="12" t="s">
        <v>56</v>
      </c>
      <c r="L2437" s="13">
        <v>15.32</v>
      </c>
      <c r="M2437" s="13">
        <v>10</v>
      </c>
      <c r="N2437" s="13">
        <f t="shared" si="253"/>
        <v>1.532</v>
      </c>
      <c r="O2437" s="13">
        <v>20</v>
      </c>
      <c r="P2437" s="13" t="s">
        <v>30</v>
      </c>
      <c r="Q2437" s="13">
        <v>0</v>
      </c>
      <c r="R2437" s="70">
        <f>(L2437*O2437)-Q2437</f>
        <v>306.39999999999998</v>
      </c>
      <c r="S2437" s="70">
        <v>0</v>
      </c>
      <c r="T2437" s="70">
        <f t="shared" ref="T2437" si="276">+L2437*S2437</f>
        <v>0</v>
      </c>
      <c r="U2437" s="70">
        <f t="shared" si="274"/>
        <v>306.39999999999998</v>
      </c>
      <c r="V2437" s="70">
        <f t="shared" ref="V2437" si="277">+U2437*0</f>
        <v>0</v>
      </c>
      <c r="W2437" s="70">
        <f t="shared" si="275"/>
        <v>306.39999999999998</v>
      </c>
      <c r="X2437" s="70">
        <v>0</v>
      </c>
      <c r="Y2437" s="14">
        <f t="shared" si="268"/>
        <v>0</v>
      </c>
      <c r="Z2437" s="11" t="s">
        <v>26</v>
      </c>
      <c r="AA2437" s="12" t="s">
        <v>31</v>
      </c>
    </row>
    <row r="2438" spans="1:27" x14ac:dyDescent="0.25">
      <c r="A2438" s="10">
        <v>45693</v>
      </c>
      <c r="B2438" s="69">
        <v>8.7731481481481688E-3</v>
      </c>
      <c r="C2438" s="11" t="s">
        <v>4808</v>
      </c>
      <c r="D2438" s="11">
        <v>16968</v>
      </c>
      <c r="E2438" s="11" t="s">
        <v>230</v>
      </c>
      <c r="F2438" s="11" t="s">
        <v>26</v>
      </c>
      <c r="G2438" s="11">
        <v>3549</v>
      </c>
      <c r="H2438" s="12" t="s">
        <v>41</v>
      </c>
      <c r="I2438" s="12" t="s">
        <v>55</v>
      </c>
      <c r="J2438" s="12" t="s">
        <v>55</v>
      </c>
      <c r="K2438" s="12" t="s">
        <v>56</v>
      </c>
      <c r="L2438" s="13">
        <v>37.26</v>
      </c>
      <c r="M2438" s="13">
        <v>25</v>
      </c>
      <c r="N2438" s="13">
        <f t="shared" si="253"/>
        <v>1.4903999999999999</v>
      </c>
      <c r="O2438" s="13" t="s">
        <v>30</v>
      </c>
      <c r="P2438" s="13">
        <v>24</v>
      </c>
      <c r="Q2438" s="13">
        <v>0</v>
      </c>
      <c r="R2438" s="70">
        <f>+M2438*P2438</f>
        <v>600</v>
      </c>
      <c r="S2438" s="70">
        <v>0</v>
      </c>
      <c r="T2438" s="70">
        <f>+M2438*S2438</f>
        <v>0</v>
      </c>
      <c r="U2438" s="70">
        <f t="shared" si="274"/>
        <v>600</v>
      </c>
      <c r="V2438" s="70">
        <f>+U2438*0</f>
        <v>0</v>
      </c>
      <c r="W2438" s="70">
        <f t="shared" si="275"/>
        <v>600</v>
      </c>
      <c r="X2438" s="70">
        <v>0</v>
      </c>
      <c r="Y2438" s="14">
        <f t="shared" si="268"/>
        <v>0</v>
      </c>
      <c r="Z2438" s="11" t="s">
        <v>26</v>
      </c>
      <c r="AA2438" s="12" t="s">
        <v>31</v>
      </c>
    </row>
    <row r="2439" spans="1:27" x14ac:dyDescent="0.25">
      <c r="A2439" s="10">
        <v>45693</v>
      </c>
      <c r="B2439" s="69">
        <v>7.3645833333333299E-2</v>
      </c>
      <c r="C2439" s="11" t="s">
        <v>4809</v>
      </c>
      <c r="D2439" s="11">
        <v>16969</v>
      </c>
      <c r="E2439" s="11" t="s">
        <v>589</v>
      </c>
      <c r="F2439" s="11" t="s">
        <v>26</v>
      </c>
      <c r="G2439" s="11">
        <v>56909</v>
      </c>
      <c r="H2439" s="12" t="s">
        <v>4423</v>
      </c>
      <c r="I2439" s="12" t="s">
        <v>27</v>
      </c>
      <c r="J2439" s="12" t="s">
        <v>33</v>
      </c>
      <c r="K2439" s="12" t="s">
        <v>34</v>
      </c>
      <c r="L2439" s="13">
        <v>33.18</v>
      </c>
      <c r="M2439" s="13">
        <v>25</v>
      </c>
      <c r="N2439" s="13">
        <f t="shared" si="253"/>
        <v>1.3271999999999999</v>
      </c>
      <c r="O2439" s="13">
        <v>45</v>
      </c>
      <c r="P2439" s="13" t="s">
        <v>30</v>
      </c>
      <c r="Q2439" s="13">
        <v>0</v>
      </c>
      <c r="R2439" s="70">
        <f>+L2439*O2439</f>
        <v>1493.1</v>
      </c>
      <c r="S2439" s="70">
        <v>0</v>
      </c>
      <c r="T2439" s="70">
        <f>+L2439*S2439</f>
        <v>0</v>
      </c>
      <c r="U2439" s="70">
        <f t="shared" si="274"/>
        <v>1493.1</v>
      </c>
      <c r="V2439" s="70">
        <f>+U2439*1</f>
        <v>1493.1</v>
      </c>
      <c r="W2439" s="70">
        <f t="shared" si="275"/>
        <v>0</v>
      </c>
      <c r="X2439" s="70">
        <v>0</v>
      </c>
      <c r="Y2439" s="14">
        <f t="shared" si="268"/>
        <v>0</v>
      </c>
      <c r="Z2439" s="11" t="s">
        <v>26</v>
      </c>
      <c r="AA2439" s="12" t="s">
        <v>31</v>
      </c>
    </row>
    <row r="2440" spans="1:27" x14ac:dyDescent="0.25">
      <c r="A2440" s="10">
        <v>45693</v>
      </c>
      <c r="B2440" s="69">
        <v>2.0810185185185182E-2</v>
      </c>
      <c r="C2440" s="11" t="s">
        <v>4810</v>
      </c>
      <c r="D2440" s="11">
        <v>16970</v>
      </c>
      <c r="E2440" s="11" t="s">
        <v>4811</v>
      </c>
      <c r="F2440" s="11" t="s">
        <v>26</v>
      </c>
      <c r="G2440" s="11" t="s">
        <v>35</v>
      </c>
      <c r="H2440" s="12" t="s">
        <v>36</v>
      </c>
      <c r="I2440" s="12" t="s">
        <v>27</v>
      </c>
      <c r="J2440" s="12" t="s">
        <v>33</v>
      </c>
      <c r="K2440" s="12" t="s">
        <v>34</v>
      </c>
      <c r="L2440" s="13">
        <v>5.0999999999999996</v>
      </c>
      <c r="M2440" s="13">
        <v>3</v>
      </c>
      <c r="N2440" s="13">
        <f t="shared" si="253"/>
        <v>1.7</v>
      </c>
      <c r="O2440" s="13">
        <v>50</v>
      </c>
      <c r="P2440" s="13" t="s">
        <v>30</v>
      </c>
      <c r="Q2440" s="13">
        <v>0</v>
      </c>
      <c r="R2440" s="70">
        <f>(L2440*O2440)-Q2440</f>
        <v>254.99999999999997</v>
      </c>
      <c r="S2440" s="70">
        <v>0</v>
      </c>
      <c r="T2440" s="70">
        <f t="shared" ref="T2440" si="278">+L2440*S2440</f>
        <v>0</v>
      </c>
      <c r="U2440" s="70">
        <f t="shared" si="274"/>
        <v>254.99999999999997</v>
      </c>
      <c r="V2440" s="70">
        <f t="shared" ref="V2440" si="279">+U2440*0</f>
        <v>0</v>
      </c>
      <c r="W2440" s="70">
        <f t="shared" si="275"/>
        <v>254.99999999999997</v>
      </c>
      <c r="X2440" s="70">
        <v>0</v>
      </c>
      <c r="Y2440" s="14">
        <f t="shared" si="268"/>
        <v>0</v>
      </c>
      <c r="Z2440" s="11" t="s">
        <v>26</v>
      </c>
      <c r="AA2440" s="12" t="s">
        <v>31</v>
      </c>
    </row>
    <row r="2441" spans="1:27" x14ac:dyDescent="0.25">
      <c r="A2441" s="10">
        <v>45693</v>
      </c>
      <c r="B2441" s="69">
        <v>3.6041666666666694E-2</v>
      </c>
      <c r="C2441" s="11" t="s">
        <v>4812</v>
      </c>
      <c r="D2441" s="11">
        <v>16971</v>
      </c>
      <c r="E2441" s="11" t="s">
        <v>54</v>
      </c>
      <c r="F2441" s="11" t="s">
        <v>26</v>
      </c>
      <c r="G2441" s="11">
        <v>112412</v>
      </c>
      <c r="H2441" s="12" t="s">
        <v>4446</v>
      </c>
      <c r="I2441" s="12" t="s">
        <v>27</v>
      </c>
      <c r="J2441" s="12" t="s">
        <v>33</v>
      </c>
      <c r="K2441" s="12" t="s">
        <v>34</v>
      </c>
      <c r="L2441" s="13">
        <v>34.04</v>
      </c>
      <c r="M2441" s="13">
        <v>25</v>
      </c>
      <c r="N2441" s="13">
        <f t="shared" si="253"/>
        <v>1.3615999999999999</v>
      </c>
      <c r="O2441" s="13">
        <v>44</v>
      </c>
      <c r="P2441" s="13" t="s">
        <v>30</v>
      </c>
      <c r="Q2441" s="13">
        <v>0</v>
      </c>
      <c r="R2441" s="70">
        <f t="shared" ref="R2441" si="280">+L2441*O2441</f>
        <v>1497.76</v>
      </c>
      <c r="S2441" s="70">
        <v>0</v>
      </c>
      <c r="T2441" s="70">
        <f>+L2441*S2441</f>
        <v>0</v>
      </c>
      <c r="U2441" s="70">
        <f>+R2441-T2441</f>
        <v>1497.76</v>
      </c>
      <c r="V2441" s="70">
        <f>+U2441*1</f>
        <v>1497.76</v>
      </c>
      <c r="W2441" s="70">
        <f>+U2441-V2441</f>
        <v>0</v>
      </c>
      <c r="X2441" s="70">
        <v>0</v>
      </c>
      <c r="Y2441" s="14">
        <f t="shared" si="268"/>
        <v>0</v>
      </c>
      <c r="Z2441" s="11" t="s">
        <v>26</v>
      </c>
      <c r="AA2441" s="12" t="s">
        <v>31</v>
      </c>
    </row>
    <row r="2442" spans="1:27" x14ac:dyDescent="0.25">
      <c r="A2442" s="10">
        <v>45693</v>
      </c>
      <c r="B2442" s="69">
        <v>1.3703703703703718E-2</v>
      </c>
      <c r="C2442" s="11" t="s">
        <v>4813</v>
      </c>
      <c r="D2442" s="11">
        <v>16972</v>
      </c>
      <c r="E2442" s="11" t="s">
        <v>489</v>
      </c>
      <c r="F2442" s="11" t="s">
        <v>26</v>
      </c>
      <c r="G2442" s="11">
        <v>77492</v>
      </c>
      <c r="H2442" s="12" t="s">
        <v>4448</v>
      </c>
      <c r="I2442" s="12" t="s">
        <v>27</v>
      </c>
      <c r="J2442" s="12" t="s">
        <v>42</v>
      </c>
      <c r="K2442" s="12" t="s">
        <v>43</v>
      </c>
      <c r="L2442" s="13">
        <v>42.76</v>
      </c>
      <c r="M2442" s="13">
        <v>25</v>
      </c>
      <c r="N2442" s="13">
        <f t="shared" si="253"/>
        <v>1.7103999999999999</v>
      </c>
      <c r="O2442" s="13">
        <v>42.5</v>
      </c>
      <c r="P2442" s="13"/>
      <c r="Q2442" s="13">
        <v>0</v>
      </c>
      <c r="R2442" s="70">
        <f>+L2442*O2442</f>
        <v>1817.3</v>
      </c>
      <c r="S2442" s="70">
        <v>0</v>
      </c>
      <c r="T2442" s="70">
        <f>+L2442*S2442</f>
        <v>0</v>
      </c>
      <c r="U2442" s="70">
        <f>+R2442-T2442</f>
        <v>1817.3</v>
      </c>
      <c r="V2442" s="70">
        <f>+U2442*0.75</f>
        <v>1362.9749999999999</v>
      </c>
      <c r="W2442" s="70">
        <f>+U2442-V2442</f>
        <v>454.32500000000005</v>
      </c>
      <c r="X2442" s="70">
        <v>0</v>
      </c>
      <c r="Y2442" s="14">
        <f t="shared" si="268"/>
        <v>0</v>
      </c>
      <c r="Z2442" s="11" t="s">
        <v>26</v>
      </c>
      <c r="AA2442" s="12" t="s">
        <v>31</v>
      </c>
    </row>
    <row r="2443" spans="1:27" x14ac:dyDescent="0.25">
      <c r="A2443" s="10">
        <v>45693</v>
      </c>
      <c r="B2443" s="69">
        <v>6.6087962962962377E-3</v>
      </c>
      <c r="C2443" s="11" t="s">
        <v>4814</v>
      </c>
      <c r="D2443" s="11">
        <v>16973</v>
      </c>
      <c r="E2443" s="11" t="s">
        <v>4776</v>
      </c>
      <c r="F2443" s="11" t="s">
        <v>26</v>
      </c>
      <c r="G2443" s="11" t="s">
        <v>35</v>
      </c>
      <c r="H2443" s="12" t="s">
        <v>36</v>
      </c>
      <c r="I2443" s="12" t="s">
        <v>55</v>
      </c>
      <c r="J2443" s="12" t="s">
        <v>55</v>
      </c>
      <c r="K2443" s="12" t="s">
        <v>56</v>
      </c>
      <c r="L2443" s="13">
        <v>15.9</v>
      </c>
      <c r="M2443" s="13">
        <v>10</v>
      </c>
      <c r="N2443" s="13">
        <f t="shared" si="253"/>
        <v>1.59</v>
      </c>
      <c r="O2443" s="13">
        <v>20</v>
      </c>
      <c r="P2443" s="13" t="s">
        <v>30</v>
      </c>
      <c r="Q2443" s="13">
        <v>0</v>
      </c>
      <c r="R2443" s="70">
        <f>(L2443*O2443)-Q2443</f>
        <v>318</v>
      </c>
      <c r="S2443" s="70">
        <v>0</v>
      </c>
      <c r="T2443" s="70">
        <f t="shared" ref="T2443" si="281">+L2443*S2443</f>
        <v>0</v>
      </c>
      <c r="U2443" s="70">
        <f t="shared" ref="U2443:U2444" si="282">+R2443-T2443</f>
        <v>318</v>
      </c>
      <c r="V2443" s="70">
        <f t="shared" ref="V2443" si="283">+U2443*0</f>
        <v>0</v>
      </c>
      <c r="W2443" s="70">
        <f t="shared" ref="W2443:W2444" si="284">+U2443-V2443</f>
        <v>318</v>
      </c>
      <c r="X2443" s="70">
        <v>0</v>
      </c>
      <c r="Y2443" s="14">
        <f t="shared" si="268"/>
        <v>0</v>
      </c>
      <c r="Z2443" s="11" t="s">
        <v>26</v>
      </c>
      <c r="AA2443" s="12" t="s">
        <v>31</v>
      </c>
    </row>
    <row r="2444" spans="1:27" x14ac:dyDescent="0.25">
      <c r="A2444" s="10">
        <v>45693</v>
      </c>
      <c r="B2444" s="69">
        <v>0.10934027777777777</v>
      </c>
      <c r="C2444" s="11" t="s">
        <v>4815</v>
      </c>
      <c r="D2444" s="11">
        <v>16975</v>
      </c>
      <c r="E2444" s="11" t="s">
        <v>593</v>
      </c>
      <c r="F2444" s="11" t="s">
        <v>26</v>
      </c>
      <c r="G2444" s="11">
        <v>44320</v>
      </c>
      <c r="H2444" s="12" t="s">
        <v>4423</v>
      </c>
      <c r="I2444" s="12" t="s">
        <v>27</v>
      </c>
      <c r="J2444" s="12" t="s">
        <v>33</v>
      </c>
      <c r="K2444" s="12" t="s">
        <v>34</v>
      </c>
      <c r="L2444" s="13">
        <v>34.18</v>
      </c>
      <c r="M2444" s="13">
        <v>25</v>
      </c>
      <c r="N2444" s="13">
        <f t="shared" si="253"/>
        <v>1.3672</v>
      </c>
      <c r="O2444" s="13">
        <v>45</v>
      </c>
      <c r="P2444" s="13" t="s">
        <v>30</v>
      </c>
      <c r="Q2444" s="13">
        <v>0</v>
      </c>
      <c r="R2444" s="70">
        <f>+L2444*O2444</f>
        <v>1538.1</v>
      </c>
      <c r="S2444" s="70">
        <v>0</v>
      </c>
      <c r="T2444" s="70">
        <f>+L2444*S2444</f>
        <v>0</v>
      </c>
      <c r="U2444" s="70">
        <f t="shared" si="282"/>
        <v>1538.1</v>
      </c>
      <c r="V2444" s="70">
        <f>+U2444*1</f>
        <v>1538.1</v>
      </c>
      <c r="W2444" s="70">
        <f t="shared" si="284"/>
        <v>0</v>
      </c>
      <c r="X2444" s="70">
        <v>0</v>
      </c>
      <c r="Y2444" s="14">
        <f t="shared" si="268"/>
        <v>0</v>
      </c>
      <c r="Z2444" s="11" t="s">
        <v>26</v>
      </c>
      <c r="AA2444" s="12" t="s">
        <v>31</v>
      </c>
    </row>
    <row r="2445" spans="1:27" x14ac:dyDescent="0.25">
      <c r="A2445" s="10">
        <v>45693</v>
      </c>
      <c r="B2445" s="69">
        <v>9.8263888888888706E-3</v>
      </c>
      <c r="C2445" s="11" t="s">
        <v>4816</v>
      </c>
      <c r="D2445" s="11">
        <v>16976</v>
      </c>
      <c r="E2445" s="11" t="s">
        <v>4817</v>
      </c>
      <c r="F2445" s="11" t="s">
        <v>26</v>
      </c>
      <c r="G2445" s="11">
        <v>72352</v>
      </c>
      <c r="H2445" s="12" t="s">
        <v>4448</v>
      </c>
      <c r="I2445" s="12" t="s">
        <v>27</v>
      </c>
      <c r="J2445" s="12" t="s">
        <v>42</v>
      </c>
      <c r="K2445" s="12" t="s">
        <v>43</v>
      </c>
      <c r="L2445" s="13">
        <v>44.18</v>
      </c>
      <c r="M2445" s="13">
        <v>25</v>
      </c>
      <c r="N2445" s="13">
        <f t="shared" si="253"/>
        <v>1.7671999999999999</v>
      </c>
      <c r="O2445" s="13">
        <v>42.5</v>
      </c>
      <c r="P2445" s="13"/>
      <c r="Q2445" s="13">
        <v>0</v>
      </c>
      <c r="R2445" s="70">
        <f>+L2445*O2445</f>
        <v>1877.65</v>
      </c>
      <c r="S2445" s="70">
        <v>0</v>
      </c>
      <c r="T2445" s="70">
        <f>+L2445*S2445</f>
        <v>0</v>
      </c>
      <c r="U2445" s="70">
        <f>+R2445-T2445</f>
        <v>1877.65</v>
      </c>
      <c r="V2445" s="70">
        <f>+U2445*0.75</f>
        <v>1408.2375000000002</v>
      </c>
      <c r="W2445" s="70">
        <f>+U2445-V2445</f>
        <v>469.41249999999991</v>
      </c>
      <c r="X2445" s="70">
        <v>0</v>
      </c>
      <c r="Y2445" s="14">
        <f t="shared" si="268"/>
        <v>0</v>
      </c>
      <c r="Z2445" s="11" t="s">
        <v>26</v>
      </c>
      <c r="AA2445" s="12" t="s">
        <v>31</v>
      </c>
    </row>
    <row r="2446" spans="1:27" x14ac:dyDescent="0.25">
      <c r="A2446" s="10">
        <v>45693</v>
      </c>
      <c r="B2446" s="69">
        <v>1.3969907407407445E-2</v>
      </c>
      <c r="C2446" s="11" t="s">
        <v>4818</v>
      </c>
      <c r="D2446" s="11">
        <v>16977</v>
      </c>
      <c r="E2446" s="11" t="s">
        <v>552</v>
      </c>
      <c r="F2446" s="11" t="s">
        <v>26</v>
      </c>
      <c r="G2446" s="11">
        <v>69150</v>
      </c>
      <c r="H2446" s="12" t="s">
        <v>4423</v>
      </c>
      <c r="I2446" s="12" t="s">
        <v>27</v>
      </c>
      <c r="J2446" s="12" t="s">
        <v>47</v>
      </c>
      <c r="K2446" s="12" t="s">
        <v>48</v>
      </c>
      <c r="L2446" s="13">
        <v>33.6</v>
      </c>
      <c r="M2446" s="13">
        <v>25</v>
      </c>
      <c r="N2446" s="13">
        <f t="shared" si="253"/>
        <v>1.3440000000000001</v>
      </c>
      <c r="O2446" s="13">
        <v>46</v>
      </c>
      <c r="P2446" s="13" t="s">
        <v>30</v>
      </c>
      <c r="Q2446" s="13">
        <v>0</v>
      </c>
      <c r="R2446" s="70">
        <f t="shared" ref="R2446" si="285">+L2446*O2446</f>
        <v>1545.6000000000001</v>
      </c>
      <c r="S2446" s="70">
        <v>0</v>
      </c>
      <c r="T2446" s="70">
        <f t="shared" ref="T2446" si="286">+L2446*S2446</f>
        <v>0</v>
      </c>
      <c r="U2446" s="70">
        <f t="shared" ref="U2446" si="287">+R2446-T2446</f>
        <v>1545.6000000000001</v>
      </c>
      <c r="V2446" s="70">
        <f>+U2446*1</f>
        <v>1545.6000000000001</v>
      </c>
      <c r="W2446" s="70">
        <f t="shared" ref="W2446" si="288">+U2446-V2446</f>
        <v>0</v>
      </c>
      <c r="X2446" s="70">
        <v>0</v>
      </c>
      <c r="Y2446" s="14">
        <f t="shared" si="268"/>
        <v>0</v>
      </c>
      <c r="Z2446" s="11" t="s">
        <v>26</v>
      </c>
      <c r="AA2446" s="12" t="s">
        <v>31</v>
      </c>
    </row>
    <row r="2447" spans="1:27" x14ac:dyDescent="0.25">
      <c r="A2447" s="10">
        <v>45693</v>
      </c>
      <c r="B2447" s="69">
        <v>1.2905092592592593E-2</v>
      </c>
      <c r="C2447" s="11" t="s">
        <v>4819</v>
      </c>
      <c r="D2447" s="11">
        <v>16978</v>
      </c>
      <c r="E2447" s="11" t="s">
        <v>481</v>
      </c>
      <c r="F2447" s="11" t="s">
        <v>26</v>
      </c>
      <c r="G2447" s="11">
        <v>3300</v>
      </c>
      <c r="H2447" s="12" t="s">
        <v>4448</v>
      </c>
      <c r="I2447" s="12" t="s">
        <v>55</v>
      </c>
      <c r="J2447" s="12" t="s">
        <v>55</v>
      </c>
      <c r="K2447" s="12" t="s">
        <v>56</v>
      </c>
      <c r="L2447" s="13">
        <v>36.520000000000003</v>
      </c>
      <c r="M2447" s="13">
        <v>25</v>
      </c>
      <c r="N2447" s="13">
        <f t="shared" si="253"/>
        <v>1.4608000000000001</v>
      </c>
      <c r="O2447" s="13">
        <v>15</v>
      </c>
      <c r="P2447" s="13" t="s">
        <v>30</v>
      </c>
      <c r="Q2447" s="13">
        <v>0</v>
      </c>
      <c r="R2447" s="70">
        <f>+L2447*O2447</f>
        <v>547.80000000000007</v>
      </c>
      <c r="S2447" s="70">
        <v>0</v>
      </c>
      <c r="T2447" s="70">
        <f>+L2447*S2447</f>
        <v>0</v>
      </c>
      <c r="U2447" s="70">
        <f>+R2447-T2447</f>
        <v>547.80000000000007</v>
      </c>
      <c r="V2447" s="70">
        <f>+U2447*0.75</f>
        <v>410.85</v>
      </c>
      <c r="W2447" s="70">
        <f>+U2447-V2447</f>
        <v>136.95000000000005</v>
      </c>
      <c r="X2447" s="70">
        <v>0</v>
      </c>
      <c r="Y2447" s="14">
        <f t="shared" si="268"/>
        <v>0</v>
      </c>
      <c r="Z2447" s="11" t="s">
        <v>26</v>
      </c>
      <c r="AA2447" s="12" t="s">
        <v>31</v>
      </c>
    </row>
    <row r="2448" spans="1:27" x14ac:dyDescent="0.25">
      <c r="A2448" s="10">
        <v>45693</v>
      </c>
      <c r="B2448" s="69">
        <v>1.7893518518518503E-2</v>
      </c>
      <c r="C2448" s="11" t="s">
        <v>4820</v>
      </c>
      <c r="D2448" s="11">
        <v>16979</v>
      </c>
      <c r="E2448" s="11" t="s">
        <v>44</v>
      </c>
      <c r="F2448" s="11" t="s">
        <v>26</v>
      </c>
      <c r="G2448" s="11">
        <v>1593</v>
      </c>
      <c r="H2448" s="12" t="s">
        <v>45</v>
      </c>
      <c r="I2448" s="12" t="s">
        <v>27</v>
      </c>
      <c r="J2448" s="12" t="s">
        <v>33</v>
      </c>
      <c r="K2448" s="12" t="s">
        <v>34</v>
      </c>
      <c r="L2448" s="13">
        <v>38.1</v>
      </c>
      <c r="M2448" s="13">
        <v>25</v>
      </c>
      <c r="N2448" s="13">
        <f t="shared" si="253"/>
        <v>1.524</v>
      </c>
      <c r="O2448" s="13" t="s">
        <v>30</v>
      </c>
      <c r="P2448" s="13">
        <v>58</v>
      </c>
      <c r="Q2448" s="13">
        <v>0</v>
      </c>
      <c r="R2448" s="70">
        <f>M2448*P2448</f>
        <v>1450</v>
      </c>
      <c r="S2448" s="70">
        <v>0</v>
      </c>
      <c r="T2448" s="70">
        <f>M2448*S2448</f>
        <v>0</v>
      </c>
      <c r="U2448" s="70">
        <f>R2448-T2448</f>
        <v>1450</v>
      </c>
      <c r="V2448" s="70">
        <f>U2448*0</f>
        <v>0</v>
      </c>
      <c r="W2448" s="70">
        <f>U2448-V2448</f>
        <v>1450</v>
      </c>
      <c r="X2448" s="70">
        <v>0</v>
      </c>
      <c r="Y2448" s="14">
        <f t="shared" si="268"/>
        <v>0</v>
      </c>
      <c r="Z2448" s="11" t="s">
        <v>26</v>
      </c>
      <c r="AA2448" s="12" t="s">
        <v>31</v>
      </c>
    </row>
    <row r="2449" spans="1:27" x14ac:dyDescent="0.25">
      <c r="A2449" s="10">
        <v>45693</v>
      </c>
      <c r="B2449" s="69">
        <v>5.2893518518518645E-3</v>
      </c>
      <c r="C2449" s="11" t="s">
        <v>4821</v>
      </c>
      <c r="D2449" s="11">
        <v>16980</v>
      </c>
      <c r="E2449" s="11" t="s">
        <v>4776</v>
      </c>
      <c r="F2449" s="11" t="s">
        <v>26</v>
      </c>
      <c r="G2449" s="11" t="s">
        <v>35</v>
      </c>
      <c r="H2449" s="12" t="s">
        <v>36</v>
      </c>
      <c r="I2449" s="12" t="s">
        <v>55</v>
      </c>
      <c r="J2449" s="12" t="s">
        <v>55</v>
      </c>
      <c r="K2449" s="12" t="s">
        <v>56</v>
      </c>
      <c r="L2449" s="13">
        <v>15.56</v>
      </c>
      <c r="M2449" s="13">
        <v>10</v>
      </c>
      <c r="N2449" s="13">
        <f t="shared" si="253"/>
        <v>1.556</v>
      </c>
      <c r="O2449" s="13">
        <v>20</v>
      </c>
      <c r="P2449" s="13" t="s">
        <v>30</v>
      </c>
      <c r="Q2449" s="13">
        <v>0</v>
      </c>
      <c r="R2449" s="70">
        <f>(L2449*O2449)-Q2449</f>
        <v>311.2</v>
      </c>
      <c r="S2449" s="70">
        <v>0</v>
      </c>
      <c r="T2449" s="70">
        <f t="shared" ref="T2449" si="289">+L2449*S2449</f>
        <v>0</v>
      </c>
      <c r="U2449" s="70">
        <f t="shared" ref="U2449" si="290">+R2449-T2449</f>
        <v>311.2</v>
      </c>
      <c r="V2449" s="70">
        <f t="shared" ref="V2449" si="291">+U2449*0</f>
        <v>0</v>
      </c>
      <c r="W2449" s="70">
        <f t="shared" ref="W2449" si="292">+U2449-V2449</f>
        <v>311.2</v>
      </c>
      <c r="X2449" s="70">
        <v>0</v>
      </c>
      <c r="Y2449" s="14">
        <f t="shared" si="268"/>
        <v>0</v>
      </c>
      <c r="Z2449" s="11" t="s">
        <v>26</v>
      </c>
      <c r="AA2449" s="12" t="s">
        <v>31</v>
      </c>
    </row>
    <row r="2450" spans="1:27" x14ac:dyDescent="0.25">
      <c r="A2450" s="10">
        <v>45693</v>
      </c>
      <c r="B2450" s="69">
        <v>8.8425925925926796E-3</v>
      </c>
      <c r="C2450" s="11" t="s">
        <v>4822</v>
      </c>
      <c r="D2450" s="11">
        <v>16981</v>
      </c>
      <c r="E2450" s="11" t="s">
        <v>46</v>
      </c>
      <c r="F2450" s="11" t="s">
        <v>26</v>
      </c>
      <c r="G2450" s="11">
        <v>112398</v>
      </c>
      <c r="H2450" s="12" t="s">
        <v>4446</v>
      </c>
      <c r="I2450" s="12" t="s">
        <v>27</v>
      </c>
      <c r="J2450" s="12" t="s">
        <v>33</v>
      </c>
      <c r="K2450" s="12" t="s">
        <v>34</v>
      </c>
      <c r="L2450" s="13">
        <v>35.22</v>
      </c>
      <c r="M2450" s="13">
        <v>25</v>
      </c>
      <c r="N2450" s="13">
        <f t="shared" si="253"/>
        <v>1.4088000000000001</v>
      </c>
      <c r="O2450" s="13">
        <v>44</v>
      </c>
      <c r="P2450" s="13" t="s">
        <v>30</v>
      </c>
      <c r="Q2450" s="13">
        <v>0</v>
      </c>
      <c r="R2450" s="70">
        <f t="shared" ref="R2450" si="293">+L2450*O2450</f>
        <v>1549.6799999999998</v>
      </c>
      <c r="S2450" s="70">
        <v>0</v>
      </c>
      <c r="T2450" s="70">
        <f>+L2450*S2450</f>
        <v>0</v>
      </c>
      <c r="U2450" s="70">
        <f>+R2450-T2450</f>
        <v>1549.6799999999998</v>
      </c>
      <c r="V2450" s="70">
        <f>+U2450*1</f>
        <v>1549.6799999999998</v>
      </c>
      <c r="W2450" s="70">
        <f>+U2450-V2450</f>
        <v>0</v>
      </c>
      <c r="X2450" s="70">
        <v>0</v>
      </c>
      <c r="Y2450" s="14">
        <f t="shared" si="268"/>
        <v>0</v>
      </c>
      <c r="Z2450" s="11" t="s">
        <v>26</v>
      </c>
      <c r="AA2450" s="12" t="s">
        <v>31</v>
      </c>
    </row>
    <row r="2451" spans="1:27" x14ac:dyDescent="0.25">
      <c r="A2451" s="10">
        <v>45693</v>
      </c>
      <c r="B2451" s="69">
        <v>2.1597222222222212E-2</v>
      </c>
      <c r="C2451" s="11" t="s">
        <v>4823</v>
      </c>
      <c r="D2451" s="11">
        <v>16983</v>
      </c>
      <c r="E2451" s="11" t="s">
        <v>40</v>
      </c>
      <c r="F2451" s="11" t="s">
        <v>26</v>
      </c>
      <c r="G2451" s="11">
        <v>3750</v>
      </c>
      <c r="H2451" s="12" t="s">
        <v>41</v>
      </c>
      <c r="I2451" s="12" t="s">
        <v>27</v>
      </c>
      <c r="J2451" s="12" t="s">
        <v>42</v>
      </c>
      <c r="K2451" s="12" t="s">
        <v>43</v>
      </c>
      <c r="L2451" s="13">
        <v>40.18</v>
      </c>
      <c r="M2451" s="13">
        <v>25</v>
      </c>
      <c r="N2451" s="13">
        <f t="shared" si="253"/>
        <v>1.6072</v>
      </c>
      <c r="O2451" s="13" t="s">
        <v>30</v>
      </c>
      <c r="P2451" s="13">
        <v>64</v>
      </c>
      <c r="Q2451" s="13">
        <v>0</v>
      </c>
      <c r="R2451" s="70">
        <f>M2451*P2451</f>
        <v>1600</v>
      </c>
      <c r="S2451" s="70">
        <v>0</v>
      </c>
      <c r="T2451" s="70">
        <f>M2451*S2451</f>
        <v>0</v>
      </c>
      <c r="U2451" s="70">
        <f>+R2451-T2451</f>
        <v>1600</v>
      </c>
      <c r="V2451" s="70">
        <f t="shared" ref="V2451" si="294">+U2451*0</f>
        <v>0</v>
      </c>
      <c r="W2451" s="70">
        <f>+U2451-V2451</f>
        <v>1600</v>
      </c>
      <c r="X2451" s="70">
        <v>0</v>
      </c>
      <c r="Y2451" s="14">
        <f t="shared" si="268"/>
        <v>0</v>
      </c>
      <c r="Z2451" s="11" t="s">
        <v>26</v>
      </c>
      <c r="AA2451" s="12" t="s">
        <v>31</v>
      </c>
    </row>
    <row r="2452" spans="1:27" x14ac:dyDescent="0.25">
      <c r="A2452" s="10">
        <v>45693</v>
      </c>
      <c r="B2452" s="69">
        <v>5.6805555555555554E-2</v>
      </c>
      <c r="C2452" s="11" t="s">
        <v>4824</v>
      </c>
      <c r="D2452" s="11">
        <v>16984</v>
      </c>
      <c r="E2452" s="11" t="s">
        <v>49</v>
      </c>
      <c r="F2452" s="11" t="s">
        <v>26</v>
      </c>
      <c r="G2452" s="11">
        <v>1597</v>
      </c>
      <c r="H2452" s="12" t="s">
        <v>45</v>
      </c>
      <c r="I2452" s="12" t="s">
        <v>27</v>
      </c>
      <c r="J2452" s="12" t="s">
        <v>47</v>
      </c>
      <c r="K2452" s="12" t="s">
        <v>48</v>
      </c>
      <c r="L2452" s="13">
        <v>38.56</v>
      </c>
      <c r="M2452" s="13">
        <v>25</v>
      </c>
      <c r="N2452" s="13">
        <f t="shared" si="253"/>
        <v>1.5424</v>
      </c>
      <c r="O2452" s="13" t="s">
        <v>30</v>
      </c>
      <c r="P2452" s="13">
        <v>58</v>
      </c>
      <c r="Q2452" s="13">
        <v>0</v>
      </c>
      <c r="R2452" s="70">
        <f>M2452*P2452</f>
        <v>1450</v>
      </c>
      <c r="S2452" s="70">
        <v>0</v>
      </c>
      <c r="T2452" s="70">
        <f>M2452*S2452</f>
        <v>0</v>
      </c>
      <c r="U2452" s="70">
        <f>R2452-T2452</f>
        <v>1450</v>
      </c>
      <c r="V2452" s="70">
        <f>U2452*0</f>
        <v>0</v>
      </c>
      <c r="W2452" s="70">
        <f>U2452-V2452</f>
        <v>1450</v>
      </c>
      <c r="X2452" s="70">
        <v>0</v>
      </c>
      <c r="Y2452" s="14">
        <f t="shared" si="268"/>
        <v>0</v>
      </c>
      <c r="Z2452" s="11" t="s">
        <v>26</v>
      </c>
      <c r="AA2452" s="12" t="s">
        <v>31</v>
      </c>
    </row>
    <row r="2453" spans="1:27" x14ac:dyDescent="0.25">
      <c r="A2453" s="10">
        <v>45693</v>
      </c>
      <c r="B2453" s="69">
        <v>2.4050925925925892E-2</v>
      </c>
      <c r="C2453" s="11" t="s">
        <v>4825</v>
      </c>
      <c r="D2453" s="11">
        <v>16985</v>
      </c>
      <c r="E2453" s="11" t="s">
        <v>53</v>
      </c>
      <c r="F2453" s="11" t="s">
        <v>26</v>
      </c>
      <c r="G2453" s="11">
        <v>3794</v>
      </c>
      <c r="H2453" s="12" t="s">
        <v>41</v>
      </c>
      <c r="I2453" s="12" t="s">
        <v>27</v>
      </c>
      <c r="J2453" s="12" t="s">
        <v>42</v>
      </c>
      <c r="K2453" s="12" t="s">
        <v>43</v>
      </c>
      <c r="L2453" s="13">
        <v>40.700000000000003</v>
      </c>
      <c r="M2453" s="13">
        <v>25</v>
      </c>
      <c r="N2453" s="13">
        <f t="shared" si="253"/>
        <v>1.6280000000000001</v>
      </c>
      <c r="O2453" s="13" t="s">
        <v>30</v>
      </c>
      <c r="P2453" s="13">
        <v>64</v>
      </c>
      <c r="Q2453" s="13">
        <v>0</v>
      </c>
      <c r="R2453" s="70">
        <f>M2453*P2453</f>
        <v>1600</v>
      </c>
      <c r="S2453" s="70">
        <v>0</v>
      </c>
      <c r="T2453" s="70">
        <f>M2453*S2453</f>
        <v>0</v>
      </c>
      <c r="U2453" s="70">
        <f>+R2453-T2453</f>
        <v>1600</v>
      </c>
      <c r="V2453" s="70">
        <f t="shared" ref="V2453:V2454" si="295">+U2453*0</f>
        <v>0</v>
      </c>
      <c r="W2453" s="70">
        <f>+U2453-V2453</f>
        <v>1600</v>
      </c>
      <c r="X2453" s="70">
        <v>0</v>
      </c>
      <c r="Y2453" s="14">
        <f t="shared" si="268"/>
        <v>0</v>
      </c>
      <c r="Z2453" s="11" t="s">
        <v>26</v>
      </c>
      <c r="AA2453" s="12" t="s">
        <v>31</v>
      </c>
    </row>
    <row r="2454" spans="1:27" x14ac:dyDescent="0.25">
      <c r="A2454" s="10">
        <v>45693</v>
      </c>
      <c r="B2454" s="69">
        <v>1.9201388888888893E-2</v>
      </c>
      <c r="C2454" s="11" t="s">
        <v>4826</v>
      </c>
      <c r="D2454" s="11">
        <v>16986</v>
      </c>
      <c r="E2454" s="11" t="s">
        <v>483</v>
      </c>
      <c r="F2454" s="11" t="s">
        <v>26</v>
      </c>
      <c r="G2454" s="11">
        <v>3578</v>
      </c>
      <c r="H2454" s="12" t="s">
        <v>41</v>
      </c>
      <c r="I2454" s="12" t="s">
        <v>27</v>
      </c>
      <c r="J2454" s="12" t="s">
        <v>42</v>
      </c>
      <c r="K2454" s="12" t="s">
        <v>43</v>
      </c>
      <c r="L2454" s="13">
        <v>39.9</v>
      </c>
      <c r="M2454" s="13">
        <v>25</v>
      </c>
      <c r="N2454" s="13">
        <f t="shared" si="253"/>
        <v>1.5959999999999999</v>
      </c>
      <c r="O2454" s="13" t="s">
        <v>30</v>
      </c>
      <c r="P2454" s="13">
        <v>64</v>
      </c>
      <c r="Q2454" s="13">
        <v>0</v>
      </c>
      <c r="R2454" s="70">
        <f>M2454*P2454</f>
        <v>1600</v>
      </c>
      <c r="S2454" s="70">
        <v>0</v>
      </c>
      <c r="T2454" s="70">
        <f>M2454*S2454</f>
        <v>0</v>
      </c>
      <c r="U2454" s="70">
        <f>+R2454-T2454</f>
        <v>1600</v>
      </c>
      <c r="V2454" s="70">
        <f t="shared" si="295"/>
        <v>0</v>
      </c>
      <c r="W2454" s="70">
        <f>+U2454-V2454</f>
        <v>1600</v>
      </c>
      <c r="X2454" s="70">
        <v>0</v>
      </c>
      <c r="Y2454" s="14">
        <f t="shared" si="268"/>
        <v>0</v>
      </c>
      <c r="Z2454" s="11" t="s">
        <v>26</v>
      </c>
      <c r="AA2454" s="12" t="s">
        <v>31</v>
      </c>
    </row>
    <row r="2455" spans="1:27" x14ac:dyDescent="0.25">
      <c r="A2455" s="10">
        <v>45693</v>
      </c>
      <c r="B2455" s="69">
        <v>1.1446759259259309E-2</v>
      </c>
      <c r="C2455" s="11" t="s">
        <v>4827</v>
      </c>
      <c r="D2455" s="11">
        <v>16987</v>
      </c>
      <c r="E2455" s="11" t="s">
        <v>50</v>
      </c>
      <c r="F2455" s="11" t="s">
        <v>26</v>
      </c>
      <c r="G2455" s="11">
        <v>938</v>
      </c>
      <c r="H2455" s="12" t="s">
        <v>163</v>
      </c>
      <c r="I2455" s="12" t="s">
        <v>27</v>
      </c>
      <c r="J2455" s="12" t="s">
        <v>33</v>
      </c>
      <c r="K2455" s="12" t="s">
        <v>34</v>
      </c>
      <c r="L2455" s="13">
        <v>37.06</v>
      </c>
      <c r="M2455" s="13">
        <v>25</v>
      </c>
      <c r="N2455" s="13">
        <f t="shared" si="253"/>
        <v>1.4824000000000002</v>
      </c>
      <c r="O2455" s="13" t="s">
        <v>30</v>
      </c>
      <c r="P2455" s="13">
        <v>60</v>
      </c>
      <c r="Q2455" s="13">
        <v>0</v>
      </c>
      <c r="R2455" s="70">
        <f>M2455*P2455</f>
        <v>1500</v>
      </c>
      <c r="S2455" s="70">
        <v>0</v>
      </c>
      <c r="T2455" s="70">
        <f>M2455*S2455</f>
        <v>0</v>
      </c>
      <c r="U2455" s="70">
        <f>R2455-T2455</f>
        <v>1500</v>
      </c>
      <c r="V2455" s="70">
        <f>U2455*0</f>
        <v>0</v>
      </c>
      <c r="W2455" s="70">
        <f>U2455-V2455</f>
        <v>1500</v>
      </c>
      <c r="X2455" s="70">
        <v>0</v>
      </c>
      <c r="Y2455" s="14">
        <f t="shared" si="268"/>
        <v>0</v>
      </c>
      <c r="Z2455" s="11" t="s">
        <v>26</v>
      </c>
      <c r="AA2455" s="12" t="s">
        <v>31</v>
      </c>
    </row>
    <row r="2456" spans="1:27" x14ac:dyDescent="0.25">
      <c r="A2456" s="10">
        <v>45693</v>
      </c>
      <c r="B2456" s="69">
        <v>1.1840277777777741E-2</v>
      </c>
      <c r="C2456" s="11" t="s">
        <v>4828</v>
      </c>
      <c r="D2456" s="11">
        <v>16988</v>
      </c>
      <c r="E2456" s="11" t="s">
        <v>4776</v>
      </c>
      <c r="F2456" s="11" t="s">
        <v>26</v>
      </c>
      <c r="G2456" s="11" t="s">
        <v>35</v>
      </c>
      <c r="H2456" s="12" t="s">
        <v>36</v>
      </c>
      <c r="I2456" s="12" t="s">
        <v>55</v>
      </c>
      <c r="J2456" s="12" t="s">
        <v>55</v>
      </c>
      <c r="K2456" s="12" t="s">
        <v>56</v>
      </c>
      <c r="L2456" s="13">
        <v>15.78</v>
      </c>
      <c r="M2456" s="13">
        <v>10</v>
      </c>
      <c r="N2456" s="13">
        <f t="shared" si="253"/>
        <v>1.5779999999999998</v>
      </c>
      <c r="O2456" s="13">
        <v>20</v>
      </c>
      <c r="P2456" s="13" t="s">
        <v>30</v>
      </c>
      <c r="Q2456" s="13">
        <v>0</v>
      </c>
      <c r="R2456" s="70">
        <f>(L2456*O2456)-Q2456</f>
        <v>315.59999999999997</v>
      </c>
      <c r="S2456" s="70">
        <v>0</v>
      </c>
      <c r="T2456" s="70">
        <f t="shared" ref="T2456" si="296">+L2456*S2456</f>
        <v>0</v>
      </c>
      <c r="U2456" s="70">
        <f t="shared" ref="U2456" si="297">+R2456-T2456</f>
        <v>315.59999999999997</v>
      </c>
      <c r="V2456" s="70">
        <f t="shared" ref="V2456" si="298">+U2456*0</f>
        <v>0</v>
      </c>
      <c r="W2456" s="70">
        <f t="shared" ref="W2456" si="299">+U2456-V2456</f>
        <v>315.59999999999997</v>
      </c>
      <c r="X2456" s="70">
        <v>0</v>
      </c>
      <c r="Y2456" s="14">
        <f t="shared" si="268"/>
        <v>0</v>
      </c>
      <c r="Z2456" s="11" t="s">
        <v>26</v>
      </c>
      <c r="AA2456" s="12" t="s">
        <v>31</v>
      </c>
    </row>
    <row r="2457" spans="1:27" x14ac:dyDescent="0.25">
      <c r="A2457" s="10">
        <v>45693</v>
      </c>
      <c r="B2457" s="69">
        <v>1.2245370370370323E-2</v>
      </c>
      <c r="C2457" s="11" t="s">
        <v>4829</v>
      </c>
      <c r="D2457" s="11">
        <v>16989</v>
      </c>
      <c r="E2457" s="11" t="s">
        <v>506</v>
      </c>
      <c r="F2457" s="11" t="s">
        <v>26</v>
      </c>
      <c r="G2457" s="11">
        <v>1550</v>
      </c>
      <c r="H2457" s="12" t="s">
        <v>45</v>
      </c>
      <c r="I2457" s="12" t="s">
        <v>27</v>
      </c>
      <c r="J2457" s="12" t="s">
        <v>33</v>
      </c>
      <c r="K2457" s="12" t="s">
        <v>34</v>
      </c>
      <c r="L2457" s="13">
        <v>37.5</v>
      </c>
      <c r="M2457" s="13">
        <v>25</v>
      </c>
      <c r="N2457" s="13">
        <f t="shared" si="253"/>
        <v>1.5</v>
      </c>
      <c r="O2457" s="13" t="s">
        <v>30</v>
      </c>
      <c r="P2457" s="13">
        <v>58</v>
      </c>
      <c r="Q2457" s="13">
        <v>0</v>
      </c>
      <c r="R2457" s="70">
        <f>M2457*P2457</f>
        <v>1450</v>
      </c>
      <c r="S2457" s="70">
        <v>0</v>
      </c>
      <c r="T2457" s="70">
        <f>M2457*S2457</f>
        <v>0</v>
      </c>
      <c r="U2457" s="70">
        <f>R2457-T2457</f>
        <v>1450</v>
      </c>
      <c r="V2457" s="70">
        <f>U2457*0</f>
        <v>0</v>
      </c>
      <c r="W2457" s="70">
        <f>U2457-V2457</f>
        <v>1450</v>
      </c>
      <c r="X2457" s="70">
        <v>0</v>
      </c>
      <c r="Y2457" s="14">
        <f t="shared" si="268"/>
        <v>0</v>
      </c>
      <c r="Z2457" s="11" t="s">
        <v>26</v>
      </c>
      <c r="AA2457" s="12" t="s">
        <v>31</v>
      </c>
    </row>
    <row r="2458" spans="1:27" x14ac:dyDescent="0.25">
      <c r="A2458" s="10">
        <v>45693</v>
      </c>
      <c r="B2458" s="69">
        <v>1.6909722222222312E-2</v>
      </c>
      <c r="C2458" s="11" t="s">
        <v>4830</v>
      </c>
      <c r="D2458" s="11">
        <v>16990</v>
      </c>
      <c r="E2458" s="11" t="s">
        <v>236</v>
      </c>
      <c r="F2458" s="11" t="s">
        <v>26</v>
      </c>
      <c r="G2458" s="11">
        <v>1546</v>
      </c>
      <c r="H2458" s="12" t="s">
        <v>45</v>
      </c>
      <c r="I2458" s="12" t="s">
        <v>27</v>
      </c>
      <c r="J2458" s="12" t="s">
        <v>42</v>
      </c>
      <c r="K2458" s="12" t="s">
        <v>43</v>
      </c>
      <c r="L2458" s="13">
        <v>41.52</v>
      </c>
      <c r="M2458" s="13">
        <v>25</v>
      </c>
      <c r="N2458" s="13">
        <f t="shared" si="253"/>
        <v>1.6608000000000001</v>
      </c>
      <c r="O2458" s="13" t="s">
        <v>30</v>
      </c>
      <c r="P2458" s="13">
        <v>62</v>
      </c>
      <c r="Q2458" s="13">
        <v>0</v>
      </c>
      <c r="R2458" s="70">
        <f>M2458*P2458</f>
        <v>1550</v>
      </c>
      <c r="S2458" s="70">
        <v>0</v>
      </c>
      <c r="T2458" s="70">
        <f>M2458*S2458</f>
        <v>0</v>
      </c>
      <c r="U2458" s="70">
        <f>R2458-T2458</f>
        <v>1550</v>
      </c>
      <c r="V2458" s="70">
        <f>U2458*0</f>
        <v>0</v>
      </c>
      <c r="W2458" s="70">
        <f>U2458-V2458</f>
        <v>1550</v>
      </c>
      <c r="X2458" s="70">
        <v>0</v>
      </c>
      <c r="Y2458" s="14">
        <f t="shared" si="268"/>
        <v>0</v>
      </c>
      <c r="Z2458" s="11" t="s">
        <v>26</v>
      </c>
      <c r="AA2458" s="12" t="s">
        <v>31</v>
      </c>
    </row>
    <row r="2459" spans="1:27" x14ac:dyDescent="0.25">
      <c r="A2459" s="10">
        <v>45693</v>
      </c>
      <c r="B2459" s="69">
        <v>1.6817129629629668E-2</v>
      </c>
      <c r="C2459" s="11" t="s">
        <v>4831</v>
      </c>
      <c r="D2459" s="11">
        <v>16992</v>
      </c>
      <c r="E2459" s="11" t="s">
        <v>230</v>
      </c>
      <c r="F2459" s="11" t="s">
        <v>26</v>
      </c>
      <c r="G2459" s="11">
        <v>2869</v>
      </c>
      <c r="H2459" s="12" t="s">
        <v>41</v>
      </c>
      <c r="I2459" s="12" t="s">
        <v>55</v>
      </c>
      <c r="J2459" s="12" t="s">
        <v>55</v>
      </c>
      <c r="K2459" s="12" t="s">
        <v>56</v>
      </c>
      <c r="L2459" s="13">
        <v>35.06</v>
      </c>
      <c r="M2459" s="13">
        <v>25</v>
      </c>
      <c r="N2459" s="13">
        <f t="shared" si="253"/>
        <v>1.4024000000000001</v>
      </c>
      <c r="O2459" s="13" t="s">
        <v>30</v>
      </c>
      <c r="P2459" s="13">
        <v>24</v>
      </c>
      <c r="Q2459" s="13">
        <v>0</v>
      </c>
      <c r="R2459" s="70">
        <f>+M2459*P2459</f>
        <v>600</v>
      </c>
      <c r="S2459" s="70">
        <v>0</v>
      </c>
      <c r="T2459" s="70">
        <f>+M2459*S2459</f>
        <v>0</v>
      </c>
      <c r="U2459" s="70">
        <f t="shared" ref="U2459:U2460" si="300">+R2459-T2459</f>
        <v>600</v>
      </c>
      <c r="V2459" s="70">
        <f>+U2459*0</f>
        <v>0</v>
      </c>
      <c r="W2459" s="70">
        <f t="shared" ref="W2459:W2460" si="301">+U2459-V2459</f>
        <v>600</v>
      </c>
      <c r="X2459" s="70">
        <v>0</v>
      </c>
      <c r="Y2459" s="14">
        <f t="shared" si="268"/>
        <v>0</v>
      </c>
      <c r="Z2459" s="11" t="s">
        <v>26</v>
      </c>
      <c r="AA2459" s="12" t="s">
        <v>31</v>
      </c>
    </row>
    <row r="2460" spans="1:27" x14ac:dyDescent="0.25">
      <c r="A2460" s="10">
        <v>45693</v>
      </c>
      <c r="B2460" s="69">
        <v>2.7280092592592564E-2</v>
      </c>
      <c r="C2460" s="11" t="s">
        <v>4832</v>
      </c>
      <c r="D2460" s="11">
        <v>16993</v>
      </c>
      <c r="E2460" s="11" t="s">
        <v>99</v>
      </c>
      <c r="F2460" s="11" t="s">
        <v>26</v>
      </c>
      <c r="G2460" s="11">
        <v>3130</v>
      </c>
      <c r="H2460" s="12" t="s">
        <v>4423</v>
      </c>
      <c r="I2460" s="12" t="s">
        <v>27</v>
      </c>
      <c r="J2460" s="12" t="s">
        <v>42</v>
      </c>
      <c r="K2460" s="12" t="s">
        <v>43</v>
      </c>
      <c r="L2460" s="13">
        <v>39.340000000000003</v>
      </c>
      <c r="M2460" s="13">
        <v>25</v>
      </c>
      <c r="N2460" s="13">
        <f t="shared" si="253"/>
        <v>1.5736000000000001</v>
      </c>
      <c r="O2460" s="13">
        <v>42</v>
      </c>
      <c r="P2460" s="13" t="s">
        <v>30</v>
      </c>
      <c r="Q2460" s="13">
        <v>0</v>
      </c>
      <c r="R2460" s="70">
        <f t="shared" ref="R2460" si="302">+L2460*O2460</f>
        <v>1652.2800000000002</v>
      </c>
      <c r="S2460" s="70">
        <v>0</v>
      </c>
      <c r="T2460" s="70">
        <f t="shared" ref="T2460" si="303">+L2460*S2460</f>
        <v>0</v>
      </c>
      <c r="U2460" s="70">
        <f t="shared" si="300"/>
        <v>1652.2800000000002</v>
      </c>
      <c r="V2460" s="70">
        <f>+U2460*1</f>
        <v>1652.2800000000002</v>
      </c>
      <c r="W2460" s="70">
        <f t="shared" si="301"/>
        <v>0</v>
      </c>
      <c r="X2460" s="70">
        <v>0</v>
      </c>
      <c r="Y2460" s="14">
        <f t="shared" si="268"/>
        <v>0</v>
      </c>
      <c r="Z2460" s="11" t="s">
        <v>26</v>
      </c>
      <c r="AA2460" s="12" t="s">
        <v>31</v>
      </c>
    </row>
    <row r="2461" spans="1:27" x14ac:dyDescent="0.25">
      <c r="A2461" s="10">
        <v>45693</v>
      </c>
      <c r="B2461" s="69">
        <v>1.7766203703703742E-2</v>
      </c>
      <c r="C2461" s="11" t="s">
        <v>4833</v>
      </c>
      <c r="D2461" s="11">
        <v>16994</v>
      </c>
      <c r="E2461" s="11" t="s">
        <v>482</v>
      </c>
      <c r="F2461" s="11" t="s">
        <v>26</v>
      </c>
      <c r="G2461" s="11">
        <v>24155</v>
      </c>
      <c r="H2461" s="12" t="s">
        <v>4448</v>
      </c>
      <c r="I2461" s="12" t="s">
        <v>55</v>
      </c>
      <c r="J2461" s="12" t="s">
        <v>55</v>
      </c>
      <c r="K2461" s="12" t="s">
        <v>56</v>
      </c>
      <c r="L2461" s="13">
        <v>37.5</v>
      </c>
      <c r="M2461" s="13">
        <v>25</v>
      </c>
      <c r="N2461" s="13">
        <f t="shared" si="253"/>
        <v>1.5</v>
      </c>
      <c r="O2461" s="13">
        <v>15</v>
      </c>
      <c r="P2461" s="13" t="s">
        <v>30</v>
      </c>
      <c r="Q2461" s="13">
        <v>0</v>
      </c>
      <c r="R2461" s="70">
        <f>+L2461*O2461</f>
        <v>562.5</v>
      </c>
      <c r="S2461" s="70">
        <v>0</v>
      </c>
      <c r="T2461" s="70">
        <f>+L2461*S2461</f>
        <v>0</v>
      </c>
      <c r="U2461" s="70">
        <f>+R2461-T2461</f>
        <v>562.5</v>
      </c>
      <c r="V2461" s="70">
        <f>+U2461*0.75</f>
        <v>421.875</v>
      </c>
      <c r="W2461" s="70">
        <f>+U2461-V2461</f>
        <v>140.625</v>
      </c>
      <c r="X2461" s="70">
        <v>0</v>
      </c>
      <c r="Y2461" s="14">
        <f t="shared" si="268"/>
        <v>0</v>
      </c>
      <c r="Z2461" s="11" t="s">
        <v>26</v>
      </c>
      <c r="AA2461" s="12" t="s">
        <v>31</v>
      </c>
    </row>
    <row r="2462" spans="1:27" x14ac:dyDescent="0.25">
      <c r="A2462" s="10">
        <v>45693</v>
      </c>
      <c r="B2462" s="69">
        <v>2.5300925925926032E-2</v>
      </c>
      <c r="C2462" s="11" t="s">
        <v>4834</v>
      </c>
      <c r="D2462" s="11">
        <v>16995</v>
      </c>
      <c r="E2462" s="11" t="s">
        <v>69</v>
      </c>
      <c r="F2462" s="11" t="s">
        <v>26</v>
      </c>
      <c r="G2462" s="11">
        <v>2112</v>
      </c>
      <c r="H2462" s="12" t="s">
        <v>70</v>
      </c>
      <c r="I2462" s="12" t="s">
        <v>27</v>
      </c>
      <c r="J2462" s="12" t="s">
        <v>42</v>
      </c>
      <c r="K2462" s="12" t="s">
        <v>43</v>
      </c>
      <c r="L2462" s="13">
        <v>41.08</v>
      </c>
      <c r="M2462" s="13">
        <v>25</v>
      </c>
      <c r="N2462" s="13">
        <f t="shared" si="253"/>
        <v>1.6432</v>
      </c>
      <c r="O2462" s="13" t="s">
        <v>30</v>
      </c>
      <c r="P2462" s="13">
        <v>64</v>
      </c>
      <c r="Q2462" s="13">
        <v>0</v>
      </c>
      <c r="R2462" s="70">
        <f>+M2462*P2462</f>
        <v>1600</v>
      </c>
      <c r="S2462" s="70">
        <v>0</v>
      </c>
      <c r="T2462" s="70">
        <f>+M2462*S2462</f>
        <v>0</v>
      </c>
      <c r="U2462" s="70">
        <f t="shared" ref="U2462:U2463" si="304">+R2462-T2462</f>
        <v>1600</v>
      </c>
      <c r="V2462" s="70">
        <f t="shared" ref="V2462" si="305">+U2462*0</f>
        <v>0</v>
      </c>
      <c r="W2462" s="70">
        <f t="shared" ref="W2462:W2463" si="306">+U2462-V2462</f>
        <v>1600</v>
      </c>
      <c r="X2462" s="70">
        <v>0</v>
      </c>
      <c r="Y2462" s="14">
        <f t="shared" si="268"/>
        <v>0</v>
      </c>
      <c r="Z2462" s="11" t="s">
        <v>26</v>
      </c>
      <c r="AA2462" s="12" t="s">
        <v>31</v>
      </c>
    </row>
    <row r="2463" spans="1:27" x14ac:dyDescent="0.25">
      <c r="A2463" s="10">
        <v>45693</v>
      </c>
      <c r="B2463" s="69">
        <v>1.8981481481481488E-2</v>
      </c>
      <c r="C2463" s="11" t="s">
        <v>4835</v>
      </c>
      <c r="D2463" s="11">
        <v>16996</v>
      </c>
      <c r="E2463" s="11" t="s">
        <v>589</v>
      </c>
      <c r="F2463" s="11" t="s">
        <v>26</v>
      </c>
      <c r="G2463" s="11">
        <v>56910</v>
      </c>
      <c r="H2463" s="12" t="s">
        <v>4423</v>
      </c>
      <c r="I2463" s="12" t="s">
        <v>27</v>
      </c>
      <c r="J2463" s="12" t="s">
        <v>33</v>
      </c>
      <c r="K2463" s="12" t="s">
        <v>34</v>
      </c>
      <c r="L2463" s="13">
        <v>35</v>
      </c>
      <c r="M2463" s="13">
        <v>25</v>
      </c>
      <c r="N2463" s="13">
        <f t="shared" si="253"/>
        <v>1.4</v>
      </c>
      <c r="O2463" s="13">
        <v>45</v>
      </c>
      <c r="P2463" s="13" t="s">
        <v>30</v>
      </c>
      <c r="Q2463" s="13">
        <v>0</v>
      </c>
      <c r="R2463" s="70">
        <f>+L2463*O2463</f>
        <v>1575</v>
      </c>
      <c r="S2463" s="70">
        <v>0</v>
      </c>
      <c r="T2463" s="70">
        <f>+L2463*S2463</f>
        <v>0</v>
      </c>
      <c r="U2463" s="70">
        <f t="shared" si="304"/>
        <v>1575</v>
      </c>
      <c r="V2463" s="70">
        <f>+U2463*1</f>
        <v>1575</v>
      </c>
      <c r="W2463" s="70">
        <f t="shared" si="306"/>
        <v>0</v>
      </c>
      <c r="X2463" s="70">
        <v>0</v>
      </c>
      <c r="Y2463" s="14">
        <f t="shared" si="268"/>
        <v>0</v>
      </c>
      <c r="Z2463" s="11" t="s">
        <v>26</v>
      </c>
      <c r="AA2463" s="12" t="s">
        <v>31</v>
      </c>
    </row>
    <row r="2464" spans="1:27" x14ac:dyDescent="0.25">
      <c r="A2464" s="10">
        <v>45693</v>
      </c>
      <c r="B2464" s="69">
        <v>3.6215277777777777E-2</v>
      </c>
      <c r="C2464" s="11" t="s">
        <v>4836</v>
      </c>
      <c r="D2464" s="11">
        <v>16997</v>
      </c>
      <c r="E2464" s="11" t="s">
        <v>605</v>
      </c>
      <c r="F2464" s="11" t="s">
        <v>26</v>
      </c>
      <c r="G2464" s="11">
        <v>1062</v>
      </c>
      <c r="H2464" s="12" t="s">
        <v>141</v>
      </c>
      <c r="I2464" s="12" t="s">
        <v>37</v>
      </c>
      <c r="J2464" s="12" t="s">
        <v>85</v>
      </c>
      <c r="K2464" s="12" t="s">
        <v>86</v>
      </c>
      <c r="L2464" s="13">
        <v>37.159999999999997</v>
      </c>
      <c r="M2464" s="13">
        <v>25</v>
      </c>
      <c r="N2464" s="13">
        <f t="shared" si="253"/>
        <v>1.4863999999999999</v>
      </c>
      <c r="O2464" s="13">
        <v>29</v>
      </c>
      <c r="P2464" s="13" t="s">
        <v>30</v>
      </c>
      <c r="Q2464" s="13">
        <v>0</v>
      </c>
      <c r="R2464" s="70">
        <f>L2464*O2464</f>
        <v>1077.6399999999999</v>
      </c>
      <c r="S2464" s="70">
        <v>0</v>
      </c>
      <c r="T2464" s="70">
        <f>L2464*S2464</f>
        <v>0</v>
      </c>
      <c r="U2464" s="70">
        <f>R2464-T2464</f>
        <v>1077.6399999999999</v>
      </c>
      <c r="V2464" s="70">
        <f>U2464*0</f>
        <v>0</v>
      </c>
      <c r="W2464" s="70">
        <f>U2464-V2464</f>
        <v>1077.6399999999999</v>
      </c>
      <c r="X2464" s="70">
        <v>0</v>
      </c>
      <c r="Y2464" s="14">
        <f t="shared" si="268"/>
        <v>0</v>
      </c>
      <c r="Z2464" s="11" t="s">
        <v>26</v>
      </c>
      <c r="AA2464" s="12" t="s">
        <v>31</v>
      </c>
    </row>
    <row r="2465" spans="1:27" x14ac:dyDescent="0.25">
      <c r="A2465" s="10">
        <v>45693</v>
      </c>
      <c r="B2465" s="69">
        <v>1.230324074074074E-2</v>
      </c>
      <c r="C2465" s="11" t="s">
        <v>4837</v>
      </c>
      <c r="D2465" s="11">
        <v>16998</v>
      </c>
      <c r="E2465" s="11" t="s">
        <v>80</v>
      </c>
      <c r="F2465" s="11" t="s">
        <v>26</v>
      </c>
      <c r="G2465" s="11">
        <v>10674</v>
      </c>
      <c r="H2465" s="12" t="s">
        <v>140</v>
      </c>
      <c r="I2465" s="12" t="s">
        <v>27</v>
      </c>
      <c r="J2465" s="12" t="s">
        <v>47</v>
      </c>
      <c r="K2465" s="12" t="s">
        <v>48</v>
      </c>
      <c r="L2465" s="13">
        <v>41.02</v>
      </c>
      <c r="M2465" s="13">
        <v>28</v>
      </c>
      <c r="N2465" s="13">
        <f t="shared" si="253"/>
        <v>1.4650000000000001</v>
      </c>
      <c r="O2465" s="13">
        <v>40</v>
      </c>
      <c r="P2465" s="13"/>
      <c r="Q2465" s="13">
        <v>0</v>
      </c>
      <c r="R2465" s="70">
        <f>+L2465*O2465</f>
        <v>1640.8000000000002</v>
      </c>
      <c r="S2465" s="70">
        <v>0</v>
      </c>
      <c r="T2465" s="70">
        <f>+L2465*S2465</f>
        <v>0</v>
      </c>
      <c r="U2465" s="70">
        <f>+R2465-T2465</f>
        <v>1640.8000000000002</v>
      </c>
      <c r="V2465" s="70">
        <f t="shared" ref="V2465" si="307">+U2465*0</f>
        <v>0</v>
      </c>
      <c r="W2465" s="70">
        <f>+U2465-V2465</f>
        <v>1640.8000000000002</v>
      </c>
      <c r="X2465" s="70">
        <v>0</v>
      </c>
      <c r="Y2465" s="14">
        <f t="shared" si="268"/>
        <v>0</v>
      </c>
      <c r="Z2465" s="11" t="s">
        <v>26</v>
      </c>
      <c r="AA2465" s="12" t="s">
        <v>31</v>
      </c>
    </row>
    <row r="2466" spans="1:27" x14ac:dyDescent="0.25">
      <c r="A2466" s="10">
        <v>45693</v>
      </c>
      <c r="B2466" s="69">
        <v>0.12562499999999999</v>
      </c>
      <c r="C2466" s="11" t="s">
        <v>4838</v>
      </c>
      <c r="D2466" s="11">
        <v>16999</v>
      </c>
      <c r="E2466" s="11" t="s">
        <v>4817</v>
      </c>
      <c r="F2466" s="11" t="s">
        <v>26</v>
      </c>
      <c r="G2466" s="11">
        <v>72353</v>
      </c>
      <c r="H2466" s="12" t="s">
        <v>4448</v>
      </c>
      <c r="I2466" s="12" t="s">
        <v>27</v>
      </c>
      <c r="J2466" s="12" t="s">
        <v>42</v>
      </c>
      <c r="K2466" s="12" t="s">
        <v>43</v>
      </c>
      <c r="L2466" s="13">
        <v>43.24</v>
      </c>
      <c r="M2466" s="13">
        <v>25</v>
      </c>
      <c r="N2466" s="13">
        <f t="shared" si="253"/>
        <v>1.7296</v>
      </c>
      <c r="O2466" s="13">
        <v>42.5</v>
      </c>
      <c r="P2466" s="13"/>
      <c r="Q2466" s="13">
        <v>0</v>
      </c>
      <c r="R2466" s="70">
        <f>+L2466*O2466</f>
        <v>1837.7</v>
      </c>
      <c r="S2466" s="70">
        <v>0</v>
      </c>
      <c r="T2466" s="70">
        <f>+L2466*S2466</f>
        <v>0</v>
      </c>
      <c r="U2466" s="70">
        <f>+R2466-T2466</f>
        <v>1837.7</v>
      </c>
      <c r="V2466" s="70">
        <f>+U2466*0.75</f>
        <v>1378.2750000000001</v>
      </c>
      <c r="W2466" s="70">
        <f>+U2466-V2466</f>
        <v>459.42499999999995</v>
      </c>
      <c r="X2466" s="70">
        <v>0</v>
      </c>
      <c r="Y2466" s="14">
        <f t="shared" si="268"/>
        <v>0</v>
      </c>
      <c r="Z2466" s="11" t="s">
        <v>26</v>
      </c>
      <c r="AA2466" s="12" t="s">
        <v>31</v>
      </c>
    </row>
    <row r="2467" spans="1:27" x14ac:dyDescent="0.25">
      <c r="A2467" s="10">
        <v>45693</v>
      </c>
      <c r="B2467" s="69">
        <v>1.8206018518518552E-2</v>
      </c>
      <c r="C2467" s="11" t="s">
        <v>4839</v>
      </c>
      <c r="D2467" s="11">
        <v>17000</v>
      </c>
      <c r="E2467" s="11" t="s">
        <v>3786</v>
      </c>
      <c r="F2467" s="11" t="s">
        <v>26</v>
      </c>
      <c r="G2467" s="11">
        <v>24333</v>
      </c>
      <c r="H2467" s="12" t="s">
        <v>4448</v>
      </c>
      <c r="I2467" s="12" t="s">
        <v>55</v>
      </c>
      <c r="J2467" s="12" t="s">
        <v>55</v>
      </c>
      <c r="K2467" s="12" t="s">
        <v>56</v>
      </c>
      <c r="L2467" s="13">
        <v>36.64</v>
      </c>
      <c r="M2467" s="13">
        <v>25</v>
      </c>
      <c r="N2467" s="13">
        <f t="shared" si="253"/>
        <v>1.4656</v>
      </c>
      <c r="O2467" s="13">
        <v>15</v>
      </c>
      <c r="P2467" s="13" t="s">
        <v>30</v>
      </c>
      <c r="Q2467" s="13">
        <v>0</v>
      </c>
      <c r="R2467" s="70">
        <f>+L2467*O2467</f>
        <v>549.6</v>
      </c>
      <c r="S2467" s="70">
        <v>0</v>
      </c>
      <c r="T2467" s="70">
        <f>+L2467*S2467</f>
        <v>0</v>
      </c>
      <c r="U2467" s="70">
        <f>+R2467-T2467</f>
        <v>549.6</v>
      </c>
      <c r="V2467" s="70">
        <f>+U2467*0.75</f>
        <v>412.20000000000005</v>
      </c>
      <c r="W2467" s="70">
        <f>+U2467-V2467</f>
        <v>137.39999999999998</v>
      </c>
      <c r="X2467" s="70">
        <v>0</v>
      </c>
      <c r="Y2467" s="14">
        <f t="shared" si="268"/>
        <v>0</v>
      </c>
      <c r="Z2467" s="11" t="s">
        <v>26</v>
      </c>
      <c r="AA2467" s="12" t="s">
        <v>31</v>
      </c>
    </row>
    <row r="2468" spans="1:27" x14ac:dyDescent="0.25">
      <c r="A2468" s="10">
        <v>45693</v>
      </c>
      <c r="B2468" s="69">
        <v>2.3333333333333317E-2</v>
      </c>
      <c r="C2468" s="11" t="s">
        <v>4840</v>
      </c>
      <c r="D2468" s="11">
        <v>17001</v>
      </c>
      <c r="E2468" s="11" t="s">
        <v>244</v>
      </c>
      <c r="F2468" s="11" t="s">
        <v>26</v>
      </c>
      <c r="G2468" s="11">
        <v>957</v>
      </c>
      <c r="H2468" s="12" t="s">
        <v>141</v>
      </c>
      <c r="I2468" s="12" t="s">
        <v>37</v>
      </c>
      <c r="J2468" s="12" t="s">
        <v>85</v>
      </c>
      <c r="K2468" s="12" t="s">
        <v>86</v>
      </c>
      <c r="L2468" s="13">
        <v>37.32</v>
      </c>
      <c r="M2468" s="13">
        <v>25</v>
      </c>
      <c r="N2468" s="13">
        <f t="shared" si="253"/>
        <v>1.4927999999999999</v>
      </c>
      <c r="O2468" s="13">
        <v>29</v>
      </c>
      <c r="P2468" s="13" t="s">
        <v>30</v>
      </c>
      <c r="Q2468" s="13">
        <v>0</v>
      </c>
      <c r="R2468" s="70">
        <f>L2468*O2468</f>
        <v>1082.28</v>
      </c>
      <c r="S2468" s="70">
        <v>0</v>
      </c>
      <c r="T2468" s="70">
        <f>L2468*S2468</f>
        <v>0</v>
      </c>
      <c r="U2468" s="70">
        <f>R2468-T2468</f>
        <v>1082.28</v>
      </c>
      <c r="V2468" s="70">
        <f>U2468*0</f>
        <v>0</v>
      </c>
      <c r="W2468" s="70">
        <f>U2468-V2468</f>
        <v>1082.28</v>
      </c>
      <c r="X2468" s="70">
        <v>0</v>
      </c>
      <c r="Y2468" s="14">
        <f t="shared" si="268"/>
        <v>0</v>
      </c>
      <c r="Z2468" s="11" t="s">
        <v>26</v>
      </c>
      <c r="AA2468" s="12" t="s">
        <v>31</v>
      </c>
    </row>
    <row r="2469" spans="1:27" x14ac:dyDescent="0.25">
      <c r="A2469" s="10">
        <v>45693</v>
      </c>
      <c r="B2469" s="69">
        <v>2.3217592592592595E-2</v>
      </c>
      <c r="C2469" s="11" t="s">
        <v>4841</v>
      </c>
      <c r="D2469" s="11">
        <v>17002</v>
      </c>
      <c r="E2469" s="11" t="s">
        <v>461</v>
      </c>
      <c r="F2469" s="11" t="s">
        <v>26</v>
      </c>
      <c r="G2469" s="11" t="s">
        <v>35</v>
      </c>
      <c r="H2469" s="12" t="s">
        <v>36</v>
      </c>
      <c r="I2469" s="12" t="s">
        <v>55</v>
      </c>
      <c r="J2469" s="12" t="s">
        <v>55</v>
      </c>
      <c r="K2469" s="12" t="s">
        <v>56</v>
      </c>
      <c r="L2469" s="13">
        <v>28.3</v>
      </c>
      <c r="M2469" s="13">
        <v>20</v>
      </c>
      <c r="N2469" s="13">
        <f t="shared" si="253"/>
        <v>1.415</v>
      </c>
      <c r="O2469" s="13">
        <v>20</v>
      </c>
      <c r="P2469" s="13" t="s">
        <v>30</v>
      </c>
      <c r="Q2469" s="13">
        <v>0</v>
      </c>
      <c r="R2469" s="70">
        <f>(L2469*O2469)-Q2469</f>
        <v>566</v>
      </c>
      <c r="S2469" s="70">
        <v>0</v>
      </c>
      <c r="T2469" s="70">
        <f t="shared" ref="T2469" si="308">+L2469*S2469</f>
        <v>0</v>
      </c>
      <c r="U2469" s="70">
        <f t="shared" ref="U2469" si="309">+R2469-T2469</f>
        <v>566</v>
      </c>
      <c r="V2469" s="70">
        <f t="shared" ref="V2469:V2470" si="310">+U2469*0</f>
        <v>0</v>
      </c>
      <c r="W2469" s="70">
        <f t="shared" ref="W2469" si="311">+U2469-V2469</f>
        <v>566</v>
      </c>
      <c r="X2469" s="70">
        <v>0</v>
      </c>
      <c r="Y2469" s="14">
        <f t="shared" si="268"/>
        <v>0</v>
      </c>
      <c r="Z2469" s="11" t="s">
        <v>26</v>
      </c>
      <c r="AA2469" s="12" t="s">
        <v>31</v>
      </c>
    </row>
    <row r="2470" spans="1:27" x14ac:dyDescent="0.25">
      <c r="A2470" s="10">
        <v>45693</v>
      </c>
      <c r="B2470" s="69">
        <v>9.1435185185185786E-3</v>
      </c>
      <c r="C2470" s="11" t="s">
        <v>4842</v>
      </c>
      <c r="D2470" s="11">
        <v>17004</v>
      </c>
      <c r="E2470" s="11" t="s">
        <v>57</v>
      </c>
      <c r="F2470" s="11" t="s">
        <v>26</v>
      </c>
      <c r="G2470" s="11">
        <v>3690</v>
      </c>
      <c r="H2470" s="12" t="s">
        <v>41</v>
      </c>
      <c r="I2470" s="12" t="s">
        <v>27</v>
      </c>
      <c r="J2470" s="12" t="s">
        <v>42</v>
      </c>
      <c r="K2470" s="12" t="s">
        <v>43</v>
      </c>
      <c r="L2470" s="13">
        <v>39.42</v>
      </c>
      <c r="M2470" s="13">
        <v>24</v>
      </c>
      <c r="N2470" s="13">
        <f t="shared" si="253"/>
        <v>1.6425000000000001</v>
      </c>
      <c r="O2470" s="13" t="s">
        <v>30</v>
      </c>
      <c r="P2470" s="13">
        <v>64</v>
      </c>
      <c r="Q2470" s="13">
        <v>0</v>
      </c>
      <c r="R2470" s="70">
        <f>M2470*P2470</f>
        <v>1536</v>
      </c>
      <c r="S2470" s="70">
        <v>0</v>
      </c>
      <c r="T2470" s="70">
        <f>M2470*S2470</f>
        <v>0</v>
      </c>
      <c r="U2470" s="70">
        <f>+R2470-T2470</f>
        <v>1536</v>
      </c>
      <c r="V2470" s="70">
        <f t="shared" si="310"/>
        <v>0</v>
      </c>
      <c r="W2470" s="70">
        <f>+U2470-V2470</f>
        <v>1536</v>
      </c>
      <c r="X2470" s="70">
        <v>0</v>
      </c>
      <c r="Y2470" s="14">
        <f t="shared" si="268"/>
        <v>0</v>
      </c>
      <c r="Z2470" s="11" t="s">
        <v>26</v>
      </c>
      <c r="AA2470" s="12" t="s">
        <v>31</v>
      </c>
    </row>
    <row r="2471" spans="1:27" x14ac:dyDescent="0.25">
      <c r="A2471" s="10">
        <v>45693</v>
      </c>
      <c r="B2471" s="69">
        <v>7.8472222222222276E-3</v>
      </c>
      <c r="C2471" s="11" t="s">
        <v>4843</v>
      </c>
      <c r="D2471" s="11">
        <v>17005</v>
      </c>
      <c r="E2471" s="11" t="s">
        <v>505</v>
      </c>
      <c r="F2471" s="11" t="s">
        <v>26</v>
      </c>
      <c r="G2471" s="11">
        <v>1259</v>
      </c>
      <c r="H2471" s="12" t="s">
        <v>141</v>
      </c>
      <c r="I2471" s="12" t="s">
        <v>37</v>
      </c>
      <c r="J2471" s="12" t="s">
        <v>85</v>
      </c>
      <c r="K2471" s="12" t="s">
        <v>86</v>
      </c>
      <c r="L2471" s="13">
        <v>37.72</v>
      </c>
      <c r="M2471" s="13">
        <v>24</v>
      </c>
      <c r="N2471" s="13">
        <f t="shared" si="253"/>
        <v>1.5716666666666665</v>
      </c>
      <c r="O2471" s="13">
        <v>29</v>
      </c>
      <c r="P2471" s="13" t="s">
        <v>30</v>
      </c>
      <c r="Q2471" s="13">
        <v>0</v>
      </c>
      <c r="R2471" s="70">
        <f>L2471*O2471</f>
        <v>1093.8799999999999</v>
      </c>
      <c r="S2471" s="70">
        <v>0</v>
      </c>
      <c r="T2471" s="70">
        <f>L2471*S2471</f>
        <v>0</v>
      </c>
      <c r="U2471" s="70">
        <f>R2471-T2471</f>
        <v>1093.8799999999999</v>
      </c>
      <c r="V2471" s="70">
        <f>U2471*0</f>
        <v>0</v>
      </c>
      <c r="W2471" s="70">
        <f>U2471-V2471</f>
        <v>1093.8799999999999</v>
      </c>
      <c r="X2471" s="70">
        <v>0</v>
      </c>
      <c r="Y2471" s="14">
        <f t="shared" si="268"/>
        <v>0</v>
      </c>
      <c r="Z2471" s="11" t="s">
        <v>26</v>
      </c>
      <c r="AA2471" s="12" t="s">
        <v>31</v>
      </c>
    </row>
    <row r="2472" spans="1:27" x14ac:dyDescent="0.25">
      <c r="A2472" s="10">
        <v>45693</v>
      </c>
      <c r="B2472" s="69">
        <v>1.2627314814814827E-2</v>
      </c>
      <c r="C2472" s="11" t="s">
        <v>4844</v>
      </c>
      <c r="D2472" s="11">
        <v>17006</v>
      </c>
      <c r="E2472" s="11" t="s">
        <v>552</v>
      </c>
      <c r="F2472" s="11" t="s">
        <v>26</v>
      </c>
      <c r="G2472" s="11">
        <v>44151</v>
      </c>
      <c r="H2472" s="12" t="s">
        <v>4423</v>
      </c>
      <c r="I2472" s="12" t="s">
        <v>27</v>
      </c>
      <c r="J2472" s="12" t="s">
        <v>42</v>
      </c>
      <c r="K2472" s="12" t="s">
        <v>43</v>
      </c>
      <c r="L2472" s="13">
        <v>36.659999999999997</v>
      </c>
      <c r="M2472" s="13">
        <v>25</v>
      </c>
      <c r="N2472" s="13">
        <f t="shared" si="253"/>
        <v>1.4663999999999999</v>
      </c>
      <c r="O2472" s="13">
        <v>42</v>
      </c>
      <c r="P2472" s="13" t="s">
        <v>30</v>
      </c>
      <c r="Q2472" s="13">
        <v>0</v>
      </c>
      <c r="R2472" s="70">
        <f t="shared" ref="R2472" si="312">+L2472*O2472</f>
        <v>1539.7199999999998</v>
      </c>
      <c r="S2472" s="70">
        <v>0</v>
      </c>
      <c r="T2472" s="70">
        <f t="shared" ref="T2472" si="313">+L2472*S2472</f>
        <v>0</v>
      </c>
      <c r="U2472" s="70">
        <f t="shared" ref="U2472:U2474" si="314">+R2472-T2472</f>
        <v>1539.7199999999998</v>
      </c>
      <c r="V2472" s="70">
        <f>+U2472*1</f>
        <v>1539.7199999999998</v>
      </c>
      <c r="W2472" s="70">
        <f t="shared" ref="W2472:W2474" si="315">+U2472-V2472</f>
        <v>0</v>
      </c>
      <c r="X2472" s="70">
        <v>0</v>
      </c>
      <c r="Y2472" s="14">
        <f t="shared" si="268"/>
        <v>0</v>
      </c>
      <c r="Z2472" s="11" t="s">
        <v>26</v>
      </c>
      <c r="AA2472" s="12" t="s">
        <v>31</v>
      </c>
    </row>
    <row r="2473" spans="1:27" x14ac:dyDescent="0.25">
      <c r="A2473" s="10">
        <v>45693</v>
      </c>
      <c r="B2473" s="69">
        <v>1.1539351851851842E-2</v>
      </c>
      <c r="C2473" s="11" t="s">
        <v>4845</v>
      </c>
      <c r="D2473" s="11">
        <v>17007</v>
      </c>
      <c r="E2473" s="11" t="s">
        <v>97</v>
      </c>
      <c r="F2473" s="11" t="s">
        <v>26</v>
      </c>
      <c r="G2473" s="11">
        <v>9855</v>
      </c>
      <c r="H2473" s="12" t="s">
        <v>4447</v>
      </c>
      <c r="I2473" s="12" t="s">
        <v>27</v>
      </c>
      <c r="J2473" s="12" t="s">
        <v>42</v>
      </c>
      <c r="K2473" s="12" t="s">
        <v>43</v>
      </c>
      <c r="L2473" s="13">
        <v>19.2</v>
      </c>
      <c r="M2473" s="13">
        <v>12</v>
      </c>
      <c r="N2473" s="13">
        <f t="shared" si="253"/>
        <v>1.5999999999999999</v>
      </c>
      <c r="O2473" s="13" t="s">
        <v>30</v>
      </c>
      <c r="P2473" s="13">
        <v>65.599999999999994</v>
      </c>
      <c r="Q2473" s="13">
        <v>0</v>
      </c>
      <c r="R2473" s="70">
        <f>+M2473*P2473</f>
        <v>787.19999999999993</v>
      </c>
      <c r="S2473" s="70">
        <v>0</v>
      </c>
      <c r="T2473" s="70">
        <f>+M2473*S2473</f>
        <v>0</v>
      </c>
      <c r="U2473" s="70">
        <f t="shared" si="314"/>
        <v>787.19999999999993</v>
      </c>
      <c r="V2473" s="70">
        <f>+U2473*1</f>
        <v>787.19999999999993</v>
      </c>
      <c r="W2473" s="70">
        <f t="shared" si="315"/>
        <v>0</v>
      </c>
      <c r="X2473" s="70">
        <v>0</v>
      </c>
      <c r="Y2473" s="14">
        <f t="shared" si="268"/>
        <v>0</v>
      </c>
      <c r="Z2473" s="11" t="s">
        <v>26</v>
      </c>
      <c r="AA2473" s="12" t="s">
        <v>31</v>
      </c>
    </row>
    <row r="2474" spans="1:27" x14ac:dyDescent="0.25">
      <c r="A2474" s="10">
        <v>45693</v>
      </c>
      <c r="B2474" s="69">
        <v>1.3865740740740651E-2</v>
      </c>
      <c r="C2474" s="11" t="s">
        <v>4846</v>
      </c>
      <c r="D2474" s="11">
        <v>17008</v>
      </c>
      <c r="E2474" s="11" t="s">
        <v>246</v>
      </c>
      <c r="F2474" s="11" t="s">
        <v>26</v>
      </c>
      <c r="G2474" s="11">
        <v>3000</v>
      </c>
      <c r="H2474" s="12" t="s">
        <v>41</v>
      </c>
      <c r="I2474" s="12" t="s">
        <v>55</v>
      </c>
      <c r="J2474" s="12" t="s">
        <v>55</v>
      </c>
      <c r="K2474" s="12" t="s">
        <v>56</v>
      </c>
      <c r="L2474" s="13">
        <v>39.18</v>
      </c>
      <c r="M2474" s="13">
        <v>24</v>
      </c>
      <c r="N2474" s="13">
        <f t="shared" si="253"/>
        <v>1.6325000000000001</v>
      </c>
      <c r="O2474" s="13" t="s">
        <v>30</v>
      </c>
      <c r="P2474" s="13">
        <v>24</v>
      </c>
      <c r="Q2474" s="13">
        <v>0</v>
      </c>
      <c r="R2474" s="70">
        <f>+M2474*P2474</f>
        <v>576</v>
      </c>
      <c r="S2474" s="70">
        <v>0</v>
      </c>
      <c r="T2474" s="70">
        <f>+M2474*S2474</f>
        <v>0</v>
      </c>
      <c r="U2474" s="70">
        <f t="shared" si="314"/>
        <v>576</v>
      </c>
      <c r="V2474" s="70">
        <f>+U2474*0</f>
        <v>0</v>
      </c>
      <c r="W2474" s="70">
        <f t="shared" si="315"/>
        <v>576</v>
      </c>
      <c r="X2474" s="70">
        <v>0</v>
      </c>
      <c r="Y2474" s="14">
        <f t="shared" si="268"/>
        <v>0</v>
      </c>
      <c r="Z2474" s="11" t="s">
        <v>26</v>
      </c>
      <c r="AA2474" s="12" t="s">
        <v>31</v>
      </c>
    </row>
    <row r="2475" spans="1:27" x14ac:dyDescent="0.25">
      <c r="A2475" s="10">
        <v>45693</v>
      </c>
      <c r="B2475" s="69">
        <v>1.8553240740740717E-2</v>
      </c>
      <c r="C2475" s="11" t="s">
        <v>4847</v>
      </c>
      <c r="D2475" s="11">
        <v>17009</v>
      </c>
      <c r="E2475" s="11" t="s">
        <v>46</v>
      </c>
      <c r="F2475" s="11" t="s">
        <v>26</v>
      </c>
      <c r="G2475" s="11">
        <v>797</v>
      </c>
      <c r="H2475" s="12" t="s">
        <v>141</v>
      </c>
      <c r="I2475" s="12" t="s">
        <v>55</v>
      </c>
      <c r="J2475" s="12" t="s">
        <v>55</v>
      </c>
      <c r="K2475" s="12" t="s">
        <v>56</v>
      </c>
      <c r="L2475" s="13">
        <v>35.78</v>
      </c>
      <c r="M2475" s="13">
        <v>22</v>
      </c>
      <c r="N2475" s="13">
        <f t="shared" si="253"/>
        <v>1.6263636363636365</v>
      </c>
      <c r="O2475" s="13">
        <v>15</v>
      </c>
      <c r="P2475" s="13" t="s">
        <v>30</v>
      </c>
      <c r="Q2475" s="13">
        <v>0</v>
      </c>
      <c r="R2475" s="70">
        <f>L2475*O2475</f>
        <v>536.70000000000005</v>
      </c>
      <c r="S2475" s="70">
        <v>0</v>
      </c>
      <c r="T2475" s="70">
        <f>L2475*S2475</f>
        <v>0</v>
      </c>
      <c r="U2475" s="70">
        <f>R2475-T2475</f>
        <v>536.70000000000005</v>
      </c>
      <c r="V2475" s="70">
        <f>U2475*0</f>
        <v>0</v>
      </c>
      <c r="W2475" s="70">
        <f>U2475-V2475</f>
        <v>536.70000000000005</v>
      </c>
      <c r="X2475" s="70">
        <v>0</v>
      </c>
      <c r="Y2475" s="14">
        <f t="shared" si="268"/>
        <v>0</v>
      </c>
      <c r="Z2475" s="11" t="s">
        <v>26</v>
      </c>
      <c r="AA2475" s="12" t="s">
        <v>31</v>
      </c>
    </row>
    <row r="2476" spans="1:27" x14ac:dyDescent="0.25">
      <c r="A2476" s="10">
        <v>45693</v>
      </c>
      <c r="B2476" s="69">
        <v>1.4629629629629659E-2</v>
      </c>
      <c r="C2476" s="11" t="s">
        <v>4848</v>
      </c>
      <c r="D2476" s="11">
        <v>17010</v>
      </c>
      <c r="E2476" s="11" t="s">
        <v>69</v>
      </c>
      <c r="F2476" s="11" t="s">
        <v>26</v>
      </c>
      <c r="G2476" s="11">
        <v>2113</v>
      </c>
      <c r="H2476" s="12" t="s">
        <v>70</v>
      </c>
      <c r="I2476" s="12" t="s">
        <v>27</v>
      </c>
      <c r="J2476" s="12" t="s">
        <v>28</v>
      </c>
      <c r="K2476" s="12" t="s">
        <v>29</v>
      </c>
      <c r="L2476" s="13">
        <v>38.28</v>
      </c>
      <c r="M2476" s="13">
        <v>25</v>
      </c>
      <c r="N2476" s="13">
        <f t="shared" si="253"/>
        <v>1.5312000000000001</v>
      </c>
      <c r="O2476" s="13" t="s">
        <v>30</v>
      </c>
      <c r="P2476" s="13">
        <v>40.5</v>
      </c>
      <c r="Q2476" s="13">
        <v>0</v>
      </c>
      <c r="R2476" s="70">
        <f>+M2476*P2476</f>
        <v>1012.5</v>
      </c>
      <c r="S2476" s="70">
        <v>0</v>
      </c>
      <c r="T2476" s="70">
        <f>+M2476*S2476</f>
        <v>0</v>
      </c>
      <c r="U2476" s="70">
        <f t="shared" ref="U2476:U2478" si="316">+R2476-T2476</f>
        <v>1012.5</v>
      </c>
      <c r="V2476" s="70">
        <f t="shared" ref="V2476" si="317">+U2476*0</f>
        <v>0</v>
      </c>
      <c r="W2476" s="70">
        <f t="shared" ref="W2476:W2478" si="318">+U2476-V2476</f>
        <v>1012.5</v>
      </c>
      <c r="X2476" s="70">
        <v>0</v>
      </c>
      <c r="Y2476" s="14">
        <f t="shared" si="268"/>
        <v>0</v>
      </c>
      <c r="Z2476" s="11" t="s">
        <v>26</v>
      </c>
      <c r="AA2476" s="12" t="s">
        <v>31</v>
      </c>
    </row>
    <row r="2477" spans="1:27" x14ac:dyDescent="0.25">
      <c r="A2477" s="10">
        <v>45693</v>
      </c>
      <c r="B2477" s="69">
        <v>1.359953703703709E-2</v>
      </c>
      <c r="C2477" s="11" t="s">
        <v>4849</v>
      </c>
      <c r="D2477" s="11">
        <v>17011</v>
      </c>
      <c r="E2477" s="11" t="s">
        <v>593</v>
      </c>
      <c r="F2477" s="11" t="s">
        <v>26</v>
      </c>
      <c r="G2477" s="11">
        <v>44321</v>
      </c>
      <c r="H2477" s="12" t="s">
        <v>4423</v>
      </c>
      <c r="I2477" s="12" t="s">
        <v>27</v>
      </c>
      <c r="J2477" s="12" t="s">
        <v>42</v>
      </c>
      <c r="K2477" s="12" t="s">
        <v>43</v>
      </c>
      <c r="L2477" s="13">
        <v>38.44</v>
      </c>
      <c r="M2477" s="13">
        <v>25</v>
      </c>
      <c r="N2477" s="13">
        <f t="shared" si="253"/>
        <v>1.5375999999999999</v>
      </c>
      <c r="O2477" s="13">
        <v>42</v>
      </c>
      <c r="P2477" s="13" t="s">
        <v>30</v>
      </c>
      <c r="Q2477" s="13">
        <v>0</v>
      </c>
      <c r="R2477" s="70">
        <f t="shared" ref="R2477" si="319">+L2477*O2477</f>
        <v>1614.48</v>
      </c>
      <c r="S2477" s="70">
        <v>0</v>
      </c>
      <c r="T2477" s="70">
        <f t="shared" ref="T2477" si="320">+L2477*S2477</f>
        <v>0</v>
      </c>
      <c r="U2477" s="70">
        <f t="shared" si="316"/>
        <v>1614.48</v>
      </c>
      <c r="V2477" s="70">
        <f>+U2477*1</f>
        <v>1614.48</v>
      </c>
      <c r="W2477" s="70">
        <f t="shared" si="318"/>
        <v>0</v>
      </c>
      <c r="X2477" s="70">
        <v>0</v>
      </c>
      <c r="Y2477" s="14">
        <f t="shared" si="268"/>
        <v>0</v>
      </c>
      <c r="Z2477" s="11" t="s">
        <v>26</v>
      </c>
      <c r="AA2477" s="12" t="s">
        <v>31</v>
      </c>
    </row>
    <row r="2478" spans="1:27" x14ac:dyDescent="0.25">
      <c r="A2478" s="10">
        <v>45693</v>
      </c>
      <c r="B2478" s="69">
        <v>1.3055555555555598E-2</v>
      </c>
      <c r="C2478" s="11" t="s">
        <v>4850</v>
      </c>
      <c r="D2478" s="11">
        <v>17012</v>
      </c>
      <c r="E2478" s="11" t="s">
        <v>435</v>
      </c>
      <c r="F2478" s="11" t="s">
        <v>26</v>
      </c>
      <c r="G2478" s="11">
        <v>2752</v>
      </c>
      <c r="H2478" s="12" t="s">
        <v>41</v>
      </c>
      <c r="I2478" s="12" t="s">
        <v>55</v>
      </c>
      <c r="J2478" s="12" t="s">
        <v>55</v>
      </c>
      <c r="K2478" s="12" t="s">
        <v>56</v>
      </c>
      <c r="L2478" s="13">
        <v>37.520000000000003</v>
      </c>
      <c r="M2478" s="13">
        <v>23</v>
      </c>
      <c r="N2478" s="13">
        <f t="shared" si="253"/>
        <v>1.6313043478260871</v>
      </c>
      <c r="O2478" s="13" t="s">
        <v>30</v>
      </c>
      <c r="P2478" s="13">
        <v>24</v>
      </c>
      <c r="Q2478" s="13">
        <v>0</v>
      </c>
      <c r="R2478" s="70">
        <f>+M2478*P2478</f>
        <v>552</v>
      </c>
      <c r="S2478" s="70">
        <v>0</v>
      </c>
      <c r="T2478" s="70">
        <f>+M2478*S2478</f>
        <v>0</v>
      </c>
      <c r="U2478" s="70">
        <f t="shared" si="316"/>
        <v>552</v>
      </c>
      <c r="V2478" s="70">
        <f>+U2478*0</f>
        <v>0</v>
      </c>
      <c r="W2478" s="70">
        <f t="shared" si="318"/>
        <v>552</v>
      </c>
      <c r="X2478" s="70">
        <v>0</v>
      </c>
      <c r="Y2478" s="14">
        <f t="shared" si="268"/>
        <v>0</v>
      </c>
      <c r="Z2478" s="11" t="s">
        <v>26</v>
      </c>
      <c r="AA2478" s="12" t="s">
        <v>31</v>
      </c>
    </row>
    <row r="2479" spans="1:27" x14ac:dyDescent="0.25">
      <c r="A2479" s="10">
        <v>45693</v>
      </c>
      <c r="B2479" s="69">
        <v>4.9791666666666679E-2</v>
      </c>
      <c r="C2479" s="11" t="s">
        <v>4851</v>
      </c>
      <c r="D2479" s="11">
        <v>17013</v>
      </c>
      <c r="E2479" s="11" t="s">
        <v>53</v>
      </c>
      <c r="F2479" s="11" t="s">
        <v>26</v>
      </c>
      <c r="G2479" s="11">
        <v>3793</v>
      </c>
      <c r="H2479" s="12" t="s">
        <v>41</v>
      </c>
      <c r="I2479" s="12" t="s">
        <v>27</v>
      </c>
      <c r="J2479" s="12" t="s">
        <v>42</v>
      </c>
      <c r="K2479" s="12" t="s">
        <v>43</v>
      </c>
      <c r="L2479" s="13">
        <v>39.74</v>
      </c>
      <c r="M2479" s="13">
        <v>24</v>
      </c>
      <c r="N2479" s="13">
        <f t="shared" ref="N2479:N2485" si="321">L2479/M2479</f>
        <v>1.6558333333333335</v>
      </c>
      <c r="O2479" s="13" t="s">
        <v>30</v>
      </c>
      <c r="P2479" s="13">
        <v>64</v>
      </c>
      <c r="Q2479" s="13">
        <v>0</v>
      </c>
      <c r="R2479" s="70">
        <f>M2479*P2479</f>
        <v>1536</v>
      </c>
      <c r="S2479" s="70">
        <v>0</v>
      </c>
      <c r="T2479" s="70">
        <f>M2479*S2479</f>
        <v>0</v>
      </c>
      <c r="U2479" s="70">
        <f>+R2479-T2479</f>
        <v>1536</v>
      </c>
      <c r="V2479" s="70">
        <f t="shared" ref="V2479" si="322">+U2479*0</f>
        <v>0</v>
      </c>
      <c r="W2479" s="70">
        <f>+U2479-V2479</f>
        <v>1536</v>
      </c>
      <c r="X2479" s="70">
        <v>0</v>
      </c>
      <c r="Y2479" s="14">
        <f t="shared" si="268"/>
        <v>0</v>
      </c>
      <c r="Z2479" s="11" t="s">
        <v>26</v>
      </c>
      <c r="AA2479" s="12" t="s">
        <v>31</v>
      </c>
    </row>
    <row r="2480" spans="1:27" x14ac:dyDescent="0.25">
      <c r="A2480" s="10">
        <v>45693</v>
      </c>
      <c r="B2480" s="69">
        <v>4.0763888888888933E-2</v>
      </c>
      <c r="C2480" s="11" t="s">
        <v>4852</v>
      </c>
      <c r="D2480" s="11">
        <v>17014</v>
      </c>
      <c r="E2480" s="11" t="s">
        <v>32</v>
      </c>
      <c r="F2480" s="11" t="s">
        <v>26</v>
      </c>
      <c r="G2480" s="11">
        <v>1523</v>
      </c>
      <c r="H2480" s="12" t="s">
        <v>45</v>
      </c>
      <c r="I2480" s="12" t="s">
        <v>27</v>
      </c>
      <c r="J2480" s="12" t="s">
        <v>33</v>
      </c>
      <c r="K2480" s="12" t="s">
        <v>34</v>
      </c>
      <c r="L2480" s="13">
        <v>36.94</v>
      </c>
      <c r="M2480" s="13">
        <v>25</v>
      </c>
      <c r="N2480" s="13">
        <f t="shared" si="321"/>
        <v>1.4775999999999998</v>
      </c>
      <c r="O2480" s="13" t="s">
        <v>30</v>
      </c>
      <c r="P2480" s="13">
        <v>58</v>
      </c>
      <c r="Q2480" s="13">
        <v>0</v>
      </c>
      <c r="R2480" s="70">
        <f>M2480*P2480</f>
        <v>1450</v>
      </c>
      <c r="S2480" s="70">
        <v>0</v>
      </c>
      <c r="T2480" s="70">
        <f>M2480*S2480</f>
        <v>0</v>
      </c>
      <c r="U2480" s="70">
        <f>R2480-T2480</f>
        <v>1450</v>
      </c>
      <c r="V2480" s="70">
        <f>U2480*0</f>
        <v>0</v>
      </c>
      <c r="W2480" s="70">
        <f>U2480-V2480</f>
        <v>1450</v>
      </c>
      <c r="X2480" s="70">
        <v>0</v>
      </c>
      <c r="Y2480" s="14">
        <f t="shared" si="268"/>
        <v>0</v>
      </c>
      <c r="Z2480" s="11" t="s">
        <v>26</v>
      </c>
      <c r="AA2480" s="12" t="s">
        <v>31</v>
      </c>
    </row>
    <row r="2481" spans="1:27" x14ac:dyDescent="0.25">
      <c r="A2481" s="10">
        <v>45693</v>
      </c>
      <c r="B2481" s="69">
        <v>4.1111111111111098E-2</v>
      </c>
      <c r="C2481" s="11" t="s">
        <v>4853</v>
      </c>
      <c r="D2481" s="11">
        <v>17015</v>
      </c>
      <c r="E2481" s="11" t="s">
        <v>483</v>
      </c>
      <c r="F2481" s="11" t="s">
        <v>26</v>
      </c>
      <c r="G2481" s="11">
        <v>3579</v>
      </c>
      <c r="H2481" s="12" t="s">
        <v>41</v>
      </c>
      <c r="I2481" s="12" t="s">
        <v>55</v>
      </c>
      <c r="J2481" s="12" t="s">
        <v>55</v>
      </c>
      <c r="K2481" s="12" t="s">
        <v>56</v>
      </c>
      <c r="L2481" s="13">
        <v>37.880000000000003</v>
      </c>
      <c r="M2481" s="13">
        <v>23</v>
      </c>
      <c r="N2481" s="13">
        <f t="shared" si="321"/>
        <v>1.6469565217391307</v>
      </c>
      <c r="O2481" s="13" t="s">
        <v>30</v>
      </c>
      <c r="P2481" s="13">
        <v>24</v>
      </c>
      <c r="Q2481" s="13">
        <v>0</v>
      </c>
      <c r="R2481" s="70">
        <f>+M2481*P2481</f>
        <v>552</v>
      </c>
      <c r="S2481" s="70">
        <v>0</v>
      </c>
      <c r="T2481" s="70">
        <f>+M2481*S2481</f>
        <v>0</v>
      </c>
      <c r="U2481" s="70">
        <f t="shared" ref="U2481:U2482" si="323">+R2481-T2481</f>
        <v>552</v>
      </c>
      <c r="V2481" s="70">
        <f>+U2481*0</f>
        <v>0</v>
      </c>
      <c r="W2481" s="70">
        <f t="shared" ref="W2481:W2482" si="324">+U2481-V2481</f>
        <v>552</v>
      </c>
      <c r="X2481" s="70">
        <v>0</v>
      </c>
      <c r="Y2481" s="14">
        <f t="shared" si="268"/>
        <v>0</v>
      </c>
      <c r="Z2481" s="11" t="s">
        <v>26</v>
      </c>
      <c r="AA2481" s="12" t="s">
        <v>31</v>
      </c>
    </row>
    <row r="2482" spans="1:27" x14ac:dyDescent="0.25">
      <c r="A2482" s="10">
        <v>45693</v>
      </c>
      <c r="B2482" s="69">
        <v>0.11912037037037049</v>
      </c>
      <c r="C2482" s="11" t="s">
        <v>4854</v>
      </c>
      <c r="D2482" s="11">
        <v>17016</v>
      </c>
      <c r="E2482" s="11" t="s">
        <v>230</v>
      </c>
      <c r="F2482" s="11" t="s">
        <v>26</v>
      </c>
      <c r="G2482" s="11">
        <v>3580</v>
      </c>
      <c r="H2482" s="12" t="s">
        <v>41</v>
      </c>
      <c r="I2482" s="12" t="s">
        <v>55</v>
      </c>
      <c r="J2482" s="12" t="s">
        <v>55</v>
      </c>
      <c r="K2482" s="12" t="s">
        <v>56</v>
      </c>
      <c r="L2482" s="13">
        <v>35.96</v>
      </c>
      <c r="M2482" s="13">
        <v>22</v>
      </c>
      <c r="N2482" s="13">
        <f t="shared" si="321"/>
        <v>1.6345454545454545</v>
      </c>
      <c r="O2482" s="13" t="s">
        <v>30</v>
      </c>
      <c r="P2482" s="13">
        <v>24</v>
      </c>
      <c r="Q2482" s="13">
        <v>0</v>
      </c>
      <c r="R2482" s="70">
        <f>+M2482*P2482</f>
        <v>528</v>
      </c>
      <c r="S2482" s="70">
        <v>0</v>
      </c>
      <c r="T2482" s="70">
        <f>+M2482*S2482</f>
        <v>0</v>
      </c>
      <c r="U2482" s="70">
        <f t="shared" si="323"/>
        <v>528</v>
      </c>
      <c r="V2482" s="70">
        <f>+U2482*0</f>
        <v>0</v>
      </c>
      <c r="W2482" s="70">
        <f t="shared" si="324"/>
        <v>528</v>
      </c>
      <c r="X2482" s="70">
        <v>0</v>
      </c>
      <c r="Y2482" s="14">
        <f t="shared" si="268"/>
        <v>0</v>
      </c>
      <c r="Z2482" s="11" t="s">
        <v>26</v>
      </c>
      <c r="AA2482" s="12" t="s">
        <v>31</v>
      </c>
    </row>
    <row r="2483" spans="1:27" x14ac:dyDescent="0.25">
      <c r="A2483" s="10">
        <v>45693</v>
      </c>
      <c r="B2483" s="69">
        <v>1.6076388888888848E-2</v>
      </c>
      <c r="C2483" s="11" t="s">
        <v>4855</v>
      </c>
      <c r="D2483" s="11">
        <v>17017</v>
      </c>
      <c r="E2483" s="11" t="s">
        <v>520</v>
      </c>
      <c r="F2483" s="11" t="s">
        <v>26</v>
      </c>
      <c r="G2483" s="11">
        <v>4392</v>
      </c>
      <c r="H2483" s="12" t="s">
        <v>140</v>
      </c>
      <c r="I2483" s="12" t="s">
        <v>27</v>
      </c>
      <c r="J2483" s="12" t="s">
        <v>33</v>
      </c>
      <c r="K2483" s="12" t="s">
        <v>34</v>
      </c>
      <c r="L2483" s="13">
        <v>42.38</v>
      </c>
      <c r="M2483" s="13">
        <v>29</v>
      </c>
      <c r="N2483" s="13">
        <f t="shared" si="321"/>
        <v>1.4613793103448276</v>
      </c>
      <c r="O2483" s="13">
        <v>40</v>
      </c>
      <c r="P2483" s="13"/>
      <c r="Q2483" s="13">
        <v>0</v>
      </c>
      <c r="R2483" s="70">
        <f>+L2483*O2483</f>
        <v>1695.2</v>
      </c>
      <c r="S2483" s="70">
        <v>0</v>
      </c>
      <c r="T2483" s="70">
        <f>+L2483*S2483</f>
        <v>0</v>
      </c>
      <c r="U2483" s="70">
        <f>+R2483-T2483</f>
        <v>1695.2</v>
      </c>
      <c r="V2483" s="70">
        <f t="shared" ref="V2483:V2484" si="325">+U2483*0</f>
        <v>0</v>
      </c>
      <c r="W2483" s="70">
        <f>+U2483-V2483</f>
        <v>1695.2</v>
      </c>
      <c r="X2483" s="70">
        <v>0</v>
      </c>
      <c r="Y2483" s="14">
        <f t="shared" si="268"/>
        <v>0</v>
      </c>
      <c r="Z2483" s="11" t="s">
        <v>26</v>
      </c>
      <c r="AA2483" s="12" t="s">
        <v>31</v>
      </c>
    </row>
    <row r="2484" spans="1:27" x14ac:dyDescent="0.25">
      <c r="A2484" s="10">
        <v>45693</v>
      </c>
      <c r="B2484" s="69">
        <v>9.5717592592593492E-3</v>
      </c>
      <c r="C2484" s="11" t="s">
        <v>4856</v>
      </c>
      <c r="D2484" s="11">
        <v>17018</v>
      </c>
      <c r="E2484" s="11" t="s">
        <v>2109</v>
      </c>
      <c r="F2484" s="11" t="s">
        <v>26</v>
      </c>
      <c r="G2484" s="11">
        <v>10619</v>
      </c>
      <c r="H2484" s="12" t="s">
        <v>140</v>
      </c>
      <c r="I2484" s="12" t="s">
        <v>27</v>
      </c>
      <c r="J2484" s="12" t="s">
        <v>33</v>
      </c>
      <c r="K2484" s="12" t="s">
        <v>34</v>
      </c>
      <c r="L2484" s="13">
        <v>40.340000000000003</v>
      </c>
      <c r="M2484" s="13">
        <v>28</v>
      </c>
      <c r="N2484" s="13">
        <f t="shared" si="321"/>
        <v>1.4407142857142858</v>
      </c>
      <c r="O2484" s="13">
        <v>40</v>
      </c>
      <c r="P2484" s="13"/>
      <c r="Q2484" s="13">
        <v>0</v>
      </c>
      <c r="R2484" s="70">
        <f>+L2484*O2484</f>
        <v>1613.6000000000001</v>
      </c>
      <c r="S2484" s="70">
        <v>0</v>
      </c>
      <c r="T2484" s="70">
        <f>+L2484*S2484</f>
        <v>0</v>
      </c>
      <c r="U2484" s="70">
        <f>+R2484-T2484</f>
        <v>1613.6000000000001</v>
      </c>
      <c r="V2484" s="70">
        <f t="shared" si="325"/>
        <v>0</v>
      </c>
      <c r="W2484" s="70">
        <f>+U2484-V2484</f>
        <v>1613.6000000000001</v>
      </c>
      <c r="X2484" s="70">
        <v>0</v>
      </c>
      <c r="Y2484" s="14">
        <f t="shared" si="268"/>
        <v>0</v>
      </c>
      <c r="Z2484" s="11" t="s">
        <v>26</v>
      </c>
      <c r="AA2484" s="12" t="s">
        <v>31</v>
      </c>
    </row>
    <row r="2485" spans="1:27" x14ac:dyDescent="0.25">
      <c r="A2485" s="10">
        <v>45693</v>
      </c>
      <c r="B2485" s="69">
        <v>4.3807870370370372E-2</v>
      </c>
      <c r="C2485" s="11" t="s">
        <v>4857</v>
      </c>
      <c r="D2485" s="11">
        <v>17019</v>
      </c>
      <c r="E2485" s="11" t="s">
        <v>32</v>
      </c>
      <c r="F2485" s="11" t="s">
        <v>26</v>
      </c>
      <c r="G2485" s="11">
        <v>1547</v>
      </c>
      <c r="H2485" s="12" t="s">
        <v>45</v>
      </c>
      <c r="I2485" s="12" t="s">
        <v>27</v>
      </c>
      <c r="J2485" s="12" t="s">
        <v>42</v>
      </c>
      <c r="K2485" s="12" t="s">
        <v>43</v>
      </c>
      <c r="L2485" s="13">
        <v>41.2</v>
      </c>
      <c r="M2485" s="13">
        <v>25</v>
      </c>
      <c r="N2485" s="13">
        <f t="shared" si="321"/>
        <v>1.6480000000000001</v>
      </c>
      <c r="O2485" s="13" t="s">
        <v>30</v>
      </c>
      <c r="P2485" s="13">
        <v>62</v>
      </c>
      <c r="Q2485" s="13">
        <v>0</v>
      </c>
      <c r="R2485" s="70">
        <f>M2485*P2485</f>
        <v>1550</v>
      </c>
      <c r="S2485" s="70">
        <v>0</v>
      </c>
      <c r="T2485" s="70">
        <f>M2485*S2485</f>
        <v>0</v>
      </c>
      <c r="U2485" s="70">
        <f>R2485-T2485</f>
        <v>1550</v>
      </c>
      <c r="V2485" s="70">
        <f>U2485*0</f>
        <v>0</v>
      </c>
      <c r="W2485" s="70">
        <f>U2485-V2485</f>
        <v>1550</v>
      </c>
      <c r="X2485" s="70">
        <v>0</v>
      </c>
      <c r="Y2485" s="14">
        <f t="shared" si="268"/>
        <v>0</v>
      </c>
      <c r="Z2485" s="11" t="s">
        <v>26</v>
      </c>
      <c r="AA2485" s="12" t="s">
        <v>31</v>
      </c>
    </row>
    <row r="2486" spans="1:27" x14ac:dyDescent="0.25">
      <c r="A2486" s="10">
        <v>45694</v>
      </c>
      <c r="B2486" s="69">
        <v>2.7071759259259087E-2</v>
      </c>
      <c r="C2486" s="11" t="s">
        <v>4858</v>
      </c>
      <c r="D2486" s="11">
        <v>17020</v>
      </c>
      <c r="E2486" s="11" t="s">
        <v>322</v>
      </c>
      <c r="F2486" s="11" t="s">
        <v>26</v>
      </c>
      <c r="G2486" s="11">
        <v>112425</v>
      </c>
      <c r="H2486" s="12" t="s">
        <v>4446</v>
      </c>
      <c r="I2486" s="12" t="s">
        <v>27</v>
      </c>
      <c r="J2486" s="12" t="s">
        <v>33</v>
      </c>
      <c r="K2486" s="12" t="s">
        <v>34</v>
      </c>
      <c r="L2486" s="13">
        <v>36.22</v>
      </c>
      <c r="M2486" s="13">
        <v>25</v>
      </c>
      <c r="N2486" s="13">
        <f>L2486/M2486</f>
        <v>1.4487999999999999</v>
      </c>
      <c r="O2486" s="13">
        <v>44</v>
      </c>
      <c r="P2486" s="13" t="s">
        <v>30</v>
      </c>
      <c r="Q2486" s="13">
        <v>0</v>
      </c>
      <c r="R2486" s="70">
        <f t="shared" ref="R2486" si="326">+L2486*O2486</f>
        <v>1593.6799999999998</v>
      </c>
      <c r="S2486" s="70">
        <v>0</v>
      </c>
      <c r="T2486" s="70">
        <f>+L2486*S2486</f>
        <v>0</v>
      </c>
      <c r="U2486" s="70">
        <f>+R2486-T2486</f>
        <v>1593.6799999999998</v>
      </c>
      <c r="V2486" s="70">
        <f>+U2486*1</f>
        <v>1593.6799999999998</v>
      </c>
      <c r="W2486" s="70">
        <f>+U2486-V2486</f>
        <v>0</v>
      </c>
      <c r="X2486" s="70">
        <v>0</v>
      </c>
      <c r="Y2486" s="14">
        <f t="shared" si="268"/>
        <v>0</v>
      </c>
      <c r="Z2486" s="11" t="s">
        <v>26</v>
      </c>
      <c r="AA2486" s="12" t="s">
        <v>31</v>
      </c>
    </row>
    <row r="2487" spans="1:27" x14ac:dyDescent="0.25">
      <c r="A2487" s="10">
        <v>45694</v>
      </c>
      <c r="B2487" s="69">
        <v>7.7662037037037335E-3</v>
      </c>
      <c r="C2487" s="11" t="s">
        <v>4859</v>
      </c>
      <c r="D2487" s="11">
        <v>17021</v>
      </c>
      <c r="E2487" s="11" t="s">
        <v>184</v>
      </c>
      <c r="F2487" s="11" t="s">
        <v>26</v>
      </c>
      <c r="G2487" s="11" t="s">
        <v>26</v>
      </c>
      <c r="H2487" s="12" t="s">
        <v>4422</v>
      </c>
      <c r="I2487" s="12" t="s">
        <v>27</v>
      </c>
      <c r="J2487" s="12" t="s">
        <v>47</v>
      </c>
      <c r="K2487" s="12" t="s">
        <v>48</v>
      </c>
      <c r="L2487" s="13">
        <v>41.62</v>
      </c>
      <c r="M2487" s="13">
        <v>28</v>
      </c>
      <c r="N2487" s="13">
        <f t="shared" ref="N2487:N2550" si="327">L2487/M2487</f>
        <v>1.4864285714285714</v>
      </c>
      <c r="O2487" s="13">
        <v>87</v>
      </c>
      <c r="P2487" s="13" t="s">
        <v>30</v>
      </c>
      <c r="Q2487" s="13">
        <v>0</v>
      </c>
      <c r="R2487" s="70">
        <f>L2487*O2487</f>
        <v>3620.9399999999996</v>
      </c>
      <c r="S2487" s="70">
        <v>38</v>
      </c>
      <c r="T2487" s="70">
        <f>L2487*S2487</f>
        <v>1581.56</v>
      </c>
      <c r="U2487" s="70">
        <f>R2487-T2487</f>
        <v>2039.3799999999997</v>
      </c>
      <c r="V2487" s="70">
        <f>U2487*1</f>
        <v>2039.3799999999997</v>
      </c>
      <c r="W2487" s="70">
        <f>U2487-V2487</f>
        <v>0</v>
      </c>
      <c r="X2487" s="70">
        <f>L2487*36</f>
        <v>1498.32</v>
      </c>
      <c r="Y2487" s="71">
        <f>+T2487-X2487</f>
        <v>83.240000000000009</v>
      </c>
      <c r="Z2487" s="12" t="s">
        <v>141</v>
      </c>
      <c r="AA2487" s="12" t="s">
        <v>78</v>
      </c>
    </row>
    <row r="2488" spans="1:27" x14ac:dyDescent="0.25">
      <c r="A2488" s="10">
        <v>45694</v>
      </c>
      <c r="B2488" s="69">
        <v>4.3807870370370372E-2</v>
      </c>
      <c r="C2488" s="11" t="s">
        <v>4860</v>
      </c>
      <c r="D2488" s="11">
        <v>17022</v>
      </c>
      <c r="E2488" s="11" t="s">
        <v>496</v>
      </c>
      <c r="F2488" s="11" t="s">
        <v>26</v>
      </c>
      <c r="G2488" s="11">
        <v>22922</v>
      </c>
      <c r="H2488" s="12" t="s">
        <v>4448</v>
      </c>
      <c r="I2488" s="12" t="s">
        <v>27</v>
      </c>
      <c r="J2488" s="12" t="s">
        <v>33</v>
      </c>
      <c r="K2488" s="12" t="s">
        <v>34</v>
      </c>
      <c r="L2488" s="13">
        <v>37.74</v>
      </c>
      <c r="M2488" s="13">
        <v>25</v>
      </c>
      <c r="N2488" s="13">
        <f t="shared" si="327"/>
        <v>1.5096000000000001</v>
      </c>
      <c r="O2488" s="13">
        <v>45.33</v>
      </c>
      <c r="P2488" s="13" t="s">
        <v>30</v>
      </c>
      <c r="Q2488" s="13">
        <v>0</v>
      </c>
      <c r="R2488" s="70">
        <f>+L2488*O2488</f>
        <v>1710.7542000000001</v>
      </c>
      <c r="S2488" s="70">
        <v>0</v>
      </c>
      <c r="T2488" s="70">
        <f>+L2488*S2488</f>
        <v>0</v>
      </c>
      <c r="U2488" s="70">
        <f>+R2488-T2488</f>
        <v>1710.7542000000001</v>
      </c>
      <c r="V2488" s="70">
        <f>+U2488*0.75</f>
        <v>1283.06565</v>
      </c>
      <c r="W2488" s="70">
        <f>+U2488-V2488</f>
        <v>427.68855000000008</v>
      </c>
      <c r="X2488" s="70">
        <v>0</v>
      </c>
      <c r="Y2488" s="14">
        <f t="shared" ref="Y2488:Y2491" si="328">T2488-X2488</f>
        <v>0</v>
      </c>
      <c r="Z2488" s="11" t="s">
        <v>26</v>
      </c>
      <c r="AA2488" s="12" t="s">
        <v>31</v>
      </c>
    </row>
    <row r="2489" spans="1:27" x14ac:dyDescent="0.25">
      <c r="A2489" s="10">
        <v>45694</v>
      </c>
      <c r="B2489" s="69">
        <v>1.0462962962962952E-2</v>
      </c>
      <c r="C2489" s="11" t="s">
        <v>4861</v>
      </c>
      <c r="D2489" s="11">
        <v>17023</v>
      </c>
      <c r="E2489" s="11" t="s">
        <v>224</v>
      </c>
      <c r="F2489" s="11" t="s">
        <v>26</v>
      </c>
      <c r="G2489" s="11">
        <v>3202</v>
      </c>
      <c r="H2489" s="12" t="s">
        <v>4423</v>
      </c>
      <c r="I2489" s="12" t="s">
        <v>27</v>
      </c>
      <c r="J2489" s="12" t="s">
        <v>47</v>
      </c>
      <c r="K2489" s="12" t="s">
        <v>48</v>
      </c>
      <c r="L2489" s="13">
        <v>34.58</v>
      </c>
      <c r="M2489" s="13">
        <v>25</v>
      </c>
      <c r="N2489" s="13">
        <f t="shared" si="327"/>
        <v>1.3832</v>
      </c>
      <c r="O2489" s="13">
        <v>46</v>
      </c>
      <c r="P2489" s="13" t="s">
        <v>30</v>
      </c>
      <c r="Q2489" s="13">
        <v>0</v>
      </c>
      <c r="R2489" s="70">
        <f t="shared" ref="R2489" si="329">+L2489*O2489</f>
        <v>1590.6799999999998</v>
      </c>
      <c r="S2489" s="70">
        <v>0</v>
      </c>
      <c r="T2489" s="70">
        <f t="shared" ref="T2489" si="330">+L2489*S2489</f>
        <v>0</v>
      </c>
      <c r="U2489" s="70">
        <f t="shared" ref="U2489" si="331">+R2489-T2489</f>
        <v>1590.6799999999998</v>
      </c>
      <c r="V2489" s="70">
        <f>+U2489*1</f>
        <v>1590.6799999999998</v>
      </c>
      <c r="W2489" s="70">
        <f t="shared" ref="W2489" si="332">+U2489-V2489</f>
        <v>0</v>
      </c>
      <c r="X2489" s="70">
        <v>0</v>
      </c>
      <c r="Y2489" s="14">
        <f t="shared" si="328"/>
        <v>0</v>
      </c>
      <c r="Z2489" s="11" t="s">
        <v>26</v>
      </c>
      <c r="AA2489" s="12" t="s">
        <v>31</v>
      </c>
    </row>
    <row r="2490" spans="1:27" x14ac:dyDescent="0.25">
      <c r="A2490" s="10">
        <v>45694</v>
      </c>
      <c r="B2490" s="69">
        <v>1.6018518518518543E-2</v>
      </c>
      <c r="C2490" s="11" t="s">
        <v>4862</v>
      </c>
      <c r="D2490" s="11">
        <v>17024</v>
      </c>
      <c r="E2490" s="11" t="s">
        <v>100</v>
      </c>
      <c r="F2490" s="11" t="s">
        <v>26</v>
      </c>
      <c r="G2490" s="11">
        <v>21747</v>
      </c>
      <c r="H2490" s="12" t="s">
        <v>4448</v>
      </c>
      <c r="I2490" s="12" t="s">
        <v>27</v>
      </c>
      <c r="J2490" s="12" t="s">
        <v>33</v>
      </c>
      <c r="K2490" s="12" t="s">
        <v>34</v>
      </c>
      <c r="L2490" s="13">
        <v>39.659999999999997</v>
      </c>
      <c r="M2490" s="13">
        <v>27</v>
      </c>
      <c r="N2490" s="13">
        <f t="shared" si="327"/>
        <v>1.4688888888888887</v>
      </c>
      <c r="O2490" s="13">
        <v>45.33</v>
      </c>
      <c r="P2490" s="13" t="s">
        <v>30</v>
      </c>
      <c r="Q2490" s="13">
        <v>0</v>
      </c>
      <c r="R2490" s="70">
        <f>+L2490*O2490</f>
        <v>1797.7877999999998</v>
      </c>
      <c r="S2490" s="70">
        <v>0</v>
      </c>
      <c r="T2490" s="70">
        <f>+L2490*S2490</f>
        <v>0</v>
      </c>
      <c r="U2490" s="70">
        <f>+R2490-T2490</f>
        <v>1797.7877999999998</v>
      </c>
      <c r="V2490" s="70">
        <f>+U2490*0.75</f>
        <v>1348.3408499999998</v>
      </c>
      <c r="W2490" s="70">
        <f>+U2490-V2490</f>
        <v>449.44695000000002</v>
      </c>
      <c r="X2490" s="70">
        <v>0</v>
      </c>
      <c r="Y2490" s="14">
        <f t="shared" si="328"/>
        <v>0</v>
      </c>
      <c r="Z2490" s="11" t="s">
        <v>26</v>
      </c>
      <c r="AA2490" s="12" t="s">
        <v>31</v>
      </c>
    </row>
    <row r="2491" spans="1:27" x14ac:dyDescent="0.25">
      <c r="A2491" s="10">
        <v>45694</v>
      </c>
      <c r="B2491" s="69">
        <v>1.7812500000000009E-2</v>
      </c>
      <c r="C2491" s="11" t="s">
        <v>4863</v>
      </c>
      <c r="D2491" s="11">
        <v>17025</v>
      </c>
      <c r="E2491" s="11" t="s">
        <v>552</v>
      </c>
      <c r="F2491" s="11" t="s">
        <v>26</v>
      </c>
      <c r="G2491" s="11">
        <v>44152</v>
      </c>
      <c r="H2491" s="12" t="s">
        <v>4423</v>
      </c>
      <c r="I2491" s="12" t="s">
        <v>27</v>
      </c>
      <c r="J2491" s="12" t="s">
        <v>33</v>
      </c>
      <c r="K2491" s="12" t="s">
        <v>34</v>
      </c>
      <c r="L2491" s="13">
        <v>36.54</v>
      </c>
      <c r="M2491" s="13">
        <v>25</v>
      </c>
      <c r="N2491" s="13">
        <f t="shared" si="327"/>
        <v>1.4616</v>
      </c>
      <c r="O2491" s="13">
        <v>45</v>
      </c>
      <c r="P2491" s="13" t="s">
        <v>30</v>
      </c>
      <c r="Q2491" s="13">
        <v>0</v>
      </c>
      <c r="R2491" s="70">
        <f>+L2491*O2491</f>
        <v>1644.3</v>
      </c>
      <c r="S2491" s="70">
        <v>0</v>
      </c>
      <c r="T2491" s="70">
        <f>+L2491*S2491</f>
        <v>0</v>
      </c>
      <c r="U2491" s="70">
        <f t="shared" ref="U2491" si="333">+R2491-T2491</f>
        <v>1644.3</v>
      </c>
      <c r="V2491" s="70">
        <f>+U2491*1</f>
        <v>1644.3</v>
      </c>
      <c r="W2491" s="70">
        <f t="shared" ref="W2491" si="334">+U2491-V2491</f>
        <v>0</v>
      </c>
      <c r="X2491" s="70">
        <v>0</v>
      </c>
      <c r="Y2491" s="14">
        <f t="shared" si="328"/>
        <v>0</v>
      </c>
      <c r="Z2491" s="11" t="s">
        <v>26</v>
      </c>
      <c r="AA2491" s="12" t="s">
        <v>31</v>
      </c>
    </row>
    <row r="2492" spans="1:27" x14ac:dyDescent="0.25">
      <c r="A2492" s="10">
        <v>45694</v>
      </c>
      <c r="B2492" s="69">
        <v>2.1666666666666667E-2</v>
      </c>
      <c r="C2492" s="11" t="s">
        <v>4864</v>
      </c>
      <c r="D2492" s="11">
        <v>17026</v>
      </c>
      <c r="E2492" s="11" t="s">
        <v>605</v>
      </c>
      <c r="F2492" s="11" t="s">
        <v>26</v>
      </c>
      <c r="G2492" s="11" t="s">
        <v>26</v>
      </c>
      <c r="H2492" s="12" t="s">
        <v>4422</v>
      </c>
      <c r="I2492" s="12" t="s">
        <v>27</v>
      </c>
      <c r="J2492" s="12" t="s">
        <v>47</v>
      </c>
      <c r="K2492" s="12" t="s">
        <v>48</v>
      </c>
      <c r="L2492" s="13">
        <v>39.32</v>
      </c>
      <c r="M2492" s="13">
        <v>27</v>
      </c>
      <c r="N2492" s="13">
        <f t="shared" si="327"/>
        <v>1.4562962962962962</v>
      </c>
      <c r="O2492" s="13">
        <v>87</v>
      </c>
      <c r="P2492" s="13" t="s">
        <v>30</v>
      </c>
      <c r="Q2492" s="13">
        <v>0</v>
      </c>
      <c r="R2492" s="70">
        <f>L2492*O2492</f>
        <v>3420.84</v>
      </c>
      <c r="S2492" s="70">
        <v>38</v>
      </c>
      <c r="T2492" s="70">
        <f>L2492*S2492</f>
        <v>1494.16</v>
      </c>
      <c r="U2492" s="70">
        <f>R2492-T2492</f>
        <v>1926.68</v>
      </c>
      <c r="V2492" s="70">
        <f>U2492*1</f>
        <v>1926.68</v>
      </c>
      <c r="W2492" s="70">
        <f>U2492-V2492</f>
        <v>0</v>
      </c>
      <c r="X2492" s="70">
        <f>L2492*36</f>
        <v>1415.52</v>
      </c>
      <c r="Y2492" s="71">
        <f>+T2492-X2492</f>
        <v>78.6400000000001</v>
      </c>
      <c r="Z2492" s="12" t="s">
        <v>141</v>
      </c>
      <c r="AA2492" s="12" t="s">
        <v>78</v>
      </c>
    </row>
    <row r="2493" spans="1:27" x14ac:dyDescent="0.25">
      <c r="A2493" s="10">
        <v>45694</v>
      </c>
      <c r="B2493" s="69">
        <v>1.8865740740740766E-2</v>
      </c>
      <c r="C2493" s="11" t="s">
        <v>4865</v>
      </c>
      <c r="D2493" s="11">
        <v>17027</v>
      </c>
      <c r="E2493" s="11" t="s">
        <v>525</v>
      </c>
      <c r="F2493" s="11" t="s">
        <v>26</v>
      </c>
      <c r="G2493" s="11">
        <v>26342</v>
      </c>
      <c r="H2493" s="12" t="s">
        <v>4448</v>
      </c>
      <c r="I2493" s="12" t="s">
        <v>55</v>
      </c>
      <c r="J2493" s="12" t="s">
        <v>55</v>
      </c>
      <c r="K2493" s="12" t="s">
        <v>56</v>
      </c>
      <c r="L2493" s="13">
        <v>37.74</v>
      </c>
      <c r="M2493" s="13">
        <v>25</v>
      </c>
      <c r="N2493" s="13">
        <f t="shared" si="327"/>
        <v>1.5096000000000001</v>
      </c>
      <c r="O2493" s="13">
        <v>15</v>
      </c>
      <c r="P2493" s="13" t="s">
        <v>30</v>
      </c>
      <c r="Q2493" s="13">
        <v>0</v>
      </c>
      <c r="R2493" s="70">
        <f>+L2493*O2493</f>
        <v>566.1</v>
      </c>
      <c r="S2493" s="70">
        <v>0</v>
      </c>
      <c r="T2493" s="70">
        <f>+L2493*S2493</f>
        <v>0</v>
      </c>
      <c r="U2493" s="70">
        <f>+R2493-T2493</f>
        <v>566.1</v>
      </c>
      <c r="V2493" s="70">
        <f>+U2493*0.75</f>
        <v>424.57500000000005</v>
      </c>
      <c r="W2493" s="70">
        <f>+U2493-V2493</f>
        <v>141.52499999999998</v>
      </c>
      <c r="X2493" s="70">
        <v>0</v>
      </c>
      <c r="Y2493" s="14">
        <f t="shared" ref="Y2493:Y2494" si="335">T2493-X2493</f>
        <v>0</v>
      </c>
      <c r="Z2493" s="11" t="s">
        <v>26</v>
      </c>
      <c r="AA2493" s="12" t="s">
        <v>31</v>
      </c>
    </row>
    <row r="2494" spans="1:27" x14ac:dyDescent="0.25">
      <c r="A2494" s="10">
        <v>45694</v>
      </c>
      <c r="B2494" s="69">
        <v>2.4791666666666656E-2</v>
      </c>
      <c r="C2494" s="11" t="s">
        <v>4866</v>
      </c>
      <c r="D2494" s="11">
        <v>17028</v>
      </c>
      <c r="E2494" s="11" t="s">
        <v>544</v>
      </c>
      <c r="F2494" s="11" t="s">
        <v>26</v>
      </c>
      <c r="G2494" s="11">
        <v>70187</v>
      </c>
      <c r="H2494" s="12" t="s">
        <v>4448</v>
      </c>
      <c r="I2494" s="12" t="s">
        <v>55</v>
      </c>
      <c r="J2494" s="12" t="s">
        <v>55</v>
      </c>
      <c r="K2494" s="12" t="s">
        <v>56</v>
      </c>
      <c r="L2494" s="13">
        <v>37.08</v>
      </c>
      <c r="M2494" s="13">
        <v>25</v>
      </c>
      <c r="N2494" s="13">
        <f t="shared" si="327"/>
        <v>1.4831999999999999</v>
      </c>
      <c r="O2494" s="13">
        <v>15</v>
      </c>
      <c r="P2494" s="13" t="s">
        <v>30</v>
      </c>
      <c r="Q2494" s="13">
        <v>0</v>
      </c>
      <c r="R2494" s="70">
        <f>+L2494*O2494</f>
        <v>556.19999999999993</v>
      </c>
      <c r="S2494" s="70">
        <v>0</v>
      </c>
      <c r="T2494" s="70">
        <f>+L2494*S2494</f>
        <v>0</v>
      </c>
      <c r="U2494" s="70">
        <f>+R2494-T2494</f>
        <v>556.19999999999993</v>
      </c>
      <c r="V2494" s="70">
        <f>+U2494*0.75</f>
        <v>417.15</v>
      </c>
      <c r="W2494" s="70">
        <f>+U2494-V2494</f>
        <v>139.04999999999995</v>
      </c>
      <c r="X2494" s="70">
        <v>0</v>
      </c>
      <c r="Y2494" s="14">
        <f t="shared" si="335"/>
        <v>0</v>
      </c>
      <c r="Z2494" s="11" t="s">
        <v>26</v>
      </c>
      <c r="AA2494" s="12" t="s">
        <v>31</v>
      </c>
    </row>
    <row r="2495" spans="1:27" x14ac:dyDescent="0.25">
      <c r="A2495" s="10">
        <v>45694</v>
      </c>
      <c r="B2495" s="69">
        <v>2.8645833333333315E-2</v>
      </c>
      <c r="C2495" s="11" t="s">
        <v>4867</v>
      </c>
      <c r="D2495" s="11">
        <v>17029</v>
      </c>
      <c r="E2495" s="11" t="s">
        <v>81</v>
      </c>
      <c r="F2495" s="11" t="s">
        <v>26</v>
      </c>
      <c r="G2495" s="11" t="s">
        <v>26</v>
      </c>
      <c r="H2495" s="12" t="s">
        <v>4422</v>
      </c>
      <c r="I2495" s="12" t="s">
        <v>27</v>
      </c>
      <c r="J2495" s="12" t="s">
        <v>47</v>
      </c>
      <c r="K2495" s="12" t="s">
        <v>48</v>
      </c>
      <c r="L2495" s="13">
        <v>40.32</v>
      </c>
      <c r="M2495" s="13">
        <v>28</v>
      </c>
      <c r="N2495" s="13">
        <f t="shared" si="327"/>
        <v>1.44</v>
      </c>
      <c r="O2495" s="13">
        <v>87</v>
      </c>
      <c r="P2495" s="13" t="s">
        <v>30</v>
      </c>
      <c r="Q2495" s="13">
        <v>0</v>
      </c>
      <c r="R2495" s="70">
        <f>L2495*O2495</f>
        <v>3507.84</v>
      </c>
      <c r="S2495" s="70">
        <v>38</v>
      </c>
      <c r="T2495" s="70">
        <f>L2495*S2495</f>
        <v>1532.16</v>
      </c>
      <c r="U2495" s="70">
        <f>R2495-T2495</f>
        <v>1975.68</v>
      </c>
      <c r="V2495" s="70">
        <f>U2495*1</f>
        <v>1975.68</v>
      </c>
      <c r="W2495" s="70">
        <f>U2495-V2495</f>
        <v>0</v>
      </c>
      <c r="X2495" s="70">
        <f>L2495*36</f>
        <v>1451.52</v>
      </c>
      <c r="Y2495" s="71">
        <f>+T2495-X2495</f>
        <v>80.6400000000001</v>
      </c>
      <c r="Z2495" s="12" t="s">
        <v>141</v>
      </c>
      <c r="AA2495" s="12" t="s">
        <v>78</v>
      </c>
    </row>
    <row r="2496" spans="1:27" x14ac:dyDescent="0.25">
      <c r="A2496" s="10">
        <v>45694</v>
      </c>
      <c r="B2496" s="69">
        <v>2.9456018518518534E-2</v>
      </c>
      <c r="C2496" s="11" t="s">
        <v>4868</v>
      </c>
      <c r="D2496" s="11">
        <v>17030</v>
      </c>
      <c r="E2496" s="11" t="s">
        <v>241</v>
      </c>
      <c r="F2496" s="11" t="s">
        <v>26</v>
      </c>
      <c r="G2496" s="11">
        <v>74967</v>
      </c>
      <c r="H2496" s="12" t="s">
        <v>4448</v>
      </c>
      <c r="I2496" s="12" t="s">
        <v>55</v>
      </c>
      <c r="J2496" s="12" t="s">
        <v>55</v>
      </c>
      <c r="K2496" s="12" t="s">
        <v>56</v>
      </c>
      <c r="L2496" s="13">
        <v>38.880000000000003</v>
      </c>
      <c r="M2496" s="13">
        <v>25</v>
      </c>
      <c r="N2496" s="13">
        <f t="shared" si="327"/>
        <v>1.5552000000000001</v>
      </c>
      <c r="O2496" s="13">
        <v>15</v>
      </c>
      <c r="P2496" s="13" t="s">
        <v>30</v>
      </c>
      <c r="Q2496" s="13">
        <v>0</v>
      </c>
      <c r="R2496" s="70">
        <f>+L2496*O2496</f>
        <v>583.20000000000005</v>
      </c>
      <c r="S2496" s="70">
        <v>0</v>
      </c>
      <c r="T2496" s="70">
        <f>+L2496*S2496</f>
        <v>0</v>
      </c>
      <c r="U2496" s="70">
        <f>+R2496-T2496</f>
        <v>583.20000000000005</v>
      </c>
      <c r="V2496" s="70">
        <f>+U2496*0.75</f>
        <v>437.40000000000003</v>
      </c>
      <c r="W2496" s="70">
        <f>+U2496-V2496</f>
        <v>145.80000000000001</v>
      </c>
      <c r="X2496" s="70">
        <v>0</v>
      </c>
      <c r="Y2496" s="14">
        <f t="shared" ref="Y2496:Y2498" si="336">T2496-X2496</f>
        <v>0</v>
      </c>
      <c r="Z2496" s="11" t="s">
        <v>26</v>
      </c>
      <c r="AA2496" s="12" t="s">
        <v>31</v>
      </c>
    </row>
    <row r="2497" spans="1:27" x14ac:dyDescent="0.25">
      <c r="A2497" s="10">
        <v>45694</v>
      </c>
      <c r="B2497" s="69">
        <v>3.0567129629629652E-2</v>
      </c>
      <c r="C2497" s="11" t="s">
        <v>4869</v>
      </c>
      <c r="D2497" s="11">
        <v>17031</v>
      </c>
      <c r="E2497" s="11" t="s">
        <v>519</v>
      </c>
      <c r="F2497" s="11" t="s">
        <v>26</v>
      </c>
      <c r="G2497" s="11">
        <v>21770</v>
      </c>
      <c r="H2497" s="12" t="s">
        <v>4448</v>
      </c>
      <c r="I2497" s="12" t="s">
        <v>27</v>
      </c>
      <c r="J2497" s="12" t="s">
        <v>42</v>
      </c>
      <c r="K2497" s="12" t="s">
        <v>43</v>
      </c>
      <c r="L2497" s="13">
        <v>44.82</v>
      </c>
      <c r="M2497" s="13">
        <v>25</v>
      </c>
      <c r="N2497" s="13">
        <f t="shared" si="327"/>
        <v>1.7927999999999999</v>
      </c>
      <c r="O2497" s="13">
        <v>42.5</v>
      </c>
      <c r="P2497" s="13"/>
      <c r="Q2497" s="13">
        <v>0</v>
      </c>
      <c r="R2497" s="70">
        <f>+L2497*O2497</f>
        <v>1904.85</v>
      </c>
      <c r="S2497" s="70">
        <v>0</v>
      </c>
      <c r="T2497" s="70">
        <f>+L2497*S2497</f>
        <v>0</v>
      </c>
      <c r="U2497" s="70">
        <f>+R2497-T2497</f>
        <v>1904.85</v>
      </c>
      <c r="V2497" s="70">
        <f>+U2497*0.75</f>
        <v>1428.6374999999998</v>
      </c>
      <c r="W2497" s="70">
        <f>+U2497-V2497</f>
        <v>476.21250000000009</v>
      </c>
      <c r="X2497" s="70">
        <v>0</v>
      </c>
      <c r="Y2497" s="14">
        <f t="shared" si="336"/>
        <v>0</v>
      </c>
      <c r="Z2497" s="11" t="s">
        <v>26</v>
      </c>
      <c r="AA2497" s="12" t="s">
        <v>31</v>
      </c>
    </row>
    <row r="2498" spans="1:27" x14ac:dyDescent="0.25">
      <c r="A2498" s="10">
        <v>45694</v>
      </c>
      <c r="B2498" s="69">
        <v>3.4768518518518532E-2</v>
      </c>
      <c r="C2498" s="11" t="s">
        <v>4870</v>
      </c>
      <c r="D2498" s="11">
        <v>17032</v>
      </c>
      <c r="E2498" s="11" t="s">
        <v>50</v>
      </c>
      <c r="F2498" s="11" t="s">
        <v>26</v>
      </c>
      <c r="G2498" s="11">
        <v>939</v>
      </c>
      <c r="H2498" s="12" t="s">
        <v>163</v>
      </c>
      <c r="I2498" s="12" t="s">
        <v>27</v>
      </c>
      <c r="J2498" s="12" t="s">
        <v>47</v>
      </c>
      <c r="K2498" s="12" t="s">
        <v>48</v>
      </c>
      <c r="L2498" s="13">
        <v>38.340000000000003</v>
      </c>
      <c r="M2498" s="13">
        <v>25</v>
      </c>
      <c r="N2498" s="13">
        <f t="shared" si="327"/>
        <v>1.5336000000000001</v>
      </c>
      <c r="O2498" s="13" t="s">
        <v>30</v>
      </c>
      <c r="P2498" s="13">
        <v>60</v>
      </c>
      <c r="Q2498" s="13">
        <v>0</v>
      </c>
      <c r="R2498" s="70">
        <f>M2498*P2498</f>
        <v>1500</v>
      </c>
      <c r="S2498" s="70">
        <v>0</v>
      </c>
      <c r="T2498" s="70">
        <f>M2498*S2498</f>
        <v>0</v>
      </c>
      <c r="U2498" s="70">
        <f>R2498-T2498</f>
        <v>1500</v>
      </c>
      <c r="V2498" s="70">
        <f>U2498*0</f>
        <v>0</v>
      </c>
      <c r="W2498" s="70">
        <f>U2498-V2498</f>
        <v>1500</v>
      </c>
      <c r="X2498" s="70">
        <v>0</v>
      </c>
      <c r="Y2498" s="14">
        <f t="shared" si="336"/>
        <v>0</v>
      </c>
      <c r="Z2498" s="11" t="s">
        <v>26</v>
      </c>
      <c r="AA2498" s="12" t="s">
        <v>31</v>
      </c>
    </row>
    <row r="2499" spans="1:27" x14ac:dyDescent="0.25">
      <c r="A2499" s="10">
        <v>45694</v>
      </c>
      <c r="B2499" s="69">
        <v>3.5324074074074119E-2</v>
      </c>
      <c r="C2499" s="11" t="s">
        <v>4871</v>
      </c>
      <c r="D2499" s="11">
        <v>17033</v>
      </c>
      <c r="E2499" s="11" t="s">
        <v>246</v>
      </c>
      <c r="F2499" s="11" t="s">
        <v>26</v>
      </c>
      <c r="G2499" s="11" t="s">
        <v>26</v>
      </c>
      <c r="H2499" s="12" t="s">
        <v>146</v>
      </c>
      <c r="I2499" s="12" t="s">
        <v>27</v>
      </c>
      <c r="J2499" s="12" t="s">
        <v>33</v>
      </c>
      <c r="K2499" s="12" t="s">
        <v>34</v>
      </c>
      <c r="L2499" s="13">
        <v>42.98</v>
      </c>
      <c r="M2499" s="13">
        <v>29</v>
      </c>
      <c r="N2499" s="13">
        <f t="shared" si="327"/>
        <v>1.4820689655172412</v>
      </c>
      <c r="O2499" s="13">
        <v>91</v>
      </c>
      <c r="P2499" s="13" t="s">
        <v>30</v>
      </c>
      <c r="Q2499" s="13">
        <v>0</v>
      </c>
      <c r="R2499" s="70">
        <f>+L2499*O2499</f>
        <v>3911.18</v>
      </c>
      <c r="S2499" s="70">
        <v>40</v>
      </c>
      <c r="T2499" s="70">
        <f>L2499*S2499</f>
        <v>1719.1999999999998</v>
      </c>
      <c r="U2499" s="70">
        <f t="shared" ref="U2499" si="337">R2499-T2499</f>
        <v>2191.98</v>
      </c>
      <c r="V2499" s="70">
        <f>U2499*1</f>
        <v>2191.98</v>
      </c>
      <c r="W2499" s="70">
        <f t="shared" ref="W2499" si="338">U2499-V2499</f>
        <v>0</v>
      </c>
      <c r="X2499" s="70">
        <f>L2499*37</f>
        <v>1590.26</v>
      </c>
      <c r="Y2499" s="71">
        <f>+T2499-X2499</f>
        <v>128.93999999999983</v>
      </c>
      <c r="Z2499" s="12" t="s">
        <v>41</v>
      </c>
      <c r="AA2499" s="12" t="s">
        <v>79</v>
      </c>
    </row>
    <row r="2500" spans="1:27" x14ac:dyDescent="0.25">
      <c r="A2500" s="10">
        <v>45694</v>
      </c>
      <c r="B2500" s="69">
        <v>3.8263888888888931E-2</v>
      </c>
      <c r="C2500" s="11" t="s">
        <v>4872</v>
      </c>
      <c r="D2500" s="11">
        <v>17034</v>
      </c>
      <c r="E2500" s="11" t="s">
        <v>481</v>
      </c>
      <c r="F2500" s="11" t="s">
        <v>26</v>
      </c>
      <c r="G2500" s="11">
        <v>78802</v>
      </c>
      <c r="H2500" s="12" t="s">
        <v>4448</v>
      </c>
      <c r="I2500" s="12" t="s">
        <v>55</v>
      </c>
      <c r="J2500" s="12" t="s">
        <v>55</v>
      </c>
      <c r="K2500" s="12" t="s">
        <v>56</v>
      </c>
      <c r="L2500" s="13">
        <v>37.72</v>
      </c>
      <c r="M2500" s="13">
        <v>25</v>
      </c>
      <c r="N2500" s="13">
        <f t="shared" si="327"/>
        <v>1.5087999999999999</v>
      </c>
      <c r="O2500" s="13">
        <v>15</v>
      </c>
      <c r="P2500" s="13" t="s">
        <v>30</v>
      </c>
      <c r="Q2500" s="13">
        <v>0</v>
      </c>
      <c r="R2500" s="70">
        <f>+L2500*O2500</f>
        <v>565.79999999999995</v>
      </c>
      <c r="S2500" s="70">
        <v>0</v>
      </c>
      <c r="T2500" s="70">
        <f>+L2500*S2500</f>
        <v>0</v>
      </c>
      <c r="U2500" s="70">
        <f>+R2500-T2500</f>
        <v>565.79999999999995</v>
      </c>
      <c r="V2500" s="70">
        <f>+U2500*0.75</f>
        <v>424.34999999999997</v>
      </c>
      <c r="W2500" s="70">
        <f>+U2500-V2500</f>
        <v>141.44999999999999</v>
      </c>
      <c r="X2500" s="70">
        <v>0</v>
      </c>
      <c r="Y2500" s="14">
        <f t="shared" ref="Y2500:Y2501" si="339">T2500-X2500</f>
        <v>0</v>
      </c>
      <c r="Z2500" s="11" t="s">
        <v>26</v>
      </c>
      <c r="AA2500" s="12" t="s">
        <v>31</v>
      </c>
    </row>
    <row r="2501" spans="1:27" x14ac:dyDescent="0.25">
      <c r="A2501" s="10">
        <v>45694</v>
      </c>
      <c r="B2501" s="69">
        <v>3.480324074074076E-2</v>
      </c>
      <c r="C2501" s="11" t="s">
        <v>4873</v>
      </c>
      <c r="D2501" s="11">
        <v>17035</v>
      </c>
      <c r="E2501" s="11" t="s">
        <v>480</v>
      </c>
      <c r="F2501" s="11" t="s">
        <v>26</v>
      </c>
      <c r="G2501" s="11">
        <v>70412</v>
      </c>
      <c r="H2501" s="12" t="s">
        <v>4448</v>
      </c>
      <c r="I2501" s="12" t="s">
        <v>55</v>
      </c>
      <c r="J2501" s="12" t="s">
        <v>55</v>
      </c>
      <c r="K2501" s="12" t="s">
        <v>56</v>
      </c>
      <c r="L2501" s="13">
        <v>38.46</v>
      </c>
      <c r="M2501" s="13">
        <v>25</v>
      </c>
      <c r="N2501" s="13">
        <f t="shared" si="327"/>
        <v>1.5384</v>
      </c>
      <c r="O2501" s="13">
        <v>15</v>
      </c>
      <c r="P2501" s="13" t="s">
        <v>30</v>
      </c>
      <c r="Q2501" s="13">
        <v>0</v>
      </c>
      <c r="R2501" s="70">
        <f>+L2501*O2501</f>
        <v>576.9</v>
      </c>
      <c r="S2501" s="70">
        <v>0</v>
      </c>
      <c r="T2501" s="70">
        <f>+L2501*S2501</f>
        <v>0</v>
      </c>
      <c r="U2501" s="70">
        <f>+R2501-T2501</f>
        <v>576.9</v>
      </c>
      <c r="V2501" s="70">
        <f>+U2501*0.75</f>
        <v>432.67499999999995</v>
      </c>
      <c r="W2501" s="70">
        <f>+U2501-V2501</f>
        <v>144.22500000000002</v>
      </c>
      <c r="X2501" s="70">
        <v>0</v>
      </c>
      <c r="Y2501" s="14">
        <f t="shared" si="339"/>
        <v>0</v>
      </c>
      <c r="Z2501" s="11" t="s">
        <v>26</v>
      </c>
      <c r="AA2501" s="12" t="s">
        <v>31</v>
      </c>
    </row>
    <row r="2502" spans="1:27" x14ac:dyDescent="0.25">
      <c r="A2502" s="10">
        <v>45694</v>
      </c>
      <c r="B2502" s="69">
        <v>4.0243055555555574E-2</v>
      </c>
      <c r="C2502" s="11" t="s">
        <v>4874</v>
      </c>
      <c r="D2502" s="11">
        <v>17036</v>
      </c>
      <c r="E2502" s="11" t="s">
        <v>539</v>
      </c>
      <c r="F2502" s="11" t="s">
        <v>26</v>
      </c>
      <c r="G2502" s="11" t="s">
        <v>26</v>
      </c>
      <c r="H2502" s="12" t="s">
        <v>146</v>
      </c>
      <c r="I2502" s="12" t="s">
        <v>27</v>
      </c>
      <c r="J2502" s="12" t="s">
        <v>33</v>
      </c>
      <c r="K2502" s="12" t="s">
        <v>34</v>
      </c>
      <c r="L2502" s="13">
        <v>43.18</v>
      </c>
      <c r="M2502" s="13">
        <v>30</v>
      </c>
      <c r="N2502" s="13">
        <f t="shared" si="327"/>
        <v>1.4393333333333334</v>
      </c>
      <c r="O2502" s="13">
        <v>91</v>
      </c>
      <c r="P2502" s="13" t="s">
        <v>30</v>
      </c>
      <c r="Q2502" s="13">
        <v>0</v>
      </c>
      <c r="R2502" s="70">
        <f>+L2502*O2502</f>
        <v>3929.38</v>
      </c>
      <c r="S2502" s="70">
        <v>40</v>
      </c>
      <c r="T2502" s="70">
        <f>L2502*S2502</f>
        <v>1727.2</v>
      </c>
      <c r="U2502" s="70">
        <f t="shared" ref="U2502" si="340">R2502-T2502</f>
        <v>2202.1800000000003</v>
      </c>
      <c r="V2502" s="70">
        <f>U2502*1</f>
        <v>2202.1800000000003</v>
      </c>
      <c r="W2502" s="70">
        <f t="shared" ref="W2502" si="341">U2502-V2502</f>
        <v>0</v>
      </c>
      <c r="X2502" s="70">
        <f>L2502*37</f>
        <v>1597.66</v>
      </c>
      <c r="Y2502" s="71">
        <f>+T2502-X2502</f>
        <v>129.53999999999996</v>
      </c>
      <c r="Z2502" s="12" t="s">
        <v>41</v>
      </c>
      <c r="AA2502" s="12" t="s">
        <v>79</v>
      </c>
    </row>
    <row r="2503" spans="1:27" x14ac:dyDescent="0.25">
      <c r="A2503" s="10">
        <v>45694</v>
      </c>
      <c r="B2503" s="69">
        <v>4.2939814814814792E-2</v>
      </c>
      <c r="C2503" s="11" t="s">
        <v>4875</v>
      </c>
      <c r="D2503" s="11">
        <v>17037</v>
      </c>
      <c r="E2503" s="11" t="s">
        <v>238</v>
      </c>
      <c r="F2503" s="11" t="s">
        <v>26</v>
      </c>
      <c r="G2503" s="11" t="s">
        <v>35</v>
      </c>
      <c r="H2503" s="12" t="s">
        <v>36</v>
      </c>
      <c r="I2503" s="12" t="s">
        <v>55</v>
      </c>
      <c r="J2503" s="12" t="s">
        <v>55</v>
      </c>
      <c r="K2503" s="12" t="s">
        <v>56</v>
      </c>
      <c r="L2503" s="13">
        <v>32.96</v>
      </c>
      <c r="M2503" s="13">
        <v>20</v>
      </c>
      <c r="N2503" s="13">
        <f t="shared" si="327"/>
        <v>1.6480000000000001</v>
      </c>
      <c r="O2503" s="13">
        <v>20</v>
      </c>
      <c r="P2503" s="13" t="s">
        <v>30</v>
      </c>
      <c r="Q2503" s="13">
        <v>0</v>
      </c>
      <c r="R2503" s="70">
        <f>(L2503*O2503)-Q2503</f>
        <v>659.2</v>
      </c>
      <c r="S2503" s="70">
        <v>0</v>
      </c>
      <c r="T2503" s="70">
        <f t="shared" ref="T2503" si="342">+L2503*S2503</f>
        <v>0</v>
      </c>
      <c r="U2503" s="70">
        <f t="shared" ref="U2503" si="343">+R2503-T2503</f>
        <v>659.2</v>
      </c>
      <c r="V2503" s="70">
        <f t="shared" ref="V2503" si="344">+U2503*0</f>
        <v>0</v>
      </c>
      <c r="W2503" s="70">
        <f t="shared" ref="W2503" si="345">+U2503-V2503</f>
        <v>659.2</v>
      </c>
      <c r="X2503" s="70">
        <v>0</v>
      </c>
      <c r="Y2503" s="14">
        <f t="shared" ref="Y2503:Y2506" si="346">T2503-X2503</f>
        <v>0</v>
      </c>
      <c r="Z2503" s="11" t="s">
        <v>26</v>
      </c>
      <c r="AA2503" s="12" t="s">
        <v>31</v>
      </c>
    </row>
    <row r="2504" spans="1:27" x14ac:dyDescent="0.25">
      <c r="A2504" s="10">
        <v>45694</v>
      </c>
      <c r="B2504" s="69">
        <v>3.8784722222222179E-2</v>
      </c>
      <c r="C2504" s="11" t="s">
        <v>4876</v>
      </c>
      <c r="D2504" s="11">
        <v>17038</v>
      </c>
      <c r="E2504" s="11" t="s">
        <v>32</v>
      </c>
      <c r="F2504" s="11" t="s">
        <v>26</v>
      </c>
      <c r="G2504" s="11">
        <v>1603</v>
      </c>
      <c r="H2504" s="12" t="s">
        <v>45</v>
      </c>
      <c r="I2504" s="12" t="s">
        <v>27</v>
      </c>
      <c r="J2504" s="12" t="s">
        <v>42</v>
      </c>
      <c r="K2504" s="12" t="s">
        <v>43</v>
      </c>
      <c r="L2504" s="13">
        <v>44.36</v>
      </c>
      <c r="M2504" s="13">
        <v>25</v>
      </c>
      <c r="N2504" s="13">
        <f t="shared" si="327"/>
        <v>1.7744</v>
      </c>
      <c r="O2504" s="13" t="s">
        <v>30</v>
      </c>
      <c r="P2504" s="13">
        <v>62</v>
      </c>
      <c r="Q2504" s="13">
        <v>0</v>
      </c>
      <c r="R2504" s="70">
        <f>M2504*P2504</f>
        <v>1550</v>
      </c>
      <c r="S2504" s="70">
        <v>0</v>
      </c>
      <c r="T2504" s="70">
        <f>M2504*S2504</f>
        <v>0</v>
      </c>
      <c r="U2504" s="70">
        <f>R2504-T2504</f>
        <v>1550</v>
      </c>
      <c r="V2504" s="70">
        <f>U2504*0</f>
        <v>0</v>
      </c>
      <c r="W2504" s="70">
        <f>U2504-V2504</f>
        <v>1550</v>
      </c>
      <c r="X2504" s="70">
        <v>0</v>
      </c>
      <c r="Y2504" s="14">
        <f t="shared" si="346"/>
        <v>0</v>
      </c>
      <c r="Z2504" s="11" t="s">
        <v>26</v>
      </c>
      <c r="AA2504" s="12" t="s">
        <v>31</v>
      </c>
    </row>
    <row r="2505" spans="1:27" x14ac:dyDescent="0.25">
      <c r="A2505" s="10">
        <v>45694</v>
      </c>
      <c r="B2505" s="69">
        <v>3.587962962962965E-2</v>
      </c>
      <c r="C2505" s="11" t="s">
        <v>4877</v>
      </c>
      <c r="D2505" s="11">
        <v>17039</v>
      </c>
      <c r="E2505" s="11" t="s">
        <v>4878</v>
      </c>
      <c r="F2505" s="11" t="s">
        <v>26</v>
      </c>
      <c r="G2505" s="11" t="s">
        <v>35</v>
      </c>
      <c r="H2505" s="12" t="s">
        <v>36</v>
      </c>
      <c r="I2505" s="12" t="s">
        <v>55</v>
      </c>
      <c r="J2505" s="12" t="s">
        <v>55</v>
      </c>
      <c r="K2505" s="12" t="s">
        <v>56</v>
      </c>
      <c r="L2505" s="13">
        <v>31.28</v>
      </c>
      <c r="M2505" s="13">
        <v>25</v>
      </c>
      <c r="N2505" s="13">
        <f t="shared" si="327"/>
        <v>1.2512000000000001</v>
      </c>
      <c r="O2505" s="13">
        <v>20</v>
      </c>
      <c r="P2505" s="13" t="s">
        <v>30</v>
      </c>
      <c r="Q2505" s="13">
        <v>0</v>
      </c>
      <c r="R2505" s="70">
        <f>(L2505*O2505)-Q2505</f>
        <v>625.6</v>
      </c>
      <c r="S2505" s="70">
        <v>0</v>
      </c>
      <c r="T2505" s="70">
        <f t="shared" ref="T2505" si="347">+L2505*S2505</f>
        <v>0</v>
      </c>
      <c r="U2505" s="70">
        <f t="shared" ref="U2505:U2506" si="348">+R2505-T2505</f>
        <v>625.6</v>
      </c>
      <c r="V2505" s="70">
        <f t="shared" ref="V2505" si="349">+U2505*0</f>
        <v>0</v>
      </c>
      <c r="W2505" s="70">
        <f t="shared" ref="W2505:W2506" si="350">+U2505-V2505</f>
        <v>625.6</v>
      </c>
      <c r="X2505" s="70">
        <v>0</v>
      </c>
      <c r="Y2505" s="14">
        <f t="shared" si="346"/>
        <v>0</v>
      </c>
      <c r="Z2505" s="11" t="s">
        <v>26</v>
      </c>
      <c r="AA2505" s="12" t="s">
        <v>31</v>
      </c>
    </row>
    <row r="2506" spans="1:27" x14ac:dyDescent="0.25">
      <c r="A2506" s="10">
        <v>45694</v>
      </c>
      <c r="B2506" s="69">
        <v>4.0787037037037066E-2</v>
      </c>
      <c r="C2506" s="11" t="s">
        <v>4879</v>
      </c>
      <c r="D2506" s="11">
        <v>17040</v>
      </c>
      <c r="E2506" s="11" t="s">
        <v>40</v>
      </c>
      <c r="F2506" s="11" t="s">
        <v>26</v>
      </c>
      <c r="G2506" s="11">
        <v>3251</v>
      </c>
      <c r="H2506" s="12" t="s">
        <v>41</v>
      </c>
      <c r="I2506" s="12" t="s">
        <v>55</v>
      </c>
      <c r="J2506" s="12" t="s">
        <v>55</v>
      </c>
      <c r="K2506" s="12" t="s">
        <v>56</v>
      </c>
      <c r="L2506" s="13">
        <v>36.78</v>
      </c>
      <c r="M2506" s="13">
        <v>25</v>
      </c>
      <c r="N2506" s="13">
        <f t="shared" si="327"/>
        <v>1.4712000000000001</v>
      </c>
      <c r="O2506" s="13" t="s">
        <v>30</v>
      </c>
      <c r="P2506" s="13">
        <v>24</v>
      </c>
      <c r="Q2506" s="13">
        <v>0</v>
      </c>
      <c r="R2506" s="70">
        <f>+M2506*P2506</f>
        <v>600</v>
      </c>
      <c r="S2506" s="70">
        <v>0</v>
      </c>
      <c r="T2506" s="70">
        <f>+M2506*S2506</f>
        <v>0</v>
      </c>
      <c r="U2506" s="70">
        <f t="shared" si="348"/>
        <v>600</v>
      </c>
      <c r="V2506" s="70">
        <f>+U2506*0</f>
        <v>0</v>
      </c>
      <c r="W2506" s="70">
        <f t="shared" si="350"/>
        <v>600</v>
      </c>
      <c r="X2506" s="70">
        <v>0</v>
      </c>
      <c r="Y2506" s="14">
        <f t="shared" si="346"/>
        <v>0</v>
      </c>
      <c r="Z2506" s="11" t="s">
        <v>26</v>
      </c>
      <c r="AA2506" s="12" t="s">
        <v>31</v>
      </c>
    </row>
    <row r="2507" spans="1:27" x14ac:dyDescent="0.25">
      <c r="A2507" s="10">
        <v>45694</v>
      </c>
      <c r="B2507" s="69">
        <v>1.6724537037037024E-2</v>
      </c>
      <c r="C2507" s="11" t="s">
        <v>4880</v>
      </c>
      <c r="D2507" s="11">
        <v>17041</v>
      </c>
      <c r="E2507" s="11" t="s">
        <v>53</v>
      </c>
      <c r="F2507" s="11" t="s">
        <v>26</v>
      </c>
      <c r="G2507" s="11" t="s">
        <v>26</v>
      </c>
      <c r="H2507" s="12" t="s">
        <v>4422</v>
      </c>
      <c r="I2507" s="12" t="s">
        <v>27</v>
      </c>
      <c r="J2507" s="12" t="s">
        <v>33</v>
      </c>
      <c r="K2507" s="12" t="s">
        <v>34</v>
      </c>
      <c r="L2507" s="13">
        <v>45.7</v>
      </c>
      <c r="M2507" s="13">
        <v>31</v>
      </c>
      <c r="N2507" s="13">
        <f t="shared" si="327"/>
        <v>1.4741935483870969</v>
      </c>
      <c r="O2507" s="13">
        <v>85</v>
      </c>
      <c r="P2507" s="13" t="s">
        <v>30</v>
      </c>
      <c r="Q2507" s="13">
        <v>0</v>
      </c>
      <c r="R2507" s="70">
        <f>L2507*O2507</f>
        <v>3884.5000000000005</v>
      </c>
      <c r="S2507" s="70">
        <v>38</v>
      </c>
      <c r="T2507" s="70">
        <f>L2507*S2507</f>
        <v>1736.6000000000001</v>
      </c>
      <c r="U2507" s="70">
        <f>R2507-T2507</f>
        <v>2147.9000000000005</v>
      </c>
      <c r="V2507" s="70">
        <f>U2507*1</f>
        <v>2147.9000000000005</v>
      </c>
      <c r="W2507" s="70">
        <f>U2507-V2507</f>
        <v>0</v>
      </c>
      <c r="X2507" s="70">
        <f>L2507*37</f>
        <v>1690.9</v>
      </c>
      <c r="Y2507" s="71">
        <f>+T2507-X2507</f>
        <v>45.700000000000045</v>
      </c>
      <c r="Z2507" s="12" t="s">
        <v>41</v>
      </c>
      <c r="AA2507" s="12" t="s">
        <v>78</v>
      </c>
    </row>
    <row r="2508" spans="1:27" x14ac:dyDescent="0.25">
      <c r="A2508" s="10">
        <v>45694</v>
      </c>
      <c r="B2508" s="69">
        <v>1.4918981481481519E-2</v>
      </c>
      <c r="C2508" s="11" t="s">
        <v>4881</v>
      </c>
      <c r="D2508" s="11">
        <v>17042</v>
      </c>
      <c r="E2508" s="11" t="s">
        <v>2126</v>
      </c>
      <c r="F2508" s="11" t="s">
        <v>26</v>
      </c>
      <c r="G2508" s="11">
        <v>112429</v>
      </c>
      <c r="H2508" s="12" t="s">
        <v>4446</v>
      </c>
      <c r="I2508" s="12" t="s">
        <v>27</v>
      </c>
      <c r="J2508" s="12" t="s">
        <v>33</v>
      </c>
      <c r="K2508" s="12" t="s">
        <v>34</v>
      </c>
      <c r="L2508" s="13">
        <v>37.78</v>
      </c>
      <c r="M2508" s="13">
        <v>25</v>
      </c>
      <c r="N2508" s="13">
        <f t="shared" si="327"/>
        <v>1.5112000000000001</v>
      </c>
      <c r="O2508" s="13">
        <v>44</v>
      </c>
      <c r="P2508" s="13" t="s">
        <v>30</v>
      </c>
      <c r="Q2508" s="13">
        <v>0</v>
      </c>
      <c r="R2508" s="70">
        <f t="shared" ref="R2508" si="351">+L2508*O2508</f>
        <v>1662.3200000000002</v>
      </c>
      <c r="S2508" s="70">
        <v>0</v>
      </c>
      <c r="T2508" s="70">
        <f>+L2508*S2508</f>
        <v>0</v>
      </c>
      <c r="U2508" s="70">
        <f>+R2508-T2508</f>
        <v>1662.3200000000002</v>
      </c>
      <c r="V2508" s="70">
        <f>+U2508*1</f>
        <v>1662.3200000000002</v>
      </c>
      <c r="W2508" s="70">
        <f>+U2508-V2508</f>
        <v>0</v>
      </c>
      <c r="X2508" s="70">
        <v>0</v>
      </c>
      <c r="Y2508" s="14">
        <f t="shared" ref="Y2508:Y2509" si="352">T2508-X2508</f>
        <v>0</v>
      </c>
      <c r="Z2508" s="11" t="s">
        <v>26</v>
      </c>
      <c r="AA2508" s="12" t="s">
        <v>31</v>
      </c>
    </row>
    <row r="2509" spans="1:27" x14ac:dyDescent="0.25">
      <c r="A2509" s="10">
        <v>45694</v>
      </c>
      <c r="B2509" s="69">
        <v>3.3715277777777775E-2</v>
      </c>
      <c r="C2509" s="11" t="s">
        <v>4882</v>
      </c>
      <c r="D2509" s="11">
        <v>17043</v>
      </c>
      <c r="E2509" s="11" t="s">
        <v>589</v>
      </c>
      <c r="F2509" s="11" t="s">
        <v>26</v>
      </c>
      <c r="G2509" s="11">
        <v>56911</v>
      </c>
      <c r="H2509" s="12" t="s">
        <v>4423</v>
      </c>
      <c r="I2509" s="12" t="s">
        <v>27</v>
      </c>
      <c r="J2509" s="12" t="s">
        <v>33</v>
      </c>
      <c r="K2509" s="12" t="s">
        <v>34</v>
      </c>
      <c r="L2509" s="13">
        <v>36.76</v>
      </c>
      <c r="M2509" s="13">
        <v>25</v>
      </c>
      <c r="N2509" s="13">
        <f t="shared" si="327"/>
        <v>1.4703999999999999</v>
      </c>
      <c r="O2509" s="13">
        <v>45</v>
      </c>
      <c r="P2509" s="13" t="s">
        <v>30</v>
      </c>
      <c r="Q2509" s="13">
        <v>0</v>
      </c>
      <c r="R2509" s="70">
        <f>+L2509*O2509</f>
        <v>1654.1999999999998</v>
      </c>
      <c r="S2509" s="70">
        <v>0</v>
      </c>
      <c r="T2509" s="70">
        <f>+L2509*S2509</f>
        <v>0</v>
      </c>
      <c r="U2509" s="70">
        <f t="shared" ref="U2509" si="353">+R2509-T2509</f>
        <v>1654.1999999999998</v>
      </c>
      <c r="V2509" s="70">
        <f>+U2509*1</f>
        <v>1654.1999999999998</v>
      </c>
      <c r="W2509" s="70">
        <f t="shared" ref="W2509" si="354">+U2509-V2509</f>
        <v>0</v>
      </c>
      <c r="X2509" s="70">
        <v>0</v>
      </c>
      <c r="Y2509" s="14">
        <f t="shared" si="352"/>
        <v>0</v>
      </c>
      <c r="Z2509" s="11" t="s">
        <v>26</v>
      </c>
      <c r="AA2509" s="12" t="s">
        <v>31</v>
      </c>
    </row>
    <row r="2510" spans="1:27" x14ac:dyDescent="0.25">
      <c r="A2510" s="10">
        <v>45694</v>
      </c>
      <c r="B2510" s="69">
        <v>3.2361111111111174E-2</v>
      </c>
      <c r="C2510" s="11" t="s">
        <v>4883</v>
      </c>
      <c r="D2510" s="11">
        <v>17044</v>
      </c>
      <c r="E2510" s="11" t="s">
        <v>57</v>
      </c>
      <c r="F2510" s="11" t="s">
        <v>26</v>
      </c>
      <c r="G2510" s="11" t="s">
        <v>26</v>
      </c>
      <c r="H2510" s="12" t="s">
        <v>4422</v>
      </c>
      <c r="I2510" s="12" t="s">
        <v>27</v>
      </c>
      <c r="J2510" s="12" t="s">
        <v>33</v>
      </c>
      <c r="K2510" s="12" t="s">
        <v>34</v>
      </c>
      <c r="L2510" s="13">
        <v>45.02</v>
      </c>
      <c r="M2510" s="13">
        <v>31</v>
      </c>
      <c r="N2510" s="13">
        <f t="shared" si="327"/>
        <v>1.4522580645161292</v>
      </c>
      <c r="O2510" s="13">
        <v>85</v>
      </c>
      <c r="P2510" s="13" t="s">
        <v>30</v>
      </c>
      <c r="Q2510" s="13">
        <v>0</v>
      </c>
      <c r="R2510" s="70">
        <f>L2510*O2510</f>
        <v>3826.7000000000003</v>
      </c>
      <c r="S2510" s="70">
        <v>38</v>
      </c>
      <c r="T2510" s="70">
        <f>L2510*S2510</f>
        <v>1710.7600000000002</v>
      </c>
      <c r="U2510" s="70">
        <f>R2510-T2510</f>
        <v>2115.94</v>
      </c>
      <c r="V2510" s="70">
        <f>U2510*1</f>
        <v>2115.94</v>
      </c>
      <c r="W2510" s="70">
        <f>U2510-V2510</f>
        <v>0</v>
      </c>
      <c r="X2510" s="70">
        <f>L2510*37</f>
        <v>1665.74</v>
      </c>
      <c r="Y2510" s="71">
        <f>+T2510-X2510</f>
        <v>45.020000000000209</v>
      </c>
      <c r="Z2510" s="12" t="s">
        <v>41</v>
      </c>
      <c r="AA2510" s="12" t="s">
        <v>78</v>
      </c>
    </row>
    <row r="2511" spans="1:27" x14ac:dyDescent="0.25">
      <c r="A2511" s="10">
        <v>45694</v>
      </c>
      <c r="B2511" s="69">
        <v>3.1365740740740722E-2</v>
      </c>
      <c r="C2511" s="11" t="s">
        <v>4884</v>
      </c>
      <c r="D2511" s="11">
        <v>17045</v>
      </c>
      <c r="E2511" s="11" t="s">
        <v>2109</v>
      </c>
      <c r="F2511" s="11" t="s">
        <v>26</v>
      </c>
      <c r="G2511" s="11">
        <v>10620</v>
      </c>
      <c r="H2511" s="12" t="s">
        <v>140</v>
      </c>
      <c r="I2511" s="12" t="s">
        <v>27</v>
      </c>
      <c r="J2511" s="12" t="s">
        <v>42</v>
      </c>
      <c r="K2511" s="12" t="s">
        <v>43</v>
      </c>
      <c r="L2511" s="13">
        <v>38.78</v>
      </c>
      <c r="M2511" s="13">
        <v>25</v>
      </c>
      <c r="N2511" s="13">
        <f t="shared" si="327"/>
        <v>1.5512000000000001</v>
      </c>
      <c r="O2511" s="13">
        <v>35</v>
      </c>
      <c r="P2511" s="13"/>
      <c r="Q2511" s="13">
        <v>0</v>
      </c>
      <c r="R2511" s="70">
        <f>+L2511*O2511</f>
        <v>1357.3</v>
      </c>
      <c r="S2511" s="70">
        <v>0</v>
      </c>
      <c r="T2511" s="70">
        <f>+L2511*S2511</f>
        <v>0</v>
      </c>
      <c r="U2511" s="70">
        <f>+R2511-T2511</f>
        <v>1357.3</v>
      </c>
      <c r="V2511" s="70">
        <f t="shared" ref="V2511" si="355">+U2511*0</f>
        <v>0</v>
      </c>
      <c r="W2511" s="70">
        <f>+U2511-V2511</f>
        <v>1357.3</v>
      </c>
      <c r="X2511" s="70">
        <v>0</v>
      </c>
      <c r="Y2511" s="14">
        <f t="shared" ref="Y2511:Y2513" si="356">T2511-X2511</f>
        <v>0</v>
      </c>
      <c r="Z2511" s="11" t="s">
        <v>26</v>
      </c>
      <c r="AA2511" s="12" t="s">
        <v>31</v>
      </c>
    </row>
    <row r="2512" spans="1:27" x14ac:dyDescent="0.25">
      <c r="A2512" s="10">
        <v>45694</v>
      </c>
      <c r="B2512" s="69">
        <v>3.9652777777777759E-2</v>
      </c>
      <c r="C2512" s="11" t="s">
        <v>4885</v>
      </c>
      <c r="D2512" s="11">
        <v>17046</v>
      </c>
      <c r="E2512" s="11" t="s">
        <v>68</v>
      </c>
      <c r="F2512" s="11" t="s">
        <v>26</v>
      </c>
      <c r="G2512" s="11">
        <v>76366</v>
      </c>
      <c r="H2512" s="12" t="s">
        <v>4448</v>
      </c>
      <c r="I2512" s="12" t="s">
        <v>55</v>
      </c>
      <c r="J2512" s="12" t="s">
        <v>55</v>
      </c>
      <c r="K2512" s="12" t="s">
        <v>56</v>
      </c>
      <c r="L2512" s="13">
        <v>37.76</v>
      </c>
      <c r="M2512" s="13">
        <v>25</v>
      </c>
      <c r="N2512" s="13">
        <f t="shared" si="327"/>
        <v>1.5104</v>
      </c>
      <c r="O2512" s="13">
        <v>15</v>
      </c>
      <c r="P2512" s="13" t="s">
        <v>30</v>
      </c>
      <c r="Q2512" s="13">
        <v>0</v>
      </c>
      <c r="R2512" s="70">
        <f>+L2512*O2512</f>
        <v>566.4</v>
      </c>
      <c r="S2512" s="70">
        <v>0</v>
      </c>
      <c r="T2512" s="70">
        <f>+L2512*S2512</f>
        <v>0</v>
      </c>
      <c r="U2512" s="70">
        <f>+R2512-T2512</f>
        <v>566.4</v>
      </c>
      <c r="V2512" s="70">
        <f>+U2512*0.75</f>
        <v>424.79999999999995</v>
      </c>
      <c r="W2512" s="70">
        <f>+U2512-V2512</f>
        <v>141.60000000000002</v>
      </c>
      <c r="X2512" s="70">
        <v>0</v>
      </c>
      <c r="Y2512" s="14">
        <f t="shared" si="356"/>
        <v>0</v>
      </c>
      <c r="Z2512" s="11" t="s">
        <v>26</v>
      </c>
      <c r="AA2512" s="12" t="s">
        <v>31</v>
      </c>
    </row>
    <row r="2513" spans="1:27" x14ac:dyDescent="0.25">
      <c r="A2513" s="10">
        <v>45694</v>
      </c>
      <c r="B2513" s="69">
        <v>1.758101851851851E-2</v>
      </c>
      <c r="C2513" s="11" t="s">
        <v>4886</v>
      </c>
      <c r="D2513" s="11">
        <v>17047</v>
      </c>
      <c r="E2513" s="11" t="s">
        <v>54</v>
      </c>
      <c r="F2513" s="11" t="s">
        <v>26</v>
      </c>
      <c r="G2513" s="11">
        <v>112424</v>
      </c>
      <c r="H2513" s="12" t="s">
        <v>4446</v>
      </c>
      <c r="I2513" s="12" t="s">
        <v>27</v>
      </c>
      <c r="J2513" s="12" t="s">
        <v>42</v>
      </c>
      <c r="K2513" s="12" t="s">
        <v>43</v>
      </c>
      <c r="L2513" s="13">
        <v>38.32</v>
      </c>
      <c r="M2513" s="13">
        <v>25</v>
      </c>
      <c r="N2513" s="13">
        <f t="shared" si="327"/>
        <v>1.5327999999999999</v>
      </c>
      <c r="O2513" s="13">
        <v>42</v>
      </c>
      <c r="P2513" s="13" t="s">
        <v>30</v>
      </c>
      <c r="Q2513" s="13">
        <v>0</v>
      </c>
      <c r="R2513" s="70">
        <f t="shared" ref="R2513" si="357">+L2513*O2513</f>
        <v>1609.44</v>
      </c>
      <c r="S2513" s="70">
        <v>0</v>
      </c>
      <c r="T2513" s="70">
        <f>+L2513*S2513</f>
        <v>0</v>
      </c>
      <c r="U2513" s="70">
        <f t="shared" ref="U2513" si="358">+R2513-T2513</f>
        <v>1609.44</v>
      </c>
      <c r="V2513" s="70">
        <f>+U2513*1</f>
        <v>1609.44</v>
      </c>
      <c r="W2513" s="70">
        <f t="shared" ref="W2513" si="359">+U2513-V2513</f>
        <v>0</v>
      </c>
      <c r="X2513" s="70">
        <v>0</v>
      </c>
      <c r="Y2513" s="14">
        <f t="shared" si="356"/>
        <v>0</v>
      </c>
      <c r="Z2513" s="11" t="s">
        <v>26</v>
      </c>
      <c r="AA2513" s="12" t="s">
        <v>31</v>
      </c>
    </row>
    <row r="2514" spans="1:27" x14ac:dyDescent="0.25">
      <c r="A2514" s="10">
        <v>45694</v>
      </c>
      <c r="B2514" s="69">
        <v>2.5104166666666705E-2</v>
      </c>
      <c r="C2514" s="11" t="s">
        <v>4887</v>
      </c>
      <c r="D2514" s="11">
        <v>17048</v>
      </c>
      <c r="E2514" s="11" t="s">
        <v>49</v>
      </c>
      <c r="F2514" s="11" t="s">
        <v>26</v>
      </c>
      <c r="G2514" s="11" t="s">
        <v>26</v>
      </c>
      <c r="H2514" s="12" t="s">
        <v>4422</v>
      </c>
      <c r="I2514" s="12" t="s">
        <v>27</v>
      </c>
      <c r="J2514" s="12" t="s">
        <v>42</v>
      </c>
      <c r="K2514" s="12" t="s">
        <v>43</v>
      </c>
      <c r="L2514" s="13">
        <v>44</v>
      </c>
      <c r="M2514" s="13">
        <v>25</v>
      </c>
      <c r="N2514" s="13">
        <f t="shared" si="327"/>
        <v>1.76</v>
      </c>
      <c r="O2514" s="13">
        <v>83</v>
      </c>
      <c r="P2514" s="13" t="s">
        <v>30</v>
      </c>
      <c r="Q2514" s="13">
        <v>0</v>
      </c>
      <c r="R2514" s="70">
        <f>L2514*O2514</f>
        <v>3652</v>
      </c>
      <c r="S2514" s="70">
        <v>38</v>
      </c>
      <c r="T2514" s="70">
        <f>L2514*S2514</f>
        <v>1672</v>
      </c>
      <c r="U2514" s="70">
        <f>R2514-T2514</f>
        <v>1980</v>
      </c>
      <c r="V2514" s="70">
        <f>U2514*1</f>
        <v>1980</v>
      </c>
      <c r="W2514" s="70">
        <f>U2514-V2514</f>
        <v>0</v>
      </c>
      <c r="X2514" s="70">
        <f>L2514*36</f>
        <v>1584</v>
      </c>
      <c r="Y2514" s="71">
        <f>+T2514-X2514</f>
        <v>88</v>
      </c>
      <c r="Z2514" s="12" t="s">
        <v>45</v>
      </c>
      <c r="AA2514" s="12" t="s">
        <v>78</v>
      </c>
    </row>
    <row r="2515" spans="1:27" x14ac:dyDescent="0.25">
      <c r="A2515" s="10">
        <v>45694</v>
      </c>
      <c r="B2515" s="69">
        <v>3.5254629629629608E-2</v>
      </c>
      <c r="C2515" s="11" t="s">
        <v>4888</v>
      </c>
      <c r="D2515" s="11">
        <v>17049</v>
      </c>
      <c r="E2515" s="11" t="s">
        <v>520</v>
      </c>
      <c r="F2515" s="11" t="s">
        <v>26</v>
      </c>
      <c r="G2515" s="11">
        <v>4393</v>
      </c>
      <c r="H2515" s="12" t="s">
        <v>140</v>
      </c>
      <c r="I2515" s="12" t="s">
        <v>27</v>
      </c>
      <c r="J2515" s="12" t="s">
        <v>33</v>
      </c>
      <c r="K2515" s="12" t="s">
        <v>34</v>
      </c>
      <c r="L2515" s="13">
        <v>42.24</v>
      </c>
      <c r="M2515" s="13">
        <v>29</v>
      </c>
      <c r="N2515" s="13">
        <f t="shared" si="327"/>
        <v>1.4565517241379311</v>
      </c>
      <c r="O2515" s="13">
        <v>40</v>
      </c>
      <c r="P2515" s="13"/>
      <c r="Q2515" s="13">
        <v>0</v>
      </c>
      <c r="R2515" s="70">
        <f>+L2515*O2515</f>
        <v>1689.6000000000001</v>
      </c>
      <c r="S2515" s="70">
        <v>0</v>
      </c>
      <c r="T2515" s="70">
        <f>+L2515*S2515</f>
        <v>0</v>
      </c>
      <c r="U2515" s="70">
        <f>+R2515-T2515</f>
        <v>1689.6000000000001</v>
      </c>
      <c r="V2515" s="70">
        <f t="shared" ref="V2515" si="360">+U2515*0</f>
        <v>0</v>
      </c>
      <c r="W2515" s="70">
        <f>+U2515-V2515</f>
        <v>1689.6000000000001</v>
      </c>
      <c r="X2515" s="70">
        <v>0</v>
      </c>
      <c r="Y2515" s="14">
        <f t="shared" ref="Y2515:Y2516" si="361">T2515-X2515</f>
        <v>0</v>
      </c>
      <c r="Z2515" s="11" t="s">
        <v>26</v>
      </c>
      <c r="AA2515" s="12" t="s">
        <v>31</v>
      </c>
    </row>
    <row r="2516" spans="1:27" x14ac:dyDescent="0.25">
      <c r="A2516" s="10">
        <v>45694</v>
      </c>
      <c r="B2516" s="69">
        <v>6.2812500000000049E-2</v>
      </c>
      <c r="C2516" s="11" t="s">
        <v>4889</v>
      </c>
      <c r="D2516" s="11">
        <v>17050</v>
      </c>
      <c r="E2516" s="11" t="s">
        <v>561</v>
      </c>
      <c r="F2516" s="11" t="s">
        <v>26</v>
      </c>
      <c r="G2516" s="11">
        <v>112428</v>
      </c>
      <c r="H2516" s="12" t="s">
        <v>4446</v>
      </c>
      <c r="I2516" s="12" t="s">
        <v>27</v>
      </c>
      <c r="J2516" s="12" t="s">
        <v>42</v>
      </c>
      <c r="K2516" s="12" t="s">
        <v>43</v>
      </c>
      <c r="L2516" s="13">
        <v>37.6</v>
      </c>
      <c r="M2516" s="13">
        <v>25</v>
      </c>
      <c r="N2516" s="13">
        <f t="shared" si="327"/>
        <v>1.504</v>
      </c>
      <c r="O2516" s="13">
        <v>42</v>
      </c>
      <c r="P2516" s="13" t="s">
        <v>30</v>
      </c>
      <c r="Q2516" s="13">
        <v>0</v>
      </c>
      <c r="R2516" s="70">
        <f t="shared" ref="R2516" si="362">+L2516*O2516</f>
        <v>1579.2</v>
      </c>
      <c r="S2516" s="70">
        <v>0</v>
      </c>
      <c r="T2516" s="70">
        <f>+L2516*S2516</f>
        <v>0</v>
      </c>
      <c r="U2516" s="70">
        <f t="shared" ref="U2516" si="363">+R2516-T2516</f>
        <v>1579.2</v>
      </c>
      <c r="V2516" s="70">
        <f>+U2516*1</f>
        <v>1579.2</v>
      </c>
      <c r="W2516" s="70">
        <f t="shared" ref="W2516" si="364">+U2516-V2516</f>
        <v>0</v>
      </c>
      <c r="X2516" s="70">
        <v>0</v>
      </c>
      <c r="Y2516" s="14">
        <f t="shared" si="361"/>
        <v>0</v>
      </c>
      <c r="Z2516" s="11" t="s">
        <v>26</v>
      </c>
      <c r="AA2516" s="12" t="s">
        <v>31</v>
      </c>
    </row>
    <row r="2517" spans="1:27" x14ac:dyDescent="0.25">
      <c r="A2517" s="10">
        <v>45694</v>
      </c>
      <c r="B2517" s="69">
        <v>4.2777777777777748E-2</v>
      </c>
      <c r="C2517" s="11" t="s">
        <v>4890</v>
      </c>
      <c r="D2517" s="11">
        <v>17051</v>
      </c>
      <c r="E2517" s="11" t="s">
        <v>240</v>
      </c>
      <c r="F2517" s="11" t="s">
        <v>26</v>
      </c>
      <c r="G2517" s="11" t="s">
        <v>26</v>
      </c>
      <c r="H2517" s="12" t="s">
        <v>4422</v>
      </c>
      <c r="I2517" s="12" t="s">
        <v>27</v>
      </c>
      <c r="J2517" s="12" t="s">
        <v>42</v>
      </c>
      <c r="K2517" s="12" t="s">
        <v>43</v>
      </c>
      <c r="L2517" s="13">
        <v>43.32</v>
      </c>
      <c r="M2517" s="13">
        <v>25</v>
      </c>
      <c r="N2517" s="13">
        <f t="shared" si="327"/>
        <v>1.7328000000000001</v>
      </c>
      <c r="O2517" s="13">
        <v>83</v>
      </c>
      <c r="P2517" s="13" t="s">
        <v>30</v>
      </c>
      <c r="Q2517" s="13">
        <v>0</v>
      </c>
      <c r="R2517" s="70">
        <f>L2517*O2517</f>
        <v>3595.56</v>
      </c>
      <c r="S2517" s="70">
        <v>38</v>
      </c>
      <c r="T2517" s="70">
        <f>L2517*S2517</f>
        <v>1646.16</v>
      </c>
      <c r="U2517" s="70">
        <f>R2517-T2517</f>
        <v>1949.3999999999999</v>
      </c>
      <c r="V2517" s="70">
        <f>U2517*1</f>
        <v>1949.3999999999999</v>
      </c>
      <c r="W2517" s="70">
        <f>U2517-V2517</f>
        <v>0</v>
      </c>
      <c r="X2517" s="70">
        <f>L2517*37</f>
        <v>1602.84</v>
      </c>
      <c r="Y2517" s="71">
        <f>+T2517-X2517</f>
        <v>43.320000000000164</v>
      </c>
      <c r="Z2517" s="12" t="s">
        <v>41</v>
      </c>
      <c r="AA2517" s="12" t="s">
        <v>78</v>
      </c>
    </row>
    <row r="2518" spans="1:27" x14ac:dyDescent="0.25">
      <c r="A2518" s="10">
        <v>45694</v>
      </c>
      <c r="B2518" s="69">
        <v>4.2962962962962925E-2</v>
      </c>
      <c r="C2518" s="11" t="s">
        <v>4891</v>
      </c>
      <c r="D2518" s="11">
        <v>17052</v>
      </c>
      <c r="E2518" s="11" t="s">
        <v>44</v>
      </c>
      <c r="F2518" s="11" t="s">
        <v>26</v>
      </c>
      <c r="G2518" s="11" t="s">
        <v>26</v>
      </c>
      <c r="H2518" s="12" t="s">
        <v>4422</v>
      </c>
      <c r="I2518" s="12" t="s">
        <v>27</v>
      </c>
      <c r="J2518" s="12" t="s">
        <v>47</v>
      </c>
      <c r="K2518" s="12" t="s">
        <v>48</v>
      </c>
      <c r="L2518" s="13">
        <v>42.64</v>
      </c>
      <c r="M2518" s="13">
        <v>29</v>
      </c>
      <c r="N2518" s="13">
        <f t="shared" si="327"/>
        <v>1.470344827586207</v>
      </c>
      <c r="O2518" s="13">
        <v>87</v>
      </c>
      <c r="P2518" s="13" t="s">
        <v>30</v>
      </c>
      <c r="Q2518" s="13">
        <v>0</v>
      </c>
      <c r="R2518" s="70">
        <f>L2518*O2518</f>
        <v>3709.68</v>
      </c>
      <c r="S2518" s="70">
        <v>38</v>
      </c>
      <c r="T2518" s="70">
        <f>L2518*S2518</f>
        <v>1620.32</v>
      </c>
      <c r="U2518" s="70">
        <f>R2518-T2518</f>
        <v>2089.3599999999997</v>
      </c>
      <c r="V2518" s="70">
        <f>U2518*1</f>
        <v>2089.3599999999997</v>
      </c>
      <c r="W2518" s="70">
        <f>U2518-V2518</f>
        <v>0</v>
      </c>
      <c r="X2518" s="70">
        <f>L2518*36</f>
        <v>1535.04</v>
      </c>
      <c r="Y2518" s="71">
        <f>+T2518-X2518</f>
        <v>85.279999999999973</v>
      </c>
      <c r="Z2518" s="12" t="s">
        <v>45</v>
      </c>
      <c r="AA2518" s="12" t="s">
        <v>78</v>
      </c>
    </row>
    <row r="2519" spans="1:27" x14ac:dyDescent="0.25">
      <c r="A2519" s="10">
        <v>45694</v>
      </c>
      <c r="B2519" s="69">
        <v>3.9918981481481486E-2</v>
      </c>
      <c r="C2519" s="11" t="s">
        <v>4892</v>
      </c>
      <c r="D2519" s="11">
        <v>17053</v>
      </c>
      <c r="E2519" s="11" t="s">
        <v>63</v>
      </c>
      <c r="F2519" s="11" t="s">
        <v>26</v>
      </c>
      <c r="G2519" s="11">
        <v>10182</v>
      </c>
      <c r="H2519" s="12" t="s">
        <v>140</v>
      </c>
      <c r="I2519" s="12" t="s">
        <v>27</v>
      </c>
      <c r="J2519" s="12" t="s">
        <v>42</v>
      </c>
      <c r="K2519" s="12" t="s">
        <v>43</v>
      </c>
      <c r="L2519" s="13">
        <v>42.28</v>
      </c>
      <c r="M2519" s="13">
        <v>25</v>
      </c>
      <c r="N2519" s="13">
        <f t="shared" si="327"/>
        <v>1.6912</v>
      </c>
      <c r="O2519" s="13">
        <v>35</v>
      </c>
      <c r="P2519" s="13"/>
      <c r="Q2519" s="13">
        <v>0</v>
      </c>
      <c r="R2519" s="70">
        <f>+L2519*O2519</f>
        <v>1479.8</v>
      </c>
      <c r="S2519" s="70">
        <v>0</v>
      </c>
      <c r="T2519" s="70">
        <f>+L2519*S2519</f>
        <v>0</v>
      </c>
      <c r="U2519" s="70">
        <f>+R2519-T2519</f>
        <v>1479.8</v>
      </c>
      <c r="V2519" s="70">
        <f t="shared" ref="V2519:V2520" si="365">+U2519*0</f>
        <v>0</v>
      </c>
      <c r="W2519" s="70">
        <f>+U2519-V2519</f>
        <v>1479.8</v>
      </c>
      <c r="X2519" s="70">
        <v>0</v>
      </c>
      <c r="Y2519" s="14">
        <f t="shared" ref="Y2519:Y2524" si="366">T2519-X2519</f>
        <v>0</v>
      </c>
      <c r="Z2519" s="11" t="s">
        <v>26</v>
      </c>
      <c r="AA2519" s="12" t="s">
        <v>31</v>
      </c>
    </row>
    <row r="2520" spans="1:27" x14ac:dyDescent="0.25">
      <c r="A2520" s="10">
        <v>45694</v>
      </c>
      <c r="B2520" s="69">
        <v>7.9189814814814796E-2</v>
      </c>
      <c r="C2520" s="11" t="s">
        <v>4893</v>
      </c>
      <c r="D2520" s="11">
        <v>17054</v>
      </c>
      <c r="E2520" s="11" t="s">
        <v>60</v>
      </c>
      <c r="F2520" s="11" t="s">
        <v>26</v>
      </c>
      <c r="G2520" s="11" t="s">
        <v>35</v>
      </c>
      <c r="H2520" s="12" t="s">
        <v>36</v>
      </c>
      <c r="I2520" s="12" t="s">
        <v>27</v>
      </c>
      <c r="J2520" s="12" t="s">
        <v>33</v>
      </c>
      <c r="K2520" s="12" t="s">
        <v>34</v>
      </c>
      <c r="L2520" s="13">
        <v>4.58</v>
      </c>
      <c r="M2520" s="13">
        <v>3</v>
      </c>
      <c r="N2520" s="13">
        <f t="shared" si="327"/>
        <v>1.5266666666666666</v>
      </c>
      <c r="O2520" s="13">
        <v>50</v>
      </c>
      <c r="P2520" s="13" t="s">
        <v>30</v>
      </c>
      <c r="Q2520" s="13">
        <v>0</v>
      </c>
      <c r="R2520" s="70">
        <f>(L2520*O2520)-Q2520</f>
        <v>229</v>
      </c>
      <c r="S2520" s="70">
        <v>0</v>
      </c>
      <c r="T2520" s="70">
        <f t="shared" ref="T2520" si="367">+L2520*S2520</f>
        <v>0</v>
      </c>
      <c r="U2520" s="70">
        <f t="shared" ref="U2520:U2521" si="368">+R2520-T2520</f>
        <v>229</v>
      </c>
      <c r="V2520" s="70">
        <f t="shared" si="365"/>
        <v>0</v>
      </c>
      <c r="W2520" s="70">
        <f t="shared" ref="W2520:W2521" si="369">+U2520-V2520</f>
        <v>229</v>
      </c>
      <c r="X2520" s="70">
        <v>0</v>
      </c>
      <c r="Y2520" s="14">
        <f t="shared" si="366"/>
        <v>0</v>
      </c>
      <c r="Z2520" s="11" t="s">
        <v>26</v>
      </c>
      <c r="AA2520" s="12" t="s">
        <v>31</v>
      </c>
    </row>
    <row r="2521" spans="1:27" x14ac:dyDescent="0.25">
      <c r="A2521" s="10">
        <v>45694</v>
      </c>
      <c r="B2521" s="69">
        <v>2.7939814814814834E-2</v>
      </c>
      <c r="C2521" s="11" t="s">
        <v>4894</v>
      </c>
      <c r="D2521" s="11">
        <v>17055</v>
      </c>
      <c r="E2521" s="11" t="s">
        <v>46</v>
      </c>
      <c r="F2521" s="11" t="s">
        <v>26</v>
      </c>
      <c r="G2521" s="11">
        <v>112426</v>
      </c>
      <c r="H2521" s="12" t="s">
        <v>4446</v>
      </c>
      <c r="I2521" s="12" t="s">
        <v>27</v>
      </c>
      <c r="J2521" s="12" t="s">
        <v>42</v>
      </c>
      <c r="K2521" s="12" t="s">
        <v>43</v>
      </c>
      <c r="L2521" s="13">
        <v>40.94</v>
      </c>
      <c r="M2521" s="13">
        <v>25</v>
      </c>
      <c r="N2521" s="13">
        <f t="shared" si="327"/>
        <v>1.6375999999999999</v>
      </c>
      <c r="O2521" s="13">
        <v>42</v>
      </c>
      <c r="P2521" s="13" t="s">
        <v>30</v>
      </c>
      <c r="Q2521" s="13">
        <v>0</v>
      </c>
      <c r="R2521" s="70">
        <f t="shared" ref="R2521" si="370">+L2521*O2521</f>
        <v>1719.48</v>
      </c>
      <c r="S2521" s="70">
        <v>0</v>
      </c>
      <c r="T2521" s="70">
        <f>+L2521*S2521</f>
        <v>0</v>
      </c>
      <c r="U2521" s="70">
        <f t="shared" si="368"/>
        <v>1719.48</v>
      </c>
      <c r="V2521" s="70">
        <f>+U2521*1</f>
        <v>1719.48</v>
      </c>
      <c r="W2521" s="70">
        <f t="shared" si="369"/>
        <v>0</v>
      </c>
      <c r="X2521" s="70">
        <v>0</v>
      </c>
      <c r="Y2521" s="14">
        <f t="shared" si="366"/>
        <v>0</v>
      </c>
      <c r="Z2521" s="11" t="s">
        <v>26</v>
      </c>
      <c r="AA2521" s="12" t="s">
        <v>31</v>
      </c>
    </row>
    <row r="2522" spans="1:27" x14ac:dyDescent="0.25">
      <c r="A2522" s="10">
        <v>45694</v>
      </c>
      <c r="B2522" s="69">
        <v>1.1701388888888831E-2</v>
      </c>
      <c r="C2522" s="11" t="s">
        <v>4895</v>
      </c>
      <c r="D2522" s="11">
        <v>17056</v>
      </c>
      <c r="E2522" s="11" t="s">
        <v>75</v>
      </c>
      <c r="F2522" s="11" t="s">
        <v>26</v>
      </c>
      <c r="G2522" s="11">
        <v>42045</v>
      </c>
      <c r="H2522" s="12" t="s">
        <v>565</v>
      </c>
      <c r="I2522" s="12" t="s">
        <v>27</v>
      </c>
      <c r="J2522" s="12" t="s">
        <v>42</v>
      </c>
      <c r="K2522" s="12" t="s">
        <v>43</v>
      </c>
      <c r="L2522" s="13">
        <v>42.14</v>
      </c>
      <c r="M2522" s="13">
        <v>25</v>
      </c>
      <c r="N2522" s="13">
        <f t="shared" si="327"/>
        <v>1.6856</v>
      </c>
      <c r="O2522" s="13"/>
      <c r="P2522" s="13">
        <v>64</v>
      </c>
      <c r="Q2522" s="13">
        <v>0</v>
      </c>
      <c r="R2522" s="70">
        <f>M2522*P2522</f>
        <v>1600</v>
      </c>
      <c r="S2522" s="70">
        <v>0</v>
      </c>
      <c r="T2522" s="70">
        <f>M2522*S2522</f>
        <v>0</v>
      </c>
      <c r="U2522" s="70">
        <f>R2522-T2522</f>
        <v>1600</v>
      </c>
      <c r="V2522" s="70">
        <f>U2522*0</f>
        <v>0</v>
      </c>
      <c r="W2522" s="70">
        <f>+U2522-V2522</f>
        <v>1600</v>
      </c>
      <c r="X2522" s="70">
        <v>0</v>
      </c>
      <c r="Y2522" s="14">
        <f t="shared" si="366"/>
        <v>0</v>
      </c>
      <c r="Z2522" s="11" t="s">
        <v>26</v>
      </c>
      <c r="AA2522" s="12" t="s">
        <v>31</v>
      </c>
    </row>
    <row r="2523" spans="1:27" x14ac:dyDescent="0.25">
      <c r="A2523" s="10">
        <v>45694</v>
      </c>
      <c r="B2523" s="69">
        <v>1.8194444444444458E-2</v>
      </c>
      <c r="C2523" s="11" t="s">
        <v>4896</v>
      </c>
      <c r="D2523" s="11">
        <v>17057</v>
      </c>
      <c r="E2523" s="11" t="s">
        <v>593</v>
      </c>
      <c r="F2523" s="11" t="s">
        <v>26</v>
      </c>
      <c r="G2523" s="11">
        <v>44322</v>
      </c>
      <c r="H2523" s="12" t="s">
        <v>4423</v>
      </c>
      <c r="I2523" s="12" t="s">
        <v>27</v>
      </c>
      <c r="J2523" s="12" t="s">
        <v>33</v>
      </c>
      <c r="K2523" s="12" t="s">
        <v>34</v>
      </c>
      <c r="L2523" s="13">
        <v>35.840000000000003</v>
      </c>
      <c r="M2523" s="13">
        <v>25</v>
      </c>
      <c r="N2523" s="13">
        <f t="shared" si="327"/>
        <v>1.4336000000000002</v>
      </c>
      <c r="O2523" s="13">
        <v>45</v>
      </c>
      <c r="P2523" s="13" t="s">
        <v>30</v>
      </c>
      <c r="Q2523" s="13">
        <v>0</v>
      </c>
      <c r="R2523" s="70">
        <f>+L2523*O2523</f>
        <v>1612.8000000000002</v>
      </c>
      <c r="S2523" s="70">
        <v>0</v>
      </c>
      <c r="T2523" s="70">
        <f>+L2523*S2523</f>
        <v>0</v>
      </c>
      <c r="U2523" s="70">
        <f t="shared" ref="U2523" si="371">+R2523-T2523</f>
        <v>1612.8000000000002</v>
      </c>
      <c r="V2523" s="70">
        <f>+U2523*1</f>
        <v>1612.8000000000002</v>
      </c>
      <c r="W2523" s="70">
        <f t="shared" ref="W2523" si="372">+U2523-V2523</f>
        <v>0</v>
      </c>
      <c r="X2523" s="70">
        <v>0</v>
      </c>
      <c r="Y2523" s="14">
        <f t="shared" si="366"/>
        <v>0</v>
      </c>
      <c r="Z2523" s="11" t="s">
        <v>26</v>
      </c>
      <c r="AA2523" s="12" t="s">
        <v>31</v>
      </c>
    </row>
    <row r="2524" spans="1:27" x14ac:dyDescent="0.25">
      <c r="A2524" s="10">
        <v>45694</v>
      </c>
      <c r="B2524" s="69">
        <v>1.9247685185185215E-2</v>
      </c>
      <c r="C2524" s="11" t="s">
        <v>4897</v>
      </c>
      <c r="D2524" s="11">
        <v>17058</v>
      </c>
      <c r="E2524" s="11" t="s">
        <v>1200</v>
      </c>
      <c r="F2524" s="11" t="s">
        <v>26</v>
      </c>
      <c r="G2524" s="11">
        <v>2954</v>
      </c>
      <c r="H2524" s="12" t="s">
        <v>163</v>
      </c>
      <c r="I2524" s="12" t="s">
        <v>27</v>
      </c>
      <c r="J2524" s="12" t="s">
        <v>33</v>
      </c>
      <c r="K2524" s="12" t="s">
        <v>34</v>
      </c>
      <c r="L2524" s="13">
        <v>38.76</v>
      </c>
      <c r="M2524" s="13">
        <v>25</v>
      </c>
      <c r="N2524" s="13">
        <f t="shared" si="327"/>
        <v>1.5504</v>
      </c>
      <c r="O2524" s="13" t="s">
        <v>30</v>
      </c>
      <c r="P2524" s="13">
        <v>60</v>
      </c>
      <c r="Q2524" s="13">
        <v>0</v>
      </c>
      <c r="R2524" s="70">
        <f>M2524*P2524</f>
        <v>1500</v>
      </c>
      <c r="S2524" s="70">
        <v>0</v>
      </c>
      <c r="T2524" s="70">
        <f>M2524*S2524</f>
        <v>0</v>
      </c>
      <c r="U2524" s="70">
        <f>R2524-T2524</f>
        <v>1500</v>
      </c>
      <c r="V2524" s="70">
        <f>U2524*0</f>
        <v>0</v>
      </c>
      <c r="W2524" s="70">
        <f>U2524-V2524</f>
        <v>1500</v>
      </c>
      <c r="X2524" s="70">
        <v>0</v>
      </c>
      <c r="Y2524" s="14">
        <f t="shared" si="366"/>
        <v>0</v>
      </c>
      <c r="Z2524" s="11" t="s">
        <v>26</v>
      </c>
      <c r="AA2524" s="12" t="s">
        <v>31</v>
      </c>
    </row>
    <row r="2525" spans="1:27" x14ac:dyDescent="0.25">
      <c r="A2525" s="10">
        <v>45694</v>
      </c>
      <c r="B2525" s="69">
        <v>7.645833333333335E-2</v>
      </c>
      <c r="C2525" s="11" t="s">
        <v>4898</v>
      </c>
      <c r="D2525" s="11">
        <v>17059</v>
      </c>
      <c r="E2525" s="11" t="s">
        <v>184</v>
      </c>
      <c r="F2525" s="11" t="s">
        <v>26</v>
      </c>
      <c r="G2525" s="11" t="s">
        <v>26</v>
      </c>
      <c r="H2525" s="12" t="s">
        <v>4422</v>
      </c>
      <c r="I2525" s="12" t="s">
        <v>27</v>
      </c>
      <c r="J2525" s="12" t="s">
        <v>42</v>
      </c>
      <c r="K2525" s="12" t="s">
        <v>43</v>
      </c>
      <c r="L2525" s="13">
        <v>44.58</v>
      </c>
      <c r="M2525" s="13">
        <v>25</v>
      </c>
      <c r="N2525" s="13">
        <f t="shared" si="327"/>
        <v>1.7831999999999999</v>
      </c>
      <c r="O2525" s="13">
        <v>83</v>
      </c>
      <c r="P2525" s="13" t="s">
        <v>30</v>
      </c>
      <c r="Q2525" s="13">
        <v>0</v>
      </c>
      <c r="R2525" s="70">
        <f>L2525*O2525</f>
        <v>3700.14</v>
      </c>
      <c r="S2525" s="70">
        <v>38</v>
      </c>
      <c r="T2525" s="70">
        <f>L2525*S2525</f>
        <v>1694.04</v>
      </c>
      <c r="U2525" s="70">
        <f>R2525-T2525</f>
        <v>2006.1</v>
      </c>
      <c r="V2525" s="70">
        <f>U2525*1</f>
        <v>2006.1</v>
      </c>
      <c r="W2525" s="70">
        <f>U2525-V2525</f>
        <v>0</v>
      </c>
      <c r="X2525" s="70">
        <f t="shared" ref="X2525:X2526" si="373">L2525*36</f>
        <v>1604.8799999999999</v>
      </c>
      <c r="Y2525" s="71">
        <f>+T2525-X2525</f>
        <v>89.160000000000082</v>
      </c>
      <c r="Z2525" s="12" t="s">
        <v>141</v>
      </c>
      <c r="AA2525" s="12" t="s">
        <v>78</v>
      </c>
    </row>
    <row r="2526" spans="1:27" x14ac:dyDescent="0.25">
      <c r="A2526" s="10">
        <v>45694</v>
      </c>
      <c r="B2526" s="69">
        <v>5.3136574074074128E-2</v>
      </c>
      <c r="C2526" s="11" t="s">
        <v>4899</v>
      </c>
      <c r="D2526" s="11">
        <v>17060</v>
      </c>
      <c r="E2526" s="11" t="s">
        <v>605</v>
      </c>
      <c r="F2526" s="11" t="s">
        <v>26</v>
      </c>
      <c r="G2526" s="11" t="s">
        <v>26</v>
      </c>
      <c r="H2526" s="12" t="s">
        <v>4422</v>
      </c>
      <c r="I2526" s="12" t="s">
        <v>27</v>
      </c>
      <c r="J2526" s="12" t="s">
        <v>42</v>
      </c>
      <c r="K2526" s="12" t="s">
        <v>43</v>
      </c>
      <c r="L2526" s="13">
        <v>46.14</v>
      </c>
      <c r="M2526" s="13">
        <v>28</v>
      </c>
      <c r="N2526" s="13">
        <f t="shared" si="327"/>
        <v>1.6478571428571429</v>
      </c>
      <c r="O2526" s="13">
        <v>83</v>
      </c>
      <c r="P2526" s="13" t="s">
        <v>30</v>
      </c>
      <c r="Q2526" s="13">
        <v>0</v>
      </c>
      <c r="R2526" s="70">
        <f>L2526*O2526</f>
        <v>3829.62</v>
      </c>
      <c r="S2526" s="70">
        <v>38</v>
      </c>
      <c r="T2526" s="70">
        <f>L2526*S2526</f>
        <v>1753.32</v>
      </c>
      <c r="U2526" s="70">
        <f>R2526-T2526</f>
        <v>2076.3000000000002</v>
      </c>
      <c r="V2526" s="70">
        <f>U2526*1</f>
        <v>2076.3000000000002</v>
      </c>
      <c r="W2526" s="70">
        <f>U2526-V2526</f>
        <v>0</v>
      </c>
      <c r="X2526" s="70">
        <f t="shared" si="373"/>
        <v>1661.04</v>
      </c>
      <c r="Y2526" s="71">
        <f>+T2526-X2526</f>
        <v>92.279999999999973</v>
      </c>
      <c r="Z2526" s="12" t="s">
        <v>141</v>
      </c>
      <c r="AA2526" s="12" t="s">
        <v>78</v>
      </c>
    </row>
    <row r="2527" spans="1:27" x14ac:dyDescent="0.25">
      <c r="A2527" s="10">
        <v>45694</v>
      </c>
      <c r="B2527" s="69">
        <v>1.215277777777779E-2</v>
      </c>
      <c r="C2527" s="11" t="s">
        <v>4900</v>
      </c>
      <c r="D2527" s="11">
        <v>17061</v>
      </c>
      <c r="E2527" s="11" t="s">
        <v>4776</v>
      </c>
      <c r="F2527" s="11" t="s">
        <v>26</v>
      </c>
      <c r="G2527" s="11" t="s">
        <v>35</v>
      </c>
      <c r="H2527" s="12" t="s">
        <v>36</v>
      </c>
      <c r="I2527" s="12" t="s">
        <v>27</v>
      </c>
      <c r="J2527" s="12" t="s">
        <v>42</v>
      </c>
      <c r="K2527" s="12" t="s">
        <v>43</v>
      </c>
      <c r="L2527" s="13">
        <v>10.36</v>
      </c>
      <c r="M2527" s="13">
        <v>10</v>
      </c>
      <c r="N2527" s="13">
        <f t="shared" si="327"/>
        <v>1.036</v>
      </c>
      <c r="O2527" s="13">
        <v>45</v>
      </c>
      <c r="P2527" s="13" t="s">
        <v>30</v>
      </c>
      <c r="Q2527" s="13">
        <v>0</v>
      </c>
      <c r="R2527" s="70">
        <f>(L2527*O2527)-Q2527</f>
        <v>466.2</v>
      </c>
      <c r="S2527" s="70">
        <v>0</v>
      </c>
      <c r="T2527" s="70">
        <f t="shared" ref="T2527" si="374">+L2527*S2527</f>
        <v>0</v>
      </c>
      <c r="U2527" s="70">
        <f t="shared" ref="U2527" si="375">+R2527-T2527</f>
        <v>466.2</v>
      </c>
      <c r="V2527" s="70">
        <f>+U2527*0</f>
        <v>0</v>
      </c>
      <c r="W2527" s="70">
        <f t="shared" ref="W2527" si="376">+U2527-V2527</f>
        <v>466.2</v>
      </c>
      <c r="X2527" s="70">
        <v>0</v>
      </c>
      <c r="Y2527" s="14">
        <f>T2527-X2527</f>
        <v>0</v>
      </c>
      <c r="Z2527" s="11" t="s">
        <v>26</v>
      </c>
      <c r="AA2527" s="12" t="s">
        <v>31</v>
      </c>
    </row>
    <row r="2528" spans="1:27" x14ac:dyDescent="0.25">
      <c r="A2528" s="10">
        <v>45694</v>
      </c>
      <c r="B2528" s="69">
        <v>1.9976851851851829E-2</v>
      </c>
      <c r="C2528" s="11" t="s">
        <v>4901</v>
      </c>
      <c r="D2528" s="11">
        <v>17062</v>
      </c>
      <c r="E2528" s="11" t="s">
        <v>98</v>
      </c>
      <c r="F2528" s="11" t="s">
        <v>26</v>
      </c>
      <c r="G2528" s="11">
        <v>10716</v>
      </c>
      <c r="H2528" s="12" t="s">
        <v>140</v>
      </c>
      <c r="I2528" s="12" t="s">
        <v>27</v>
      </c>
      <c r="J2528" s="12" t="s">
        <v>42</v>
      </c>
      <c r="K2528" s="12" t="s">
        <v>43</v>
      </c>
      <c r="L2528" s="13">
        <v>44</v>
      </c>
      <c r="M2528" s="13">
        <v>25</v>
      </c>
      <c r="N2528" s="13">
        <f t="shared" si="327"/>
        <v>1.76</v>
      </c>
      <c r="O2528" s="13">
        <v>35</v>
      </c>
      <c r="P2528" s="13"/>
      <c r="Q2528" s="13">
        <v>0</v>
      </c>
      <c r="R2528" s="70">
        <f>+L2528*O2528</f>
        <v>1540</v>
      </c>
      <c r="S2528" s="70">
        <v>0</v>
      </c>
      <c r="T2528" s="70">
        <f>+L2528*S2528</f>
        <v>0</v>
      </c>
      <c r="U2528" s="70">
        <f>+R2528-T2528</f>
        <v>1540</v>
      </c>
      <c r="V2528" s="70">
        <f t="shared" ref="V2528" si="377">+U2528*0</f>
        <v>0</v>
      </c>
      <c r="W2528" s="70">
        <f>+U2528-V2528</f>
        <v>1540</v>
      </c>
      <c r="X2528" s="70">
        <v>0</v>
      </c>
      <c r="Y2528" s="14">
        <f t="shared" ref="Y2528" si="378">T2528-X2528</f>
        <v>0</v>
      </c>
      <c r="Z2528" s="11" t="s">
        <v>26</v>
      </c>
      <c r="AA2528" s="12" t="s">
        <v>31</v>
      </c>
    </row>
    <row r="2529" spans="1:27" x14ac:dyDescent="0.25">
      <c r="A2529" s="10">
        <v>45694</v>
      </c>
      <c r="B2529" s="69">
        <v>1.8217592592592535E-2</v>
      </c>
      <c r="C2529" s="11" t="s">
        <v>4902</v>
      </c>
      <c r="D2529" s="11">
        <v>17063</v>
      </c>
      <c r="E2529" s="11" t="s">
        <v>60</v>
      </c>
      <c r="F2529" s="11" t="s">
        <v>26</v>
      </c>
      <c r="G2529" s="11" t="s">
        <v>35</v>
      </c>
      <c r="H2529" s="12" t="s">
        <v>36</v>
      </c>
      <c r="I2529" s="12" t="s">
        <v>27</v>
      </c>
      <c r="J2529" s="12" t="s">
        <v>42</v>
      </c>
      <c r="K2529" s="12" t="s">
        <v>43</v>
      </c>
      <c r="L2529" s="13">
        <v>5.46</v>
      </c>
      <c r="M2529" s="13">
        <v>3</v>
      </c>
      <c r="N2529" s="13">
        <f t="shared" si="327"/>
        <v>1.82</v>
      </c>
      <c r="O2529" s="13">
        <v>45</v>
      </c>
      <c r="P2529" s="13" t="s">
        <v>30</v>
      </c>
      <c r="Q2529" s="13">
        <v>0</v>
      </c>
      <c r="R2529" s="70">
        <f>(L2529*O2529)-Q2529</f>
        <v>245.7</v>
      </c>
      <c r="S2529" s="70">
        <v>0</v>
      </c>
      <c r="T2529" s="70">
        <f t="shared" ref="T2529" si="379">+L2529*S2529</f>
        <v>0</v>
      </c>
      <c r="U2529" s="70">
        <f t="shared" ref="U2529" si="380">+R2529-T2529</f>
        <v>245.7</v>
      </c>
      <c r="V2529" s="70">
        <f>+U2529*0</f>
        <v>0</v>
      </c>
      <c r="W2529" s="70">
        <f t="shared" ref="W2529" si="381">+U2529-V2529</f>
        <v>245.7</v>
      </c>
      <c r="X2529" s="70">
        <v>0</v>
      </c>
      <c r="Y2529" s="14">
        <f>T2529-X2529</f>
        <v>0</v>
      </c>
      <c r="Z2529" s="11" t="s">
        <v>26</v>
      </c>
      <c r="AA2529" s="12" t="s">
        <v>31</v>
      </c>
    </row>
    <row r="2530" spans="1:27" x14ac:dyDescent="0.25">
      <c r="A2530" s="10">
        <v>45694</v>
      </c>
      <c r="B2530" s="69">
        <v>8.8194444444444353E-3</v>
      </c>
      <c r="C2530" s="11" t="s">
        <v>4903</v>
      </c>
      <c r="D2530" s="11">
        <v>17064</v>
      </c>
      <c r="E2530" s="11" t="s">
        <v>480</v>
      </c>
      <c r="F2530" s="11" t="s">
        <v>26</v>
      </c>
      <c r="G2530" s="11">
        <v>70413</v>
      </c>
      <c r="H2530" s="12" t="s">
        <v>4448</v>
      </c>
      <c r="I2530" s="12" t="s">
        <v>55</v>
      </c>
      <c r="J2530" s="12" t="s">
        <v>55</v>
      </c>
      <c r="K2530" s="12" t="s">
        <v>56</v>
      </c>
      <c r="L2530" s="13">
        <v>37.94</v>
      </c>
      <c r="M2530" s="13">
        <v>25</v>
      </c>
      <c r="N2530" s="13">
        <f t="shared" si="327"/>
        <v>1.5175999999999998</v>
      </c>
      <c r="O2530" s="13">
        <v>15</v>
      </c>
      <c r="P2530" s="13" t="s">
        <v>30</v>
      </c>
      <c r="Q2530" s="13">
        <v>0</v>
      </c>
      <c r="R2530" s="70">
        <f>+L2530*O2530</f>
        <v>569.09999999999991</v>
      </c>
      <c r="S2530" s="70">
        <v>0</v>
      </c>
      <c r="T2530" s="70">
        <f>+L2530*S2530</f>
        <v>0</v>
      </c>
      <c r="U2530" s="70">
        <f>+R2530-T2530</f>
        <v>569.09999999999991</v>
      </c>
      <c r="V2530" s="70">
        <f>+U2530*0.75</f>
        <v>426.82499999999993</v>
      </c>
      <c r="W2530" s="70">
        <f>+U2530-V2530</f>
        <v>142.27499999999998</v>
      </c>
      <c r="X2530" s="70">
        <v>0</v>
      </c>
      <c r="Y2530" s="14">
        <f t="shared" ref="Y2530:Y2533" si="382">T2530-X2530</f>
        <v>0</v>
      </c>
      <c r="Z2530" s="11" t="s">
        <v>26</v>
      </c>
      <c r="AA2530" s="12" t="s">
        <v>31</v>
      </c>
    </row>
    <row r="2531" spans="1:27" x14ac:dyDescent="0.25">
      <c r="A2531" s="10">
        <v>45694</v>
      </c>
      <c r="B2531" s="69">
        <v>1.354166666666673E-2</v>
      </c>
      <c r="C2531" s="11" t="s">
        <v>4904</v>
      </c>
      <c r="D2531" s="11">
        <v>17065</v>
      </c>
      <c r="E2531" s="11" t="s">
        <v>32</v>
      </c>
      <c r="F2531" s="11" t="s">
        <v>26</v>
      </c>
      <c r="G2531" s="11">
        <v>75035</v>
      </c>
      <c r="H2531" s="12" t="s">
        <v>4448</v>
      </c>
      <c r="I2531" s="12" t="s">
        <v>27</v>
      </c>
      <c r="J2531" s="12" t="s">
        <v>33</v>
      </c>
      <c r="K2531" s="12" t="s">
        <v>34</v>
      </c>
      <c r="L2531" s="13">
        <v>39.840000000000003</v>
      </c>
      <c r="M2531" s="13">
        <v>27</v>
      </c>
      <c r="N2531" s="13">
        <f t="shared" si="327"/>
        <v>1.4755555555555557</v>
      </c>
      <c r="O2531" s="13">
        <v>45.33</v>
      </c>
      <c r="P2531" s="13" t="s">
        <v>30</v>
      </c>
      <c r="Q2531" s="13">
        <v>0</v>
      </c>
      <c r="R2531" s="70">
        <f>+L2531*O2531</f>
        <v>1805.9472000000001</v>
      </c>
      <c r="S2531" s="70">
        <v>0</v>
      </c>
      <c r="T2531" s="70">
        <f>+L2531*S2531</f>
        <v>0</v>
      </c>
      <c r="U2531" s="70">
        <f>+R2531-T2531</f>
        <v>1805.9472000000001</v>
      </c>
      <c r="V2531" s="70">
        <f>+U2531*0.75</f>
        <v>1354.4603999999999</v>
      </c>
      <c r="W2531" s="70">
        <f>+U2531-V2531</f>
        <v>451.48680000000013</v>
      </c>
      <c r="X2531" s="70">
        <v>0</v>
      </c>
      <c r="Y2531" s="14">
        <f t="shared" si="382"/>
        <v>0</v>
      </c>
      <c r="Z2531" s="11" t="s">
        <v>26</v>
      </c>
      <c r="AA2531" s="12" t="s">
        <v>31</v>
      </c>
    </row>
    <row r="2532" spans="1:27" x14ac:dyDescent="0.25">
      <c r="A2532" s="10">
        <v>45694</v>
      </c>
      <c r="B2532" s="69">
        <v>8.1712962962963154E-3</v>
      </c>
      <c r="C2532" s="11" t="s">
        <v>4905</v>
      </c>
      <c r="D2532" s="11">
        <v>17067</v>
      </c>
      <c r="E2532" s="11" t="s">
        <v>39</v>
      </c>
      <c r="F2532" s="11" t="s">
        <v>26</v>
      </c>
      <c r="G2532" s="11">
        <v>798</v>
      </c>
      <c r="H2532" s="12" t="s">
        <v>141</v>
      </c>
      <c r="I2532" s="12" t="s">
        <v>55</v>
      </c>
      <c r="J2532" s="12" t="s">
        <v>55</v>
      </c>
      <c r="K2532" s="12" t="s">
        <v>56</v>
      </c>
      <c r="L2532" s="13">
        <v>35.32</v>
      </c>
      <c r="M2532" s="13">
        <v>25</v>
      </c>
      <c r="N2532" s="13">
        <f t="shared" si="327"/>
        <v>1.4128000000000001</v>
      </c>
      <c r="O2532" s="13">
        <v>15</v>
      </c>
      <c r="P2532" s="13" t="s">
        <v>30</v>
      </c>
      <c r="Q2532" s="13">
        <v>0</v>
      </c>
      <c r="R2532" s="70">
        <f>L2532*O2532</f>
        <v>529.79999999999995</v>
      </c>
      <c r="S2532" s="70">
        <v>0</v>
      </c>
      <c r="T2532" s="70">
        <f>L2532*S2532</f>
        <v>0</v>
      </c>
      <c r="U2532" s="70">
        <f>R2532-T2532</f>
        <v>529.79999999999995</v>
      </c>
      <c r="V2532" s="70">
        <f>U2532*0</f>
        <v>0</v>
      </c>
      <c r="W2532" s="70">
        <f>U2532-V2532</f>
        <v>529.79999999999995</v>
      </c>
      <c r="X2532" s="70">
        <v>0</v>
      </c>
      <c r="Y2532" s="14">
        <f t="shared" si="382"/>
        <v>0</v>
      </c>
      <c r="Z2532" s="11" t="s">
        <v>26</v>
      </c>
      <c r="AA2532" s="12" t="s">
        <v>31</v>
      </c>
    </row>
    <row r="2533" spans="1:27" x14ac:dyDescent="0.25">
      <c r="A2533" s="10">
        <v>45694</v>
      </c>
      <c r="B2533" s="69">
        <v>7.9583333333333339E-2</v>
      </c>
      <c r="C2533" s="11" t="s">
        <v>4906</v>
      </c>
      <c r="D2533" s="11">
        <v>17068</v>
      </c>
      <c r="E2533" s="11" t="s">
        <v>53</v>
      </c>
      <c r="F2533" s="11" t="s">
        <v>26</v>
      </c>
      <c r="G2533" s="11">
        <v>3795</v>
      </c>
      <c r="H2533" s="12" t="s">
        <v>41</v>
      </c>
      <c r="I2533" s="12" t="s">
        <v>55</v>
      </c>
      <c r="J2533" s="12" t="s">
        <v>55</v>
      </c>
      <c r="K2533" s="12" t="s">
        <v>56</v>
      </c>
      <c r="L2533" s="13">
        <v>38.18</v>
      </c>
      <c r="M2533" s="13">
        <v>25</v>
      </c>
      <c r="N2533" s="13">
        <f t="shared" si="327"/>
        <v>1.5271999999999999</v>
      </c>
      <c r="O2533" s="13" t="s">
        <v>30</v>
      </c>
      <c r="P2533" s="13">
        <v>24</v>
      </c>
      <c r="Q2533" s="13">
        <v>0</v>
      </c>
      <c r="R2533" s="70">
        <f>+M2533*P2533</f>
        <v>600</v>
      </c>
      <c r="S2533" s="70">
        <v>0</v>
      </c>
      <c r="T2533" s="70">
        <f>+M2533*S2533</f>
        <v>0</v>
      </c>
      <c r="U2533" s="70">
        <f t="shared" ref="U2533" si="383">+R2533-T2533</f>
        <v>600</v>
      </c>
      <c r="V2533" s="70">
        <f>+U2533*0</f>
        <v>0</v>
      </c>
      <c r="W2533" s="70">
        <f t="shared" ref="W2533" si="384">+U2533-V2533</f>
        <v>600</v>
      </c>
      <c r="X2533" s="70">
        <v>0</v>
      </c>
      <c r="Y2533" s="14">
        <f t="shared" si="382"/>
        <v>0</v>
      </c>
      <c r="Z2533" s="11" t="s">
        <v>26</v>
      </c>
      <c r="AA2533" s="12" t="s">
        <v>31</v>
      </c>
    </row>
    <row r="2534" spans="1:27" x14ac:dyDescent="0.25">
      <c r="A2534" s="10">
        <v>45694</v>
      </c>
      <c r="B2534" s="69">
        <v>1.0532407407407463E-2</v>
      </c>
      <c r="C2534" s="11" t="s">
        <v>4907</v>
      </c>
      <c r="D2534" s="11">
        <v>17069</v>
      </c>
      <c r="E2534" s="11" t="s">
        <v>559</v>
      </c>
      <c r="F2534" s="11" t="s">
        <v>26</v>
      </c>
      <c r="G2534" s="11" t="s">
        <v>26</v>
      </c>
      <c r="H2534" s="12" t="s">
        <v>4424</v>
      </c>
      <c r="I2534" s="12" t="s">
        <v>27</v>
      </c>
      <c r="J2534" s="12" t="s">
        <v>47</v>
      </c>
      <c r="K2534" s="12" t="s">
        <v>48</v>
      </c>
      <c r="L2534" s="13">
        <v>35.020000000000003</v>
      </c>
      <c r="M2534" s="13">
        <v>24</v>
      </c>
      <c r="N2534" s="13">
        <f t="shared" si="327"/>
        <v>1.4591666666666667</v>
      </c>
      <c r="O2534" s="13">
        <v>90</v>
      </c>
      <c r="P2534" s="13" t="s">
        <v>30</v>
      </c>
      <c r="Q2534" s="13">
        <v>0</v>
      </c>
      <c r="R2534" s="70">
        <f>L2534*O2534</f>
        <v>3151.8</v>
      </c>
      <c r="S2534" s="70">
        <v>41</v>
      </c>
      <c r="T2534" s="70">
        <f>+L2534*S2534</f>
        <v>1435.8200000000002</v>
      </c>
      <c r="U2534" s="70">
        <f t="shared" ref="U2534" si="385">R2534-T2534</f>
        <v>1715.98</v>
      </c>
      <c r="V2534" s="70">
        <f>U2534*1</f>
        <v>1715.98</v>
      </c>
      <c r="W2534" s="70">
        <f t="shared" ref="W2534" si="386">U2534-V2534</f>
        <v>0</v>
      </c>
      <c r="X2534" s="16">
        <f>L2534*40</f>
        <v>1400.8000000000002</v>
      </c>
      <c r="Y2534" s="71">
        <f t="shared" ref="Y2534" si="387">+T2534-X2534</f>
        <v>35.019999999999982</v>
      </c>
      <c r="Z2534" s="12" t="s">
        <v>41</v>
      </c>
      <c r="AA2534" s="12" t="s">
        <v>746</v>
      </c>
    </row>
    <row r="2535" spans="1:27" x14ac:dyDescent="0.25">
      <c r="A2535" s="10">
        <v>45694</v>
      </c>
      <c r="B2535" s="69">
        <v>1.6157407407407398E-2</v>
      </c>
      <c r="C2535" s="11" t="s">
        <v>4908</v>
      </c>
      <c r="D2535" s="11">
        <v>17070</v>
      </c>
      <c r="E2535" s="11" t="s">
        <v>481</v>
      </c>
      <c r="F2535" s="11" t="s">
        <v>26</v>
      </c>
      <c r="G2535" s="11">
        <v>78803</v>
      </c>
      <c r="H2535" s="12" t="s">
        <v>4448</v>
      </c>
      <c r="I2535" s="12" t="s">
        <v>55</v>
      </c>
      <c r="J2535" s="12" t="s">
        <v>55</v>
      </c>
      <c r="K2535" s="12" t="s">
        <v>56</v>
      </c>
      <c r="L2535" s="13">
        <v>36.659999999999997</v>
      </c>
      <c r="M2535" s="13">
        <v>25</v>
      </c>
      <c r="N2535" s="13">
        <f t="shared" si="327"/>
        <v>1.4663999999999999</v>
      </c>
      <c r="O2535" s="13">
        <v>15</v>
      </c>
      <c r="P2535" s="13" t="s">
        <v>30</v>
      </c>
      <c r="Q2535" s="13">
        <v>0</v>
      </c>
      <c r="R2535" s="70">
        <f>+L2535*O2535</f>
        <v>549.9</v>
      </c>
      <c r="S2535" s="70">
        <v>0</v>
      </c>
      <c r="T2535" s="70">
        <f>+L2535*S2535</f>
        <v>0</v>
      </c>
      <c r="U2535" s="70">
        <f>+R2535-T2535</f>
        <v>549.9</v>
      </c>
      <c r="V2535" s="70">
        <f>+U2535*0.75</f>
        <v>412.42499999999995</v>
      </c>
      <c r="W2535" s="70">
        <f>+U2535-V2535</f>
        <v>137.47500000000002</v>
      </c>
      <c r="X2535" s="70">
        <v>0</v>
      </c>
      <c r="Y2535" s="14">
        <f t="shared" ref="Y2535:Y2537" si="388">T2535-X2535</f>
        <v>0</v>
      </c>
      <c r="Z2535" s="11" t="s">
        <v>26</v>
      </c>
      <c r="AA2535" s="12" t="s">
        <v>31</v>
      </c>
    </row>
    <row r="2536" spans="1:27" x14ac:dyDescent="0.25">
      <c r="A2536" s="10">
        <v>45694</v>
      </c>
      <c r="B2536" s="69">
        <v>1.9097222222222265E-2</v>
      </c>
      <c r="C2536" s="11" t="s">
        <v>4909</v>
      </c>
      <c r="D2536" s="11">
        <v>17071</v>
      </c>
      <c r="E2536" s="11" t="s">
        <v>57</v>
      </c>
      <c r="F2536" s="11" t="s">
        <v>26</v>
      </c>
      <c r="G2536" s="11">
        <v>3692</v>
      </c>
      <c r="H2536" s="12" t="s">
        <v>41</v>
      </c>
      <c r="I2536" s="12" t="s">
        <v>55</v>
      </c>
      <c r="J2536" s="12" t="s">
        <v>55</v>
      </c>
      <c r="K2536" s="12" t="s">
        <v>56</v>
      </c>
      <c r="L2536" s="13">
        <v>38.619999999999997</v>
      </c>
      <c r="M2536" s="13">
        <v>25</v>
      </c>
      <c r="N2536" s="13">
        <f t="shared" si="327"/>
        <v>1.5448</v>
      </c>
      <c r="O2536" s="13" t="s">
        <v>30</v>
      </c>
      <c r="P2536" s="13">
        <v>24</v>
      </c>
      <c r="Q2536" s="13">
        <v>0</v>
      </c>
      <c r="R2536" s="70">
        <f>+M2536*P2536</f>
        <v>600</v>
      </c>
      <c r="S2536" s="70">
        <v>0</v>
      </c>
      <c r="T2536" s="70">
        <f>+M2536*S2536</f>
        <v>0</v>
      </c>
      <c r="U2536" s="70">
        <f t="shared" ref="U2536:U2537" si="389">+R2536-T2536</f>
        <v>600</v>
      </c>
      <c r="V2536" s="70">
        <f>+U2536*0</f>
        <v>0</v>
      </c>
      <c r="W2536" s="70">
        <f t="shared" ref="W2536:W2537" si="390">+U2536-V2536</f>
        <v>600</v>
      </c>
      <c r="X2536" s="70">
        <v>0</v>
      </c>
      <c r="Y2536" s="14">
        <f t="shared" si="388"/>
        <v>0</v>
      </c>
      <c r="Z2536" s="11" t="s">
        <v>26</v>
      </c>
      <c r="AA2536" s="12" t="s">
        <v>31</v>
      </c>
    </row>
    <row r="2537" spans="1:27" x14ac:dyDescent="0.25">
      <c r="A2537" s="10">
        <v>45694</v>
      </c>
      <c r="B2537" s="69">
        <v>3.1944444444444497E-2</v>
      </c>
      <c r="C2537" s="11" t="s">
        <v>4910</v>
      </c>
      <c r="D2537" s="11">
        <v>17072</v>
      </c>
      <c r="E2537" s="11" t="s">
        <v>4776</v>
      </c>
      <c r="F2537" s="11" t="s">
        <v>26</v>
      </c>
      <c r="G2537" s="11" t="s">
        <v>35</v>
      </c>
      <c r="H2537" s="12" t="s">
        <v>36</v>
      </c>
      <c r="I2537" s="12" t="s">
        <v>55</v>
      </c>
      <c r="J2537" s="12" t="s">
        <v>55</v>
      </c>
      <c r="K2537" s="12" t="s">
        <v>56</v>
      </c>
      <c r="L2537" s="13">
        <v>15.76</v>
      </c>
      <c r="M2537" s="13">
        <v>10</v>
      </c>
      <c r="N2537" s="13">
        <f t="shared" si="327"/>
        <v>1.5760000000000001</v>
      </c>
      <c r="O2537" s="13">
        <v>20</v>
      </c>
      <c r="P2537" s="13" t="s">
        <v>30</v>
      </c>
      <c r="Q2537" s="13">
        <v>0</v>
      </c>
      <c r="R2537" s="70">
        <f>(L2537*O2537)-Q2537</f>
        <v>315.2</v>
      </c>
      <c r="S2537" s="70">
        <v>0</v>
      </c>
      <c r="T2537" s="70">
        <f t="shared" ref="T2537" si="391">+L2537*S2537</f>
        <v>0</v>
      </c>
      <c r="U2537" s="70">
        <f t="shared" si="389"/>
        <v>315.2</v>
      </c>
      <c r="V2537" s="70">
        <f t="shared" ref="V2537" si="392">+U2537*0</f>
        <v>0</v>
      </c>
      <c r="W2537" s="70">
        <f t="shared" si="390"/>
        <v>315.2</v>
      </c>
      <c r="X2537" s="70">
        <v>0</v>
      </c>
      <c r="Y2537" s="14">
        <f t="shared" si="388"/>
        <v>0</v>
      </c>
      <c r="Z2537" s="11" t="s">
        <v>26</v>
      </c>
      <c r="AA2537" s="12" t="s">
        <v>31</v>
      </c>
    </row>
    <row r="2538" spans="1:27" x14ac:dyDescent="0.25">
      <c r="A2538" s="10">
        <v>45694</v>
      </c>
      <c r="B2538" s="69">
        <v>2.2685185185185142E-2</v>
      </c>
      <c r="C2538" s="11" t="s">
        <v>4911</v>
      </c>
      <c r="D2538" s="11">
        <v>17073</v>
      </c>
      <c r="E2538" s="11" t="s">
        <v>81</v>
      </c>
      <c r="F2538" s="11" t="s">
        <v>26</v>
      </c>
      <c r="G2538" s="11" t="s">
        <v>26</v>
      </c>
      <c r="H2538" s="12" t="s">
        <v>4422</v>
      </c>
      <c r="I2538" s="12" t="s">
        <v>27</v>
      </c>
      <c r="J2538" s="12" t="s">
        <v>42</v>
      </c>
      <c r="K2538" s="12" t="s">
        <v>43</v>
      </c>
      <c r="L2538" s="13">
        <v>42.92</v>
      </c>
      <c r="M2538" s="13">
        <v>25</v>
      </c>
      <c r="N2538" s="13">
        <f t="shared" si="327"/>
        <v>1.7168000000000001</v>
      </c>
      <c r="O2538" s="13">
        <v>83</v>
      </c>
      <c r="P2538" s="13" t="s">
        <v>30</v>
      </c>
      <c r="Q2538" s="13">
        <v>0</v>
      </c>
      <c r="R2538" s="70">
        <f>L2538*O2538</f>
        <v>3562.36</v>
      </c>
      <c r="S2538" s="70">
        <v>38</v>
      </c>
      <c r="T2538" s="70">
        <f>L2538*S2538</f>
        <v>1630.96</v>
      </c>
      <c r="U2538" s="70">
        <f>R2538-T2538</f>
        <v>1931.4</v>
      </c>
      <c r="V2538" s="70">
        <f>U2538*1</f>
        <v>1931.4</v>
      </c>
      <c r="W2538" s="70">
        <f>U2538-V2538</f>
        <v>0</v>
      </c>
      <c r="X2538" s="70">
        <f>L2538*36</f>
        <v>1545.1200000000001</v>
      </c>
      <c r="Y2538" s="71">
        <f>+T2538-X2538</f>
        <v>85.839999999999918</v>
      </c>
      <c r="Z2538" s="12" t="s">
        <v>141</v>
      </c>
      <c r="AA2538" s="12" t="s">
        <v>78</v>
      </c>
    </row>
    <row r="2539" spans="1:27" x14ac:dyDescent="0.25">
      <c r="A2539" s="10">
        <v>45694</v>
      </c>
      <c r="B2539" s="69">
        <v>1.2268518518518512E-2</v>
      </c>
      <c r="C2539" s="11" t="s">
        <v>4912</v>
      </c>
      <c r="D2539" s="11">
        <v>17074</v>
      </c>
      <c r="E2539" s="11" t="s">
        <v>520</v>
      </c>
      <c r="F2539" s="11" t="s">
        <v>26</v>
      </c>
      <c r="G2539" s="11">
        <v>4394</v>
      </c>
      <c r="H2539" s="12" t="s">
        <v>140</v>
      </c>
      <c r="I2539" s="12" t="s">
        <v>27</v>
      </c>
      <c r="J2539" s="12" t="s">
        <v>42</v>
      </c>
      <c r="K2539" s="12" t="s">
        <v>43</v>
      </c>
      <c r="L2539" s="13">
        <v>43.66</v>
      </c>
      <c r="M2539" s="13">
        <v>25</v>
      </c>
      <c r="N2539" s="13">
        <f t="shared" si="327"/>
        <v>1.7464</v>
      </c>
      <c r="O2539" s="13">
        <v>35</v>
      </c>
      <c r="P2539" s="13"/>
      <c r="Q2539" s="13">
        <v>0</v>
      </c>
      <c r="R2539" s="70">
        <f>+L2539*O2539</f>
        <v>1528.1</v>
      </c>
      <c r="S2539" s="70">
        <v>0</v>
      </c>
      <c r="T2539" s="70">
        <f>+L2539*S2539</f>
        <v>0</v>
      </c>
      <c r="U2539" s="70">
        <f>+R2539-T2539</f>
        <v>1528.1</v>
      </c>
      <c r="V2539" s="70">
        <f t="shared" ref="V2539" si="393">+U2539*0</f>
        <v>0</v>
      </c>
      <c r="W2539" s="70">
        <f>+U2539-V2539</f>
        <v>1528.1</v>
      </c>
      <c r="X2539" s="70">
        <v>0</v>
      </c>
      <c r="Y2539" s="14">
        <f t="shared" ref="Y2539:Y2548" si="394">T2539-X2539</f>
        <v>0</v>
      </c>
      <c r="Z2539" s="11" t="s">
        <v>26</v>
      </c>
      <c r="AA2539" s="12" t="s">
        <v>31</v>
      </c>
    </row>
    <row r="2540" spans="1:27" x14ac:dyDescent="0.25">
      <c r="A2540" s="10">
        <v>45694</v>
      </c>
      <c r="B2540" s="69">
        <v>1.2638888888888866E-2</v>
      </c>
      <c r="C2540" s="11" t="s">
        <v>4913</v>
      </c>
      <c r="D2540" s="11">
        <v>17075</v>
      </c>
      <c r="E2540" s="11" t="s">
        <v>2126</v>
      </c>
      <c r="F2540" s="11" t="s">
        <v>26</v>
      </c>
      <c r="G2540" s="11">
        <v>112432</v>
      </c>
      <c r="H2540" s="12" t="s">
        <v>4446</v>
      </c>
      <c r="I2540" s="12" t="s">
        <v>27</v>
      </c>
      <c r="J2540" s="12" t="s">
        <v>42</v>
      </c>
      <c r="K2540" s="12" t="s">
        <v>43</v>
      </c>
      <c r="L2540" s="13">
        <v>40.42</v>
      </c>
      <c r="M2540" s="13">
        <v>25</v>
      </c>
      <c r="N2540" s="13">
        <f t="shared" si="327"/>
        <v>1.6168</v>
      </c>
      <c r="O2540" s="13">
        <v>42</v>
      </c>
      <c r="P2540" s="13" t="s">
        <v>30</v>
      </c>
      <c r="Q2540" s="13">
        <v>0</v>
      </c>
      <c r="R2540" s="70">
        <f t="shared" ref="R2540" si="395">+L2540*O2540</f>
        <v>1697.64</v>
      </c>
      <c r="S2540" s="70">
        <v>0</v>
      </c>
      <c r="T2540" s="70">
        <f>+L2540*S2540</f>
        <v>0</v>
      </c>
      <c r="U2540" s="70">
        <f t="shared" ref="U2540" si="396">+R2540-T2540</f>
        <v>1697.64</v>
      </c>
      <c r="V2540" s="70">
        <f>+U2540*1</f>
        <v>1697.64</v>
      </c>
      <c r="W2540" s="70">
        <f t="shared" ref="W2540" si="397">+U2540-V2540</f>
        <v>0</v>
      </c>
      <c r="X2540" s="70">
        <v>0</v>
      </c>
      <c r="Y2540" s="14">
        <f t="shared" si="394"/>
        <v>0</v>
      </c>
      <c r="Z2540" s="11" t="s">
        <v>26</v>
      </c>
      <c r="AA2540" s="12" t="s">
        <v>31</v>
      </c>
    </row>
    <row r="2541" spans="1:27" x14ac:dyDescent="0.25">
      <c r="A2541" s="10">
        <v>45694</v>
      </c>
      <c r="B2541" s="69">
        <v>2.3009259259259229E-2</v>
      </c>
      <c r="C2541" s="11" t="s">
        <v>4914</v>
      </c>
      <c r="D2541" s="11">
        <v>17076</v>
      </c>
      <c r="E2541" s="11" t="s">
        <v>177</v>
      </c>
      <c r="F2541" s="11" t="s">
        <v>26</v>
      </c>
      <c r="G2541" s="11">
        <v>799</v>
      </c>
      <c r="H2541" s="12" t="s">
        <v>141</v>
      </c>
      <c r="I2541" s="12" t="s">
        <v>55</v>
      </c>
      <c r="J2541" s="12" t="s">
        <v>55</v>
      </c>
      <c r="K2541" s="12" t="s">
        <v>56</v>
      </c>
      <c r="L2541" s="13">
        <v>36.86</v>
      </c>
      <c r="M2541" s="13">
        <v>25</v>
      </c>
      <c r="N2541" s="13">
        <f t="shared" si="327"/>
        <v>1.4743999999999999</v>
      </c>
      <c r="O2541" s="13">
        <v>15</v>
      </c>
      <c r="P2541" s="13" t="s">
        <v>30</v>
      </c>
      <c r="Q2541" s="13">
        <v>0</v>
      </c>
      <c r="R2541" s="70">
        <f>L2541*O2541</f>
        <v>552.9</v>
      </c>
      <c r="S2541" s="70">
        <v>0</v>
      </c>
      <c r="T2541" s="70">
        <f>L2541*S2541</f>
        <v>0</v>
      </c>
      <c r="U2541" s="70">
        <f>R2541-T2541</f>
        <v>552.9</v>
      </c>
      <c r="V2541" s="70">
        <f>U2541*0</f>
        <v>0</v>
      </c>
      <c r="W2541" s="70">
        <f>U2541-V2541</f>
        <v>552.9</v>
      </c>
      <c r="X2541" s="70">
        <v>0</v>
      </c>
      <c r="Y2541" s="14">
        <f t="shared" si="394"/>
        <v>0</v>
      </c>
      <c r="Z2541" s="11" t="s">
        <v>26</v>
      </c>
      <c r="AA2541" s="12" t="s">
        <v>31</v>
      </c>
    </row>
    <row r="2542" spans="1:27" x14ac:dyDescent="0.25">
      <c r="A2542" s="10">
        <v>45694</v>
      </c>
      <c r="B2542" s="69">
        <v>1.0844907407407456E-2</v>
      </c>
      <c r="C2542" s="11" t="s">
        <v>4915</v>
      </c>
      <c r="D2542" s="11">
        <v>17077</v>
      </c>
      <c r="E2542" s="11" t="s">
        <v>49</v>
      </c>
      <c r="F2542" s="11" t="s">
        <v>26</v>
      </c>
      <c r="G2542" s="11">
        <v>1590</v>
      </c>
      <c r="H2542" s="12" t="s">
        <v>45</v>
      </c>
      <c r="I2542" s="12" t="s">
        <v>27</v>
      </c>
      <c r="J2542" s="12" t="s">
        <v>33</v>
      </c>
      <c r="K2542" s="12" t="s">
        <v>34</v>
      </c>
      <c r="L2542" s="13">
        <v>37.619999999999997</v>
      </c>
      <c r="M2542" s="13">
        <v>25</v>
      </c>
      <c r="N2542" s="13">
        <f t="shared" si="327"/>
        <v>1.5047999999999999</v>
      </c>
      <c r="O2542" s="13" t="s">
        <v>30</v>
      </c>
      <c r="P2542" s="13">
        <v>58</v>
      </c>
      <c r="Q2542" s="13">
        <v>0</v>
      </c>
      <c r="R2542" s="70">
        <f>M2542*P2542</f>
        <v>1450</v>
      </c>
      <c r="S2542" s="70">
        <v>0</v>
      </c>
      <c r="T2542" s="70">
        <f>M2542*S2542</f>
        <v>0</v>
      </c>
      <c r="U2542" s="70">
        <f>R2542-T2542</f>
        <v>1450</v>
      </c>
      <c r="V2542" s="70">
        <f>U2542*0</f>
        <v>0</v>
      </c>
      <c r="W2542" s="70">
        <f>U2542-V2542</f>
        <v>1450</v>
      </c>
      <c r="X2542" s="70">
        <v>0</v>
      </c>
      <c r="Y2542" s="14">
        <f t="shared" si="394"/>
        <v>0</v>
      </c>
      <c r="Z2542" s="11" t="s">
        <v>26</v>
      </c>
      <c r="AA2542" s="12" t="s">
        <v>31</v>
      </c>
    </row>
    <row r="2543" spans="1:27" x14ac:dyDescent="0.25">
      <c r="A2543" s="10">
        <v>45694</v>
      </c>
      <c r="B2543" s="69">
        <v>1.3206018518518492E-2</v>
      </c>
      <c r="C2543" s="11" t="s">
        <v>4916</v>
      </c>
      <c r="D2543" s="11">
        <v>17078</v>
      </c>
      <c r="E2543" s="11" t="s">
        <v>64</v>
      </c>
      <c r="F2543" s="11" t="s">
        <v>26</v>
      </c>
      <c r="G2543" s="11">
        <v>800</v>
      </c>
      <c r="H2543" s="12" t="s">
        <v>141</v>
      </c>
      <c r="I2543" s="12" t="s">
        <v>55</v>
      </c>
      <c r="J2543" s="12" t="s">
        <v>55</v>
      </c>
      <c r="K2543" s="12" t="s">
        <v>56</v>
      </c>
      <c r="L2543" s="13">
        <v>36.380000000000003</v>
      </c>
      <c r="M2543" s="13">
        <v>25</v>
      </c>
      <c r="N2543" s="13">
        <f t="shared" si="327"/>
        <v>1.4552</v>
      </c>
      <c r="O2543" s="13">
        <v>15</v>
      </c>
      <c r="P2543" s="13" t="s">
        <v>30</v>
      </c>
      <c r="Q2543" s="13">
        <v>0</v>
      </c>
      <c r="R2543" s="70">
        <f>L2543*O2543</f>
        <v>545.70000000000005</v>
      </c>
      <c r="S2543" s="70">
        <v>0</v>
      </c>
      <c r="T2543" s="70">
        <f>L2543*S2543</f>
        <v>0</v>
      </c>
      <c r="U2543" s="70">
        <f>R2543-T2543</f>
        <v>545.70000000000005</v>
      </c>
      <c r="V2543" s="70">
        <f>U2543*0</f>
        <v>0</v>
      </c>
      <c r="W2543" s="70">
        <f>U2543-V2543</f>
        <v>545.70000000000005</v>
      </c>
      <c r="X2543" s="70">
        <v>0</v>
      </c>
      <c r="Y2543" s="14">
        <f t="shared" si="394"/>
        <v>0</v>
      </c>
      <c r="Z2543" s="11" t="s">
        <v>26</v>
      </c>
      <c r="AA2543" s="12" t="s">
        <v>31</v>
      </c>
    </row>
    <row r="2544" spans="1:27" x14ac:dyDescent="0.25">
      <c r="A2544" s="10">
        <v>45694</v>
      </c>
      <c r="B2544" s="69">
        <v>8.2870370370370927E-3</v>
      </c>
      <c r="C2544" s="11" t="s">
        <v>4917</v>
      </c>
      <c r="D2544" s="11">
        <v>17079</v>
      </c>
      <c r="E2544" s="11" t="s">
        <v>322</v>
      </c>
      <c r="F2544" s="11" t="s">
        <v>26</v>
      </c>
      <c r="G2544" s="11">
        <v>112430</v>
      </c>
      <c r="H2544" s="12" t="s">
        <v>4446</v>
      </c>
      <c r="I2544" s="12" t="s">
        <v>27</v>
      </c>
      <c r="J2544" s="12" t="s">
        <v>42</v>
      </c>
      <c r="K2544" s="12" t="s">
        <v>43</v>
      </c>
      <c r="L2544" s="13">
        <v>38.56</v>
      </c>
      <c r="M2544" s="13">
        <v>25</v>
      </c>
      <c r="N2544" s="13">
        <f t="shared" si="327"/>
        <v>1.5424</v>
      </c>
      <c r="O2544" s="13">
        <v>42</v>
      </c>
      <c r="P2544" s="13" t="s">
        <v>30</v>
      </c>
      <c r="Q2544" s="13">
        <v>0</v>
      </c>
      <c r="R2544" s="70">
        <f t="shared" ref="R2544:R2545" si="398">+L2544*O2544</f>
        <v>1619.52</v>
      </c>
      <c r="S2544" s="70">
        <v>0</v>
      </c>
      <c r="T2544" s="70">
        <f>+L2544*S2544</f>
        <v>0</v>
      </c>
      <c r="U2544" s="70">
        <f t="shared" ref="U2544:U2546" si="399">+R2544-T2544</f>
        <v>1619.52</v>
      </c>
      <c r="V2544" s="70">
        <f>+U2544*1</f>
        <v>1619.52</v>
      </c>
      <c r="W2544" s="70">
        <f t="shared" ref="W2544:W2546" si="400">+U2544-V2544</f>
        <v>0</v>
      </c>
      <c r="X2544" s="70">
        <v>0</v>
      </c>
      <c r="Y2544" s="14">
        <f t="shared" si="394"/>
        <v>0</v>
      </c>
      <c r="Z2544" s="11" t="s">
        <v>26</v>
      </c>
      <c r="AA2544" s="12" t="s">
        <v>31</v>
      </c>
    </row>
    <row r="2545" spans="1:27" x14ac:dyDescent="0.25">
      <c r="A2545" s="10">
        <v>45694</v>
      </c>
      <c r="B2545" s="69">
        <v>2.626157407407409E-2</v>
      </c>
      <c r="C2545" s="11" t="s">
        <v>4918</v>
      </c>
      <c r="D2545" s="11">
        <v>17080</v>
      </c>
      <c r="E2545" s="11" t="s">
        <v>561</v>
      </c>
      <c r="F2545" s="11" t="s">
        <v>26</v>
      </c>
      <c r="G2545" s="11">
        <v>112433</v>
      </c>
      <c r="H2545" s="12" t="s">
        <v>4446</v>
      </c>
      <c r="I2545" s="12" t="s">
        <v>27</v>
      </c>
      <c r="J2545" s="12" t="s">
        <v>42</v>
      </c>
      <c r="K2545" s="12" t="s">
        <v>43</v>
      </c>
      <c r="L2545" s="13">
        <v>39.76</v>
      </c>
      <c r="M2545" s="13">
        <v>25</v>
      </c>
      <c r="N2545" s="13">
        <f t="shared" si="327"/>
        <v>1.5903999999999998</v>
      </c>
      <c r="O2545" s="13">
        <v>42</v>
      </c>
      <c r="P2545" s="13" t="s">
        <v>30</v>
      </c>
      <c r="Q2545" s="13">
        <v>0</v>
      </c>
      <c r="R2545" s="70">
        <f t="shared" si="398"/>
        <v>1669.9199999999998</v>
      </c>
      <c r="S2545" s="70">
        <v>0</v>
      </c>
      <c r="T2545" s="70">
        <f>+L2545*S2545</f>
        <v>0</v>
      </c>
      <c r="U2545" s="70">
        <f t="shared" si="399"/>
        <v>1669.9199999999998</v>
      </c>
      <c r="V2545" s="70">
        <f>+U2545*1</f>
        <v>1669.9199999999998</v>
      </c>
      <c r="W2545" s="70">
        <f t="shared" si="400"/>
        <v>0</v>
      </c>
      <c r="X2545" s="70">
        <v>0</v>
      </c>
      <c r="Y2545" s="14">
        <f t="shared" si="394"/>
        <v>0</v>
      </c>
      <c r="Z2545" s="11" t="s">
        <v>26</v>
      </c>
      <c r="AA2545" s="12" t="s">
        <v>31</v>
      </c>
    </row>
    <row r="2546" spans="1:27" x14ac:dyDescent="0.25">
      <c r="A2546" s="10">
        <v>45694</v>
      </c>
      <c r="B2546" s="69">
        <v>1.5601851851851811E-2</v>
      </c>
      <c r="C2546" s="11" t="s">
        <v>4919</v>
      </c>
      <c r="D2546" s="11">
        <v>17081</v>
      </c>
      <c r="E2546" s="11" t="s">
        <v>69</v>
      </c>
      <c r="F2546" s="11" t="s">
        <v>26</v>
      </c>
      <c r="G2546" s="11">
        <v>2114</v>
      </c>
      <c r="H2546" s="12" t="s">
        <v>70</v>
      </c>
      <c r="I2546" s="12" t="s">
        <v>27</v>
      </c>
      <c r="J2546" s="12" t="s">
        <v>42</v>
      </c>
      <c r="K2546" s="12" t="s">
        <v>43</v>
      </c>
      <c r="L2546" s="13">
        <v>39.42</v>
      </c>
      <c r="M2546" s="13">
        <v>25</v>
      </c>
      <c r="N2546" s="13">
        <f t="shared" si="327"/>
        <v>1.5768</v>
      </c>
      <c r="O2546" s="13" t="s">
        <v>30</v>
      </c>
      <c r="P2546" s="13">
        <v>64</v>
      </c>
      <c r="Q2546" s="13">
        <v>0</v>
      </c>
      <c r="R2546" s="70">
        <f>+M2546*P2546</f>
        <v>1600</v>
      </c>
      <c r="S2546" s="70">
        <v>0</v>
      </c>
      <c r="T2546" s="70">
        <f>+M2546*S2546</f>
        <v>0</v>
      </c>
      <c r="U2546" s="70">
        <f t="shared" si="399"/>
        <v>1600</v>
      </c>
      <c r="V2546" s="70">
        <f t="shared" ref="V2546" si="401">+U2546*0</f>
        <v>0</v>
      </c>
      <c r="W2546" s="70">
        <f t="shared" si="400"/>
        <v>1600</v>
      </c>
      <c r="X2546" s="70">
        <v>0</v>
      </c>
      <c r="Y2546" s="14">
        <f t="shared" si="394"/>
        <v>0</v>
      </c>
      <c r="Z2546" s="11" t="s">
        <v>26</v>
      </c>
      <c r="AA2546" s="12" t="s">
        <v>31</v>
      </c>
    </row>
    <row r="2547" spans="1:27" x14ac:dyDescent="0.25">
      <c r="A2547" s="10">
        <v>45694</v>
      </c>
      <c r="B2547" s="69">
        <v>2.1643518518518534E-2</v>
      </c>
      <c r="C2547" s="11" t="s">
        <v>4920</v>
      </c>
      <c r="D2547" s="11">
        <v>17082</v>
      </c>
      <c r="E2547" s="11" t="s">
        <v>52</v>
      </c>
      <c r="F2547" s="11" t="s">
        <v>26</v>
      </c>
      <c r="G2547" s="11">
        <v>1151</v>
      </c>
      <c r="H2547" s="12" t="s">
        <v>141</v>
      </c>
      <c r="I2547" s="12" t="s">
        <v>55</v>
      </c>
      <c r="J2547" s="12" t="s">
        <v>55</v>
      </c>
      <c r="K2547" s="12" t="s">
        <v>56</v>
      </c>
      <c r="L2547" s="13">
        <v>38.18</v>
      </c>
      <c r="M2547" s="13">
        <v>25</v>
      </c>
      <c r="N2547" s="13">
        <f t="shared" si="327"/>
        <v>1.5271999999999999</v>
      </c>
      <c r="O2547" s="13">
        <v>15</v>
      </c>
      <c r="P2547" s="13" t="s">
        <v>30</v>
      </c>
      <c r="Q2547" s="13">
        <v>0</v>
      </c>
      <c r="R2547" s="70">
        <f>L2547*O2547</f>
        <v>572.70000000000005</v>
      </c>
      <c r="S2547" s="70">
        <v>0</v>
      </c>
      <c r="T2547" s="70">
        <f>L2547*S2547</f>
        <v>0</v>
      </c>
      <c r="U2547" s="70">
        <f>R2547-T2547</f>
        <v>572.70000000000005</v>
      </c>
      <c r="V2547" s="70">
        <f>U2547*0</f>
        <v>0</v>
      </c>
      <c r="W2547" s="70">
        <f>U2547-V2547</f>
        <v>572.70000000000005</v>
      </c>
      <c r="X2547" s="70">
        <v>0</v>
      </c>
      <c r="Y2547" s="14">
        <f t="shared" si="394"/>
        <v>0</v>
      </c>
      <c r="Z2547" s="11" t="s">
        <v>26</v>
      </c>
      <c r="AA2547" s="12" t="s">
        <v>31</v>
      </c>
    </row>
    <row r="2548" spans="1:27" x14ac:dyDescent="0.25">
      <c r="A2548" s="10">
        <v>45694</v>
      </c>
      <c r="B2548" s="69">
        <v>1.3275462962962892E-2</v>
      </c>
      <c r="C2548" s="11" t="s">
        <v>4921</v>
      </c>
      <c r="D2548" s="11">
        <v>17083</v>
      </c>
      <c r="E2548" s="11" t="s">
        <v>44</v>
      </c>
      <c r="F2548" s="11" t="s">
        <v>26</v>
      </c>
      <c r="G2548" s="11">
        <v>1596</v>
      </c>
      <c r="H2548" s="12" t="s">
        <v>45</v>
      </c>
      <c r="I2548" s="12" t="s">
        <v>27</v>
      </c>
      <c r="J2548" s="12" t="s">
        <v>33</v>
      </c>
      <c r="K2548" s="12" t="s">
        <v>34</v>
      </c>
      <c r="L2548" s="13">
        <v>38.1</v>
      </c>
      <c r="M2548" s="13">
        <v>25</v>
      </c>
      <c r="N2548" s="13">
        <f t="shared" si="327"/>
        <v>1.524</v>
      </c>
      <c r="O2548" s="13" t="s">
        <v>30</v>
      </c>
      <c r="P2548" s="13">
        <v>58</v>
      </c>
      <c r="Q2548" s="13">
        <v>0</v>
      </c>
      <c r="R2548" s="70">
        <f>M2548*P2548</f>
        <v>1450</v>
      </c>
      <c r="S2548" s="70">
        <v>0</v>
      </c>
      <c r="T2548" s="70">
        <f>M2548*S2548</f>
        <v>0</v>
      </c>
      <c r="U2548" s="70">
        <f>R2548-T2548</f>
        <v>1450</v>
      </c>
      <c r="V2548" s="70">
        <f>U2548*0</f>
        <v>0</v>
      </c>
      <c r="W2548" s="70">
        <f>U2548-V2548</f>
        <v>1450</v>
      </c>
      <c r="X2548" s="70">
        <v>0</v>
      </c>
      <c r="Y2548" s="14">
        <f t="shared" si="394"/>
        <v>0</v>
      </c>
      <c r="Z2548" s="11" t="s">
        <v>26</v>
      </c>
      <c r="AA2548" s="12" t="s">
        <v>31</v>
      </c>
    </row>
    <row r="2549" spans="1:27" x14ac:dyDescent="0.25">
      <c r="A2549" s="10">
        <v>45694</v>
      </c>
      <c r="B2549" s="69">
        <v>1.055555555555554E-2</v>
      </c>
      <c r="C2549" s="11" t="s">
        <v>4922</v>
      </c>
      <c r="D2549" s="11">
        <v>17084</v>
      </c>
      <c r="E2549" s="11" t="s">
        <v>74</v>
      </c>
      <c r="F2549" s="11" t="s">
        <v>26</v>
      </c>
      <c r="G2549" s="11" t="s">
        <v>26</v>
      </c>
      <c r="H2549" s="12" t="s">
        <v>4422</v>
      </c>
      <c r="I2549" s="12" t="s">
        <v>27</v>
      </c>
      <c r="J2549" s="12" t="s">
        <v>42</v>
      </c>
      <c r="K2549" s="12" t="s">
        <v>43</v>
      </c>
      <c r="L2549" s="13">
        <v>46.42</v>
      </c>
      <c r="M2549" s="13">
        <v>29</v>
      </c>
      <c r="N2549" s="13">
        <f t="shared" si="327"/>
        <v>1.6006896551724139</v>
      </c>
      <c r="O2549" s="13">
        <v>83</v>
      </c>
      <c r="P2549" s="13" t="s">
        <v>30</v>
      </c>
      <c r="Q2549" s="13">
        <v>0</v>
      </c>
      <c r="R2549" s="70">
        <f>L2549*O2549</f>
        <v>3852.86</v>
      </c>
      <c r="S2549" s="70">
        <v>38</v>
      </c>
      <c r="T2549" s="70">
        <f>L2549*S2549</f>
        <v>1763.96</v>
      </c>
      <c r="U2549" s="70">
        <f>R2549-T2549</f>
        <v>2088.9</v>
      </c>
      <c r="V2549" s="70">
        <f>U2549*1</f>
        <v>2088.9</v>
      </c>
      <c r="W2549" s="70">
        <f>U2549-V2549</f>
        <v>0</v>
      </c>
      <c r="X2549" s="70">
        <f>L2549*36</f>
        <v>1671.1200000000001</v>
      </c>
      <c r="Y2549" s="71">
        <f>+T2549-X2549</f>
        <v>92.839999999999918</v>
      </c>
      <c r="Z2549" s="12" t="s">
        <v>70</v>
      </c>
      <c r="AA2549" s="12" t="s">
        <v>78</v>
      </c>
    </row>
    <row r="2550" spans="1:27" x14ac:dyDescent="0.25">
      <c r="A2550" s="10">
        <v>45694</v>
      </c>
      <c r="B2550" s="69">
        <v>1.3425925925925841E-2</v>
      </c>
      <c r="C2550" s="11" t="s">
        <v>4923</v>
      </c>
      <c r="D2550" s="11">
        <v>17085</v>
      </c>
      <c r="E2550" s="11" t="s">
        <v>604</v>
      </c>
      <c r="F2550" s="11" t="s">
        <v>26</v>
      </c>
      <c r="G2550" s="11">
        <v>1119</v>
      </c>
      <c r="H2550" s="12" t="s">
        <v>141</v>
      </c>
      <c r="I2550" s="12" t="s">
        <v>55</v>
      </c>
      <c r="J2550" s="12" t="s">
        <v>55</v>
      </c>
      <c r="K2550" s="12" t="s">
        <v>56</v>
      </c>
      <c r="L2550" s="13">
        <v>38.08</v>
      </c>
      <c r="M2550" s="13">
        <v>25</v>
      </c>
      <c r="N2550" s="13">
        <f t="shared" si="327"/>
        <v>1.5231999999999999</v>
      </c>
      <c r="O2550" s="13">
        <v>15</v>
      </c>
      <c r="P2550" s="13" t="s">
        <v>30</v>
      </c>
      <c r="Q2550" s="13">
        <v>0</v>
      </c>
      <c r="R2550" s="70">
        <f>L2550*O2550</f>
        <v>571.19999999999993</v>
      </c>
      <c r="S2550" s="70">
        <v>0</v>
      </c>
      <c r="T2550" s="70">
        <f>L2550*S2550</f>
        <v>0</v>
      </c>
      <c r="U2550" s="70">
        <f>R2550-T2550</f>
        <v>571.19999999999993</v>
      </c>
      <c r="V2550" s="70">
        <f>U2550*0</f>
        <v>0</v>
      </c>
      <c r="W2550" s="70">
        <f>U2550-V2550</f>
        <v>571.19999999999993</v>
      </c>
      <c r="X2550" s="70">
        <v>0</v>
      </c>
      <c r="Y2550" s="14">
        <f t="shared" ref="Y2550:Y2579" si="402">T2550-X2550</f>
        <v>0</v>
      </c>
      <c r="Z2550" s="11" t="s">
        <v>26</v>
      </c>
      <c r="AA2550" s="12" t="s">
        <v>31</v>
      </c>
    </row>
    <row r="2551" spans="1:27" x14ac:dyDescent="0.25">
      <c r="A2551" s="10">
        <v>45694</v>
      </c>
      <c r="B2551" s="69">
        <v>3.9907407407407391E-2</v>
      </c>
      <c r="C2551" s="11" t="s">
        <v>4924</v>
      </c>
      <c r="D2551" s="11">
        <v>17087</v>
      </c>
      <c r="E2551" s="11" t="s">
        <v>244</v>
      </c>
      <c r="F2551" s="11" t="s">
        <v>26</v>
      </c>
      <c r="G2551" s="11">
        <v>958</v>
      </c>
      <c r="H2551" s="12" t="s">
        <v>141</v>
      </c>
      <c r="I2551" s="12" t="s">
        <v>55</v>
      </c>
      <c r="J2551" s="12" t="s">
        <v>55</v>
      </c>
      <c r="K2551" s="12" t="s">
        <v>56</v>
      </c>
      <c r="L2551" s="13">
        <v>37.36</v>
      </c>
      <c r="M2551" s="13">
        <v>25</v>
      </c>
      <c r="N2551" s="13">
        <f t="shared" ref="N2551:N2594" si="403">L2551/M2551</f>
        <v>1.4944</v>
      </c>
      <c r="O2551" s="13">
        <v>15</v>
      </c>
      <c r="P2551" s="13" t="s">
        <v>30</v>
      </c>
      <c r="Q2551" s="13">
        <v>0</v>
      </c>
      <c r="R2551" s="70">
        <f>L2551*O2551</f>
        <v>560.4</v>
      </c>
      <c r="S2551" s="70">
        <v>0</v>
      </c>
      <c r="T2551" s="70">
        <f>L2551*S2551</f>
        <v>0</v>
      </c>
      <c r="U2551" s="70">
        <f>R2551-T2551</f>
        <v>560.4</v>
      </c>
      <c r="V2551" s="70">
        <f>U2551*0</f>
        <v>0</v>
      </c>
      <c r="W2551" s="70">
        <f>U2551-V2551</f>
        <v>560.4</v>
      </c>
      <c r="X2551" s="70">
        <v>0</v>
      </c>
      <c r="Y2551" s="14">
        <f t="shared" si="402"/>
        <v>0</v>
      </c>
      <c r="Z2551" s="11" t="s">
        <v>26</v>
      </c>
      <c r="AA2551" s="12" t="s">
        <v>31</v>
      </c>
    </row>
    <row r="2552" spans="1:27" x14ac:dyDescent="0.25">
      <c r="A2552" s="10">
        <v>45694</v>
      </c>
      <c r="B2552" s="69">
        <v>1.8379629629629579E-2</v>
      </c>
      <c r="C2552" s="11" t="s">
        <v>4925</v>
      </c>
      <c r="D2552" s="11">
        <v>17088</v>
      </c>
      <c r="E2552" s="11" t="s">
        <v>240</v>
      </c>
      <c r="F2552" s="11" t="s">
        <v>26</v>
      </c>
      <c r="G2552" s="11">
        <v>2870</v>
      </c>
      <c r="H2552" s="12" t="s">
        <v>41</v>
      </c>
      <c r="I2552" s="12" t="s">
        <v>27</v>
      </c>
      <c r="J2552" s="12" t="s">
        <v>42</v>
      </c>
      <c r="K2552" s="12" t="s">
        <v>43</v>
      </c>
      <c r="L2552" s="13">
        <v>38.840000000000003</v>
      </c>
      <c r="M2552" s="13">
        <v>25</v>
      </c>
      <c r="N2552" s="13">
        <f t="shared" si="403"/>
        <v>1.5536000000000001</v>
      </c>
      <c r="O2552" s="13" t="s">
        <v>30</v>
      </c>
      <c r="P2552" s="13">
        <v>64</v>
      </c>
      <c r="Q2552" s="13">
        <v>0</v>
      </c>
      <c r="R2552" s="70">
        <f>M2552*P2552</f>
        <v>1600</v>
      </c>
      <c r="S2552" s="70">
        <v>0</v>
      </c>
      <c r="T2552" s="70">
        <f>M2552*S2552</f>
        <v>0</v>
      </c>
      <c r="U2552" s="70">
        <f>+R2552-T2552</f>
        <v>1600</v>
      </c>
      <c r="V2552" s="70">
        <f t="shared" ref="V2552" si="404">+U2552*0</f>
        <v>0</v>
      </c>
      <c r="W2552" s="70">
        <f>+U2552-V2552</f>
        <v>1600</v>
      </c>
      <c r="X2552" s="70">
        <v>0</v>
      </c>
      <c r="Y2552" s="14">
        <f t="shared" si="402"/>
        <v>0</v>
      </c>
      <c r="Z2552" s="11" t="s">
        <v>26</v>
      </c>
      <c r="AA2552" s="12" t="s">
        <v>31</v>
      </c>
    </row>
    <row r="2553" spans="1:27" x14ac:dyDescent="0.25">
      <c r="A2553" s="10">
        <v>45694</v>
      </c>
      <c r="B2553" s="69">
        <v>1.8634259259259323E-2</v>
      </c>
      <c r="C2553" s="11" t="s">
        <v>4926</v>
      </c>
      <c r="D2553" s="11">
        <v>17089</v>
      </c>
      <c r="E2553" s="11" t="s">
        <v>184</v>
      </c>
      <c r="F2553" s="11" t="s">
        <v>26</v>
      </c>
      <c r="G2553" s="11">
        <v>1008</v>
      </c>
      <c r="H2553" s="12" t="s">
        <v>141</v>
      </c>
      <c r="I2553" s="12" t="s">
        <v>55</v>
      </c>
      <c r="J2553" s="12" t="s">
        <v>55</v>
      </c>
      <c r="K2553" s="12" t="s">
        <v>56</v>
      </c>
      <c r="L2553" s="13">
        <v>39.700000000000003</v>
      </c>
      <c r="M2553" s="13">
        <v>25</v>
      </c>
      <c r="N2553" s="13">
        <f t="shared" si="403"/>
        <v>1.5880000000000001</v>
      </c>
      <c r="O2553" s="13">
        <v>15</v>
      </c>
      <c r="P2553" s="13" t="s">
        <v>30</v>
      </c>
      <c r="Q2553" s="13">
        <v>0</v>
      </c>
      <c r="R2553" s="70">
        <f>L2553*O2553</f>
        <v>595.5</v>
      </c>
      <c r="S2553" s="70">
        <v>0</v>
      </c>
      <c r="T2553" s="70">
        <f>L2553*S2553</f>
        <v>0</v>
      </c>
      <c r="U2553" s="70">
        <f>R2553-T2553</f>
        <v>595.5</v>
      </c>
      <c r="V2553" s="70">
        <f>U2553*0</f>
        <v>0</v>
      </c>
      <c r="W2553" s="70">
        <f>U2553-V2553</f>
        <v>595.5</v>
      </c>
      <c r="X2553" s="70">
        <v>0</v>
      </c>
      <c r="Y2553" s="14">
        <f t="shared" si="402"/>
        <v>0</v>
      </c>
      <c r="Z2553" s="11" t="s">
        <v>26</v>
      </c>
      <c r="AA2553" s="12" t="s">
        <v>31</v>
      </c>
    </row>
    <row r="2554" spans="1:27" x14ac:dyDescent="0.25">
      <c r="A2554" s="10">
        <v>45694</v>
      </c>
      <c r="B2554" s="69">
        <v>1.4745370370370381E-2</v>
      </c>
      <c r="C2554" s="11" t="s">
        <v>4927</v>
      </c>
      <c r="D2554" s="11">
        <v>17090</v>
      </c>
      <c r="E2554" s="11" t="s">
        <v>63</v>
      </c>
      <c r="F2554" s="11" t="s">
        <v>26</v>
      </c>
      <c r="G2554" s="11">
        <v>10183</v>
      </c>
      <c r="H2554" s="12" t="s">
        <v>140</v>
      </c>
      <c r="I2554" s="12" t="s">
        <v>27</v>
      </c>
      <c r="J2554" s="12" t="s">
        <v>33</v>
      </c>
      <c r="K2554" s="12" t="s">
        <v>34</v>
      </c>
      <c r="L2554" s="13">
        <v>42.52</v>
      </c>
      <c r="M2554" s="13">
        <v>29</v>
      </c>
      <c r="N2554" s="13">
        <f t="shared" si="403"/>
        <v>1.4662068965517243</v>
      </c>
      <c r="O2554" s="13">
        <v>40</v>
      </c>
      <c r="P2554" s="13"/>
      <c r="Q2554" s="13">
        <v>0</v>
      </c>
      <c r="R2554" s="70">
        <f>+L2554*O2554</f>
        <v>1700.8000000000002</v>
      </c>
      <c r="S2554" s="70">
        <v>0</v>
      </c>
      <c r="T2554" s="70">
        <f>+L2554*S2554</f>
        <v>0</v>
      </c>
      <c r="U2554" s="70">
        <f>+R2554-T2554</f>
        <v>1700.8000000000002</v>
      </c>
      <c r="V2554" s="70">
        <f t="shared" ref="V2554" si="405">+U2554*0</f>
        <v>0</v>
      </c>
      <c r="W2554" s="70">
        <f>+U2554-V2554</f>
        <v>1700.8000000000002</v>
      </c>
      <c r="X2554" s="70">
        <v>0</v>
      </c>
      <c r="Y2554" s="14">
        <f t="shared" si="402"/>
        <v>0</v>
      </c>
      <c r="Z2554" s="11" t="s">
        <v>26</v>
      </c>
      <c r="AA2554" s="12" t="s">
        <v>31</v>
      </c>
    </row>
    <row r="2555" spans="1:27" x14ac:dyDescent="0.25">
      <c r="A2555" s="10">
        <v>45694</v>
      </c>
      <c r="B2555" s="69">
        <v>2.2164351851851949E-2</v>
      </c>
      <c r="C2555" s="11" t="s">
        <v>4928</v>
      </c>
      <c r="D2555" s="11">
        <v>17091</v>
      </c>
      <c r="E2555" s="11" t="s">
        <v>54</v>
      </c>
      <c r="F2555" s="11" t="s">
        <v>26</v>
      </c>
      <c r="G2555" s="11">
        <v>112434</v>
      </c>
      <c r="H2555" s="12" t="s">
        <v>4446</v>
      </c>
      <c r="I2555" s="12" t="s">
        <v>27</v>
      </c>
      <c r="J2555" s="12" t="s">
        <v>42</v>
      </c>
      <c r="K2555" s="12" t="s">
        <v>43</v>
      </c>
      <c r="L2555" s="13">
        <v>38.18</v>
      </c>
      <c r="M2555" s="13">
        <v>25</v>
      </c>
      <c r="N2555" s="13">
        <f t="shared" si="403"/>
        <v>1.5271999999999999</v>
      </c>
      <c r="O2555" s="13">
        <v>42</v>
      </c>
      <c r="P2555" s="13" t="s">
        <v>30</v>
      </c>
      <c r="Q2555" s="13">
        <v>0</v>
      </c>
      <c r="R2555" s="70">
        <f t="shared" ref="R2555" si="406">+L2555*O2555</f>
        <v>1603.56</v>
      </c>
      <c r="S2555" s="70">
        <v>0</v>
      </c>
      <c r="T2555" s="70">
        <f>+L2555*S2555</f>
        <v>0</v>
      </c>
      <c r="U2555" s="70">
        <f t="shared" ref="U2555:U2556" si="407">+R2555-T2555</f>
        <v>1603.56</v>
      </c>
      <c r="V2555" s="70">
        <f>+U2555*1</f>
        <v>1603.56</v>
      </c>
      <c r="W2555" s="70">
        <f t="shared" ref="W2555:W2556" si="408">+U2555-V2555</f>
        <v>0</v>
      </c>
      <c r="X2555" s="70">
        <v>0</v>
      </c>
      <c r="Y2555" s="14">
        <f t="shared" si="402"/>
        <v>0</v>
      </c>
      <c r="Z2555" s="11" t="s">
        <v>26</v>
      </c>
      <c r="AA2555" s="12" t="s">
        <v>31</v>
      </c>
    </row>
    <row r="2556" spans="1:27" x14ac:dyDescent="0.25">
      <c r="A2556" s="10">
        <v>45694</v>
      </c>
      <c r="B2556" s="69">
        <v>1.5127314814814885E-2</v>
      </c>
      <c r="C2556" s="11" t="s">
        <v>4929</v>
      </c>
      <c r="D2556" s="11">
        <v>17092</v>
      </c>
      <c r="E2556" s="11" t="s">
        <v>589</v>
      </c>
      <c r="F2556" s="11" t="s">
        <v>26</v>
      </c>
      <c r="G2556" s="11">
        <v>56912</v>
      </c>
      <c r="H2556" s="12" t="s">
        <v>4423</v>
      </c>
      <c r="I2556" s="12" t="s">
        <v>27</v>
      </c>
      <c r="J2556" s="12" t="s">
        <v>33</v>
      </c>
      <c r="K2556" s="12" t="s">
        <v>34</v>
      </c>
      <c r="L2556" s="13">
        <v>36.520000000000003</v>
      </c>
      <c r="M2556" s="13">
        <v>25</v>
      </c>
      <c r="N2556" s="13">
        <f t="shared" si="403"/>
        <v>1.4608000000000001</v>
      </c>
      <c r="O2556" s="13">
        <v>45</v>
      </c>
      <c r="P2556" s="13" t="s">
        <v>30</v>
      </c>
      <c r="Q2556" s="13">
        <v>0</v>
      </c>
      <c r="R2556" s="70">
        <f>+L2556*O2556</f>
        <v>1643.4</v>
      </c>
      <c r="S2556" s="70">
        <v>0</v>
      </c>
      <c r="T2556" s="70">
        <f>+L2556*S2556</f>
        <v>0</v>
      </c>
      <c r="U2556" s="70">
        <f t="shared" si="407"/>
        <v>1643.4</v>
      </c>
      <c r="V2556" s="70">
        <f>+U2556*1</f>
        <v>1643.4</v>
      </c>
      <c r="W2556" s="70">
        <f t="shared" si="408"/>
        <v>0</v>
      </c>
      <c r="X2556" s="70">
        <v>0</v>
      </c>
      <c r="Y2556" s="14">
        <f t="shared" si="402"/>
        <v>0</v>
      </c>
      <c r="Z2556" s="11" t="s">
        <v>26</v>
      </c>
      <c r="AA2556" s="12" t="s">
        <v>31</v>
      </c>
    </row>
    <row r="2557" spans="1:27" x14ac:dyDescent="0.25">
      <c r="A2557" s="10">
        <v>45694</v>
      </c>
      <c r="B2557" s="69">
        <v>1.0914351851851745E-2</v>
      </c>
      <c r="C2557" s="11" t="s">
        <v>4930</v>
      </c>
      <c r="D2557" s="11">
        <v>17093</v>
      </c>
      <c r="E2557" s="11" t="s">
        <v>4817</v>
      </c>
      <c r="F2557" s="11" t="s">
        <v>26</v>
      </c>
      <c r="G2557" s="11">
        <v>72354</v>
      </c>
      <c r="H2557" s="12" t="s">
        <v>4448</v>
      </c>
      <c r="I2557" s="12" t="s">
        <v>27</v>
      </c>
      <c r="J2557" s="12" t="s">
        <v>42</v>
      </c>
      <c r="K2557" s="12" t="s">
        <v>43</v>
      </c>
      <c r="L2557" s="13">
        <v>42.18</v>
      </c>
      <c r="M2557" s="13">
        <v>25</v>
      </c>
      <c r="N2557" s="13">
        <f t="shared" si="403"/>
        <v>1.6872</v>
      </c>
      <c r="O2557" s="13">
        <v>42.5</v>
      </c>
      <c r="P2557" s="13"/>
      <c r="Q2557" s="13">
        <v>0</v>
      </c>
      <c r="R2557" s="70">
        <f>+L2557*O2557</f>
        <v>1792.65</v>
      </c>
      <c r="S2557" s="70">
        <v>0</v>
      </c>
      <c r="T2557" s="70">
        <f>+L2557*S2557</f>
        <v>0</v>
      </c>
      <c r="U2557" s="70">
        <f>+R2557-T2557</f>
        <v>1792.65</v>
      </c>
      <c r="V2557" s="70">
        <f>+U2557*0.75</f>
        <v>1344.4875000000002</v>
      </c>
      <c r="W2557" s="70">
        <f>+U2557-V2557</f>
        <v>448.16249999999991</v>
      </c>
      <c r="X2557" s="70">
        <v>0</v>
      </c>
      <c r="Y2557" s="14">
        <f t="shared" si="402"/>
        <v>0</v>
      </c>
      <c r="Z2557" s="11" t="s">
        <v>26</v>
      </c>
      <c r="AA2557" s="12" t="s">
        <v>31</v>
      </c>
    </row>
    <row r="2558" spans="1:27" x14ac:dyDescent="0.25">
      <c r="A2558" s="10">
        <v>45694</v>
      </c>
      <c r="B2558" s="69">
        <v>5.4247685185185246E-2</v>
      </c>
      <c r="C2558" s="11" t="s">
        <v>4931</v>
      </c>
      <c r="D2558" s="11">
        <v>17094</v>
      </c>
      <c r="E2558" s="11" t="s">
        <v>80</v>
      </c>
      <c r="F2558" s="11" t="s">
        <v>26</v>
      </c>
      <c r="G2558" s="11">
        <v>10675</v>
      </c>
      <c r="H2558" s="12" t="s">
        <v>140</v>
      </c>
      <c r="I2558" s="12" t="s">
        <v>27</v>
      </c>
      <c r="J2558" s="12" t="s">
        <v>47</v>
      </c>
      <c r="K2558" s="12" t="s">
        <v>48</v>
      </c>
      <c r="L2558" s="13">
        <v>41.84</v>
      </c>
      <c r="M2558" s="13">
        <v>28</v>
      </c>
      <c r="N2558" s="13">
        <f t="shared" si="403"/>
        <v>1.4942857142857144</v>
      </c>
      <c r="O2558" s="13">
        <v>40</v>
      </c>
      <c r="P2558" s="13"/>
      <c r="Q2558" s="13">
        <v>0</v>
      </c>
      <c r="R2558" s="70">
        <f>+L2558*O2558</f>
        <v>1673.6000000000001</v>
      </c>
      <c r="S2558" s="70">
        <v>0</v>
      </c>
      <c r="T2558" s="70">
        <f>+L2558*S2558</f>
        <v>0</v>
      </c>
      <c r="U2558" s="70">
        <f>+R2558-T2558</f>
        <v>1673.6000000000001</v>
      </c>
      <c r="V2558" s="70">
        <f t="shared" ref="V2558" si="409">+U2558*0</f>
        <v>0</v>
      </c>
      <c r="W2558" s="70">
        <f>+U2558-V2558</f>
        <v>1673.6000000000001</v>
      </c>
      <c r="X2558" s="70">
        <v>0</v>
      </c>
      <c r="Y2558" s="14">
        <f t="shared" si="402"/>
        <v>0</v>
      </c>
      <c r="Z2558" s="11" t="s">
        <v>26</v>
      </c>
      <c r="AA2558" s="12" t="s">
        <v>31</v>
      </c>
    </row>
    <row r="2559" spans="1:27" x14ac:dyDescent="0.25">
      <c r="A2559" s="10">
        <v>45694</v>
      </c>
      <c r="B2559" s="69">
        <v>3.4351851851851967E-2</v>
      </c>
      <c r="C2559" s="11" t="s">
        <v>4932</v>
      </c>
      <c r="D2559" s="11">
        <v>17095</v>
      </c>
      <c r="E2559" s="11" t="s">
        <v>605</v>
      </c>
      <c r="F2559" s="11" t="s">
        <v>26</v>
      </c>
      <c r="G2559" s="11">
        <v>1063</v>
      </c>
      <c r="H2559" s="12" t="s">
        <v>141</v>
      </c>
      <c r="I2559" s="12" t="s">
        <v>55</v>
      </c>
      <c r="J2559" s="12" t="s">
        <v>55</v>
      </c>
      <c r="K2559" s="12" t="s">
        <v>56</v>
      </c>
      <c r="L2559" s="13">
        <v>37.979999999999997</v>
      </c>
      <c r="M2559" s="13">
        <v>25</v>
      </c>
      <c r="N2559" s="13">
        <f t="shared" si="403"/>
        <v>1.5191999999999999</v>
      </c>
      <c r="O2559" s="13">
        <v>15</v>
      </c>
      <c r="P2559" s="13" t="s">
        <v>30</v>
      </c>
      <c r="Q2559" s="13">
        <v>0</v>
      </c>
      <c r="R2559" s="70">
        <f>L2559*O2559</f>
        <v>569.69999999999993</v>
      </c>
      <c r="S2559" s="70">
        <v>0</v>
      </c>
      <c r="T2559" s="70">
        <f>L2559*S2559</f>
        <v>0</v>
      </c>
      <c r="U2559" s="70">
        <f>R2559-T2559</f>
        <v>569.69999999999993</v>
      </c>
      <c r="V2559" s="70">
        <f>U2559*0</f>
        <v>0</v>
      </c>
      <c r="W2559" s="70">
        <f>U2559-V2559</f>
        <v>569.69999999999993</v>
      </c>
      <c r="X2559" s="70">
        <v>0</v>
      </c>
      <c r="Y2559" s="14">
        <f t="shared" si="402"/>
        <v>0</v>
      </c>
      <c r="Z2559" s="11" t="s">
        <v>26</v>
      </c>
      <c r="AA2559" s="12" t="s">
        <v>31</v>
      </c>
    </row>
    <row r="2560" spans="1:27" x14ac:dyDescent="0.25">
      <c r="A2560" s="10">
        <v>45694</v>
      </c>
      <c r="B2560" s="69">
        <v>6.2372685185185239E-2</v>
      </c>
      <c r="C2560" s="11" t="s">
        <v>4933</v>
      </c>
      <c r="D2560" s="11">
        <v>17096</v>
      </c>
      <c r="E2560" s="11" t="s">
        <v>1200</v>
      </c>
      <c r="F2560" s="11" t="s">
        <v>26</v>
      </c>
      <c r="G2560" s="11">
        <v>2955</v>
      </c>
      <c r="H2560" s="12" t="s">
        <v>163</v>
      </c>
      <c r="I2560" s="12" t="s">
        <v>27</v>
      </c>
      <c r="J2560" s="12" t="s">
        <v>33</v>
      </c>
      <c r="K2560" s="12" t="s">
        <v>34</v>
      </c>
      <c r="L2560" s="13">
        <v>38.92</v>
      </c>
      <c r="M2560" s="13">
        <v>25</v>
      </c>
      <c r="N2560" s="13">
        <f t="shared" si="403"/>
        <v>1.5568</v>
      </c>
      <c r="O2560" s="13" t="s">
        <v>30</v>
      </c>
      <c r="P2560" s="13">
        <v>60</v>
      </c>
      <c r="Q2560" s="13">
        <v>0</v>
      </c>
      <c r="R2560" s="70">
        <f>M2560*P2560</f>
        <v>1500</v>
      </c>
      <c r="S2560" s="70">
        <v>0</v>
      </c>
      <c r="T2560" s="70">
        <f>M2560*S2560</f>
        <v>0</v>
      </c>
      <c r="U2560" s="70">
        <f>R2560-T2560</f>
        <v>1500</v>
      </c>
      <c r="V2560" s="70">
        <f>U2560*0</f>
        <v>0</v>
      </c>
      <c r="W2560" s="70">
        <f>U2560-V2560</f>
        <v>1500</v>
      </c>
      <c r="X2560" s="70">
        <v>0</v>
      </c>
      <c r="Y2560" s="14">
        <f t="shared" si="402"/>
        <v>0</v>
      </c>
      <c r="Z2560" s="11" t="s">
        <v>26</v>
      </c>
      <c r="AA2560" s="12" t="s">
        <v>31</v>
      </c>
    </row>
    <row r="2561" spans="1:27" x14ac:dyDescent="0.25">
      <c r="A2561" s="10">
        <v>45694</v>
      </c>
      <c r="B2561" s="69">
        <v>9.2592592592593004E-3</v>
      </c>
      <c r="C2561" s="11" t="s">
        <v>4934</v>
      </c>
      <c r="D2561" s="11">
        <v>17097</v>
      </c>
      <c r="E2561" s="11" t="s">
        <v>559</v>
      </c>
      <c r="F2561" s="11" t="s">
        <v>26</v>
      </c>
      <c r="G2561" s="11">
        <v>2590</v>
      </c>
      <c r="H2561" s="12" t="s">
        <v>41</v>
      </c>
      <c r="I2561" s="12" t="s">
        <v>55</v>
      </c>
      <c r="J2561" s="12" t="s">
        <v>55</v>
      </c>
      <c r="K2561" s="12" t="s">
        <v>56</v>
      </c>
      <c r="L2561" s="13">
        <v>33.08</v>
      </c>
      <c r="M2561" s="13">
        <v>20</v>
      </c>
      <c r="N2561" s="13">
        <f t="shared" si="403"/>
        <v>1.6539999999999999</v>
      </c>
      <c r="O2561" s="13" t="s">
        <v>30</v>
      </c>
      <c r="P2561" s="13">
        <v>24</v>
      </c>
      <c r="Q2561" s="13">
        <v>0</v>
      </c>
      <c r="R2561" s="70">
        <f>+M2561*P2561</f>
        <v>480</v>
      </c>
      <c r="S2561" s="70">
        <v>0</v>
      </c>
      <c r="T2561" s="70">
        <f>+M2561*S2561</f>
        <v>0</v>
      </c>
      <c r="U2561" s="70">
        <f t="shared" ref="U2561" si="410">+R2561-T2561</f>
        <v>480</v>
      </c>
      <c r="V2561" s="70">
        <f>+U2561*0</f>
        <v>0</v>
      </c>
      <c r="W2561" s="70">
        <f t="shared" ref="W2561" si="411">+U2561-V2561</f>
        <v>480</v>
      </c>
      <c r="X2561" s="70">
        <v>0</v>
      </c>
      <c r="Y2561" s="14">
        <f t="shared" si="402"/>
        <v>0</v>
      </c>
      <c r="Z2561" s="11" t="s">
        <v>26</v>
      </c>
      <c r="AA2561" s="12" t="s">
        <v>31</v>
      </c>
    </row>
    <row r="2562" spans="1:27" x14ac:dyDescent="0.25">
      <c r="A2562" s="10">
        <v>45694</v>
      </c>
      <c r="B2562" s="69">
        <v>0.16099537037037043</v>
      </c>
      <c r="C2562" s="11" t="s">
        <v>4935</v>
      </c>
      <c r="D2562" s="11">
        <v>17098</v>
      </c>
      <c r="E2562" s="11" t="s">
        <v>98</v>
      </c>
      <c r="F2562" s="11" t="s">
        <v>26</v>
      </c>
      <c r="G2562" s="11">
        <v>10717</v>
      </c>
      <c r="H2562" s="12" t="s">
        <v>140</v>
      </c>
      <c r="I2562" s="12" t="s">
        <v>27</v>
      </c>
      <c r="J2562" s="12" t="s">
        <v>42</v>
      </c>
      <c r="K2562" s="12" t="s">
        <v>43</v>
      </c>
      <c r="L2562" s="13">
        <v>43.3</v>
      </c>
      <c r="M2562" s="13">
        <v>25</v>
      </c>
      <c r="N2562" s="13">
        <f t="shared" si="403"/>
        <v>1.732</v>
      </c>
      <c r="O2562" s="13">
        <v>35</v>
      </c>
      <c r="P2562" s="13"/>
      <c r="Q2562" s="13">
        <v>0</v>
      </c>
      <c r="R2562" s="70">
        <f>+L2562*O2562</f>
        <v>1515.5</v>
      </c>
      <c r="S2562" s="70">
        <v>0</v>
      </c>
      <c r="T2562" s="70">
        <f>+L2562*S2562</f>
        <v>0</v>
      </c>
      <c r="U2562" s="70">
        <f>+R2562-T2562</f>
        <v>1515.5</v>
      </c>
      <c r="V2562" s="70">
        <f t="shared" ref="V2562" si="412">+U2562*0</f>
        <v>0</v>
      </c>
      <c r="W2562" s="70">
        <f>+U2562-V2562</f>
        <v>1515.5</v>
      </c>
      <c r="X2562" s="70">
        <v>0</v>
      </c>
      <c r="Y2562" s="14">
        <f t="shared" si="402"/>
        <v>0</v>
      </c>
      <c r="Z2562" s="11" t="s">
        <v>26</v>
      </c>
      <c r="AA2562" s="12" t="s">
        <v>31</v>
      </c>
    </row>
    <row r="2563" spans="1:27" x14ac:dyDescent="0.25">
      <c r="A2563" s="10">
        <v>45694</v>
      </c>
      <c r="B2563" s="69">
        <v>8.5648148148147474E-3</v>
      </c>
      <c r="C2563" s="11" t="s">
        <v>4936</v>
      </c>
      <c r="D2563" s="11">
        <v>17099</v>
      </c>
      <c r="E2563" s="11" t="s">
        <v>246</v>
      </c>
      <c r="F2563" s="11" t="s">
        <v>26</v>
      </c>
      <c r="G2563" s="11">
        <v>3403</v>
      </c>
      <c r="H2563" s="12" t="s">
        <v>41</v>
      </c>
      <c r="I2563" s="12" t="s">
        <v>55</v>
      </c>
      <c r="J2563" s="12" t="s">
        <v>55</v>
      </c>
      <c r="K2563" s="12" t="s">
        <v>56</v>
      </c>
      <c r="L2563" s="13">
        <v>37.94</v>
      </c>
      <c r="M2563" s="13">
        <v>23</v>
      </c>
      <c r="N2563" s="13">
        <f t="shared" si="403"/>
        <v>1.6495652173913042</v>
      </c>
      <c r="O2563" s="13" t="s">
        <v>30</v>
      </c>
      <c r="P2563" s="13">
        <v>24</v>
      </c>
      <c r="Q2563" s="13">
        <v>0</v>
      </c>
      <c r="R2563" s="70">
        <f>+M2563*P2563</f>
        <v>552</v>
      </c>
      <c r="S2563" s="70">
        <v>0</v>
      </c>
      <c r="T2563" s="70">
        <f>+M2563*S2563</f>
        <v>0</v>
      </c>
      <c r="U2563" s="70">
        <f t="shared" ref="U2563:U2564" si="413">+R2563-T2563</f>
        <v>552</v>
      </c>
      <c r="V2563" s="70">
        <f>+U2563*0</f>
        <v>0</v>
      </c>
      <c r="W2563" s="70">
        <f t="shared" ref="W2563:W2564" si="414">+U2563-V2563</f>
        <v>552</v>
      </c>
      <c r="X2563" s="70">
        <v>0</v>
      </c>
      <c r="Y2563" s="14">
        <f t="shared" si="402"/>
        <v>0</v>
      </c>
      <c r="Z2563" s="11" t="s">
        <v>26</v>
      </c>
      <c r="AA2563" s="12" t="s">
        <v>31</v>
      </c>
    </row>
    <row r="2564" spans="1:27" x14ac:dyDescent="0.25">
      <c r="A2564" s="10">
        <v>45694</v>
      </c>
      <c r="B2564" s="69">
        <v>2.762731481481473E-2</v>
      </c>
      <c r="C2564" s="11" t="s">
        <v>4937</v>
      </c>
      <c r="D2564" s="11">
        <v>17100</v>
      </c>
      <c r="E2564" s="11" t="s">
        <v>539</v>
      </c>
      <c r="F2564" s="11" t="s">
        <v>26</v>
      </c>
      <c r="G2564" s="11">
        <v>3353</v>
      </c>
      <c r="H2564" s="12" t="s">
        <v>41</v>
      </c>
      <c r="I2564" s="12" t="s">
        <v>55</v>
      </c>
      <c r="J2564" s="12" t="s">
        <v>55</v>
      </c>
      <c r="K2564" s="12" t="s">
        <v>56</v>
      </c>
      <c r="L2564" s="13">
        <v>37.82</v>
      </c>
      <c r="M2564" s="13">
        <v>23</v>
      </c>
      <c r="N2564" s="13">
        <f t="shared" si="403"/>
        <v>1.6443478260869566</v>
      </c>
      <c r="O2564" s="13" t="s">
        <v>30</v>
      </c>
      <c r="P2564" s="13">
        <v>24</v>
      </c>
      <c r="Q2564" s="13">
        <v>0</v>
      </c>
      <c r="R2564" s="70">
        <f>+M2564*P2564</f>
        <v>552</v>
      </c>
      <c r="S2564" s="70">
        <v>0</v>
      </c>
      <c r="T2564" s="70">
        <f>+M2564*S2564</f>
        <v>0</v>
      </c>
      <c r="U2564" s="70">
        <f t="shared" si="413"/>
        <v>552</v>
      </c>
      <c r="V2564" s="70">
        <f>+U2564*0</f>
        <v>0</v>
      </c>
      <c r="W2564" s="70">
        <f t="shared" si="414"/>
        <v>552</v>
      </c>
      <c r="X2564" s="70">
        <v>0</v>
      </c>
      <c r="Y2564" s="14">
        <f t="shared" si="402"/>
        <v>0</v>
      </c>
      <c r="Z2564" s="11" t="s">
        <v>26</v>
      </c>
      <c r="AA2564" s="12" t="s">
        <v>31</v>
      </c>
    </row>
    <row r="2565" spans="1:27" x14ac:dyDescent="0.25">
      <c r="A2565" s="10">
        <v>45694</v>
      </c>
      <c r="B2565" s="69">
        <v>9.8148148148147207E-3</v>
      </c>
      <c r="C2565" s="11" t="s">
        <v>4938</v>
      </c>
      <c r="D2565" s="11">
        <v>17101</v>
      </c>
      <c r="E2565" s="11" t="s">
        <v>236</v>
      </c>
      <c r="F2565" s="11" t="s">
        <v>26</v>
      </c>
      <c r="G2565" s="11">
        <v>1548</v>
      </c>
      <c r="H2565" s="12" t="s">
        <v>45</v>
      </c>
      <c r="I2565" s="12" t="s">
        <v>27</v>
      </c>
      <c r="J2565" s="12" t="s">
        <v>47</v>
      </c>
      <c r="K2565" s="12" t="s">
        <v>48</v>
      </c>
      <c r="L2565" s="13">
        <v>37.94</v>
      </c>
      <c r="M2565" s="13">
        <v>25</v>
      </c>
      <c r="N2565" s="13">
        <f t="shared" si="403"/>
        <v>1.5175999999999998</v>
      </c>
      <c r="O2565" s="13" t="s">
        <v>30</v>
      </c>
      <c r="P2565" s="13">
        <v>58</v>
      </c>
      <c r="Q2565" s="13">
        <v>0</v>
      </c>
      <c r="R2565" s="70">
        <f>M2565*P2565</f>
        <v>1450</v>
      </c>
      <c r="S2565" s="70">
        <v>0</v>
      </c>
      <c r="T2565" s="70">
        <f>M2565*S2565</f>
        <v>0</v>
      </c>
      <c r="U2565" s="70">
        <f>R2565-T2565</f>
        <v>1450</v>
      </c>
      <c r="V2565" s="70">
        <f>U2565*0</f>
        <v>0</v>
      </c>
      <c r="W2565" s="70">
        <f>U2565-V2565</f>
        <v>1450</v>
      </c>
      <c r="X2565" s="70">
        <v>0</v>
      </c>
      <c r="Y2565" s="14">
        <f t="shared" si="402"/>
        <v>0</v>
      </c>
      <c r="Z2565" s="11" t="s">
        <v>26</v>
      </c>
      <c r="AA2565" s="12" t="s">
        <v>31</v>
      </c>
    </row>
    <row r="2566" spans="1:27" x14ac:dyDescent="0.25">
      <c r="A2566" s="10">
        <v>45694</v>
      </c>
      <c r="B2566" s="69">
        <v>8.0439814814815547E-3</v>
      </c>
      <c r="C2566" s="11" t="s">
        <v>4939</v>
      </c>
      <c r="D2566" s="11">
        <v>17102</v>
      </c>
      <c r="E2566" s="11" t="s">
        <v>658</v>
      </c>
      <c r="F2566" s="11" t="s">
        <v>26</v>
      </c>
      <c r="G2566" s="11">
        <v>865</v>
      </c>
      <c r="H2566" s="12" t="s">
        <v>141</v>
      </c>
      <c r="I2566" s="12" t="s">
        <v>55</v>
      </c>
      <c r="J2566" s="12" t="s">
        <v>55</v>
      </c>
      <c r="K2566" s="12" t="s">
        <v>56</v>
      </c>
      <c r="L2566" s="13">
        <v>38.76</v>
      </c>
      <c r="M2566" s="13">
        <v>24</v>
      </c>
      <c r="N2566" s="13">
        <f t="shared" si="403"/>
        <v>1.615</v>
      </c>
      <c r="O2566" s="13">
        <v>15</v>
      </c>
      <c r="P2566" s="13" t="s">
        <v>30</v>
      </c>
      <c r="Q2566" s="13">
        <v>0</v>
      </c>
      <c r="R2566" s="70">
        <f>L2566*O2566</f>
        <v>581.4</v>
      </c>
      <c r="S2566" s="70">
        <v>0</v>
      </c>
      <c r="T2566" s="70">
        <f>L2566*S2566</f>
        <v>0</v>
      </c>
      <c r="U2566" s="70">
        <f>R2566-T2566</f>
        <v>581.4</v>
      </c>
      <c r="V2566" s="70">
        <f>U2566*0</f>
        <v>0</v>
      </c>
      <c r="W2566" s="70">
        <f>U2566-V2566</f>
        <v>581.4</v>
      </c>
      <c r="X2566" s="70">
        <v>0</v>
      </c>
      <c r="Y2566" s="14">
        <f t="shared" si="402"/>
        <v>0</v>
      </c>
      <c r="Z2566" s="11" t="s">
        <v>26</v>
      </c>
      <c r="AA2566" s="12" t="s">
        <v>31</v>
      </c>
    </row>
    <row r="2567" spans="1:27" x14ac:dyDescent="0.25">
      <c r="A2567" s="10">
        <v>45694</v>
      </c>
      <c r="B2567" s="69">
        <v>1.3194444444444398E-2</v>
      </c>
      <c r="C2567" s="11" t="s">
        <v>4940</v>
      </c>
      <c r="D2567" s="11">
        <v>17103</v>
      </c>
      <c r="E2567" s="11" t="s">
        <v>505</v>
      </c>
      <c r="F2567" s="11" t="s">
        <v>26</v>
      </c>
      <c r="G2567" s="11">
        <v>1260</v>
      </c>
      <c r="H2567" s="12" t="s">
        <v>141</v>
      </c>
      <c r="I2567" s="12" t="s">
        <v>55</v>
      </c>
      <c r="J2567" s="12" t="s">
        <v>55</v>
      </c>
      <c r="K2567" s="12" t="s">
        <v>56</v>
      </c>
      <c r="L2567" s="13">
        <v>39.42</v>
      </c>
      <c r="M2567" s="13">
        <v>25</v>
      </c>
      <c r="N2567" s="13">
        <f t="shared" si="403"/>
        <v>1.5768</v>
      </c>
      <c r="O2567" s="13">
        <v>15</v>
      </c>
      <c r="P2567" s="13" t="s">
        <v>30</v>
      </c>
      <c r="Q2567" s="13">
        <v>0</v>
      </c>
      <c r="R2567" s="70">
        <f>L2567*O2567</f>
        <v>591.30000000000007</v>
      </c>
      <c r="S2567" s="70">
        <v>0</v>
      </c>
      <c r="T2567" s="70">
        <f>L2567*S2567</f>
        <v>0</v>
      </c>
      <c r="U2567" s="70">
        <f>R2567-T2567</f>
        <v>591.30000000000007</v>
      </c>
      <c r="V2567" s="70">
        <f>U2567*0</f>
        <v>0</v>
      </c>
      <c r="W2567" s="70">
        <f>U2567-V2567</f>
        <v>591.30000000000007</v>
      </c>
      <c r="X2567" s="70">
        <v>0</v>
      </c>
      <c r="Y2567" s="14">
        <f t="shared" si="402"/>
        <v>0</v>
      </c>
      <c r="Z2567" s="11" t="s">
        <v>26</v>
      </c>
      <c r="AA2567" s="12" t="s">
        <v>31</v>
      </c>
    </row>
    <row r="2568" spans="1:27" x14ac:dyDescent="0.25">
      <c r="A2568" s="10">
        <v>45694</v>
      </c>
      <c r="B2568" s="69">
        <v>2.0416666666666639E-2</v>
      </c>
      <c r="C2568" s="11" t="s">
        <v>4941</v>
      </c>
      <c r="D2568" s="11">
        <v>17104</v>
      </c>
      <c r="E2568" s="11" t="s">
        <v>593</v>
      </c>
      <c r="F2568" s="11" t="s">
        <v>26</v>
      </c>
      <c r="G2568" s="11">
        <v>44323</v>
      </c>
      <c r="H2568" s="12" t="s">
        <v>4423</v>
      </c>
      <c r="I2568" s="12" t="s">
        <v>27</v>
      </c>
      <c r="J2568" s="12" t="s">
        <v>33</v>
      </c>
      <c r="K2568" s="12" t="s">
        <v>34</v>
      </c>
      <c r="L2568" s="13">
        <v>35.04</v>
      </c>
      <c r="M2568" s="13">
        <v>25</v>
      </c>
      <c r="N2568" s="13">
        <f t="shared" si="403"/>
        <v>1.4016</v>
      </c>
      <c r="O2568" s="13">
        <v>45</v>
      </c>
      <c r="P2568" s="13" t="s">
        <v>30</v>
      </c>
      <c r="Q2568" s="13">
        <v>0</v>
      </c>
      <c r="R2568" s="70">
        <f>+L2568*O2568</f>
        <v>1576.8</v>
      </c>
      <c r="S2568" s="70">
        <v>0</v>
      </c>
      <c r="T2568" s="70">
        <f>+L2568*S2568</f>
        <v>0</v>
      </c>
      <c r="U2568" s="70">
        <f t="shared" ref="U2568" si="415">+R2568-T2568</f>
        <v>1576.8</v>
      </c>
      <c r="V2568" s="70">
        <f>+U2568*1</f>
        <v>1576.8</v>
      </c>
      <c r="W2568" s="70">
        <f t="shared" ref="W2568" si="416">+U2568-V2568</f>
        <v>0</v>
      </c>
      <c r="X2568" s="70">
        <v>0</v>
      </c>
      <c r="Y2568" s="14">
        <f t="shared" si="402"/>
        <v>0</v>
      </c>
      <c r="Z2568" s="11" t="s">
        <v>26</v>
      </c>
      <c r="AA2568" s="12" t="s">
        <v>31</v>
      </c>
    </row>
    <row r="2569" spans="1:27" x14ac:dyDescent="0.25">
      <c r="A2569" s="10">
        <v>45694</v>
      </c>
      <c r="B2569" s="69">
        <v>0.14862268518518523</v>
      </c>
      <c r="C2569" s="11" t="s">
        <v>4942</v>
      </c>
      <c r="D2569" s="11">
        <v>17105</v>
      </c>
      <c r="E2569" s="11" t="s">
        <v>39</v>
      </c>
      <c r="F2569" s="11" t="s">
        <v>26</v>
      </c>
      <c r="G2569" s="11">
        <v>1152</v>
      </c>
      <c r="H2569" s="12" t="s">
        <v>141</v>
      </c>
      <c r="I2569" s="12" t="s">
        <v>55</v>
      </c>
      <c r="J2569" s="12" t="s">
        <v>55</v>
      </c>
      <c r="K2569" s="12" t="s">
        <v>56</v>
      </c>
      <c r="L2569" s="13">
        <v>36.22</v>
      </c>
      <c r="M2569" s="13">
        <v>22</v>
      </c>
      <c r="N2569" s="13">
        <f t="shared" si="403"/>
        <v>1.6463636363636363</v>
      </c>
      <c r="O2569" s="13">
        <v>15</v>
      </c>
      <c r="P2569" s="13" t="s">
        <v>30</v>
      </c>
      <c r="Q2569" s="13">
        <v>0</v>
      </c>
      <c r="R2569" s="70">
        <f>L2569*O2569</f>
        <v>543.29999999999995</v>
      </c>
      <c r="S2569" s="70">
        <v>0</v>
      </c>
      <c r="T2569" s="70">
        <f>L2569*S2569</f>
        <v>0</v>
      </c>
      <c r="U2569" s="70">
        <f>R2569-T2569</f>
        <v>543.29999999999995</v>
      </c>
      <c r="V2569" s="70">
        <f>U2569*0</f>
        <v>0</v>
      </c>
      <c r="W2569" s="70">
        <f>U2569-V2569</f>
        <v>543.29999999999995</v>
      </c>
      <c r="X2569" s="70">
        <v>0</v>
      </c>
      <c r="Y2569" s="14">
        <f t="shared" si="402"/>
        <v>0</v>
      </c>
      <c r="Z2569" s="11" t="s">
        <v>26</v>
      </c>
      <c r="AA2569" s="12" t="s">
        <v>31</v>
      </c>
    </row>
    <row r="2570" spans="1:27" x14ac:dyDescent="0.25">
      <c r="A2570" s="10">
        <v>45694</v>
      </c>
      <c r="B2570" s="69">
        <v>2.2303240740740637E-2</v>
      </c>
      <c r="C2570" s="11" t="s">
        <v>4943</v>
      </c>
      <c r="D2570" s="11">
        <v>17106</v>
      </c>
      <c r="E2570" s="11" t="s">
        <v>520</v>
      </c>
      <c r="F2570" s="11" t="s">
        <v>26</v>
      </c>
      <c r="G2570" s="11">
        <v>4395</v>
      </c>
      <c r="H2570" s="12" t="s">
        <v>140</v>
      </c>
      <c r="I2570" s="12" t="s">
        <v>27</v>
      </c>
      <c r="J2570" s="12" t="s">
        <v>42</v>
      </c>
      <c r="K2570" s="12" t="s">
        <v>43</v>
      </c>
      <c r="L2570" s="13">
        <v>43.84</v>
      </c>
      <c r="M2570" s="13">
        <v>25</v>
      </c>
      <c r="N2570" s="13">
        <f t="shared" si="403"/>
        <v>1.7536</v>
      </c>
      <c r="O2570" s="13">
        <v>35</v>
      </c>
      <c r="P2570" s="13"/>
      <c r="Q2570" s="13">
        <v>0</v>
      </c>
      <c r="R2570" s="70">
        <f>+L2570*O2570</f>
        <v>1534.4</v>
      </c>
      <c r="S2570" s="70">
        <v>0</v>
      </c>
      <c r="T2570" s="70">
        <f>+L2570*S2570</f>
        <v>0</v>
      </c>
      <c r="U2570" s="70">
        <f>+R2570-T2570</f>
        <v>1534.4</v>
      </c>
      <c r="V2570" s="70">
        <f t="shared" ref="V2570" si="417">+U2570*0</f>
        <v>0</v>
      </c>
      <c r="W2570" s="70">
        <f>+U2570-V2570</f>
        <v>1534.4</v>
      </c>
      <c r="X2570" s="70">
        <v>0</v>
      </c>
      <c r="Y2570" s="14">
        <f t="shared" si="402"/>
        <v>0</v>
      </c>
      <c r="Z2570" s="11" t="s">
        <v>26</v>
      </c>
      <c r="AA2570" s="12" t="s">
        <v>31</v>
      </c>
    </row>
    <row r="2571" spans="1:27" x14ac:dyDescent="0.25">
      <c r="A2571" s="10">
        <v>45694</v>
      </c>
      <c r="B2571" s="69">
        <v>1.8090277777777719E-2</v>
      </c>
      <c r="C2571" s="11" t="s">
        <v>4944</v>
      </c>
      <c r="D2571" s="11">
        <v>17107</v>
      </c>
      <c r="E2571" s="11" t="s">
        <v>81</v>
      </c>
      <c r="F2571" s="11" t="s">
        <v>26</v>
      </c>
      <c r="G2571" s="11">
        <v>1209</v>
      </c>
      <c r="H2571" s="12" t="s">
        <v>141</v>
      </c>
      <c r="I2571" s="12" t="s">
        <v>55</v>
      </c>
      <c r="J2571" s="12" t="s">
        <v>55</v>
      </c>
      <c r="K2571" s="12" t="s">
        <v>56</v>
      </c>
      <c r="L2571" s="13">
        <v>37.14</v>
      </c>
      <c r="M2571" s="13">
        <v>23</v>
      </c>
      <c r="N2571" s="13">
        <f t="shared" si="403"/>
        <v>1.6147826086956523</v>
      </c>
      <c r="O2571" s="13">
        <v>15</v>
      </c>
      <c r="P2571" s="13" t="s">
        <v>30</v>
      </c>
      <c r="Q2571" s="13">
        <v>0</v>
      </c>
      <c r="R2571" s="70">
        <f>L2571*O2571</f>
        <v>557.1</v>
      </c>
      <c r="S2571" s="70">
        <v>0</v>
      </c>
      <c r="T2571" s="70">
        <f>L2571*S2571</f>
        <v>0</v>
      </c>
      <c r="U2571" s="70">
        <f>R2571-T2571</f>
        <v>557.1</v>
      </c>
      <c r="V2571" s="70">
        <f>U2571*0</f>
        <v>0</v>
      </c>
      <c r="W2571" s="70">
        <f>U2571-V2571</f>
        <v>557.1</v>
      </c>
      <c r="X2571" s="70">
        <v>0</v>
      </c>
      <c r="Y2571" s="14">
        <f t="shared" si="402"/>
        <v>0</v>
      </c>
      <c r="Z2571" s="11" t="s">
        <v>26</v>
      </c>
      <c r="AA2571" s="12" t="s">
        <v>31</v>
      </c>
    </row>
    <row r="2572" spans="1:27" x14ac:dyDescent="0.25">
      <c r="A2572" s="10">
        <v>45694</v>
      </c>
      <c r="B2572" s="69">
        <v>5.859953703703713E-2</v>
      </c>
      <c r="C2572" s="11" t="s">
        <v>4945</v>
      </c>
      <c r="D2572" s="11">
        <v>17108</v>
      </c>
      <c r="E2572" s="11" t="s">
        <v>53</v>
      </c>
      <c r="F2572" s="11" t="s">
        <v>26</v>
      </c>
      <c r="G2572" s="11">
        <v>3797</v>
      </c>
      <c r="H2572" s="12" t="s">
        <v>41</v>
      </c>
      <c r="I2572" s="12" t="s">
        <v>55</v>
      </c>
      <c r="J2572" s="12" t="s">
        <v>55</v>
      </c>
      <c r="K2572" s="12" t="s">
        <v>56</v>
      </c>
      <c r="L2572" s="13">
        <v>39.159999999999997</v>
      </c>
      <c r="M2572" s="13">
        <v>24</v>
      </c>
      <c r="N2572" s="13">
        <f t="shared" si="403"/>
        <v>1.6316666666666666</v>
      </c>
      <c r="O2572" s="13" t="s">
        <v>30</v>
      </c>
      <c r="P2572" s="13">
        <v>24</v>
      </c>
      <c r="Q2572" s="13">
        <v>0</v>
      </c>
      <c r="R2572" s="70">
        <f>+M2572*P2572</f>
        <v>576</v>
      </c>
      <c r="S2572" s="70">
        <v>0</v>
      </c>
      <c r="T2572" s="70">
        <f>+M2572*S2572</f>
        <v>0</v>
      </c>
      <c r="U2572" s="70">
        <f t="shared" ref="U2572" si="418">+R2572-T2572</f>
        <v>576</v>
      </c>
      <c r="V2572" s="70">
        <f>+U2572*0</f>
        <v>0</v>
      </c>
      <c r="W2572" s="70">
        <f t="shared" ref="W2572" si="419">+U2572-V2572</f>
        <v>576</v>
      </c>
      <c r="X2572" s="70">
        <v>0</v>
      </c>
      <c r="Y2572" s="14">
        <f t="shared" si="402"/>
        <v>0</v>
      </c>
      <c r="Z2572" s="11" t="s">
        <v>26</v>
      </c>
      <c r="AA2572" s="12" t="s">
        <v>31</v>
      </c>
    </row>
    <row r="2573" spans="1:27" x14ac:dyDescent="0.25">
      <c r="A2573" s="10">
        <v>45694</v>
      </c>
      <c r="B2573" s="69">
        <v>1.0115740740740731E-2</v>
      </c>
      <c r="C2573" s="11" t="s">
        <v>4946</v>
      </c>
      <c r="D2573" s="11">
        <v>17109</v>
      </c>
      <c r="E2573" s="11" t="s">
        <v>57</v>
      </c>
      <c r="F2573" s="11" t="s">
        <v>26</v>
      </c>
      <c r="G2573" s="11">
        <v>3693</v>
      </c>
      <c r="H2573" s="12" t="s">
        <v>41</v>
      </c>
      <c r="I2573" s="12" t="s">
        <v>27</v>
      </c>
      <c r="J2573" s="12" t="s">
        <v>42</v>
      </c>
      <c r="K2573" s="12" t="s">
        <v>43</v>
      </c>
      <c r="L2573" s="13">
        <v>41.78</v>
      </c>
      <c r="M2573" s="13">
        <v>25</v>
      </c>
      <c r="N2573" s="13">
        <f t="shared" si="403"/>
        <v>1.6712</v>
      </c>
      <c r="O2573" s="13" t="s">
        <v>30</v>
      </c>
      <c r="P2573" s="13">
        <v>64</v>
      </c>
      <c r="Q2573" s="13">
        <v>0</v>
      </c>
      <c r="R2573" s="70">
        <f>M2573*P2573</f>
        <v>1600</v>
      </c>
      <c r="S2573" s="70">
        <v>0</v>
      </c>
      <c r="T2573" s="70">
        <f>M2573*S2573</f>
        <v>0</v>
      </c>
      <c r="U2573" s="70">
        <f>+R2573-T2573</f>
        <v>1600</v>
      </c>
      <c r="V2573" s="70">
        <f t="shared" ref="V2573" si="420">+U2573*0</f>
        <v>0</v>
      </c>
      <c r="W2573" s="70">
        <f>+U2573-V2573</f>
        <v>1600</v>
      </c>
      <c r="X2573" s="70">
        <v>0</v>
      </c>
      <c r="Y2573" s="14">
        <f t="shared" si="402"/>
        <v>0</v>
      </c>
      <c r="Z2573" s="11" t="s">
        <v>26</v>
      </c>
      <c r="AA2573" s="12" t="s">
        <v>31</v>
      </c>
    </row>
    <row r="2574" spans="1:27" x14ac:dyDescent="0.25">
      <c r="A2574" s="10">
        <v>45694</v>
      </c>
      <c r="B2574" s="69">
        <v>1.2604166666666639E-2</v>
      </c>
      <c r="C2574" s="11" t="s">
        <v>4947</v>
      </c>
      <c r="D2574" s="11">
        <v>17110</v>
      </c>
      <c r="E2574" s="11" t="s">
        <v>177</v>
      </c>
      <c r="F2574" s="11" t="s">
        <v>26</v>
      </c>
      <c r="G2574" s="11">
        <v>1153</v>
      </c>
      <c r="H2574" s="12" t="s">
        <v>141</v>
      </c>
      <c r="I2574" s="12" t="s">
        <v>55</v>
      </c>
      <c r="J2574" s="12" t="s">
        <v>55</v>
      </c>
      <c r="K2574" s="12" t="s">
        <v>56</v>
      </c>
      <c r="L2574" s="13">
        <v>38.380000000000003</v>
      </c>
      <c r="M2574" s="13">
        <v>24</v>
      </c>
      <c r="N2574" s="13">
        <f t="shared" si="403"/>
        <v>1.5991666666666668</v>
      </c>
      <c r="O2574" s="13">
        <v>15</v>
      </c>
      <c r="P2574" s="13" t="s">
        <v>30</v>
      </c>
      <c r="Q2574" s="13">
        <v>0</v>
      </c>
      <c r="R2574" s="70">
        <f>L2574*O2574</f>
        <v>575.70000000000005</v>
      </c>
      <c r="S2574" s="70">
        <v>0</v>
      </c>
      <c r="T2574" s="70">
        <f>L2574*S2574</f>
        <v>0</v>
      </c>
      <c r="U2574" s="70">
        <f>R2574-T2574</f>
        <v>575.70000000000005</v>
      </c>
      <c r="V2574" s="70">
        <f>U2574*0</f>
        <v>0</v>
      </c>
      <c r="W2574" s="70">
        <f>U2574-V2574</f>
        <v>575.70000000000005</v>
      </c>
      <c r="X2574" s="70">
        <v>0</v>
      </c>
      <c r="Y2574" s="14">
        <f t="shared" si="402"/>
        <v>0</v>
      </c>
      <c r="Z2574" s="11" t="s">
        <v>26</v>
      </c>
      <c r="AA2574" s="12" t="s">
        <v>31</v>
      </c>
    </row>
    <row r="2575" spans="1:27" x14ac:dyDescent="0.25">
      <c r="A2575" s="10">
        <v>45694</v>
      </c>
      <c r="B2575" s="69">
        <v>1.5810185185185066E-2</v>
      </c>
      <c r="C2575" s="11" t="s">
        <v>4948</v>
      </c>
      <c r="D2575" s="11">
        <v>17111</v>
      </c>
      <c r="E2575" s="11" t="s">
        <v>570</v>
      </c>
      <c r="F2575" s="11" t="s">
        <v>26</v>
      </c>
      <c r="G2575" s="11">
        <v>10348</v>
      </c>
      <c r="H2575" s="12" t="s">
        <v>140</v>
      </c>
      <c r="I2575" s="12" t="s">
        <v>27</v>
      </c>
      <c r="J2575" s="12" t="s">
        <v>42</v>
      </c>
      <c r="K2575" s="12" t="s">
        <v>43</v>
      </c>
      <c r="L2575" s="13">
        <v>41.08</v>
      </c>
      <c r="M2575" s="13">
        <v>25</v>
      </c>
      <c r="N2575" s="13">
        <f t="shared" si="403"/>
        <v>1.6432</v>
      </c>
      <c r="O2575" s="13">
        <v>35</v>
      </c>
      <c r="P2575" s="13"/>
      <c r="Q2575" s="13">
        <v>0</v>
      </c>
      <c r="R2575" s="70">
        <f>+L2575*O2575</f>
        <v>1437.8</v>
      </c>
      <c r="S2575" s="70">
        <v>0</v>
      </c>
      <c r="T2575" s="70">
        <f>+L2575*S2575</f>
        <v>0</v>
      </c>
      <c r="U2575" s="70">
        <f>+R2575-T2575</f>
        <v>1437.8</v>
      </c>
      <c r="V2575" s="70">
        <f t="shared" ref="V2575" si="421">+U2575*0</f>
        <v>0</v>
      </c>
      <c r="W2575" s="70">
        <f>+U2575-V2575</f>
        <v>1437.8</v>
      </c>
      <c r="X2575" s="70">
        <v>0</v>
      </c>
      <c r="Y2575" s="14">
        <f t="shared" si="402"/>
        <v>0</v>
      </c>
      <c r="Z2575" s="11" t="s">
        <v>26</v>
      </c>
      <c r="AA2575" s="12" t="s">
        <v>31</v>
      </c>
    </row>
    <row r="2576" spans="1:27" x14ac:dyDescent="0.25">
      <c r="A2576" s="10">
        <v>45694</v>
      </c>
      <c r="B2576" s="69">
        <v>2.1562499999999929E-2</v>
      </c>
      <c r="C2576" s="11" t="s">
        <v>4949</v>
      </c>
      <c r="D2576" s="11">
        <v>17112</v>
      </c>
      <c r="E2576" s="11" t="s">
        <v>64</v>
      </c>
      <c r="F2576" s="11" t="s">
        <v>26</v>
      </c>
      <c r="G2576" s="11">
        <v>1154</v>
      </c>
      <c r="H2576" s="12" t="s">
        <v>141</v>
      </c>
      <c r="I2576" s="12" t="s">
        <v>55</v>
      </c>
      <c r="J2576" s="12" t="s">
        <v>55</v>
      </c>
      <c r="K2576" s="12" t="s">
        <v>56</v>
      </c>
      <c r="L2576" s="13">
        <v>36.74</v>
      </c>
      <c r="M2576" s="13">
        <v>22</v>
      </c>
      <c r="N2576" s="13">
        <f t="shared" si="403"/>
        <v>1.6700000000000002</v>
      </c>
      <c r="O2576" s="13">
        <v>15</v>
      </c>
      <c r="P2576" s="13" t="s">
        <v>30</v>
      </c>
      <c r="Q2576" s="13">
        <v>0</v>
      </c>
      <c r="R2576" s="70">
        <f>L2576*O2576</f>
        <v>551.1</v>
      </c>
      <c r="S2576" s="70">
        <v>0</v>
      </c>
      <c r="T2576" s="70">
        <f>L2576*S2576</f>
        <v>0</v>
      </c>
      <c r="U2576" s="70">
        <f>R2576-T2576</f>
        <v>551.1</v>
      </c>
      <c r="V2576" s="70">
        <f>U2576*0</f>
        <v>0</v>
      </c>
      <c r="W2576" s="70">
        <f>U2576-V2576</f>
        <v>551.1</v>
      </c>
      <c r="X2576" s="70">
        <v>0</v>
      </c>
      <c r="Y2576" s="14">
        <f t="shared" si="402"/>
        <v>0</v>
      </c>
      <c r="Z2576" s="11" t="s">
        <v>26</v>
      </c>
      <c r="AA2576" s="12" t="s">
        <v>31</v>
      </c>
    </row>
    <row r="2577" spans="1:27" x14ac:dyDescent="0.25">
      <c r="A2577" s="10">
        <v>45694</v>
      </c>
      <c r="B2577" s="69">
        <v>1.3333333333333419E-2</v>
      </c>
      <c r="C2577" s="11" t="s">
        <v>4950</v>
      </c>
      <c r="D2577" s="11">
        <v>17113</v>
      </c>
      <c r="E2577" s="11" t="s">
        <v>568</v>
      </c>
      <c r="F2577" s="11" t="s">
        <v>26</v>
      </c>
      <c r="G2577" s="11">
        <v>112436</v>
      </c>
      <c r="H2577" s="12" t="s">
        <v>4446</v>
      </c>
      <c r="I2577" s="12" t="s">
        <v>27</v>
      </c>
      <c r="J2577" s="12" t="s">
        <v>42</v>
      </c>
      <c r="K2577" s="12" t="s">
        <v>43</v>
      </c>
      <c r="L2577" s="13">
        <v>37.18</v>
      </c>
      <c r="M2577" s="13">
        <v>24</v>
      </c>
      <c r="N2577" s="13">
        <f t="shared" si="403"/>
        <v>1.5491666666666666</v>
      </c>
      <c r="O2577" s="13">
        <v>42</v>
      </c>
      <c r="P2577" s="13" t="s">
        <v>30</v>
      </c>
      <c r="Q2577" s="13">
        <v>0</v>
      </c>
      <c r="R2577" s="70">
        <f t="shared" ref="R2577" si="422">+L2577*O2577</f>
        <v>1561.56</v>
      </c>
      <c r="S2577" s="70">
        <v>0</v>
      </c>
      <c r="T2577" s="70">
        <f>+L2577*S2577</f>
        <v>0</v>
      </c>
      <c r="U2577" s="70">
        <f t="shared" ref="U2577:U2578" si="423">+R2577-T2577</f>
        <v>1561.56</v>
      </c>
      <c r="V2577" s="70">
        <f>+U2577*1</f>
        <v>1561.56</v>
      </c>
      <c r="W2577" s="70">
        <f t="shared" ref="W2577:W2578" si="424">+U2577-V2577</f>
        <v>0</v>
      </c>
      <c r="X2577" s="70">
        <v>0</v>
      </c>
      <c r="Y2577" s="14">
        <f t="shared" si="402"/>
        <v>0</v>
      </c>
      <c r="Z2577" s="11" t="s">
        <v>26</v>
      </c>
      <c r="AA2577" s="12" t="s">
        <v>31</v>
      </c>
    </row>
    <row r="2578" spans="1:27" x14ac:dyDescent="0.25">
      <c r="A2578" s="10">
        <v>45694</v>
      </c>
      <c r="B2578" s="69">
        <v>2.6111111111111085E-2</v>
      </c>
      <c r="C2578" s="11" t="s">
        <v>4951</v>
      </c>
      <c r="D2578" s="11">
        <v>17114</v>
      </c>
      <c r="E2578" s="11" t="s">
        <v>40</v>
      </c>
      <c r="F2578" s="11" t="s">
        <v>26</v>
      </c>
      <c r="G2578" s="11">
        <v>3253</v>
      </c>
      <c r="H2578" s="12" t="s">
        <v>41</v>
      </c>
      <c r="I2578" s="12" t="s">
        <v>55</v>
      </c>
      <c r="J2578" s="12" t="s">
        <v>55</v>
      </c>
      <c r="K2578" s="12" t="s">
        <v>56</v>
      </c>
      <c r="L2578" s="13">
        <v>37.58</v>
      </c>
      <c r="M2578" s="13">
        <v>23</v>
      </c>
      <c r="N2578" s="13">
        <f t="shared" si="403"/>
        <v>1.6339130434782607</v>
      </c>
      <c r="O2578" s="13" t="s">
        <v>30</v>
      </c>
      <c r="P2578" s="13">
        <v>24</v>
      </c>
      <c r="Q2578" s="13">
        <v>0</v>
      </c>
      <c r="R2578" s="70">
        <f>+M2578*P2578</f>
        <v>552</v>
      </c>
      <c r="S2578" s="70">
        <v>0</v>
      </c>
      <c r="T2578" s="70">
        <f>+M2578*S2578</f>
        <v>0</v>
      </c>
      <c r="U2578" s="70">
        <f t="shared" si="423"/>
        <v>552</v>
      </c>
      <c r="V2578" s="70">
        <f>+U2578*0</f>
        <v>0</v>
      </c>
      <c r="W2578" s="70">
        <f t="shared" si="424"/>
        <v>552</v>
      </c>
      <c r="X2578" s="70">
        <v>0</v>
      </c>
      <c r="Y2578" s="14">
        <f t="shared" si="402"/>
        <v>0</v>
      </c>
      <c r="Z2578" s="11" t="s">
        <v>26</v>
      </c>
      <c r="AA2578" s="12" t="s">
        <v>31</v>
      </c>
    </row>
    <row r="2579" spans="1:27" x14ac:dyDescent="0.25">
      <c r="A2579" s="10">
        <v>45694</v>
      </c>
      <c r="B2579" s="69">
        <v>3.1782407407407343E-2</v>
      </c>
      <c r="C2579" s="11" t="s">
        <v>4952</v>
      </c>
      <c r="D2579" s="11">
        <v>17115</v>
      </c>
      <c r="E2579" s="11" t="s">
        <v>544</v>
      </c>
      <c r="F2579" s="11" t="s">
        <v>26</v>
      </c>
      <c r="G2579" s="11">
        <v>70188</v>
      </c>
      <c r="H2579" s="12" t="s">
        <v>4448</v>
      </c>
      <c r="I2579" s="12" t="s">
        <v>55</v>
      </c>
      <c r="J2579" s="12" t="s">
        <v>55</v>
      </c>
      <c r="K2579" s="12" t="s">
        <v>56</v>
      </c>
      <c r="L2579" s="13">
        <v>38.08</v>
      </c>
      <c r="M2579" s="13">
        <v>25</v>
      </c>
      <c r="N2579" s="13">
        <f t="shared" si="403"/>
        <v>1.5231999999999999</v>
      </c>
      <c r="O2579" s="13">
        <v>15</v>
      </c>
      <c r="P2579" s="13" t="s">
        <v>30</v>
      </c>
      <c r="Q2579" s="13">
        <v>0</v>
      </c>
      <c r="R2579" s="70">
        <f>+L2579*O2579</f>
        <v>571.19999999999993</v>
      </c>
      <c r="S2579" s="70">
        <v>0</v>
      </c>
      <c r="T2579" s="70">
        <f>+L2579*S2579</f>
        <v>0</v>
      </c>
      <c r="U2579" s="70">
        <f>+R2579-T2579</f>
        <v>571.19999999999993</v>
      </c>
      <c r="V2579" s="70">
        <f>+U2579*0.75</f>
        <v>428.4</v>
      </c>
      <c r="W2579" s="70">
        <f>+U2579-V2579</f>
        <v>142.79999999999995</v>
      </c>
      <c r="X2579" s="70">
        <v>0</v>
      </c>
      <c r="Y2579" s="14">
        <f t="shared" si="402"/>
        <v>0</v>
      </c>
      <c r="Z2579" s="11" t="s">
        <v>26</v>
      </c>
      <c r="AA2579" s="12" t="s">
        <v>31</v>
      </c>
    </row>
    <row r="2580" spans="1:27" x14ac:dyDescent="0.25">
      <c r="A2580" s="10">
        <v>45694</v>
      </c>
      <c r="B2580" s="69">
        <v>1.5092592592592546E-2</v>
      </c>
      <c r="C2580" s="11" t="s">
        <v>4953</v>
      </c>
      <c r="D2580" s="11">
        <v>17116</v>
      </c>
      <c r="E2580" s="11" t="s">
        <v>69</v>
      </c>
      <c r="F2580" s="11" t="s">
        <v>26</v>
      </c>
      <c r="G2580" s="11" t="s">
        <v>26</v>
      </c>
      <c r="H2580" s="12" t="s">
        <v>4422</v>
      </c>
      <c r="I2580" s="12" t="s">
        <v>27</v>
      </c>
      <c r="J2580" s="12" t="s">
        <v>47</v>
      </c>
      <c r="K2580" s="12" t="s">
        <v>48</v>
      </c>
      <c r="L2580" s="13">
        <v>40.92</v>
      </c>
      <c r="M2580" s="13">
        <v>28</v>
      </c>
      <c r="N2580" s="13">
        <f t="shared" si="403"/>
        <v>1.4614285714285715</v>
      </c>
      <c r="O2580" s="13">
        <v>87</v>
      </c>
      <c r="P2580" s="13" t="s">
        <v>30</v>
      </c>
      <c r="Q2580" s="13">
        <v>0</v>
      </c>
      <c r="R2580" s="70">
        <f>L2580*O2580</f>
        <v>3560.04</v>
      </c>
      <c r="S2580" s="70">
        <v>38</v>
      </c>
      <c r="T2580" s="70">
        <f>L2580*S2580</f>
        <v>1554.96</v>
      </c>
      <c r="U2580" s="70">
        <f>R2580-T2580</f>
        <v>2005.08</v>
      </c>
      <c r="V2580" s="70">
        <f>U2580*1</f>
        <v>2005.08</v>
      </c>
      <c r="W2580" s="70">
        <f>U2580-V2580</f>
        <v>0</v>
      </c>
      <c r="X2580" s="70">
        <f>L2580*36</f>
        <v>1473.1200000000001</v>
      </c>
      <c r="Y2580" s="71">
        <f>+T2580-X2580</f>
        <v>81.839999999999918</v>
      </c>
      <c r="Z2580" s="12" t="s">
        <v>70</v>
      </c>
      <c r="AA2580" s="12" t="s">
        <v>78</v>
      </c>
    </row>
    <row r="2581" spans="1:27" x14ac:dyDescent="0.25">
      <c r="A2581" s="10">
        <v>45694</v>
      </c>
      <c r="B2581" s="69">
        <v>2.560185185185182E-2</v>
      </c>
      <c r="C2581" s="11" t="s">
        <v>4954</v>
      </c>
      <c r="D2581" s="11">
        <v>17117</v>
      </c>
      <c r="E2581" s="11" t="s">
        <v>574</v>
      </c>
      <c r="F2581" s="11" t="s">
        <v>26</v>
      </c>
      <c r="G2581" s="11">
        <v>1155</v>
      </c>
      <c r="H2581" s="12" t="s">
        <v>141</v>
      </c>
      <c r="I2581" s="12" t="s">
        <v>55</v>
      </c>
      <c r="J2581" s="12" t="s">
        <v>55</v>
      </c>
      <c r="K2581" s="12" t="s">
        <v>56</v>
      </c>
      <c r="L2581" s="13">
        <v>37.119999999999997</v>
      </c>
      <c r="M2581" s="13">
        <v>23</v>
      </c>
      <c r="N2581" s="13">
        <f t="shared" si="403"/>
        <v>1.6139130434782607</v>
      </c>
      <c r="O2581" s="13">
        <v>15</v>
      </c>
      <c r="P2581" s="13" t="s">
        <v>30</v>
      </c>
      <c r="Q2581" s="13">
        <v>0</v>
      </c>
      <c r="R2581" s="70">
        <f>L2581*O2581</f>
        <v>556.79999999999995</v>
      </c>
      <c r="S2581" s="70">
        <v>0</v>
      </c>
      <c r="T2581" s="70">
        <f>L2581*S2581</f>
        <v>0</v>
      </c>
      <c r="U2581" s="70">
        <f>R2581-T2581</f>
        <v>556.79999999999995</v>
      </c>
      <c r="V2581" s="70">
        <f>U2581*0</f>
        <v>0</v>
      </c>
      <c r="W2581" s="70">
        <f>U2581-V2581</f>
        <v>556.79999999999995</v>
      </c>
      <c r="X2581" s="70">
        <v>0</v>
      </c>
      <c r="Y2581" s="14">
        <f t="shared" ref="Y2581:Y2608" si="425">T2581-X2581</f>
        <v>0</v>
      </c>
      <c r="Z2581" s="11" t="s">
        <v>26</v>
      </c>
      <c r="AA2581" s="12" t="s">
        <v>31</v>
      </c>
    </row>
    <row r="2582" spans="1:27" x14ac:dyDescent="0.25">
      <c r="A2582" s="10">
        <v>45694</v>
      </c>
      <c r="B2582" s="69">
        <v>1.9039351851851904E-2</v>
      </c>
      <c r="C2582" s="11" t="s">
        <v>4955</v>
      </c>
      <c r="D2582" s="11">
        <v>17118</v>
      </c>
      <c r="E2582" s="11" t="s">
        <v>552</v>
      </c>
      <c r="F2582" s="11" t="s">
        <v>26</v>
      </c>
      <c r="G2582" s="11">
        <v>44154</v>
      </c>
      <c r="H2582" s="12" t="s">
        <v>4423</v>
      </c>
      <c r="I2582" s="12" t="s">
        <v>27</v>
      </c>
      <c r="J2582" s="12" t="s">
        <v>33</v>
      </c>
      <c r="K2582" s="12" t="s">
        <v>34</v>
      </c>
      <c r="L2582" s="13">
        <v>33.24</v>
      </c>
      <c r="M2582" s="13">
        <v>25</v>
      </c>
      <c r="N2582" s="13">
        <f t="shared" si="403"/>
        <v>1.3296000000000001</v>
      </c>
      <c r="O2582" s="13">
        <v>45</v>
      </c>
      <c r="P2582" s="13" t="s">
        <v>30</v>
      </c>
      <c r="Q2582" s="13">
        <v>0</v>
      </c>
      <c r="R2582" s="70">
        <f>+L2582*O2582</f>
        <v>1495.8000000000002</v>
      </c>
      <c r="S2582" s="70">
        <v>0</v>
      </c>
      <c r="T2582" s="70">
        <f>+L2582*S2582</f>
        <v>0</v>
      </c>
      <c r="U2582" s="70">
        <f t="shared" ref="U2582" si="426">+R2582-T2582</f>
        <v>1495.8000000000002</v>
      </c>
      <c r="V2582" s="70">
        <f>+U2582*1</f>
        <v>1495.8000000000002</v>
      </c>
      <c r="W2582" s="70">
        <f t="shared" ref="W2582" si="427">+U2582-V2582</f>
        <v>0</v>
      </c>
      <c r="X2582" s="70">
        <v>0</v>
      </c>
      <c r="Y2582" s="14">
        <f t="shared" si="425"/>
        <v>0</v>
      </c>
      <c r="Z2582" s="11" t="s">
        <v>26</v>
      </c>
      <c r="AA2582" s="12" t="s">
        <v>31</v>
      </c>
    </row>
    <row r="2583" spans="1:27" x14ac:dyDescent="0.25">
      <c r="A2583" s="10">
        <v>45694</v>
      </c>
      <c r="B2583" s="69">
        <v>1.8043981481481453E-2</v>
      </c>
      <c r="C2583" s="11" t="s">
        <v>4956</v>
      </c>
      <c r="D2583" s="11">
        <v>17119</v>
      </c>
      <c r="E2583" s="11" t="s">
        <v>604</v>
      </c>
      <c r="F2583" s="11" t="s">
        <v>26</v>
      </c>
      <c r="G2583" s="11">
        <v>1120</v>
      </c>
      <c r="H2583" s="12" t="s">
        <v>141</v>
      </c>
      <c r="I2583" s="12" t="s">
        <v>55</v>
      </c>
      <c r="J2583" s="12" t="s">
        <v>55</v>
      </c>
      <c r="K2583" s="12" t="s">
        <v>56</v>
      </c>
      <c r="L2583" s="13">
        <v>37.86</v>
      </c>
      <c r="M2583" s="13">
        <v>23</v>
      </c>
      <c r="N2583" s="13">
        <f t="shared" si="403"/>
        <v>1.6460869565217391</v>
      </c>
      <c r="O2583" s="13">
        <v>15</v>
      </c>
      <c r="P2583" s="13" t="s">
        <v>30</v>
      </c>
      <c r="Q2583" s="13">
        <v>0</v>
      </c>
      <c r="R2583" s="70">
        <f>L2583*O2583</f>
        <v>567.9</v>
      </c>
      <c r="S2583" s="70">
        <v>0</v>
      </c>
      <c r="T2583" s="70">
        <f>L2583*S2583</f>
        <v>0</v>
      </c>
      <c r="U2583" s="70">
        <f>R2583-T2583</f>
        <v>567.9</v>
      </c>
      <c r="V2583" s="70">
        <f>U2583*0</f>
        <v>0</v>
      </c>
      <c r="W2583" s="70">
        <f>U2583-V2583</f>
        <v>567.9</v>
      </c>
      <c r="X2583" s="70">
        <v>0</v>
      </c>
      <c r="Y2583" s="14">
        <f t="shared" si="425"/>
        <v>0</v>
      </c>
      <c r="Z2583" s="11" t="s">
        <v>26</v>
      </c>
      <c r="AA2583" s="12" t="s">
        <v>31</v>
      </c>
    </row>
    <row r="2584" spans="1:27" x14ac:dyDescent="0.25">
      <c r="A2584" s="10">
        <v>45694</v>
      </c>
      <c r="B2584" s="69">
        <v>8.6469907407407454E-2</v>
      </c>
      <c r="C2584" s="11" t="s">
        <v>4957</v>
      </c>
      <c r="D2584" s="11">
        <v>17120</v>
      </c>
      <c r="E2584" s="11" t="s">
        <v>244</v>
      </c>
      <c r="F2584" s="11" t="s">
        <v>26</v>
      </c>
      <c r="G2584" s="11">
        <v>959</v>
      </c>
      <c r="H2584" s="12" t="s">
        <v>141</v>
      </c>
      <c r="I2584" s="12" t="s">
        <v>55</v>
      </c>
      <c r="J2584" s="12" t="s">
        <v>55</v>
      </c>
      <c r="K2584" s="12" t="s">
        <v>56</v>
      </c>
      <c r="L2584" s="13">
        <v>38.42</v>
      </c>
      <c r="M2584" s="13">
        <v>24</v>
      </c>
      <c r="N2584" s="13">
        <f t="shared" si="403"/>
        <v>1.6008333333333333</v>
      </c>
      <c r="O2584" s="13">
        <v>15</v>
      </c>
      <c r="P2584" s="13" t="s">
        <v>30</v>
      </c>
      <c r="Q2584" s="13">
        <v>0</v>
      </c>
      <c r="R2584" s="70">
        <f>L2584*O2584</f>
        <v>576.30000000000007</v>
      </c>
      <c r="S2584" s="70">
        <v>0</v>
      </c>
      <c r="T2584" s="70">
        <f>L2584*S2584</f>
        <v>0</v>
      </c>
      <c r="U2584" s="70">
        <f>R2584-T2584</f>
        <v>576.30000000000007</v>
      </c>
      <c r="V2584" s="70">
        <f>U2584*0</f>
        <v>0</v>
      </c>
      <c r="W2584" s="70">
        <f>U2584-V2584</f>
        <v>576.30000000000007</v>
      </c>
      <c r="X2584" s="70">
        <v>0</v>
      </c>
      <c r="Y2584" s="14">
        <f t="shared" si="425"/>
        <v>0</v>
      </c>
      <c r="Z2584" s="11" t="s">
        <v>26</v>
      </c>
      <c r="AA2584" s="12" t="s">
        <v>31</v>
      </c>
    </row>
    <row r="2585" spans="1:27" x14ac:dyDescent="0.25">
      <c r="A2585" s="10">
        <v>45694</v>
      </c>
      <c r="B2585" s="69">
        <v>1.9305555555555576E-2</v>
      </c>
      <c r="C2585" s="11" t="s">
        <v>4958</v>
      </c>
      <c r="D2585" s="11">
        <v>17121</v>
      </c>
      <c r="E2585" s="11" t="s">
        <v>483</v>
      </c>
      <c r="F2585" s="11" t="s">
        <v>26</v>
      </c>
      <c r="G2585" s="11">
        <v>3586</v>
      </c>
      <c r="H2585" s="12" t="s">
        <v>41</v>
      </c>
      <c r="I2585" s="12" t="s">
        <v>55</v>
      </c>
      <c r="J2585" s="12" t="s">
        <v>55</v>
      </c>
      <c r="K2585" s="12" t="s">
        <v>56</v>
      </c>
      <c r="L2585" s="13">
        <v>38.78</v>
      </c>
      <c r="M2585" s="13">
        <v>24</v>
      </c>
      <c r="N2585" s="13">
        <f t="shared" si="403"/>
        <v>1.6158333333333335</v>
      </c>
      <c r="O2585" s="13" t="s">
        <v>30</v>
      </c>
      <c r="P2585" s="13">
        <v>24</v>
      </c>
      <c r="Q2585" s="13">
        <v>0</v>
      </c>
      <c r="R2585" s="70">
        <f>+M2585*P2585</f>
        <v>576</v>
      </c>
      <c r="S2585" s="70">
        <v>0</v>
      </c>
      <c r="T2585" s="70">
        <f>+M2585*S2585</f>
        <v>0</v>
      </c>
      <c r="U2585" s="70">
        <f t="shared" ref="U2585" si="428">+R2585-T2585</f>
        <v>576</v>
      </c>
      <c r="V2585" s="70">
        <f>+U2585*0</f>
        <v>0</v>
      </c>
      <c r="W2585" s="70">
        <f t="shared" ref="W2585" si="429">+U2585-V2585</f>
        <v>576</v>
      </c>
      <c r="X2585" s="70">
        <v>0</v>
      </c>
      <c r="Y2585" s="14">
        <f t="shared" si="425"/>
        <v>0</v>
      </c>
      <c r="Z2585" s="11" t="s">
        <v>26</v>
      </c>
      <c r="AA2585" s="12" t="s">
        <v>31</v>
      </c>
    </row>
    <row r="2586" spans="1:27" x14ac:dyDescent="0.25">
      <c r="A2586" s="10">
        <v>45694</v>
      </c>
      <c r="B2586" s="69">
        <v>7.3587962962962883E-2</v>
      </c>
      <c r="C2586" s="11" t="s">
        <v>4959</v>
      </c>
      <c r="D2586" s="11">
        <v>17122</v>
      </c>
      <c r="E2586" s="11" t="s">
        <v>52</v>
      </c>
      <c r="F2586" s="11" t="s">
        <v>26</v>
      </c>
      <c r="G2586" s="11">
        <v>1156</v>
      </c>
      <c r="H2586" s="12" t="s">
        <v>141</v>
      </c>
      <c r="I2586" s="12" t="s">
        <v>55</v>
      </c>
      <c r="J2586" s="12" t="s">
        <v>55</v>
      </c>
      <c r="K2586" s="12" t="s">
        <v>56</v>
      </c>
      <c r="L2586" s="13">
        <v>38.6</v>
      </c>
      <c r="M2586" s="13">
        <v>24</v>
      </c>
      <c r="N2586" s="13">
        <f t="shared" si="403"/>
        <v>1.6083333333333334</v>
      </c>
      <c r="O2586" s="13">
        <v>15</v>
      </c>
      <c r="P2586" s="13" t="s">
        <v>30</v>
      </c>
      <c r="Q2586" s="13">
        <v>0</v>
      </c>
      <c r="R2586" s="70">
        <f>L2586*O2586</f>
        <v>579</v>
      </c>
      <c r="S2586" s="70">
        <v>0</v>
      </c>
      <c r="T2586" s="70">
        <f>L2586*S2586</f>
        <v>0</v>
      </c>
      <c r="U2586" s="70">
        <f>R2586-T2586</f>
        <v>579</v>
      </c>
      <c r="V2586" s="70">
        <f>U2586*0</f>
        <v>0</v>
      </c>
      <c r="W2586" s="70">
        <f>U2586-V2586</f>
        <v>579</v>
      </c>
      <c r="X2586" s="70">
        <v>0</v>
      </c>
      <c r="Y2586" s="14">
        <f t="shared" si="425"/>
        <v>0</v>
      </c>
      <c r="Z2586" s="11" t="s">
        <v>26</v>
      </c>
      <c r="AA2586" s="12" t="s">
        <v>31</v>
      </c>
    </row>
    <row r="2587" spans="1:27" x14ac:dyDescent="0.25">
      <c r="A2587" s="10">
        <v>45694</v>
      </c>
      <c r="B2587" s="69">
        <v>1.88194444444445E-2</v>
      </c>
      <c r="C2587" s="11" t="s">
        <v>4960</v>
      </c>
      <c r="D2587" s="11">
        <v>17123</v>
      </c>
      <c r="E2587" s="11" t="s">
        <v>184</v>
      </c>
      <c r="F2587" s="11" t="s">
        <v>26</v>
      </c>
      <c r="G2587" s="11">
        <v>1009</v>
      </c>
      <c r="H2587" s="12" t="s">
        <v>141</v>
      </c>
      <c r="I2587" s="12" t="s">
        <v>55</v>
      </c>
      <c r="J2587" s="12" t="s">
        <v>55</v>
      </c>
      <c r="K2587" s="12" t="s">
        <v>56</v>
      </c>
      <c r="L2587" s="13">
        <v>39.119999999999997</v>
      </c>
      <c r="M2587" s="13">
        <v>25</v>
      </c>
      <c r="N2587" s="13">
        <f t="shared" si="403"/>
        <v>1.5648</v>
      </c>
      <c r="O2587" s="13">
        <v>15</v>
      </c>
      <c r="P2587" s="13" t="s">
        <v>30</v>
      </c>
      <c r="Q2587" s="13">
        <v>0</v>
      </c>
      <c r="R2587" s="70">
        <f>L2587*O2587</f>
        <v>586.79999999999995</v>
      </c>
      <c r="S2587" s="70">
        <v>0</v>
      </c>
      <c r="T2587" s="70">
        <f>L2587*S2587</f>
        <v>0</v>
      </c>
      <c r="U2587" s="70">
        <f>R2587-T2587</f>
        <v>586.79999999999995</v>
      </c>
      <c r="V2587" s="70">
        <f>U2587*0</f>
        <v>0</v>
      </c>
      <c r="W2587" s="70">
        <f>U2587-V2587</f>
        <v>586.79999999999995</v>
      </c>
      <c r="X2587" s="70">
        <v>0</v>
      </c>
      <c r="Y2587" s="14">
        <f t="shared" si="425"/>
        <v>0</v>
      </c>
      <c r="Z2587" s="11" t="s">
        <v>26</v>
      </c>
      <c r="AA2587" s="12" t="s">
        <v>31</v>
      </c>
    </row>
    <row r="2588" spans="1:27" x14ac:dyDescent="0.25">
      <c r="A2588" s="10">
        <v>45694</v>
      </c>
      <c r="B2588" s="69">
        <v>2.0671296296296382E-2</v>
      </c>
      <c r="C2588" s="11" t="s">
        <v>4961</v>
      </c>
      <c r="D2588" s="11">
        <v>17124</v>
      </c>
      <c r="E2588" s="11" t="s">
        <v>509</v>
      </c>
      <c r="F2588" s="11" t="s">
        <v>26</v>
      </c>
      <c r="G2588" s="11">
        <v>1312</v>
      </c>
      <c r="H2588" s="12" t="s">
        <v>141</v>
      </c>
      <c r="I2588" s="12" t="s">
        <v>55</v>
      </c>
      <c r="J2588" s="12" t="s">
        <v>55</v>
      </c>
      <c r="K2588" s="12" t="s">
        <v>56</v>
      </c>
      <c r="L2588" s="13">
        <v>41.02</v>
      </c>
      <c r="M2588" s="13">
        <v>25</v>
      </c>
      <c r="N2588" s="13">
        <f t="shared" si="403"/>
        <v>1.6408</v>
      </c>
      <c r="O2588" s="13">
        <v>15</v>
      </c>
      <c r="P2588" s="13" t="s">
        <v>30</v>
      </c>
      <c r="Q2588" s="13">
        <v>0</v>
      </c>
      <c r="R2588" s="70">
        <f>L2588*O2588</f>
        <v>615.30000000000007</v>
      </c>
      <c r="S2588" s="70">
        <v>0</v>
      </c>
      <c r="T2588" s="70">
        <f>L2588*S2588</f>
        <v>0</v>
      </c>
      <c r="U2588" s="70">
        <f>R2588-T2588</f>
        <v>615.30000000000007</v>
      </c>
      <c r="V2588" s="70">
        <f>U2588*0</f>
        <v>0</v>
      </c>
      <c r="W2588" s="70">
        <f>U2588-V2588</f>
        <v>615.30000000000007</v>
      </c>
      <c r="X2588" s="70">
        <v>0</v>
      </c>
      <c r="Y2588" s="14">
        <f t="shared" si="425"/>
        <v>0</v>
      </c>
      <c r="Z2588" s="11" t="s">
        <v>26</v>
      </c>
      <c r="AA2588" s="12" t="s">
        <v>31</v>
      </c>
    </row>
    <row r="2589" spans="1:27" x14ac:dyDescent="0.25">
      <c r="A2589" s="10">
        <v>45694</v>
      </c>
      <c r="B2589" s="69">
        <v>2.6099537037036935E-2</v>
      </c>
      <c r="C2589" s="11" t="s">
        <v>4962</v>
      </c>
      <c r="D2589" s="11">
        <v>17125</v>
      </c>
      <c r="E2589" s="11" t="s">
        <v>605</v>
      </c>
      <c r="F2589" s="11" t="s">
        <v>26</v>
      </c>
      <c r="G2589" s="11">
        <v>1064</v>
      </c>
      <c r="H2589" s="12" t="s">
        <v>141</v>
      </c>
      <c r="I2589" s="12" t="s">
        <v>55</v>
      </c>
      <c r="J2589" s="12" t="s">
        <v>55</v>
      </c>
      <c r="K2589" s="12" t="s">
        <v>56</v>
      </c>
      <c r="L2589" s="13">
        <v>37.06</v>
      </c>
      <c r="M2589" s="13">
        <v>23</v>
      </c>
      <c r="N2589" s="13">
        <f t="shared" si="403"/>
        <v>1.6113043478260871</v>
      </c>
      <c r="O2589" s="13">
        <v>15</v>
      </c>
      <c r="P2589" s="13" t="s">
        <v>30</v>
      </c>
      <c r="Q2589" s="13">
        <v>0</v>
      </c>
      <c r="R2589" s="70">
        <f>L2589*O2589</f>
        <v>555.90000000000009</v>
      </c>
      <c r="S2589" s="70">
        <v>0</v>
      </c>
      <c r="T2589" s="70">
        <f>L2589*S2589</f>
        <v>0</v>
      </c>
      <c r="U2589" s="70">
        <f>R2589-T2589</f>
        <v>555.90000000000009</v>
      </c>
      <c r="V2589" s="70">
        <f>U2589*0</f>
        <v>0</v>
      </c>
      <c r="W2589" s="70">
        <f>U2589-V2589</f>
        <v>555.90000000000009</v>
      </c>
      <c r="X2589" s="70">
        <v>0</v>
      </c>
      <c r="Y2589" s="14">
        <f t="shared" si="425"/>
        <v>0</v>
      </c>
      <c r="Z2589" s="11" t="s">
        <v>26</v>
      </c>
      <c r="AA2589" s="12" t="s">
        <v>31</v>
      </c>
    </row>
    <row r="2590" spans="1:27" x14ac:dyDescent="0.25">
      <c r="A2590" s="10">
        <v>45694</v>
      </c>
      <c r="B2590" s="69">
        <v>2.9247685185185168E-2</v>
      </c>
      <c r="C2590" s="11" t="s">
        <v>4963</v>
      </c>
      <c r="D2590" s="11">
        <v>17126</v>
      </c>
      <c r="E2590" s="11" t="s">
        <v>224</v>
      </c>
      <c r="F2590" s="11" t="s">
        <v>26</v>
      </c>
      <c r="G2590" s="11">
        <v>3204</v>
      </c>
      <c r="H2590" s="12" t="s">
        <v>4423</v>
      </c>
      <c r="I2590" s="12" t="s">
        <v>27</v>
      </c>
      <c r="J2590" s="12" t="s">
        <v>33</v>
      </c>
      <c r="K2590" s="12" t="s">
        <v>34</v>
      </c>
      <c r="L2590" s="13">
        <v>35.44</v>
      </c>
      <c r="M2590" s="13">
        <v>25</v>
      </c>
      <c r="N2590" s="13">
        <f t="shared" si="403"/>
        <v>1.4176</v>
      </c>
      <c r="O2590" s="13">
        <v>45</v>
      </c>
      <c r="P2590" s="13" t="s">
        <v>30</v>
      </c>
      <c r="Q2590" s="13">
        <v>0</v>
      </c>
      <c r="R2590" s="70">
        <f>+L2590*O2590</f>
        <v>1594.8</v>
      </c>
      <c r="S2590" s="70">
        <v>0</v>
      </c>
      <c r="T2590" s="70">
        <f>+L2590*S2590</f>
        <v>0</v>
      </c>
      <c r="U2590" s="70">
        <f t="shared" ref="U2590" si="430">+R2590-T2590</f>
        <v>1594.8</v>
      </c>
      <c r="V2590" s="70">
        <f>+U2590*1</f>
        <v>1594.8</v>
      </c>
      <c r="W2590" s="70">
        <f t="shared" ref="W2590" si="431">+U2590-V2590</f>
        <v>0</v>
      </c>
      <c r="X2590" s="70">
        <v>0</v>
      </c>
      <c r="Y2590" s="14">
        <f t="shared" si="425"/>
        <v>0</v>
      </c>
      <c r="Z2590" s="11" t="s">
        <v>26</v>
      </c>
      <c r="AA2590" s="12" t="s">
        <v>31</v>
      </c>
    </row>
    <row r="2591" spans="1:27" x14ac:dyDescent="0.25">
      <c r="A2591" s="10">
        <v>45694</v>
      </c>
      <c r="B2591" s="69">
        <v>1.2094907407407485E-2</v>
      </c>
      <c r="C2591" s="11" t="s">
        <v>4964</v>
      </c>
      <c r="D2591" s="11">
        <v>17127</v>
      </c>
      <c r="E2591" s="11" t="s">
        <v>63</v>
      </c>
      <c r="F2591" s="11" t="s">
        <v>26</v>
      </c>
      <c r="G2591" s="11">
        <v>10184</v>
      </c>
      <c r="H2591" s="12" t="s">
        <v>140</v>
      </c>
      <c r="I2591" s="12" t="s">
        <v>27</v>
      </c>
      <c r="J2591" s="12" t="s">
        <v>42</v>
      </c>
      <c r="K2591" s="12" t="s">
        <v>43</v>
      </c>
      <c r="L2591" s="13">
        <v>44.52</v>
      </c>
      <c r="M2591" s="13">
        <v>25</v>
      </c>
      <c r="N2591" s="13">
        <f t="shared" si="403"/>
        <v>1.7808000000000002</v>
      </c>
      <c r="O2591" s="13">
        <v>35</v>
      </c>
      <c r="P2591" s="13"/>
      <c r="Q2591" s="13">
        <v>0</v>
      </c>
      <c r="R2591" s="70">
        <f>+L2591*O2591</f>
        <v>1558.2</v>
      </c>
      <c r="S2591" s="70">
        <v>0</v>
      </c>
      <c r="T2591" s="70">
        <f>+L2591*S2591</f>
        <v>0</v>
      </c>
      <c r="U2591" s="70">
        <f>+R2591-T2591</f>
        <v>1558.2</v>
      </c>
      <c r="V2591" s="70">
        <f t="shared" ref="V2591:V2592" si="432">+U2591*0</f>
        <v>0</v>
      </c>
      <c r="W2591" s="70">
        <f>+U2591-V2591</f>
        <v>1558.2</v>
      </c>
      <c r="X2591" s="70">
        <v>0</v>
      </c>
      <c r="Y2591" s="14">
        <f t="shared" si="425"/>
        <v>0</v>
      </c>
      <c r="Z2591" s="11" t="s">
        <v>26</v>
      </c>
      <c r="AA2591" s="12" t="s">
        <v>31</v>
      </c>
    </row>
    <row r="2592" spans="1:27" x14ac:dyDescent="0.25">
      <c r="A2592" s="10">
        <v>45694</v>
      </c>
      <c r="B2592" s="69">
        <v>9.6643518518518601E-2</v>
      </c>
      <c r="C2592" s="11" t="s">
        <v>4965</v>
      </c>
      <c r="D2592" s="11">
        <v>17128</v>
      </c>
      <c r="E2592" s="11" t="s">
        <v>60</v>
      </c>
      <c r="F2592" s="11" t="s">
        <v>26</v>
      </c>
      <c r="G2592" s="11" t="s">
        <v>35</v>
      </c>
      <c r="H2592" s="12" t="s">
        <v>36</v>
      </c>
      <c r="I2592" s="12" t="s">
        <v>27</v>
      </c>
      <c r="J2592" s="12" t="s">
        <v>33</v>
      </c>
      <c r="K2592" s="12" t="s">
        <v>34</v>
      </c>
      <c r="L2592" s="13">
        <v>8.8800000000000008</v>
      </c>
      <c r="M2592" s="13">
        <v>6</v>
      </c>
      <c r="N2592" s="13">
        <f t="shared" si="403"/>
        <v>1.4800000000000002</v>
      </c>
      <c r="O2592" s="13">
        <v>50</v>
      </c>
      <c r="P2592" s="13" t="s">
        <v>30</v>
      </c>
      <c r="Q2592" s="13">
        <v>0</v>
      </c>
      <c r="R2592" s="70">
        <f>(L2592*O2592)-Q2592</f>
        <v>444.00000000000006</v>
      </c>
      <c r="S2592" s="70">
        <v>0</v>
      </c>
      <c r="T2592" s="70">
        <f t="shared" ref="T2592" si="433">+L2592*S2592</f>
        <v>0</v>
      </c>
      <c r="U2592" s="70">
        <f t="shared" ref="U2592" si="434">+R2592-T2592</f>
        <v>444.00000000000006</v>
      </c>
      <c r="V2592" s="70">
        <f t="shared" si="432"/>
        <v>0</v>
      </c>
      <c r="W2592" s="70">
        <f t="shared" ref="W2592" si="435">+U2592-V2592</f>
        <v>444.00000000000006</v>
      </c>
      <c r="X2592" s="70">
        <v>0</v>
      </c>
      <c r="Y2592" s="14">
        <f t="shared" si="425"/>
        <v>0</v>
      </c>
      <c r="Z2592" s="11" t="s">
        <v>26</v>
      </c>
      <c r="AA2592" s="12" t="s">
        <v>31</v>
      </c>
    </row>
    <row r="2593" spans="1:27" x14ac:dyDescent="0.25">
      <c r="A2593" s="10">
        <v>45694</v>
      </c>
      <c r="B2593" s="69">
        <v>9.4444444444444775E-3</v>
      </c>
      <c r="C2593" s="11" t="s">
        <v>4966</v>
      </c>
      <c r="D2593" s="11">
        <v>17129</v>
      </c>
      <c r="E2593" s="11" t="s">
        <v>505</v>
      </c>
      <c r="F2593" s="11" t="s">
        <v>26</v>
      </c>
      <c r="G2593" s="11">
        <v>1261</v>
      </c>
      <c r="H2593" s="12" t="s">
        <v>141</v>
      </c>
      <c r="I2593" s="12" t="s">
        <v>55</v>
      </c>
      <c r="J2593" s="12" t="s">
        <v>55</v>
      </c>
      <c r="K2593" s="12" t="s">
        <v>56</v>
      </c>
      <c r="L2593" s="13">
        <v>36.5</v>
      </c>
      <c r="M2593" s="13">
        <v>22</v>
      </c>
      <c r="N2593" s="13">
        <f t="shared" si="403"/>
        <v>1.6590909090909092</v>
      </c>
      <c r="O2593" s="13">
        <v>15</v>
      </c>
      <c r="P2593" s="13" t="s">
        <v>30</v>
      </c>
      <c r="Q2593" s="13">
        <v>0</v>
      </c>
      <c r="R2593" s="70">
        <f>L2593*O2593</f>
        <v>547.5</v>
      </c>
      <c r="S2593" s="70">
        <v>0</v>
      </c>
      <c r="T2593" s="70">
        <f>L2593*S2593</f>
        <v>0</v>
      </c>
      <c r="U2593" s="70">
        <f>R2593-T2593</f>
        <v>547.5</v>
      </c>
      <c r="V2593" s="70">
        <f>U2593*0</f>
        <v>0</v>
      </c>
      <c r="W2593" s="70">
        <f>U2593-V2593</f>
        <v>547.5</v>
      </c>
      <c r="X2593" s="70">
        <v>0</v>
      </c>
      <c r="Y2593" s="14">
        <f t="shared" si="425"/>
        <v>0</v>
      </c>
      <c r="Z2593" s="11" t="s">
        <v>26</v>
      </c>
      <c r="AA2593" s="12" t="s">
        <v>31</v>
      </c>
    </row>
    <row r="2594" spans="1:27" x14ac:dyDescent="0.25">
      <c r="A2594" s="10">
        <v>45694</v>
      </c>
      <c r="B2594" s="69">
        <v>0.12152777777777768</v>
      </c>
      <c r="C2594" s="11" t="s">
        <v>4967</v>
      </c>
      <c r="D2594" s="11">
        <v>17130</v>
      </c>
      <c r="E2594" s="11" t="s">
        <v>506</v>
      </c>
      <c r="F2594" s="11" t="s">
        <v>26</v>
      </c>
      <c r="G2594" s="11">
        <v>1549</v>
      </c>
      <c r="H2594" s="12" t="s">
        <v>45</v>
      </c>
      <c r="I2594" s="12" t="s">
        <v>27</v>
      </c>
      <c r="J2594" s="12" t="s">
        <v>33</v>
      </c>
      <c r="K2594" s="12" t="s">
        <v>34</v>
      </c>
      <c r="L2594" s="13">
        <v>38.54</v>
      </c>
      <c r="M2594" s="13">
        <v>25</v>
      </c>
      <c r="N2594" s="13">
        <f t="shared" si="403"/>
        <v>1.5415999999999999</v>
      </c>
      <c r="O2594" s="13" t="s">
        <v>30</v>
      </c>
      <c r="P2594" s="13">
        <v>58</v>
      </c>
      <c r="Q2594" s="13">
        <v>0</v>
      </c>
      <c r="R2594" s="70">
        <f>M2594*P2594</f>
        <v>1450</v>
      </c>
      <c r="S2594" s="70">
        <v>0</v>
      </c>
      <c r="T2594" s="70">
        <f>M2594*S2594</f>
        <v>0</v>
      </c>
      <c r="U2594" s="70">
        <f>R2594-T2594</f>
        <v>1450</v>
      </c>
      <c r="V2594" s="70">
        <f>U2594*0</f>
        <v>0</v>
      </c>
      <c r="W2594" s="70">
        <f>U2594-V2594</f>
        <v>1450</v>
      </c>
      <c r="X2594" s="70">
        <v>0</v>
      </c>
      <c r="Y2594" s="14">
        <f t="shared" si="425"/>
        <v>0</v>
      </c>
      <c r="Z2594" s="11" t="s">
        <v>26</v>
      </c>
      <c r="AA2594" s="12" t="s">
        <v>31</v>
      </c>
    </row>
    <row r="2595" spans="1:27" x14ac:dyDescent="0.25">
      <c r="A2595" s="10">
        <v>45695</v>
      </c>
      <c r="B2595" s="69">
        <v>1.150462962962967E-2</v>
      </c>
      <c r="C2595" s="11" t="s">
        <v>4968</v>
      </c>
      <c r="D2595" s="11">
        <v>17131</v>
      </c>
      <c r="E2595" s="11" t="s">
        <v>496</v>
      </c>
      <c r="F2595" s="11" t="s">
        <v>26</v>
      </c>
      <c r="G2595" s="11">
        <v>22923</v>
      </c>
      <c r="H2595" s="12" t="s">
        <v>4448</v>
      </c>
      <c r="I2595" s="12" t="s">
        <v>27</v>
      </c>
      <c r="J2595" s="12" t="s">
        <v>47</v>
      </c>
      <c r="K2595" s="12" t="s">
        <v>48</v>
      </c>
      <c r="L2595" s="13">
        <v>38.72</v>
      </c>
      <c r="M2595" s="13">
        <v>25</v>
      </c>
      <c r="N2595" s="13">
        <f>L2595/M2595</f>
        <v>1.5488</v>
      </c>
      <c r="O2595" s="13">
        <v>46.66</v>
      </c>
      <c r="P2595" s="13" t="s">
        <v>30</v>
      </c>
      <c r="Q2595" s="13">
        <v>0</v>
      </c>
      <c r="R2595" s="70">
        <f>+L2595*O2595</f>
        <v>1806.6751999999999</v>
      </c>
      <c r="S2595" s="70">
        <v>0</v>
      </c>
      <c r="T2595" s="70">
        <f>+L2595*S2595</f>
        <v>0</v>
      </c>
      <c r="U2595" s="70">
        <f>+R2595-T2595</f>
        <v>1806.6751999999999</v>
      </c>
      <c r="V2595" s="70">
        <f>+U2595*0.75</f>
        <v>1355.0064</v>
      </c>
      <c r="W2595" s="70">
        <f>+U2595-V2595</f>
        <v>451.66879999999992</v>
      </c>
      <c r="X2595" s="70">
        <v>0</v>
      </c>
      <c r="Y2595" s="14">
        <f t="shared" si="425"/>
        <v>0</v>
      </c>
      <c r="Z2595" s="11" t="s">
        <v>26</v>
      </c>
      <c r="AA2595" s="12" t="s">
        <v>31</v>
      </c>
    </row>
    <row r="2596" spans="1:27" x14ac:dyDescent="0.25">
      <c r="A2596" s="10">
        <v>45695</v>
      </c>
      <c r="B2596" s="69">
        <v>1.3425925925925952E-2</v>
      </c>
      <c r="C2596" s="11" t="s">
        <v>4969</v>
      </c>
      <c r="D2596" s="11">
        <v>17132</v>
      </c>
      <c r="E2596" s="11" t="s">
        <v>241</v>
      </c>
      <c r="F2596" s="11" t="s">
        <v>26</v>
      </c>
      <c r="G2596" s="11">
        <v>74968</v>
      </c>
      <c r="H2596" s="12" t="s">
        <v>4448</v>
      </c>
      <c r="I2596" s="12" t="s">
        <v>55</v>
      </c>
      <c r="J2596" s="12" t="s">
        <v>55</v>
      </c>
      <c r="K2596" s="12" t="s">
        <v>56</v>
      </c>
      <c r="L2596" s="13">
        <v>37.840000000000003</v>
      </c>
      <c r="M2596" s="13">
        <v>25</v>
      </c>
      <c r="N2596" s="13">
        <f t="shared" ref="N2596:N2659" si="436">L2596/M2596</f>
        <v>1.5136000000000001</v>
      </c>
      <c r="O2596" s="13">
        <v>15</v>
      </c>
      <c r="P2596" s="13" t="s">
        <v>30</v>
      </c>
      <c r="Q2596" s="13">
        <v>0</v>
      </c>
      <c r="R2596" s="70">
        <f>+L2596*O2596</f>
        <v>567.6</v>
      </c>
      <c r="S2596" s="70">
        <v>0</v>
      </c>
      <c r="T2596" s="70">
        <f>+L2596*S2596</f>
        <v>0</v>
      </c>
      <c r="U2596" s="70">
        <f>+R2596-T2596</f>
        <v>567.6</v>
      </c>
      <c r="V2596" s="70">
        <f>+U2596*0.75</f>
        <v>425.70000000000005</v>
      </c>
      <c r="W2596" s="70">
        <f>+U2596-V2596</f>
        <v>141.89999999999998</v>
      </c>
      <c r="X2596" s="70">
        <v>0</v>
      </c>
      <c r="Y2596" s="14">
        <f t="shared" si="425"/>
        <v>0</v>
      </c>
      <c r="Z2596" s="11" t="s">
        <v>26</v>
      </c>
      <c r="AA2596" s="12" t="s">
        <v>31</v>
      </c>
    </row>
    <row r="2597" spans="1:27" x14ac:dyDescent="0.25">
      <c r="A2597" s="10">
        <v>45695</v>
      </c>
      <c r="B2597" s="69">
        <v>1.6099537037037037E-2</v>
      </c>
      <c r="C2597" s="11" t="s">
        <v>4970</v>
      </c>
      <c r="D2597" s="11">
        <v>17133</v>
      </c>
      <c r="E2597" s="11" t="s">
        <v>100</v>
      </c>
      <c r="F2597" s="11" t="s">
        <v>26</v>
      </c>
      <c r="G2597" s="11">
        <v>21750</v>
      </c>
      <c r="H2597" s="12" t="s">
        <v>4448</v>
      </c>
      <c r="I2597" s="12" t="s">
        <v>27</v>
      </c>
      <c r="J2597" s="12" t="s">
        <v>42</v>
      </c>
      <c r="K2597" s="12" t="s">
        <v>43</v>
      </c>
      <c r="L2597" s="13">
        <v>42.78</v>
      </c>
      <c r="M2597" s="13">
        <v>25</v>
      </c>
      <c r="N2597" s="13">
        <f t="shared" si="436"/>
        <v>1.7112000000000001</v>
      </c>
      <c r="O2597" s="13">
        <v>42.5</v>
      </c>
      <c r="P2597" s="13"/>
      <c r="Q2597" s="13">
        <v>0</v>
      </c>
      <c r="R2597" s="70">
        <f>+L2597*O2597</f>
        <v>1818.15</v>
      </c>
      <c r="S2597" s="70">
        <v>0</v>
      </c>
      <c r="T2597" s="70">
        <f>+L2597*S2597</f>
        <v>0</v>
      </c>
      <c r="U2597" s="70">
        <f>+R2597-T2597</f>
        <v>1818.15</v>
      </c>
      <c r="V2597" s="70">
        <f>+U2597*0.75</f>
        <v>1363.6125000000002</v>
      </c>
      <c r="W2597" s="70">
        <f>+U2597-V2597</f>
        <v>454.53749999999991</v>
      </c>
      <c r="X2597" s="70">
        <v>0</v>
      </c>
      <c r="Y2597" s="14">
        <f t="shared" si="425"/>
        <v>0</v>
      </c>
      <c r="Z2597" s="11" t="s">
        <v>26</v>
      </c>
      <c r="AA2597" s="12" t="s">
        <v>31</v>
      </c>
    </row>
    <row r="2598" spans="1:27" x14ac:dyDescent="0.25">
      <c r="A2598" s="10">
        <v>45695</v>
      </c>
      <c r="B2598" s="69">
        <v>1.8668981481481495E-2</v>
      </c>
      <c r="C2598" s="11" t="s">
        <v>4971</v>
      </c>
      <c r="D2598" s="11">
        <v>17134</v>
      </c>
      <c r="E2598" s="11" t="s">
        <v>184</v>
      </c>
      <c r="F2598" s="11" t="s">
        <v>26</v>
      </c>
      <c r="G2598" s="11">
        <v>1010</v>
      </c>
      <c r="H2598" s="12" t="s">
        <v>141</v>
      </c>
      <c r="I2598" s="12" t="s">
        <v>55</v>
      </c>
      <c r="J2598" s="12" t="s">
        <v>55</v>
      </c>
      <c r="K2598" s="12" t="s">
        <v>56</v>
      </c>
      <c r="L2598" s="13">
        <v>38.74</v>
      </c>
      <c r="M2598" s="13">
        <v>25</v>
      </c>
      <c r="N2598" s="13">
        <f t="shared" si="436"/>
        <v>1.5496000000000001</v>
      </c>
      <c r="O2598" s="13">
        <v>15</v>
      </c>
      <c r="P2598" s="13" t="s">
        <v>30</v>
      </c>
      <c r="Q2598" s="13">
        <v>0</v>
      </c>
      <c r="R2598" s="70">
        <f>L2598*O2598</f>
        <v>581.1</v>
      </c>
      <c r="S2598" s="70">
        <v>0</v>
      </c>
      <c r="T2598" s="70">
        <f>L2598*S2598</f>
        <v>0</v>
      </c>
      <c r="U2598" s="70">
        <f>R2598-T2598</f>
        <v>581.1</v>
      </c>
      <c r="V2598" s="70">
        <f>U2598*0</f>
        <v>0</v>
      </c>
      <c r="W2598" s="70">
        <f>U2598-V2598</f>
        <v>581.1</v>
      </c>
      <c r="X2598" s="70">
        <v>0</v>
      </c>
      <c r="Y2598" s="14">
        <f t="shared" si="425"/>
        <v>0</v>
      </c>
      <c r="Z2598" s="11" t="s">
        <v>26</v>
      </c>
      <c r="AA2598" s="12" t="s">
        <v>31</v>
      </c>
    </row>
    <row r="2599" spans="1:27" x14ac:dyDescent="0.25">
      <c r="A2599" s="10">
        <v>45695</v>
      </c>
      <c r="B2599" s="69">
        <v>1.7858796296296331E-2</v>
      </c>
      <c r="C2599" s="11" t="s">
        <v>4972</v>
      </c>
      <c r="D2599" s="11">
        <v>17135</v>
      </c>
      <c r="E2599" s="11" t="s">
        <v>544</v>
      </c>
      <c r="F2599" s="11" t="s">
        <v>26</v>
      </c>
      <c r="G2599" s="11">
        <v>70189</v>
      </c>
      <c r="H2599" s="12" t="s">
        <v>4448</v>
      </c>
      <c r="I2599" s="12" t="s">
        <v>55</v>
      </c>
      <c r="J2599" s="12" t="s">
        <v>55</v>
      </c>
      <c r="K2599" s="12" t="s">
        <v>56</v>
      </c>
      <c r="L2599" s="13">
        <v>37.04</v>
      </c>
      <c r="M2599" s="13">
        <v>25</v>
      </c>
      <c r="N2599" s="13">
        <f t="shared" si="436"/>
        <v>1.4816</v>
      </c>
      <c r="O2599" s="13">
        <v>15</v>
      </c>
      <c r="P2599" s="13" t="s">
        <v>30</v>
      </c>
      <c r="Q2599" s="13">
        <v>0</v>
      </c>
      <c r="R2599" s="70">
        <f>+L2599*O2599</f>
        <v>555.6</v>
      </c>
      <c r="S2599" s="70">
        <v>0</v>
      </c>
      <c r="T2599" s="70">
        <f>+L2599*S2599</f>
        <v>0</v>
      </c>
      <c r="U2599" s="70">
        <f>+R2599-T2599</f>
        <v>555.6</v>
      </c>
      <c r="V2599" s="70">
        <f>+U2599*0.75</f>
        <v>416.70000000000005</v>
      </c>
      <c r="W2599" s="70">
        <f>+U2599-V2599</f>
        <v>138.89999999999998</v>
      </c>
      <c r="X2599" s="70">
        <v>0</v>
      </c>
      <c r="Y2599" s="14">
        <f t="shared" si="425"/>
        <v>0</v>
      </c>
      <c r="Z2599" s="11" t="s">
        <v>26</v>
      </c>
      <c r="AA2599" s="12" t="s">
        <v>31</v>
      </c>
    </row>
    <row r="2600" spans="1:27" x14ac:dyDescent="0.25">
      <c r="A2600" s="10">
        <v>45695</v>
      </c>
      <c r="B2600" s="69">
        <v>2.2083333333333344E-2</v>
      </c>
      <c r="C2600" s="11" t="s">
        <v>4973</v>
      </c>
      <c r="D2600" s="11">
        <v>17136</v>
      </c>
      <c r="E2600" s="11" t="s">
        <v>570</v>
      </c>
      <c r="F2600" s="11" t="s">
        <v>26</v>
      </c>
      <c r="G2600" s="11">
        <v>10349</v>
      </c>
      <c r="H2600" s="12" t="s">
        <v>140</v>
      </c>
      <c r="I2600" s="12" t="s">
        <v>27</v>
      </c>
      <c r="J2600" s="12" t="s">
        <v>47</v>
      </c>
      <c r="K2600" s="12" t="s">
        <v>48</v>
      </c>
      <c r="L2600" s="13">
        <v>41.14</v>
      </c>
      <c r="M2600" s="13">
        <v>28</v>
      </c>
      <c r="N2600" s="13">
        <f t="shared" si="436"/>
        <v>1.4692857142857143</v>
      </c>
      <c r="O2600" s="13">
        <v>40</v>
      </c>
      <c r="P2600" s="13"/>
      <c r="Q2600" s="13">
        <v>0</v>
      </c>
      <c r="R2600" s="70">
        <f>+L2600*O2600</f>
        <v>1645.6</v>
      </c>
      <c r="S2600" s="70">
        <v>0</v>
      </c>
      <c r="T2600" s="70">
        <f>+L2600*S2600</f>
        <v>0</v>
      </c>
      <c r="U2600" s="70">
        <f>+R2600-T2600</f>
        <v>1645.6</v>
      </c>
      <c r="V2600" s="70">
        <f t="shared" ref="V2600" si="437">+U2600*0</f>
        <v>0</v>
      </c>
      <c r="W2600" s="70">
        <f>+U2600-V2600</f>
        <v>1645.6</v>
      </c>
      <c r="X2600" s="70">
        <v>0</v>
      </c>
      <c r="Y2600" s="14">
        <f t="shared" si="425"/>
        <v>0</v>
      </c>
      <c r="Z2600" s="11" t="s">
        <v>26</v>
      </c>
      <c r="AA2600" s="12" t="s">
        <v>31</v>
      </c>
    </row>
    <row r="2601" spans="1:27" x14ac:dyDescent="0.25">
      <c r="A2601" s="10">
        <v>45695</v>
      </c>
      <c r="B2601" s="69">
        <v>2.3541666666666683E-2</v>
      </c>
      <c r="C2601" s="11" t="s">
        <v>4974</v>
      </c>
      <c r="D2601" s="11">
        <v>17137</v>
      </c>
      <c r="E2601" s="11" t="s">
        <v>525</v>
      </c>
      <c r="F2601" s="11" t="s">
        <v>26</v>
      </c>
      <c r="G2601" s="11">
        <v>26344</v>
      </c>
      <c r="H2601" s="12" t="s">
        <v>4448</v>
      </c>
      <c r="I2601" s="12" t="s">
        <v>55</v>
      </c>
      <c r="J2601" s="12" t="s">
        <v>55</v>
      </c>
      <c r="K2601" s="12" t="s">
        <v>56</v>
      </c>
      <c r="L2601" s="13">
        <v>37.44</v>
      </c>
      <c r="M2601" s="13">
        <v>25</v>
      </c>
      <c r="N2601" s="13">
        <f t="shared" si="436"/>
        <v>1.4975999999999998</v>
      </c>
      <c r="O2601" s="13">
        <v>15</v>
      </c>
      <c r="P2601" s="13" t="s">
        <v>30</v>
      </c>
      <c r="Q2601" s="13">
        <v>0</v>
      </c>
      <c r="R2601" s="70">
        <f>+L2601*O2601</f>
        <v>561.59999999999991</v>
      </c>
      <c r="S2601" s="70">
        <v>0</v>
      </c>
      <c r="T2601" s="70">
        <f>+L2601*S2601</f>
        <v>0</v>
      </c>
      <c r="U2601" s="70">
        <f>+R2601-T2601</f>
        <v>561.59999999999991</v>
      </c>
      <c r="V2601" s="70">
        <f>+U2601*0.75</f>
        <v>421.19999999999993</v>
      </c>
      <c r="W2601" s="70">
        <f>+U2601-V2601</f>
        <v>140.39999999999998</v>
      </c>
      <c r="X2601" s="70">
        <v>0</v>
      </c>
      <c r="Y2601" s="14">
        <f t="shared" si="425"/>
        <v>0</v>
      </c>
      <c r="Z2601" s="11" t="s">
        <v>26</v>
      </c>
      <c r="AA2601" s="12" t="s">
        <v>31</v>
      </c>
    </row>
    <row r="2602" spans="1:27" x14ac:dyDescent="0.25">
      <c r="A2602" s="10">
        <v>45695</v>
      </c>
      <c r="B2602" s="69">
        <v>2.4421296296296247E-2</v>
      </c>
      <c r="C2602" s="11" t="s">
        <v>4975</v>
      </c>
      <c r="D2602" s="11">
        <v>17138</v>
      </c>
      <c r="E2602" s="11" t="s">
        <v>574</v>
      </c>
      <c r="F2602" s="11" t="s">
        <v>26</v>
      </c>
      <c r="G2602" s="11">
        <v>1157</v>
      </c>
      <c r="H2602" s="12" t="s">
        <v>141</v>
      </c>
      <c r="I2602" s="12" t="s">
        <v>55</v>
      </c>
      <c r="J2602" s="12" t="s">
        <v>55</v>
      </c>
      <c r="K2602" s="12" t="s">
        <v>56</v>
      </c>
      <c r="L2602" s="13">
        <v>37.54</v>
      </c>
      <c r="M2602" s="13">
        <v>25</v>
      </c>
      <c r="N2602" s="13">
        <f t="shared" si="436"/>
        <v>1.5016</v>
      </c>
      <c r="O2602" s="13">
        <v>15</v>
      </c>
      <c r="P2602" s="13" t="s">
        <v>30</v>
      </c>
      <c r="Q2602" s="13">
        <v>0</v>
      </c>
      <c r="R2602" s="70">
        <f>L2602*O2602</f>
        <v>563.1</v>
      </c>
      <c r="S2602" s="70">
        <v>0</v>
      </c>
      <c r="T2602" s="70">
        <f>L2602*S2602</f>
        <v>0</v>
      </c>
      <c r="U2602" s="70">
        <f>R2602-T2602</f>
        <v>563.1</v>
      </c>
      <c r="V2602" s="70">
        <f>U2602*0</f>
        <v>0</v>
      </c>
      <c r="W2602" s="70">
        <f>U2602-V2602</f>
        <v>563.1</v>
      </c>
      <c r="X2602" s="70">
        <v>0</v>
      </c>
      <c r="Y2602" s="14">
        <f t="shared" si="425"/>
        <v>0</v>
      </c>
      <c r="Z2602" s="11" t="s">
        <v>26</v>
      </c>
      <c r="AA2602" s="12" t="s">
        <v>31</v>
      </c>
    </row>
    <row r="2603" spans="1:27" x14ac:dyDescent="0.25">
      <c r="A2603" s="10">
        <v>45695</v>
      </c>
      <c r="B2603" s="69">
        <v>3.0277777777777792E-2</v>
      </c>
      <c r="C2603" s="11" t="s">
        <v>4976</v>
      </c>
      <c r="D2603" s="11">
        <v>17139</v>
      </c>
      <c r="E2603" s="11" t="s">
        <v>501</v>
      </c>
      <c r="F2603" s="11" t="s">
        <v>26</v>
      </c>
      <c r="G2603" s="11">
        <v>816</v>
      </c>
      <c r="H2603" s="12" t="s">
        <v>141</v>
      </c>
      <c r="I2603" s="12" t="s">
        <v>55</v>
      </c>
      <c r="J2603" s="12" t="s">
        <v>55</v>
      </c>
      <c r="K2603" s="12" t="s">
        <v>56</v>
      </c>
      <c r="L2603" s="13">
        <v>36</v>
      </c>
      <c r="M2603" s="13">
        <v>25</v>
      </c>
      <c r="N2603" s="13">
        <f t="shared" si="436"/>
        <v>1.44</v>
      </c>
      <c r="O2603" s="13">
        <v>15</v>
      </c>
      <c r="P2603" s="13" t="s">
        <v>30</v>
      </c>
      <c r="Q2603" s="13">
        <v>0</v>
      </c>
      <c r="R2603" s="70">
        <f>L2603*O2603</f>
        <v>540</v>
      </c>
      <c r="S2603" s="70">
        <v>0</v>
      </c>
      <c r="T2603" s="70">
        <f>L2603*S2603</f>
        <v>0</v>
      </c>
      <c r="U2603" s="70">
        <f>R2603-T2603</f>
        <v>540</v>
      </c>
      <c r="V2603" s="70">
        <f>U2603*0</f>
        <v>0</v>
      </c>
      <c r="W2603" s="70">
        <f>U2603-V2603</f>
        <v>540</v>
      </c>
      <c r="X2603" s="70">
        <v>0</v>
      </c>
      <c r="Y2603" s="14">
        <f t="shared" si="425"/>
        <v>0</v>
      </c>
      <c r="Z2603" s="11" t="s">
        <v>26</v>
      </c>
      <c r="AA2603" s="12" t="s">
        <v>31</v>
      </c>
    </row>
    <row r="2604" spans="1:27" x14ac:dyDescent="0.25">
      <c r="A2604" s="10">
        <v>45695</v>
      </c>
      <c r="B2604" s="69">
        <v>3.1666666666666676E-2</v>
      </c>
      <c r="C2604" s="11" t="s">
        <v>4977</v>
      </c>
      <c r="D2604" s="11">
        <v>17140</v>
      </c>
      <c r="E2604" s="11" t="s">
        <v>322</v>
      </c>
      <c r="F2604" s="11" t="s">
        <v>26</v>
      </c>
      <c r="G2604" s="11">
        <v>112441</v>
      </c>
      <c r="H2604" s="12" t="s">
        <v>4446</v>
      </c>
      <c r="I2604" s="12" t="s">
        <v>27</v>
      </c>
      <c r="J2604" s="12" t="s">
        <v>33</v>
      </c>
      <c r="K2604" s="12" t="s">
        <v>34</v>
      </c>
      <c r="L2604" s="13">
        <v>34.979999999999997</v>
      </c>
      <c r="M2604" s="13">
        <v>25</v>
      </c>
      <c r="N2604" s="13">
        <f t="shared" si="436"/>
        <v>1.3991999999999998</v>
      </c>
      <c r="O2604" s="13">
        <v>44</v>
      </c>
      <c r="P2604" s="13" t="s">
        <v>30</v>
      </c>
      <c r="Q2604" s="13">
        <v>0</v>
      </c>
      <c r="R2604" s="70">
        <f t="shared" ref="R2604" si="438">+L2604*O2604</f>
        <v>1539.12</v>
      </c>
      <c r="S2604" s="70">
        <v>0</v>
      </c>
      <c r="T2604" s="70">
        <f>+L2604*S2604</f>
        <v>0</v>
      </c>
      <c r="U2604" s="70">
        <f>+R2604-T2604</f>
        <v>1539.12</v>
      </c>
      <c r="V2604" s="70">
        <f>+U2604*1</f>
        <v>1539.12</v>
      </c>
      <c r="W2604" s="70">
        <f>+U2604-V2604</f>
        <v>0</v>
      </c>
      <c r="X2604" s="70">
        <v>0</v>
      </c>
      <c r="Y2604" s="14">
        <f t="shared" si="425"/>
        <v>0</v>
      </c>
      <c r="Z2604" s="11" t="s">
        <v>26</v>
      </c>
      <c r="AA2604" s="12" t="s">
        <v>31</v>
      </c>
    </row>
    <row r="2605" spans="1:27" x14ac:dyDescent="0.25">
      <c r="A2605" s="10">
        <v>45695</v>
      </c>
      <c r="B2605" s="69">
        <v>3.3622685185185186E-2</v>
      </c>
      <c r="C2605" s="11" t="s">
        <v>4978</v>
      </c>
      <c r="D2605" s="11">
        <v>17141</v>
      </c>
      <c r="E2605" s="11" t="s">
        <v>57</v>
      </c>
      <c r="F2605" s="11" t="s">
        <v>26</v>
      </c>
      <c r="G2605" s="11">
        <v>3694</v>
      </c>
      <c r="H2605" s="12" t="s">
        <v>41</v>
      </c>
      <c r="I2605" s="12" t="s">
        <v>27</v>
      </c>
      <c r="J2605" s="12" t="s">
        <v>47</v>
      </c>
      <c r="K2605" s="12" t="s">
        <v>48</v>
      </c>
      <c r="L2605" s="13">
        <v>34.979999999999997</v>
      </c>
      <c r="M2605" s="13">
        <v>24</v>
      </c>
      <c r="N2605" s="13">
        <f t="shared" si="436"/>
        <v>1.4574999999999998</v>
      </c>
      <c r="O2605" s="13" t="s">
        <v>30</v>
      </c>
      <c r="P2605" s="13">
        <v>60</v>
      </c>
      <c r="Q2605" s="13">
        <v>0</v>
      </c>
      <c r="R2605" s="70">
        <f>M2605*P2605</f>
        <v>1440</v>
      </c>
      <c r="S2605" s="70">
        <v>0</v>
      </c>
      <c r="T2605" s="70">
        <f>M2605*S2605</f>
        <v>0</v>
      </c>
      <c r="U2605" s="70">
        <f t="shared" ref="U2605:U2606" si="439">+R2605-T2605</f>
        <v>1440</v>
      </c>
      <c r="V2605" s="70">
        <f>+U2605*0</f>
        <v>0</v>
      </c>
      <c r="W2605" s="70">
        <f t="shared" ref="W2605:W2606" si="440">+U2605-V2605</f>
        <v>1440</v>
      </c>
      <c r="X2605" s="70">
        <v>0</v>
      </c>
      <c r="Y2605" s="14">
        <f t="shared" si="425"/>
        <v>0</v>
      </c>
      <c r="Z2605" s="11" t="s">
        <v>26</v>
      </c>
      <c r="AA2605" s="12" t="s">
        <v>31</v>
      </c>
    </row>
    <row r="2606" spans="1:27" x14ac:dyDescent="0.25">
      <c r="A2606" s="10">
        <v>45695</v>
      </c>
      <c r="B2606" s="69">
        <v>3.4085648148148129E-2</v>
      </c>
      <c r="C2606" s="11" t="s">
        <v>4979</v>
      </c>
      <c r="D2606" s="11">
        <v>17142</v>
      </c>
      <c r="E2606" s="11" t="s">
        <v>224</v>
      </c>
      <c r="F2606" s="11" t="s">
        <v>26</v>
      </c>
      <c r="G2606" s="11">
        <v>3205</v>
      </c>
      <c r="H2606" s="12" t="s">
        <v>4423</v>
      </c>
      <c r="I2606" s="12" t="s">
        <v>27</v>
      </c>
      <c r="J2606" s="12" t="s">
        <v>33</v>
      </c>
      <c r="K2606" s="12" t="s">
        <v>34</v>
      </c>
      <c r="L2606" s="13">
        <v>35.299999999999997</v>
      </c>
      <c r="M2606" s="13">
        <v>25</v>
      </c>
      <c r="N2606" s="13">
        <f t="shared" si="436"/>
        <v>1.4119999999999999</v>
      </c>
      <c r="O2606" s="13">
        <v>45</v>
      </c>
      <c r="P2606" s="13" t="s">
        <v>30</v>
      </c>
      <c r="Q2606" s="13">
        <v>0</v>
      </c>
      <c r="R2606" s="70">
        <f>+L2606*O2606</f>
        <v>1588.4999999999998</v>
      </c>
      <c r="S2606" s="70">
        <v>0</v>
      </c>
      <c r="T2606" s="70">
        <f>+L2606*S2606</f>
        <v>0</v>
      </c>
      <c r="U2606" s="70">
        <f t="shared" si="439"/>
        <v>1588.4999999999998</v>
      </c>
      <c r="V2606" s="70">
        <f>+U2606*1</f>
        <v>1588.4999999999998</v>
      </c>
      <c r="W2606" s="70">
        <f t="shared" si="440"/>
        <v>0</v>
      </c>
      <c r="X2606" s="70">
        <v>0</v>
      </c>
      <c r="Y2606" s="14">
        <f t="shared" si="425"/>
        <v>0</v>
      </c>
      <c r="Z2606" s="11" t="s">
        <v>26</v>
      </c>
      <c r="AA2606" s="12" t="s">
        <v>31</v>
      </c>
    </row>
    <row r="2607" spans="1:27" x14ac:dyDescent="0.25">
      <c r="A2607" s="10">
        <v>45695</v>
      </c>
      <c r="B2607" s="69">
        <v>3.5914351851851822E-2</v>
      </c>
      <c r="C2607" s="11" t="s">
        <v>4980</v>
      </c>
      <c r="D2607" s="11">
        <v>17143</v>
      </c>
      <c r="E2607" s="11" t="s">
        <v>519</v>
      </c>
      <c r="F2607" s="11" t="s">
        <v>26</v>
      </c>
      <c r="G2607" s="11">
        <v>21771</v>
      </c>
      <c r="H2607" s="12" t="s">
        <v>4448</v>
      </c>
      <c r="I2607" s="12" t="s">
        <v>27</v>
      </c>
      <c r="J2607" s="12" t="s">
        <v>42</v>
      </c>
      <c r="K2607" s="12" t="s">
        <v>43</v>
      </c>
      <c r="L2607" s="13">
        <v>44</v>
      </c>
      <c r="M2607" s="13">
        <v>25</v>
      </c>
      <c r="N2607" s="13">
        <f t="shared" si="436"/>
        <v>1.76</v>
      </c>
      <c r="O2607" s="13">
        <v>42.5</v>
      </c>
      <c r="P2607" s="13"/>
      <c r="Q2607" s="13">
        <v>0</v>
      </c>
      <c r="R2607" s="70">
        <f>+L2607*O2607</f>
        <v>1870</v>
      </c>
      <c r="S2607" s="70">
        <v>0</v>
      </c>
      <c r="T2607" s="70">
        <f>+L2607*S2607</f>
        <v>0</v>
      </c>
      <c r="U2607" s="70">
        <f>+R2607-T2607</f>
        <v>1870</v>
      </c>
      <c r="V2607" s="70">
        <f>+U2607*0.75</f>
        <v>1402.5</v>
      </c>
      <c r="W2607" s="70">
        <f>+U2607-V2607</f>
        <v>467.5</v>
      </c>
      <c r="X2607" s="70">
        <v>0</v>
      </c>
      <c r="Y2607" s="14">
        <f t="shared" si="425"/>
        <v>0</v>
      </c>
      <c r="Z2607" s="11" t="s">
        <v>26</v>
      </c>
      <c r="AA2607" s="12" t="s">
        <v>31</v>
      </c>
    </row>
    <row r="2608" spans="1:27" x14ac:dyDescent="0.25">
      <c r="A2608" s="10">
        <v>45695</v>
      </c>
      <c r="B2608" s="69">
        <v>3.6666666666666625E-2</v>
      </c>
      <c r="C2608" s="11" t="s">
        <v>4981</v>
      </c>
      <c r="D2608" s="11">
        <v>17144</v>
      </c>
      <c r="E2608" s="11" t="s">
        <v>552</v>
      </c>
      <c r="F2608" s="11" t="s">
        <v>26</v>
      </c>
      <c r="G2608" s="11">
        <v>44155</v>
      </c>
      <c r="H2608" s="12" t="s">
        <v>4423</v>
      </c>
      <c r="I2608" s="12" t="s">
        <v>27</v>
      </c>
      <c r="J2608" s="12" t="s">
        <v>33</v>
      </c>
      <c r="K2608" s="12" t="s">
        <v>34</v>
      </c>
      <c r="L2608" s="13">
        <v>37.04</v>
      </c>
      <c r="M2608" s="13">
        <v>25</v>
      </c>
      <c r="N2608" s="13">
        <f t="shared" si="436"/>
        <v>1.4816</v>
      </c>
      <c r="O2608" s="13">
        <v>45</v>
      </c>
      <c r="P2608" s="13" t="s">
        <v>30</v>
      </c>
      <c r="Q2608" s="13">
        <v>0</v>
      </c>
      <c r="R2608" s="70">
        <f>+L2608*O2608</f>
        <v>1666.8</v>
      </c>
      <c r="S2608" s="70">
        <v>0</v>
      </c>
      <c r="T2608" s="70">
        <f>+L2608*S2608</f>
        <v>0</v>
      </c>
      <c r="U2608" s="70">
        <f t="shared" ref="U2608" si="441">+R2608-T2608</f>
        <v>1666.8</v>
      </c>
      <c r="V2608" s="70">
        <f>+U2608*1</f>
        <v>1666.8</v>
      </c>
      <c r="W2608" s="70">
        <f t="shared" ref="W2608" si="442">+U2608-V2608</f>
        <v>0</v>
      </c>
      <c r="X2608" s="70">
        <v>0</v>
      </c>
      <c r="Y2608" s="14">
        <f t="shared" si="425"/>
        <v>0</v>
      </c>
      <c r="Z2608" s="11" t="s">
        <v>26</v>
      </c>
      <c r="AA2608" s="12" t="s">
        <v>31</v>
      </c>
    </row>
    <row r="2609" spans="1:27" x14ac:dyDescent="0.25">
      <c r="A2609" s="10">
        <v>45695</v>
      </c>
      <c r="B2609" s="69">
        <v>3.5844907407407423E-2</v>
      </c>
      <c r="C2609" s="11" t="s">
        <v>4982</v>
      </c>
      <c r="D2609" s="11">
        <v>17145</v>
      </c>
      <c r="E2609" s="11" t="s">
        <v>539</v>
      </c>
      <c r="F2609" s="11" t="s">
        <v>26</v>
      </c>
      <c r="G2609" s="11" t="s">
        <v>26</v>
      </c>
      <c r="H2609" s="12" t="s">
        <v>146</v>
      </c>
      <c r="I2609" s="12" t="s">
        <v>27</v>
      </c>
      <c r="J2609" s="12" t="s">
        <v>33</v>
      </c>
      <c r="K2609" s="12" t="s">
        <v>34</v>
      </c>
      <c r="L2609" s="13">
        <v>44.88</v>
      </c>
      <c r="M2609" s="13">
        <v>31</v>
      </c>
      <c r="N2609" s="13">
        <f t="shared" si="436"/>
        <v>1.447741935483871</v>
      </c>
      <c r="O2609" s="13">
        <v>91</v>
      </c>
      <c r="P2609" s="13" t="s">
        <v>30</v>
      </c>
      <c r="Q2609" s="13">
        <v>0</v>
      </c>
      <c r="R2609" s="70">
        <f>+L2609*O2609</f>
        <v>4084.0800000000004</v>
      </c>
      <c r="S2609" s="70">
        <v>40</v>
      </c>
      <c r="T2609" s="70">
        <f>L2609*S2609</f>
        <v>1795.2</v>
      </c>
      <c r="U2609" s="70">
        <f t="shared" ref="U2609" si="443">R2609-T2609</f>
        <v>2288.88</v>
      </c>
      <c r="V2609" s="70">
        <f>U2609*1</f>
        <v>2288.88</v>
      </c>
      <c r="W2609" s="70">
        <f t="shared" ref="W2609" si="444">U2609-V2609</f>
        <v>0</v>
      </c>
      <c r="X2609" s="70">
        <f>L2609*37</f>
        <v>1660.5600000000002</v>
      </c>
      <c r="Y2609" s="71">
        <f>+T2609-X2609</f>
        <v>134.63999999999987</v>
      </c>
      <c r="Z2609" s="12" t="s">
        <v>41</v>
      </c>
      <c r="AA2609" s="12" t="s">
        <v>79</v>
      </c>
    </row>
    <row r="2610" spans="1:27" x14ac:dyDescent="0.25">
      <c r="A2610" s="10">
        <v>45695</v>
      </c>
      <c r="B2610" s="69">
        <v>3.4594907407407449E-2</v>
      </c>
      <c r="C2610" s="11" t="s">
        <v>4983</v>
      </c>
      <c r="D2610" s="11">
        <v>17146</v>
      </c>
      <c r="E2610" s="11" t="s">
        <v>246</v>
      </c>
      <c r="F2610" s="11" t="s">
        <v>26</v>
      </c>
      <c r="G2610" s="11" t="s">
        <v>26</v>
      </c>
      <c r="H2610" s="12" t="s">
        <v>4422</v>
      </c>
      <c r="I2610" s="12" t="s">
        <v>27</v>
      </c>
      <c r="J2610" s="12" t="s">
        <v>42</v>
      </c>
      <c r="K2610" s="12" t="s">
        <v>43</v>
      </c>
      <c r="L2610" s="13">
        <v>44.42</v>
      </c>
      <c r="M2610" s="13">
        <v>25</v>
      </c>
      <c r="N2610" s="13">
        <f t="shared" si="436"/>
        <v>1.7768000000000002</v>
      </c>
      <c r="O2610" s="13">
        <v>83</v>
      </c>
      <c r="P2610" s="13" t="s">
        <v>30</v>
      </c>
      <c r="Q2610" s="13">
        <v>0</v>
      </c>
      <c r="R2610" s="70">
        <f>L2610*O2610</f>
        <v>3686.86</v>
      </c>
      <c r="S2610" s="70">
        <v>38</v>
      </c>
      <c r="T2610" s="70">
        <f>L2610*S2610</f>
        <v>1687.96</v>
      </c>
      <c r="U2610" s="70">
        <f>R2610-T2610</f>
        <v>1998.9</v>
      </c>
      <c r="V2610" s="70">
        <f>U2610*1</f>
        <v>1998.9</v>
      </c>
      <c r="W2610" s="70">
        <f>U2610-V2610</f>
        <v>0</v>
      </c>
      <c r="X2610" s="70">
        <f>L2610*37</f>
        <v>1643.54</v>
      </c>
      <c r="Y2610" s="71">
        <f>+T2610-X2610</f>
        <v>44.420000000000073</v>
      </c>
      <c r="Z2610" s="12" t="s">
        <v>41</v>
      </c>
      <c r="AA2610" s="12" t="s">
        <v>78</v>
      </c>
    </row>
    <row r="2611" spans="1:27" x14ac:dyDescent="0.25">
      <c r="A2611" s="10">
        <v>45695</v>
      </c>
      <c r="B2611" s="69">
        <v>3.313657407407411E-2</v>
      </c>
      <c r="C2611" s="11" t="s">
        <v>4984</v>
      </c>
      <c r="D2611" s="11">
        <v>17147</v>
      </c>
      <c r="E2611" s="11" t="s">
        <v>44</v>
      </c>
      <c r="F2611" s="11" t="s">
        <v>26</v>
      </c>
      <c r="G2611" s="11">
        <v>1594</v>
      </c>
      <c r="H2611" s="12" t="s">
        <v>45</v>
      </c>
      <c r="I2611" s="12" t="s">
        <v>27</v>
      </c>
      <c r="J2611" s="12" t="s">
        <v>42</v>
      </c>
      <c r="K2611" s="12" t="s">
        <v>43</v>
      </c>
      <c r="L2611" s="13">
        <v>41.1</v>
      </c>
      <c r="M2611" s="13">
        <v>25</v>
      </c>
      <c r="N2611" s="13">
        <f t="shared" si="436"/>
        <v>1.6440000000000001</v>
      </c>
      <c r="O2611" s="13" t="s">
        <v>30</v>
      </c>
      <c r="P2611" s="13">
        <v>62</v>
      </c>
      <c r="Q2611" s="13">
        <v>0</v>
      </c>
      <c r="R2611" s="70">
        <f>M2611*P2611</f>
        <v>1550</v>
      </c>
      <c r="S2611" s="70">
        <v>0</v>
      </c>
      <c r="T2611" s="70">
        <f>M2611*S2611</f>
        <v>0</v>
      </c>
      <c r="U2611" s="70">
        <f>R2611-T2611</f>
        <v>1550</v>
      </c>
      <c r="V2611" s="70">
        <f>U2611*0</f>
        <v>0</v>
      </c>
      <c r="W2611" s="70">
        <f>U2611-V2611</f>
        <v>1550</v>
      </c>
      <c r="X2611" s="70">
        <v>0</v>
      </c>
      <c r="Y2611" s="14">
        <f t="shared" ref="Y2611:Y2613" si="445">T2611-X2611</f>
        <v>0</v>
      </c>
      <c r="Z2611" s="11" t="s">
        <v>26</v>
      </c>
      <c r="AA2611" s="12" t="s">
        <v>31</v>
      </c>
    </row>
    <row r="2612" spans="1:27" x14ac:dyDescent="0.25">
      <c r="A2612" s="10">
        <v>45695</v>
      </c>
      <c r="B2612" s="69">
        <v>3.5844907407407367E-2</v>
      </c>
      <c r="C2612" s="11" t="s">
        <v>4985</v>
      </c>
      <c r="D2612" s="11">
        <v>17148</v>
      </c>
      <c r="E2612" s="11" t="s">
        <v>49</v>
      </c>
      <c r="F2612" s="11" t="s">
        <v>26</v>
      </c>
      <c r="G2612" s="11">
        <v>1592</v>
      </c>
      <c r="H2612" s="12" t="s">
        <v>45</v>
      </c>
      <c r="I2612" s="12" t="s">
        <v>27</v>
      </c>
      <c r="J2612" s="12" t="s">
        <v>28</v>
      </c>
      <c r="K2612" s="12" t="s">
        <v>29</v>
      </c>
      <c r="L2612" s="13">
        <v>38.96</v>
      </c>
      <c r="M2612" s="13">
        <v>25</v>
      </c>
      <c r="N2612" s="13">
        <f t="shared" si="436"/>
        <v>1.5584</v>
      </c>
      <c r="O2612" s="13" t="s">
        <v>30</v>
      </c>
      <c r="P2612" s="13">
        <v>40</v>
      </c>
      <c r="Q2612" s="13">
        <v>0</v>
      </c>
      <c r="R2612" s="70">
        <f>M2612*P2612</f>
        <v>1000</v>
      </c>
      <c r="S2612" s="70">
        <v>0</v>
      </c>
      <c r="T2612" s="70">
        <f>M2612*S2612</f>
        <v>0</v>
      </c>
      <c r="U2612" s="70">
        <f>R2612-T2612</f>
        <v>1000</v>
      </c>
      <c r="V2612" s="70">
        <f>U2612*0</f>
        <v>0</v>
      </c>
      <c r="W2612" s="70">
        <f>U2612-V2612</f>
        <v>1000</v>
      </c>
      <c r="X2612" s="70">
        <v>0</v>
      </c>
      <c r="Y2612" s="14">
        <f t="shared" si="445"/>
        <v>0</v>
      </c>
      <c r="Z2612" s="11" t="s">
        <v>26</v>
      </c>
      <c r="AA2612" s="12" t="s">
        <v>31</v>
      </c>
    </row>
    <row r="2613" spans="1:27" x14ac:dyDescent="0.25">
      <c r="A2613" s="10">
        <v>45695</v>
      </c>
      <c r="B2613" s="69">
        <v>3.6793981481481441E-2</v>
      </c>
      <c r="C2613" s="11" t="s">
        <v>4986</v>
      </c>
      <c r="D2613" s="11">
        <v>17149</v>
      </c>
      <c r="E2613" s="11" t="s">
        <v>53</v>
      </c>
      <c r="F2613" s="11" t="s">
        <v>26</v>
      </c>
      <c r="G2613" s="11">
        <v>3799</v>
      </c>
      <c r="H2613" s="12" t="s">
        <v>41</v>
      </c>
      <c r="I2613" s="12" t="s">
        <v>27</v>
      </c>
      <c r="J2613" s="12" t="s">
        <v>42</v>
      </c>
      <c r="K2613" s="12" t="s">
        <v>43</v>
      </c>
      <c r="L2613" s="13">
        <v>44.08</v>
      </c>
      <c r="M2613" s="13">
        <v>25</v>
      </c>
      <c r="N2613" s="13">
        <f t="shared" si="436"/>
        <v>1.7631999999999999</v>
      </c>
      <c r="O2613" s="13" t="s">
        <v>30</v>
      </c>
      <c r="P2613" s="13">
        <v>64</v>
      </c>
      <c r="Q2613" s="13">
        <v>0</v>
      </c>
      <c r="R2613" s="70">
        <f>M2613*P2613</f>
        <v>1600</v>
      </c>
      <c r="S2613" s="70">
        <v>0</v>
      </c>
      <c r="T2613" s="70">
        <f>M2613*S2613</f>
        <v>0</v>
      </c>
      <c r="U2613" s="70">
        <f>+R2613-T2613</f>
        <v>1600</v>
      </c>
      <c r="V2613" s="70">
        <f t="shared" ref="V2613" si="446">+U2613*0</f>
        <v>0</v>
      </c>
      <c r="W2613" s="70">
        <f>+U2613-V2613</f>
        <v>1600</v>
      </c>
      <c r="X2613" s="70">
        <v>0</v>
      </c>
      <c r="Y2613" s="14">
        <f t="shared" si="445"/>
        <v>0</v>
      </c>
      <c r="Z2613" s="11" t="s">
        <v>26</v>
      </c>
      <c r="AA2613" s="12" t="s">
        <v>31</v>
      </c>
    </row>
    <row r="2614" spans="1:27" x14ac:dyDescent="0.25">
      <c r="A2614" s="10">
        <v>45695</v>
      </c>
      <c r="B2614" s="69">
        <v>2.2326388888888882E-2</v>
      </c>
      <c r="C2614" s="11" t="s">
        <v>4987</v>
      </c>
      <c r="D2614" s="11">
        <v>17150</v>
      </c>
      <c r="E2614" s="11" t="s">
        <v>520</v>
      </c>
      <c r="F2614" s="11" t="s">
        <v>26</v>
      </c>
      <c r="G2614" s="11" t="s">
        <v>26</v>
      </c>
      <c r="H2614" s="12" t="s">
        <v>4422</v>
      </c>
      <c r="I2614" s="12" t="s">
        <v>27</v>
      </c>
      <c r="J2614" s="12" t="s">
        <v>33</v>
      </c>
      <c r="K2614" s="12" t="s">
        <v>34</v>
      </c>
      <c r="L2614" s="13">
        <v>43.48</v>
      </c>
      <c r="M2614" s="13">
        <v>30</v>
      </c>
      <c r="N2614" s="13">
        <f t="shared" si="436"/>
        <v>1.4493333333333331</v>
      </c>
      <c r="O2614" s="13">
        <v>85</v>
      </c>
      <c r="P2614" s="13" t="s">
        <v>30</v>
      </c>
      <c r="Q2614" s="13">
        <v>0</v>
      </c>
      <c r="R2614" s="70">
        <f>L2614*O2614</f>
        <v>3695.7999999999997</v>
      </c>
      <c r="S2614" s="70">
        <v>38</v>
      </c>
      <c r="T2614" s="70">
        <f>L2614*S2614</f>
        <v>1652.2399999999998</v>
      </c>
      <c r="U2614" s="70">
        <f>R2614-T2614</f>
        <v>2043.56</v>
      </c>
      <c r="V2614" s="70">
        <f>U2614*1</f>
        <v>2043.56</v>
      </c>
      <c r="W2614" s="70">
        <f>U2614-V2614</f>
        <v>0</v>
      </c>
      <c r="X2614" s="70">
        <f t="shared" ref="X2614:X2615" si="447">L2614*36</f>
        <v>1565.28</v>
      </c>
      <c r="Y2614" s="71">
        <f>+T2614-X2614</f>
        <v>86.959999999999809</v>
      </c>
      <c r="Z2614" s="12" t="s">
        <v>140</v>
      </c>
      <c r="AA2614" s="12" t="s">
        <v>78</v>
      </c>
    </row>
    <row r="2615" spans="1:27" x14ac:dyDescent="0.25">
      <c r="A2615" s="10">
        <v>45695</v>
      </c>
      <c r="B2615" s="69">
        <v>4.1851851851851807E-2</v>
      </c>
      <c r="C2615" s="11" t="s">
        <v>4988</v>
      </c>
      <c r="D2615" s="11">
        <v>17151</v>
      </c>
      <c r="E2615" s="11" t="s">
        <v>98</v>
      </c>
      <c r="F2615" s="11" t="s">
        <v>26</v>
      </c>
      <c r="G2615" s="11" t="s">
        <v>26</v>
      </c>
      <c r="H2615" s="12" t="s">
        <v>4422</v>
      </c>
      <c r="I2615" s="12" t="s">
        <v>27</v>
      </c>
      <c r="J2615" s="12" t="s">
        <v>42</v>
      </c>
      <c r="K2615" s="12" t="s">
        <v>43</v>
      </c>
      <c r="L2615" s="13">
        <v>44</v>
      </c>
      <c r="M2615" s="13">
        <v>25</v>
      </c>
      <c r="N2615" s="13">
        <f t="shared" si="436"/>
        <v>1.76</v>
      </c>
      <c r="O2615" s="13">
        <v>83</v>
      </c>
      <c r="P2615" s="13" t="s">
        <v>30</v>
      </c>
      <c r="Q2615" s="13">
        <v>0</v>
      </c>
      <c r="R2615" s="70">
        <f>L2615*O2615</f>
        <v>3652</v>
      </c>
      <c r="S2615" s="70">
        <v>38</v>
      </c>
      <c r="T2615" s="70">
        <f>L2615*S2615</f>
        <v>1672</v>
      </c>
      <c r="U2615" s="70">
        <f>R2615-T2615</f>
        <v>1980</v>
      </c>
      <c r="V2615" s="70">
        <f>U2615*1</f>
        <v>1980</v>
      </c>
      <c r="W2615" s="70">
        <f>U2615-V2615</f>
        <v>0</v>
      </c>
      <c r="X2615" s="70">
        <f t="shared" si="447"/>
        <v>1584</v>
      </c>
      <c r="Y2615" s="71">
        <f>+T2615-X2615</f>
        <v>88</v>
      </c>
      <c r="Z2615" s="12" t="s">
        <v>140</v>
      </c>
      <c r="AA2615" s="12" t="s">
        <v>78</v>
      </c>
    </row>
    <row r="2616" spans="1:27" x14ac:dyDescent="0.25">
      <c r="A2616" s="10">
        <v>45695</v>
      </c>
      <c r="B2616" s="69">
        <v>4.4606481481481497E-2</v>
      </c>
      <c r="C2616" s="11" t="s">
        <v>4989</v>
      </c>
      <c r="D2616" s="11">
        <v>17152</v>
      </c>
      <c r="E2616" s="11" t="s">
        <v>559</v>
      </c>
      <c r="F2616" s="11" t="s">
        <v>26</v>
      </c>
      <c r="G2616" s="11">
        <v>2592</v>
      </c>
      <c r="H2616" s="12" t="s">
        <v>41</v>
      </c>
      <c r="I2616" s="12" t="s">
        <v>55</v>
      </c>
      <c r="J2616" s="12" t="s">
        <v>55</v>
      </c>
      <c r="K2616" s="12" t="s">
        <v>56</v>
      </c>
      <c r="L2616" s="13">
        <v>34.4</v>
      </c>
      <c r="M2616" s="13">
        <v>20</v>
      </c>
      <c r="N2616" s="13">
        <f t="shared" si="436"/>
        <v>1.72</v>
      </c>
      <c r="O2616" s="13" t="s">
        <v>30</v>
      </c>
      <c r="P2616" s="13">
        <v>24</v>
      </c>
      <c r="Q2616" s="13">
        <v>0</v>
      </c>
      <c r="R2616" s="70">
        <f>+M2616*P2616</f>
        <v>480</v>
      </c>
      <c r="S2616" s="70">
        <v>0</v>
      </c>
      <c r="T2616" s="70">
        <f>+M2616*S2616</f>
        <v>0</v>
      </c>
      <c r="U2616" s="70">
        <f t="shared" ref="U2616:U2617" si="448">+R2616-T2616</f>
        <v>480</v>
      </c>
      <c r="V2616" s="70">
        <f>+U2616*0</f>
        <v>0</v>
      </c>
      <c r="W2616" s="70">
        <f t="shared" ref="W2616:W2617" si="449">+U2616-V2616</f>
        <v>480</v>
      </c>
      <c r="X2616" s="70">
        <v>0</v>
      </c>
      <c r="Y2616" s="14">
        <f t="shared" ref="Y2616:Y2618" si="450">T2616-X2616</f>
        <v>0</v>
      </c>
      <c r="Z2616" s="11" t="s">
        <v>26</v>
      </c>
      <c r="AA2616" s="12" t="s">
        <v>31</v>
      </c>
    </row>
    <row r="2617" spans="1:27" x14ac:dyDescent="0.25">
      <c r="A2617" s="10">
        <v>45695</v>
      </c>
      <c r="B2617" s="69">
        <v>2.0520833333333321E-2</v>
      </c>
      <c r="C2617" s="11" t="s">
        <v>4990</v>
      </c>
      <c r="D2617" s="11">
        <v>17153</v>
      </c>
      <c r="E2617" s="11" t="s">
        <v>180</v>
      </c>
      <c r="F2617" s="11" t="s">
        <v>26</v>
      </c>
      <c r="G2617" s="11" t="s">
        <v>35</v>
      </c>
      <c r="H2617" s="12" t="s">
        <v>36</v>
      </c>
      <c r="I2617" s="12" t="s">
        <v>55</v>
      </c>
      <c r="J2617" s="12" t="s">
        <v>55</v>
      </c>
      <c r="K2617" s="12" t="s">
        <v>56</v>
      </c>
      <c r="L2617" s="13">
        <v>14.24</v>
      </c>
      <c r="M2617" s="13">
        <v>9</v>
      </c>
      <c r="N2617" s="13">
        <f t="shared" si="436"/>
        <v>1.5822222222222222</v>
      </c>
      <c r="O2617" s="13">
        <v>20</v>
      </c>
      <c r="P2617" s="13" t="s">
        <v>30</v>
      </c>
      <c r="Q2617" s="13">
        <v>0</v>
      </c>
      <c r="R2617" s="70">
        <f>(L2617*O2617)-Q2617</f>
        <v>284.8</v>
      </c>
      <c r="S2617" s="70">
        <v>0</v>
      </c>
      <c r="T2617" s="70">
        <f t="shared" ref="T2617" si="451">+L2617*S2617</f>
        <v>0</v>
      </c>
      <c r="U2617" s="70">
        <f t="shared" si="448"/>
        <v>284.8</v>
      </c>
      <c r="V2617" s="70">
        <f t="shared" ref="V2617" si="452">+U2617*0</f>
        <v>0</v>
      </c>
      <c r="W2617" s="70">
        <f t="shared" si="449"/>
        <v>284.8</v>
      </c>
      <c r="X2617" s="70">
        <v>0</v>
      </c>
      <c r="Y2617" s="14">
        <f t="shared" si="450"/>
        <v>0</v>
      </c>
      <c r="Z2617" s="11" t="s">
        <v>26</v>
      </c>
      <c r="AA2617" s="12" t="s">
        <v>31</v>
      </c>
    </row>
    <row r="2618" spans="1:27" x14ac:dyDescent="0.25">
      <c r="A2618" s="10">
        <v>45695</v>
      </c>
      <c r="B2618" s="69">
        <v>1.3842592592592573E-2</v>
      </c>
      <c r="C2618" s="11" t="s">
        <v>4991</v>
      </c>
      <c r="D2618" s="11">
        <v>17154</v>
      </c>
      <c r="E2618" s="11" t="s">
        <v>68</v>
      </c>
      <c r="F2618" s="11" t="s">
        <v>26</v>
      </c>
      <c r="G2618" s="11">
        <v>76367</v>
      </c>
      <c r="H2618" s="12" t="s">
        <v>4448</v>
      </c>
      <c r="I2618" s="12" t="s">
        <v>55</v>
      </c>
      <c r="J2618" s="12" t="s">
        <v>55</v>
      </c>
      <c r="K2618" s="12" t="s">
        <v>56</v>
      </c>
      <c r="L2618" s="13">
        <v>39.380000000000003</v>
      </c>
      <c r="M2618" s="13">
        <v>25</v>
      </c>
      <c r="N2618" s="13">
        <f t="shared" si="436"/>
        <v>1.5752000000000002</v>
      </c>
      <c r="O2618" s="13">
        <v>15</v>
      </c>
      <c r="P2618" s="13" t="s">
        <v>30</v>
      </c>
      <c r="Q2618" s="13">
        <v>0</v>
      </c>
      <c r="R2618" s="70">
        <f>+L2618*O2618</f>
        <v>590.70000000000005</v>
      </c>
      <c r="S2618" s="70">
        <v>0</v>
      </c>
      <c r="T2618" s="70">
        <f>+L2618*S2618</f>
        <v>0</v>
      </c>
      <c r="U2618" s="70">
        <f>+R2618-T2618</f>
        <v>590.70000000000005</v>
      </c>
      <c r="V2618" s="70">
        <f>+U2618*0.75</f>
        <v>443.02500000000003</v>
      </c>
      <c r="W2618" s="70">
        <f>+U2618-V2618</f>
        <v>147.67500000000001</v>
      </c>
      <c r="X2618" s="70">
        <v>0</v>
      </c>
      <c r="Y2618" s="14">
        <f t="shared" si="450"/>
        <v>0</v>
      </c>
      <c r="Z2618" s="11" t="s">
        <v>26</v>
      </c>
      <c r="AA2618" s="12" t="s">
        <v>31</v>
      </c>
    </row>
    <row r="2619" spans="1:27" x14ac:dyDescent="0.25">
      <c r="A2619" s="10">
        <v>45695</v>
      </c>
      <c r="B2619" s="69">
        <v>2.7407407407407436E-2</v>
      </c>
      <c r="C2619" s="11" t="s">
        <v>4992</v>
      </c>
      <c r="D2619" s="11">
        <v>17155</v>
      </c>
      <c r="E2619" s="11" t="s">
        <v>240</v>
      </c>
      <c r="F2619" s="11" t="s">
        <v>26</v>
      </c>
      <c r="G2619" s="11" t="s">
        <v>26</v>
      </c>
      <c r="H2619" s="12" t="s">
        <v>146</v>
      </c>
      <c r="I2619" s="12" t="s">
        <v>27</v>
      </c>
      <c r="J2619" s="12" t="s">
        <v>42</v>
      </c>
      <c r="K2619" s="12" t="s">
        <v>43</v>
      </c>
      <c r="L2619" s="13">
        <v>43.38</v>
      </c>
      <c r="M2619" s="13">
        <v>25</v>
      </c>
      <c r="N2619" s="13">
        <f t="shared" si="436"/>
        <v>1.7352000000000001</v>
      </c>
      <c r="O2619" s="13">
        <v>91</v>
      </c>
      <c r="P2619" s="13" t="s">
        <v>30</v>
      </c>
      <c r="Q2619" s="13">
        <v>0</v>
      </c>
      <c r="R2619" s="70">
        <f>+L2619*O2619</f>
        <v>3947.5800000000004</v>
      </c>
      <c r="S2619" s="70">
        <v>40</v>
      </c>
      <c r="T2619" s="70">
        <f>L2619*S2619</f>
        <v>1735.2</v>
      </c>
      <c r="U2619" s="70">
        <f t="shared" ref="U2619" si="453">R2619-T2619</f>
        <v>2212.38</v>
      </c>
      <c r="V2619" s="70">
        <f>U2619*1</f>
        <v>2212.38</v>
      </c>
      <c r="W2619" s="70">
        <f t="shared" ref="W2619" si="454">U2619-V2619</f>
        <v>0</v>
      </c>
      <c r="X2619" s="70">
        <f>L2619*37</f>
        <v>1605.0600000000002</v>
      </c>
      <c r="Y2619" s="71">
        <f>+T2619-X2619</f>
        <v>130.13999999999987</v>
      </c>
      <c r="Z2619" s="12" t="s">
        <v>41</v>
      </c>
      <c r="AA2619" s="12" t="s">
        <v>79</v>
      </c>
    </row>
    <row r="2620" spans="1:27" x14ac:dyDescent="0.25">
      <c r="A2620" s="10">
        <v>45695</v>
      </c>
      <c r="B2620" s="69">
        <v>8.3449074074073981E-3</v>
      </c>
      <c r="C2620" s="11" t="s">
        <v>4993</v>
      </c>
      <c r="D2620" s="11">
        <v>17156</v>
      </c>
      <c r="E2620" s="11" t="s">
        <v>490</v>
      </c>
      <c r="F2620" s="11" t="s">
        <v>26</v>
      </c>
      <c r="G2620" s="11">
        <v>22112</v>
      </c>
      <c r="H2620" s="12" t="s">
        <v>4448</v>
      </c>
      <c r="I2620" s="12" t="s">
        <v>27</v>
      </c>
      <c r="J2620" s="12" t="s">
        <v>42</v>
      </c>
      <c r="K2620" s="12" t="s">
        <v>43</v>
      </c>
      <c r="L2620" s="13">
        <v>45.42</v>
      </c>
      <c r="M2620" s="13">
        <v>28</v>
      </c>
      <c r="N2620" s="13">
        <f t="shared" si="436"/>
        <v>1.6221428571428571</v>
      </c>
      <c r="O2620" s="13">
        <v>42.5</v>
      </c>
      <c r="P2620" s="13"/>
      <c r="Q2620" s="13">
        <v>0</v>
      </c>
      <c r="R2620" s="70">
        <f>+L2620*O2620</f>
        <v>1930.3500000000001</v>
      </c>
      <c r="S2620" s="70">
        <v>0</v>
      </c>
      <c r="T2620" s="70">
        <f>+L2620*S2620</f>
        <v>0</v>
      </c>
      <c r="U2620" s="70">
        <f>+R2620-T2620</f>
        <v>1930.3500000000001</v>
      </c>
      <c r="V2620" s="70">
        <f>+U2620*0.75</f>
        <v>1447.7625</v>
      </c>
      <c r="W2620" s="70">
        <f>+U2620-V2620</f>
        <v>482.58750000000009</v>
      </c>
      <c r="X2620" s="70">
        <v>0</v>
      </c>
      <c r="Y2620" s="14">
        <f t="shared" ref="Y2620" si="455">T2620-X2620</f>
        <v>0</v>
      </c>
      <c r="Z2620" s="11" t="s">
        <v>26</v>
      </c>
      <c r="AA2620" s="12" t="s">
        <v>31</v>
      </c>
    </row>
    <row r="2621" spans="1:27" x14ac:dyDescent="0.25">
      <c r="A2621" s="10">
        <v>45695</v>
      </c>
      <c r="B2621" s="69">
        <v>1.5289351851851818E-2</v>
      </c>
      <c r="C2621" s="11" t="s">
        <v>4994</v>
      </c>
      <c r="D2621" s="11">
        <v>17157</v>
      </c>
      <c r="E2621" s="11" t="s">
        <v>63</v>
      </c>
      <c r="F2621" s="11" t="s">
        <v>26</v>
      </c>
      <c r="G2621" s="11" t="s">
        <v>26</v>
      </c>
      <c r="H2621" s="12" t="s">
        <v>4422</v>
      </c>
      <c r="I2621" s="12" t="s">
        <v>27</v>
      </c>
      <c r="J2621" s="12" t="s">
        <v>33</v>
      </c>
      <c r="K2621" s="12" t="s">
        <v>34</v>
      </c>
      <c r="L2621" s="13">
        <v>42.94</v>
      </c>
      <c r="M2621" s="13">
        <v>29</v>
      </c>
      <c r="N2621" s="13">
        <f t="shared" si="436"/>
        <v>1.4806896551724138</v>
      </c>
      <c r="O2621" s="13">
        <v>85</v>
      </c>
      <c r="P2621" s="13" t="s">
        <v>30</v>
      </c>
      <c r="Q2621" s="13">
        <v>0</v>
      </c>
      <c r="R2621" s="70">
        <f>L2621*O2621</f>
        <v>3649.8999999999996</v>
      </c>
      <c r="S2621" s="70">
        <v>38</v>
      </c>
      <c r="T2621" s="70">
        <f>L2621*S2621</f>
        <v>1631.7199999999998</v>
      </c>
      <c r="U2621" s="70">
        <f>R2621-T2621</f>
        <v>2018.1799999999998</v>
      </c>
      <c r="V2621" s="70">
        <f>U2621*1</f>
        <v>2018.1799999999998</v>
      </c>
      <c r="W2621" s="70">
        <f>U2621-V2621</f>
        <v>0</v>
      </c>
      <c r="X2621" s="70">
        <f>L2621*36</f>
        <v>1545.84</v>
      </c>
      <c r="Y2621" s="71">
        <f>+T2621-X2621</f>
        <v>85.879999999999882</v>
      </c>
      <c r="Z2621" s="12" t="s">
        <v>140</v>
      </c>
      <c r="AA2621" s="12" t="s">
        <v>78</v>
      </c>
    </row>
    <row r="2622" spans="1:27" x14ac:dyDescent="0.25">
      <c r="A2622" s="10">
        <v>45695</v>
      </c>
      <c r="B2622" s="69">
        <v>0.1040740740740741</v>
      </c>
      <c r="C2622" s="11" t="s">
        <v>4995</v>
      </c>
      <c r="D2622" s="11">
        <v>17158</v>
      </c>
      <c r="E2622" s="11" t="s">
        <v>568</v>
      </c>
      <c r="F2622" s="11" t="s">
        <v>26</v>
      </c>
      <c r="G2622" s="11">
        <v>112445</v>
      </c>
      <c r="H2622" s="12" t="s">
        <v>4446</v>
      </c>
      <c r="I2622" s="12" t="s">
        <v>27</v>
      </c>
      <c r="J2622" s="12" t="s">
        <v>33</v>
      </c>
      <c r="K2622" s="12" t="s">
        <v>34</v>
      </c>
      <c r="L2622" s="13">
        <v>35.08</v>
      </c>
      <c r="M2622" s="13">
        <v>25</v>
      </c>
      <c r="N2622" s="13">
        <f t="shared" si="436"/>
        <v>1.4032</v>
      </c>
      <c r="O2622" s="13">
        <v>44</v>
      </c>
      <c r="P2622" s="13" t="s">
        <v>30</v>
      </c>
      <c r="Q2622" s="13">
        <v>0</v>
      </c>
      <c r="R2622" s="70">
        <f t="shared" ref="R2622" si="456">+L2622*O2622</f>
        <v>1543.52</v>
      </c>
      <c r="S2622" s="70">
        <v>0</v>
      </c>
      <c r="T2622" s="70">
        <f>+L2622*S2622</f>
        <v>0</v>
      </c>
      <c r="U2622" s="70">
        <f>+R2622-T2622</f>
        <v>1543.52</v>
      </c>
      <c r="V2622" s="70">
        <f>+U2622*1</f>
        <v>1543.52</v>
      </c>
      <c r="W2622" s="70">
        <f>+U2622-V2622</f>
        <v>0</v>
      </c>
      <c r="X2622" s="70">
        <v>0</v>
      </c>
      <c r="Y2622" s="14">
        <f t="shared" ref="Y2622" si="457">T2622-X2622</f>
        <v>0</v>
      </c>
      <c r="Z2622" s="11" t="s">
        <v>26</v>
      </c>
      <c r="AA2622" s="12" t="s">
        <v>31</v>
      </c>
    </row>
    <row r="2623" spans="1:27" x14ac:dyDescent="0.25">
      <c r="A2623" s="10">
        <v>45695</v>
      </c>
      <c r="B2623" s="69">
        <v>7.4108796296296298E-2</v>
      </c>
      <c r="C2623" s="11" t="s">
        <v>4996</v>
      </c>
      <c r="D2623" s="11">
        <v>17159</v>
      </c>
      <c r="E2623" s="11" t="s">
        <v>113</v>
      </c>
      <c r="F2623" s="11" t="s">
        <v>26</v>
      </c>
      <c r="G2623" s="11" t="s">
        <v>26</v>
      </c>
      <c r="H2623" s="12" t="s">
        <v>4424</v>
      </c>
      <c r="I2623" s="12" t="s">
        <v>27</v>
      </c>
      <c r="J2623" s="12" t="s">
        <v>47</v>
      </c>
      <c r="K2623" s="12" t="s">
        <v>48</v>
      </c>
      <c r="L2623" s="13">
        <v>28.64</v>
      </c>
      <c r="M2623" s="13">
        <v>20</v>
      </c>
      <c r="N2623" s="13">
        <f t="shared" si="436"/>
        <v>1.4319999999999999</v>
      </c>
      <c r="O2623" s="13">
        <v>90</v>
      </c>
      <c r="P2623" s="13" t="s">
        <v>30</v>
      </c>
      <c r="Q2623" s="13">
        <v>0</v>
      </c>
      <c r="R2623" s="70">
        <f>L2623*O2623</f>
        <v>2577.6</v>
      </c>
      <c r="S2623" s="70">
        <v>41</v>
      </c>
      <c r="T2623" s="70">
        <f>+L2623*S2623</f>
        <v>1174.24</v>
      </c>
      <c r="U2623" s="70">
        <f t="shared" ref="U2623" si="458">R2623-T2623</f>
        <v>1403.36</v>
      </c>
      <c r="V2623" s="70">
        <f>U2623*1</f>
        <v>1403.36</v>
      </c>
      <c r="W2623" s="70">
        <f t="shared" ref="W2623" si="459">U2623-V2623</f>
        <v>0</v>
      </c>
      <c r="X2623" s="16">
        <f>L2623*40</f>
        <v>1145.5999999999999</v>
      </c>
      <c r="Y2623" s="71">
        <f t="shared" ref="Y2623" si="460">+T2623-X2623</f>
        <v>28.6400000000001</v>
      </c>
      <c r="Z2623" s="12" t="s">
        <v>6328</v>
      </c>
      <c r="AA2623" s="12" t="s">
        <v>746</v>
      </c>
    </row>
    <row r="2624" spans="1:27" x14ac:dyDescent="0.25">
      <c r="A2624" s="10">
        <v>45695</v>
      </c>
      <c r="B2624" s="69">
        <v>2.9050925925925952E-2</v>
      </c>
      <c r="C2624" s="11" t="s">
        <v>4997</v>
      </c>
      <c r="D2624" s="11">
        <v>17160</v>
      </c>
      <c r="E2624" s="11" t="s">
        <v>75</v>
      </c>
      <c r="F2624" s="11" t="s">
        <v>26</v>
      </c>
      <c r="G2624" s="11">
        <v>42046</v>
      </c>
      <c r="H2624" s="12" t="s">
        <v>565</v>
      </c>
      <c r="I2624" s="12" t="s">
        <v>27</v>
      </c>
      <c r="J2624" s="12" t="s">
        <v>42</v>
      </c>
      <c r="K2624" s="12" t="s">
        <v>43</v>
      </c>
      <c r="L2624" s="13">
        <v>42.86</v>
      </c>
      <c r="M2624" s="13">
        <v>25</v>
      </c>
      <c r="N2624" s="13">
        <f t="shared" si="436"/>
        <v>1.7143999999999999</v>
      </c>
      <c r="O2624" s="13"/>
      <c r="P2624" s="13">
        <v>64</v>
      </c>
      <c r="Q2624" s="13">
        <v>0</v>
      </c>
      <c r="R2624" s="70">
        <f>M2624*P2624</f>
        <v>1600</v>
      </c>
      <c r="S2624" s="70">
        <v>0</v>
      </c>
      <c r="T2624" s="70">
        <f>M2624*S2624</f>
        <v>0</v>
      </c>
      <c r="U2624" s="70">
        <f>R2624-T2624</f>
        <v>1600</v>
      </c>
      <c r="V2624" s="70">
        <f>U2624*0</f>
        <v>0</v>
      </c>
      <c r="W2624" s="70">
        <f>+U2624-V2624</f>
        <v>1600</v>
      </c>
      <c r="X2624" s="70">
        <v>0</v>
      </c>
      <c r="Y2624" s="14">
        <f t="shared" ref="Y2624:Y2628" si="461">T2624-X2624</f>
        <v>0</v>
      </c>
      <c r="Z2624" s="11" t="s">
        <v>26</v>
      </c>
      <c r="AA2624" s="12" t="s">
        <v>31</v>
      </c>
    </row>
    <row r="2625" spans="1:27" x14ac:dyDescent="0.25">
      <c r="A2625" s="10">
        <v>45695</v>
      </c>
      <c r="B2625" s="69">
        <v>0.10149305555555549</v>
      </c>
      <c r="C2625" s="11" t="s">
        <v>4998</v>
      </c>
      <c r="D2625" s="11">
        <v>17161</v>
      </c>
      <c r="E2625" s="11" t="s">
        <v>593</v>
      </c>
      <c r="F2625" s="11" t="s">
        <v>26</v>
      </c>
      <c r="G2625" s="11">
        <v>44324</v>
      </c>
      <c r="H2625" s="12" t="s">
        <v>4423</v>
      </c>
      <c r="I2625" s="12" t="s">
        <v>27</v>
      </c>
      <c r="J2625" s="12" t="s">
        <v>33</v>
      </c>
      <c r="K2625" s="12" t="s">
        <v>34</v>
      </c>
      <c r="L2625" s="13">
        <v>34.28</v>
      </c>
      <c r="M2625" s="13">
        <v>25</v>
      </c>
      <c r="N2625" s="13">
        <f t="shared" si="436"/>
        <v>1.3712</v>
      </c>
      <c r="O2625" s="13">
        <v>45</v>
      </c>
      <c r="P2625" s="13" t="s">
        <v>30</v>
      </c>
      <c r="Q2625" s="13">
        <v>0</v>
      </c>
      <c r="R2625" s="70">
        <f>+L2625*O2625</f>
        <v>1542.6000000000001</v>
      </c>
      <c r="S2625" s="70">
        <v>0</v>
      </c>
      <c r="T2625" s="70">
        <f>+L2625*S2625</f>
        <v>0</v>
      </c>
      <c r="U2625" s="70">
        <f t="shared" ref="U2625:U2626" si="462">+R2625-T2625</f>
        <v>1542.6000000000001</v>
      </c>
      <c r="V2625" s="70">
        <f>+U2625*1</f>
        <v>1542.6000000000001</v>
      </c>
      <c r="W2625" s="70">
        <f t="shared" ref="W2625:W2626" si="463">+U2625-V2625</f>
        <v>0</v>
      </c>
      <c r="X2625" s="70">
        <v>0</v>
      </c>
      <c r="Y2625" s="14">
        <f t="shared" si="461"/>
        <v>0</v>
      </c>
      <c r="Z2625" s="11" t="s">
        <v>26</v>
      </c>
      <c r="AA2625" s="12" t="s">
        <v>31</v>
      </c>
    </row>
    <row r="2626" spans="1:27" x14ac:dyDescent="0.25">
      <c r="A2626" s="10">
        <v>45695</v>
      </c>
      <c r="B2626" s="69">
        <v>1.5787037037037044E-2</v>
      </c>
      <c r="C2626" s="11" t="s">
        <v>4999</v>
      </c>
      <c r="D2626" s="11">
        <v>17162</v>
      </c>
      <c r="E2626" s="11" t="s">
        <v>46</v>
      </c>
      <c r="F2626" s="11" t="s">
        <v>26</v>
      </c>
      <c r="G2626" s="11">
        <v>112446</v>
      </c>
      <c r="H2626" s="12" t="s">
        <v>4446</v>
      </c>
      <c r="I2626" s="12" t="s">
        <v>27</v>
      </c>
      <c r="J2626" s="12" t="s">
        <v>42</v>
      </c>
      <c r="K2626" s="12" t="s">
        <v>43</v>
      </c>
      <c r="L2626" s="13">
        <v>40.4</v>
      </c>
      <c r="M2626" s="13">
        <v>25</v>
      </c>
      <c r="N2626" s="13">
        <f t="shared" si="436"/>
        <v>1.6159999999999999</v>
      </c>
      <c r="O2626" s="13">
        <v>42</v>
      </c>
      <c r="P2626" s="13" t="s">
        <v>30</v>
      </c>
      <c r="Q2626" s="13">
        <v>0</v>
      </c>
      <c r="R2626" s="70">
        <f t="shared" ref="R2626" si="464">+L2626*O2626</f>
        <v>1696.8</v>
      </c>
      <c r="S2626" s="70">
        <v>0</v>
      </c>
      <c r="T2626" s="70">
        <f>+L2626*S2626</f>
        <v>0</v>
      </c>
      <c r="U2626" s="70">
        <f t="shared" si="462"/>
        <v>1696.8</v>
      </c>
      <c r="V2626" s="70">
        <f>+U2626*1</f>
        <v>1696.8</v>
      </c>
      <c r="W2626" s="70">
        <f t="shared" si="463"/>
        <v>0</v>
      </c>
      <c r="X2626" s="70">
        <v>0</v>
      </c>
      <c r="Y2626" s="14">
        <f t="shared" si="461"/>
        <v>0</v>
      </c>
      <c r="Z2626" s="11" t="s">
        <v>26</v>
      </c>
      <c r="AA2626" s="12" t="s">
        <v>31</v>
      </c>
    </row>
    <row r="2627" spans="1:27" x14ac:dyDescent="0.25">
      <c r="A2627" s="10">
        <v>45695</v>
      </c>
      <c r="B2627" s="69">
        <v>9.4641203703703769E-2</v>
      </c>
      <c r="C2627" s="11" t="s">
        <v>5000</v>
      </c>
      <c r="D2627" s="11">
        <v>17163</v>
      </c>
      <c r="E2627" s="11" t="s">
        <v>1200</v>
      </c>
      <c r="F2627" s="11" t="s">
        <v>26</v>
      </c>
      <c r="G2627" s="11">
        <v>2956</v>
      </c>
      <c r="H2627" s="12" t="s">
        <v>163</v>
      </c>
      <c r="I2627" s="12" t="s">
        <v>27</v>
      </c>
      <c r="J2627" s="12" t="s">
        <v>33</v>
      </c>
      <c r="K2627" s="12" t="s">
        <v>34</v>
      </c>
      <c r="L2627" s="13">
        <v>38.76</v>
      </c>
      <c r="M2627" s="13">
        <v>25</v>
      </c>
      <c r="N2627" s="13">
        <f t="shared" si="436"/>
        <v>1.5504</v>
      </c>
      <c r="O2627" s="13" t="s">
        <v>30</v>
      </c>
      <c r="P2627" s="13">
        <v>60</v>
      </c>
      <c r="Q2627" s="13">
        <v>0</v>
      </c>
      <c r="R2627" s="70">
        <f>M2627*P2627</f>
        <v>1500</v>
      </c>
      <c r="S2627" s="70">
        <v>0</v>
      </c>
      <c r="T2627" s="70">
        <f>M2627*S2627</f>
        <v>0</v>
      </c>
      <c r="U2627" s="70">
        <f>R2627-T2627</f>
        <v>1500</v>
      </c>
      <c r="V2627" s="70">
        <f>U2627*0</f>
        <v>0</v>
      </c>
      <c r="W2627" s="70">
        <f>U2627-V2627</f>
        <v>1500</v>
      </c>
      <c r="X2627" s="70">
        <v>0</v>
      </c>
      <c r="Y2627" s="14">
        <f t="shared" si="461"/>
        <v>0</v>
      </c>
      <c r="Z2627" s="11" t="s">
        <v>26</v>
      </c>
      <c r="AA2627" s="12" t="s">
        <v>31</v>
      </c>
    </row>
    <row r="2628" spans="1:27" x14ac:dyDescent="0.25">
      <c r="A2628" s="10">
        <v>45695</v>
      </c>
      <c r="B2628" s="69">
        <v>1.2777777777777777E-2</v>
      </c>
      <c r="C2628" s="11" t="s">
        <v>5001</v>
      </c>
      <c r="D2628" s="11">
        <v>17164</v>
      </c>
      <c r="E2628" s="11" t="s">
        <v>574</v>
      </c>
      <c r="F2628" s="11" t="s">
        <v>26</v>
      </c>
      <c r="G2628" s="11">
        <v>1158</v>
      </c>
      <c r="H2628" s="12" t="s">
        <v>141</v>
      </c>
      <c r="I2628" s="12" t="s">
        <v>37</v>
      </c>
      <c r="J2628" s="12" t="s">
        <v>85</v>
      </c>
      <c r="K2628" s="12" t="s">
        <v>86</v>
      </c>
      <c r="L2628" s="13">
        <v>38.479999999999997</v>
      </c>
      <c r="M2628" s="13">
        <v>25</v>
      </c>
      <c r="N2628" s="13">
        <f t="shared" si="436"/>
        <v>1.5391999999999999</v>
      </c>
      <c r="O2628" s="13">
        <v>29</v>
      </c>
      <c r="P2628" s="13" t="s">
        <v>30</v>
      </c>
      <c r="Q2628" s="13">
        <v>0</v>
      </c>
      <c r="R2628" s="70">
        <f>L2628*O2628</f>
        <v>1115.9199999999998</v>
      </c>
      <c r="S2628" s="70">
        <v>0</v>
      </c>
      <c r="T2628" s="70">
        <f>L2628*S2628</f>
        <v>0</v>
      </c>
      <c r="U2628" s="70">
        <f>R2628-T2628</f>
        <v>1115.9199999999998</v>
      </c>
      <c r="V2628" s="70">
        <f>U2628*0</f>
        <v>0</v>
      </c>
      <c r="W2628" s="70">
        <f>U2628-V2628</f>
        <v>1115.9199999999998</v>
      </c>
      <c r="X2628" s="70">
        <v>0</v>
      </c>
      <c r="Y2628" s="14">
        <f t="shared" si="461"/>
        <v>0</v>
      </c>
      <c r="Z2628" s="11" t="s">
        <v>26</v>
      </c>
      <c r="AA2628" s="12" t="s">
        <v>31</v>
      </c>
    </row>
    <row r="2629" spans="1:27" x14ac:dyDescent="0.25">
      <c r="A2629" s="10">
        <v>45695</v>
      </c>
      <c r="B2629" s="69">
        <v>1.354166666666673E-2</v>
      </c>
      <c r="C2629" s="11" t="s">
        <v>5002</v>
      </c>
      <c r="D2629" s="11">
        <v>17165</v>
      </c>
      <c r="E2629" s="11" t="s">
        <v>539</v>
      </c>
      <c r="F2629" s="11" t="s">
        <v>26</v>
      </c>
      <c r="G2629" s="11" t="s">
        <v>26</v>
      </c>
      <c r="H2629" s="12" t="s">
        <v>4422</v>
      </c>
      <c r="I2629" s="12" t="s">
        <v>27</v>
      </c>
      <c r="J2629" s="12" t="s">
        <v>42</v>
      </c>
      <c r="K2629" s="12" t="s">
        <v>43</v>
      </c>
      <c r="L2629" s="13">
        <v>45.22</v>
      </c>
      <c r="M2629" s="13">
        <v>28</v>
      </c>
      <c r="N2629" s="13">
        <f t="shared" si="436"/>
        <v>1.615</v>
      </c>
      <c r="O2629" s="13">
        <v>83</v>
      </c>
      <c r="P2629" s="13" t="s">
        <v>30</v>
      </c>
      <c r="Q2629" s="13">
        <v>0</v>
      </c>
      <c r="R2629" s="70">
        <f>L2629*O2629</f>
        <v>3753.2599999999998</v>
      </c>
      <c r="S2629" s="70">
        <v>38</v>
      </c>
      <c r="T2629" s="70">
        <f>L2629*S2629</f>
        <v>1718.36</v>
      </c>
      <c r="U2629" s="70">
        <f>R2629-T2629</f>
        <v>2034.8999999999999</v>
      </c>
      <c r="V2629" s="70">
        <f>U2629*1</f>
        <v>2034.8999999999999</v>
      </c>
      <c r="W2629" s="70">
        <f>U2629-V2629</f>
        <v>0</v>
      </c>
      <c r="X2629" s="70">
        <f>L2629*37</f>
        <v>1673.1399999999999</v>
      </c>
      <c r="Y2629" s="71">
        <f>+T2629-X2629</f>
        <v>45.220000000000027</v>
      </c>
      <c r="Z2629" s="12" t="s">
        <v>41</v>
      </c>
      <c r="AA2629" s="12" t="s">
        <v>78</v>
      </c>
    </row>
    <row r="2630" spans="1:27" x14ac:dyDescent="0.25">
      <c r="A2630" s="10">
        <v>45695</v>
      </c>
      <c r="B2630" s="69">
        <v>7.3935185185185215E-2</v>
      </c>
      <c r="C2630" s="11" t="s">
        <v>5003</v>
      </c>
      <c r="D2630" s="11">
        <v>17166</v>
      </c>
      <c r="E2630" s="11" t="s">
        <v>567</v>
      </c>
      <c r="F2630" s="11" t="s">
        <v>26</v>
      </c>
      <c r="G2630" s="11">
        <v>112450</v>
      </c>
      <c r="H2630" s="12" t="s">
        <v>4446</v>
      </c>
      <c r="I2630" s="12" t="s">
        <v>27</v>
      </c>
      <c r="J2630" s="12" t="s">
        <v>33</v>
      </c>
      <c r="K2630" s="12" t="s">
        <v>34</v>
      </c>
      <c r="L2630" s="13">
        <v>36.32</v>
      </c>
      <c r="M2630" s="13">
        <v>25</v>
      </c>
      <c r="N2630" s="13">
        <f t="shared" si="436"/>
        <v>1.4528000000000001</v>
      </c>
      <c r="O2630" s="13">
        <v>44</v>
      </c>
      <c r="P2630" s="13" t="s">
        <v>30</v>
      </c>
      <c r="Q2630" s="13">
        <v>0</v>
      </c>
      <c r="R2630" s="70">
        <f t="shared" ref="R2630" si="465">+L2630*O2630</f>
        <v>1598.08</v>
      </c>
      <c r="S2630" s="70">
        <v>0</v>
      </c>
      <c r="T2630" s="70">
        <f>+L2630*S2630</f>
        <v>0</v>
      </c>
      <c r="U2630" s="70">
        <f>+R2630-T2630</f>
        <v>1598.08</v>
      </c>
      <c r="V2630" s="70">
        <f>+U2630*1</f>
        <v>1598.08</v>
      </c>
      <c r="W2630" s="70">
        <f>+U2630-V2630</f>
        <v>0</v>
      </c>
      <c r="X2630" s="70">
        <v>0</v>
      </c>
      <c r="Y2630" s="14">
        <f t="shared" ref="Y2630:Y2633" si="466">T2630-X2630</f>
        <v>0</v>
      </c>
      <c r="Z2630" s="11" t="s">
        <v>26</v>
      </c>
      <c r="AA2630" s="12" t="s">
        <v>31</v>
      </c>
    </row>
    <row r="2631" spans="1:27" x14ac:dyDescent="0.25">
      <c r="A2631" s="10">
        <v>45695</v>
      </c>
      <c r="B2631" s="69">
        <v>8.9120370370370239E-3</v>
      </c>
      <c r="C2631" s="11" t="s">
        <v>5004</v>
      </c>
      <c r="D2631" s="11">
        <v>17167</v>
      </c>
      <c r="E2631" s="11" t="s">
        <v>520</v>
      </c>
      <c r="F2631" s="11" t="s">
        <v>26</v>
      </c>
      <c r="G2631" s="11">
        <v>4396</v>
      </c>
      <c r="H2631" s="12" t="s">
        <v>140</v>
      </c>
      <c r="I2631" s="12" t="s">
        <v>27</v>
      </c>
      <c r="J2631" s="12" t="s">
        <v>42</v>
      </c>
      <c r="K2631" s="12" t="s">
        <v>43</v>
      </c>
      <c r="L2631" s="13">
        <v>43.3</v>
      </c>
      <c r="M2631" s="13">
        <v>25</v>
      </c>
      <c r="N2631" s="13">
        <f t="shared" si="436"/>
        <v>1.732</v>
      </c>
      <c r="O2631" s="13">
        <v>35</v>
      </c>
      <c r="P2631" s="13"/>
      <c r="Q2631" s="13">
        <v>0</v>
      </c>
      <c r="R2631" s="70">
        <f>+L2631*O2631</f>
        <v>1515.5</v>
      </c>
      <c r="S2631" s="70">
        <v>0</v>
      </c>
      <c r="T2631" s="70">
        <f>+L2631*S2631</f>
        <v>0</v>
      </c>
      <c r="U2631" s="70">
        <f>+R2631-T2631</f>
        <v>1515.5</v>
      </c>
      <c r="V2631" s="70">
        <f t="shared" ref="V2631:V2632" si="467">+U2631*0</f>
        <v>0</v>
      </c>
      <c r="W2631" s="70">
        <f>+U2631-V2631</f>
        <v>1515.5</v>
      </c>
      <c r="X2631" s="70">
        <v>0</v>
      </c>
      <c r="Y2631" s="14">
        <f t="shared" si="466"/>
        <v>0</v>
      </c>
      <c r="Z2631" s="11" t="s">
        <v>26</v>
      </c>
      <c r="AA2631" s="12" t="s">
        <v>31</v>
      </c>
    </row>
    <row r="2632" spans="1:27" x14ac:dyDescent="0.25">
      <c r="A2632" s="10">
        <v>45695</v>
      </c>
      <c r="B2632" s="69">
        <v>1.0856481481481495E-2</v>
      </c>
      <c r="C2632" s="11" t="s">
        <v>5005</v>
      </c>
      <c r="D2632" s="11">
        <v>17168</v>
      </c>
      <c r="E2632" s="11" t="s">
        <v>98</v>
      </c>
      <c r="F2632" s="11" t="s">
        <v>26</v>
      </c>
      <c r="G2632" s="11">
        <v>10718</v>
      </c>
      <c r="H2632" s="12" t="s">
        <v>140</v>
      </c>
      <c r="I2632" s="12" t="s">
        <v>27</v>
      </c>
      <c r="J2632" s="12" t="s">
        <v>42</v>
      </c>
      <c r="K2632" s="12" t="s">
        <v>43</v>
      </c>
      <c r="L2632" s="13">
        <v>42.4</v>
      </c>
      <c r="M2632" s="13">
        <v>25</v>
      </c>
      <c r="N2632" s="13">
        <f t="shared" si="436"/>
        <v>1.696</v>
      </c>
      <c r="O2632" s="13">
        <v>35</v>
      </c>
      <c r="P2632" s="13"/>
      <c r="Q2632" s="13">
        <v>0</v>
      </c>
      <c r="R2632" s="70">
        <f>+L2632*O2632</f>
        <v>1484</v>
      </c>
      <c r="S2632" s="70">
        <v>0</v>
      </c>
      <c r="T2632" s="70">
        <f>+L2632*S2632</f>
        <v>0</v>
      </c>
      <c r="U2632" s="70">
        <f>+R2632-T2632</f>
        <v>1484</v>
      </c>
      <c r="V2632" s="70">
        <f t="shared" si="467"/>
        <v>0</v>
      </c>
      <c r="W2632" s="70">
        <f>+U2632-V2632</f>
        <v>1484</v>
      </c>
      <c r="X2632" s="70">
        <v>0</v>
      </c>
      <c r="Y2632" s="14">
        <f t="shared" si="466"/>
        <v>0</v>
      </c>
      <c r="Z2632" s="11" t="s">
        <v>26</v>
      </c>
      <c r="AA2632" s="12" t="s">
        <v>31</v>
      </c>
    </row>
    <row r="2633" spans="1:27" x14ac:dyDescent="0.25">
      <c r="A2633" s="10">
        <v>45695</v>
      </c>
      <c r="B2633" s="69">
        <v>1.663194444444438E-2</v>
      </c>
      <c r="C2633" s="11" t="s">
        <v>5006</v>
      </c>
      <c r="D2633" s="11">
        <v>17169</v>
      </c>
      <c r="E2633" s="11" t="s">
        <v>244</v>
      </c>
      <c r="F2633" s="11" t="s">
        <v>26</v>
      </c>
      <c r="G2633" s="11">
        <v>960</v>
      </c>
      <c r="H2633" s="12" t="s">
        <v>141</v>
      </c>
      <c r="I2633" s="12" t="s">
        <v>37</v>
      </c>
      <c r="J2633" s="12" t="s">
        <v>85</v>
      </c>
      <c r="K2633" s="12" t="s">
        <v>86</v>
      </c>
      <c r="L2633" s="13">
        <v>39.92</v>
      </c>
      <c r="M2633" s="13">
        <v>25</v>
      </c>
      <c r="N2633" s="13">
        <f t="shared" si="436"/>
        <v>1.5968</v>
      </c>
      <c r="O2633" s="13">
        <v>29</v>
      </c>
      <c r="P2633" s="13" t="s">
        <v>30</v>
      </c>
      <c r="Q2633" s="13">
        <v>0</v>
      </c>
      <c r="R2633" s="70">
        <f>L2633*O2633</f>
        <v>1157.68</v>
      </c>
      <c r="S2633" s="70">
        <v>0</v>
      </c>
      <c r="T2633" s="70">
        <f>L2633*S2633</f>
        <v>0</v>
      </c>
      <c r="U2633" s="70">
        <f>R2633-T2633</f>
        <v>1157.68</v>
      </c>
      <c r="V2633" s="70">
        <f>U2633*0</f>
        <v>0</v>
      </c>
      <c r="W2633" s="70">
        <f>U2633-V2633</f>
        <v>1157.68</v>
      </c>
      <c r="X2633" s="70">
        <v>0</v>
      </c>
      <c r="Y2633" s="14">
        <f t="shared" si="466"/>
        <v>0</v>
      </c>
      <c r="Z2633" s="11" t="s">
        <v>26</v>
      </c>
      <c r="AA2633" s="12" t="s">
        <v>31</v>
      </c>
    </row>
    <row r="2634" spans="1:27" x14ac:dyDescent="0.25">
      <c r="A2634" s="10">
        <v>45695</v>
      </c>
      <c r="B2634" s="69">
        <v>4.5543981481481477E-2</v>
      </c>
      <c r="C2634" s="11" t="s">
        <v>5007</v>
      </c>
      <c r="D2634" s="11">
        <v>17170</v>
      </c>
      <c r="E2634" s="11" t="s">
        <v>246</v>
      </c>
      <c r="F2634" s="11" t="s">
        <v>26</v>
      </c>
      <c r="G2634" s="11" t="s">
        <v>26</v>
      </c>
      <c r="H2634" s="12" t="s">
        <v>4422</v>
      </c>
      <c r="I2634" s="12" t="s">
        <v>27</v>
      </c>
      <c r="J2634" s="12" t="s">
        <v>33</v>
      </c>
      <c r="K2634" s="12" t="s">
        <v>34</v>
      </c>
      <c r="L2634" s="13">
        <v>43.84</v>
      </c>
      <c r="M2634" s="13">
        <v>30</v>
      </c>
      <c r="N2634" s="13">
        <f t="shared" si="436"/>
        <v>1.4613333333333334</v>
      </c>
      <c r="O2634" s="13">
        <v>85</v>
      </c>
      <c r="P2634" s="13" t="s">
        <v>30</v>
      </c>
      <c r="Q2634" s="13">
        <v>0</v>
      </c>
      <c r="R2634" s="70">
        <f>L2634*O2634</f>
        <v>3726.4</v>
      </c>
      <c r="S2634" s="70">
        <v>38</v>
      </c>
      <c r="T2634" s="70">
        <f>L2634*S2634</f>
        <v>1665.92</v>
      </c>
      <c r="U2634" s="70">
        <f>R2634-T2634</f>
        <v>2060.48</v>
      </c>
      <c r="V2634" s="70">
        <f>U2634*1</f>
        <v>2060.48</v>
      </c>
      <c r="W2634" s="70">
        <f>U2634-V2634</f>
        <v>0</v>
      </c>
      <c r="X2634" s="70">
        <f>L2634*37</f>
        <v>1622.0800000000002</v>
      </c>
      <c r="Y2634" s="71">
        <f>+T2634-X2634</f>
        <v>43.839999999999918</v>
      </c>
      <c r="Z2634" s="12" t="s">
        <v>41</v>
      </c>
      <c r="AA2634" s="12" t="s">
        <v>78</v>
      </c>
    </row>
    <row r="2635" spans="1:27" x14ac:dyDescent="0.25">
      <c r="A2635" s="10">
        <v>45695</v>
      </c>
      <c r="B2635" s="69">
        <v>1.7071759259259189E-2</v>
      </c>
      <c r="C2635" s="11" t="s">
        <v>5008</v>
      </c>
      <c r="D2635" s="11">
        <v>17171</v>
      </c>
      <c r="E2635" s="11" t="s">
        <v>240</v>
      </c>
      <c r="F2635" s="11" t="s">
        <v>26</v>
      </c>
      <c r="G2635" s="11">
        <v>2872</v>
      </c>
      <c r="H2635" s="12" t="s">
        <v>41</v>
      </c>
      <c r="I2635" s="12" t="s">
        <v>55</v>
      </c>
      <c r="J2635" s="12" t="s">
        <v>55</v>
      </c>
      <c r="K2635" s="12" t="s">
        <v>56</v>
      </c>
      <c r="L2635" s="13">
        <v>37.659999999999997</v>
      </c>
      <c r="M2635" s="13">
        <v>24</v>
      </c>
      <c r="N2635" s="13">
        <f t="shared" si="436"/>
        <v>1.5691666666666666</v>
      </c>
      <c r="O2635" s="13" t="s">
        <v>30</v>
      </c>
      <c r="P2635" s="13">
        <v>24</v>
      </c>
      <c r="Q2635" s="13">
        <v>0</v>
      </c>
      <c r="R2635" s="70">
        <f>+M2635*P2635</f>
        <v>576</v>
      </c>
      <c r="S2635" s="70">
        <v>0</v>
      </c>
      <c r="T2635" s="70">
        <f>+M2635*S2635</f>
        <v>0</v>
      </c>
      <c r="U2635" s="70">
        <f t="shared" ref="U2635" si="468">+R2635-T2635</f>
        <v>576</v>
      </c>
      <c r="V2635" s="70">
        <f>+U2635*0</f>
        <v>0</v>
      </c>
      <c r="W2635" s="70">
        <f t="shared" ref="W2635" si="469">+U2635-V2635</f>
        <v>576</v>
      </c>
      <c r="X2635" s="70">
        <v>0</v>
      </c>
      <c r="Y2635" s="14">
        <f t="shared" ref="Y2635" si="470">T2635-X2635</f>
        <v>0</v>
      </c>
      <c r="Z2635" s="11" t="s">
        <v>26</v>
      </c>
      <c r="AA2635" s="12" t="s">
        <v>31</v>
      </c>
    </row>
    <row r="2636" spans="1:27" x14ac:dyDescent="0.25">
      <c r="A2636" s="10">
        <v>45695</v>
      </c>
      <c r="B2636" s="69">
        <v>8.6076388888888855E-2</v>
      </c>
      <c r="C2636" s="11" t="s">
        <v>5009</v>
      </c>
      <c r="D2636" s="11">
        <v>17172</v>
      </c>
      <c r="E2636" s="11" t="s">
        <v>80</v>
      </c>
      <c r="F2636" s="11" t="s">
        <v>26</v>
      </c>
      <c r="G2636" s="11" t="s">
        <v>26</v>
      </c>
      <c r="H2636" s="12" t="s">
        <v>4422</v>
      </c>
      <c r="I2636" s="12" t="s">
        <v>27</v>
      </c>
      <c r="J2636" s="12" t="s">
        <v>47</v>
      </c>
      <c r="K2636" s="12" t="s">
        <v>48</v>
      </c>
      <c r="L2636" s="13">
        <v>41.72</v>
      </c>
      <c r="M2636" s="13">
        <v>28</v>
      </c>
      <c r="N2636" s="13">
        <f t="shared" si="436"/>
        <v>1.49</v>
      </c>
      <c r="O2636" s="13">
        <v>87</v>
      </c>
      <c r="P2636" s="13" t="s">
        <v>30</v>
      </c>
      <c r="Q2636" s="13">
        <v>0</v>
      </c>
      <c r="R2636" s="70">
        <f>L2636*O2636</f>
        <v>3629.64</v>
      </c>
      <c r="S2636" s="70">
        <v>38</v>
      </c>
      <c r="T2636" s="70">
        <f>L2636*S2636</f>
        <v>1585.36</v>
      </c>
      <c r="U2636" s="70">
        <f>R2636-T2636</f>
        <v>2044.28</v>
      </c>
      <c r="V2636" s="70">
        <f>U2636*1</f>
        <v>2044.28</v>
      </c>
      <c r="W2636" s="70">
        <f>U2636-V2636</f>
        <v>0</v>
      </c>
      <c r="X2636" s="70">
        <f>L2636*36</f>
        <v>1501.92</v>
      </c>
      <c r="Y2636" s="71">
        <f>+T2636-X2636</f>
        <v>83.439999999999827</v>
      </c>
      <c r="Z2636" s="12" t="s">
        <v>140</v>
      </c>
      <c r="AA2636" s="12" t="s">
        <v>78</v>
      </c>
    </row>
    <row r="2637" spans="1:27" x14ac:dyDescent="0.25">
      <c r="A2637" s="10">
        <v>45695</v>
      </c>
      <c r="B2637" s="69">
        <v>3.7233796296296306E-2</v>
      </c>
      <c r="C2637" s="11" t="s">
        <v>5010</v>
      </c>
      <c r="D2637" s="11">
        <v>17173</v>
      </c>
      <c r="E2637" s="11" t="s">
        <v>57</v>
      </c>
      <c r="F2637" s="11" t="s">
        <v>26</v>
      </c>
      <c r="G2637" s="11" t="s">
        <v>26</v>
      </c>
      <c r="H2637" s="12" t="s">
        <v>4422</v>
      </c>
      <c r="I2637" s="12" t="s">
        <v>27</v>
      </c>
      <c r="J2637" s="12" t="s">
        <v>42</v>
      </c>
      <c r="K2637" s="12" t="s">
        <v>43</v>
      </c>
      <c r="L2637" s="13">
        <v>45.54</v>
      </c>
      <c r="M2637" s="13">
        <v>28</v>
      </c>
      <c r="N2637" s="13">
        <f t="shared" si="436"/>
        <v>1.6264285714285713</v>
      </c>
      <c r="O2637" s="13">
        <v>83</v>
      </c>
      <c r="P2637" s="13" t="s">
        <v>30</v>
      </c>
      <c r="Q2637" s="13">
        <v>0</v>
      </c>
      <c r="R2637" s="70">
        <f>L2637*O2637</f>
        <v>3779.8199999999997</v>
      </c>
      <c r="S2637" s="70">
        <v>38</v>
      </c>
      <c r="T2637" s="70">
        <f>L2637*S2637</f>
        <v>1730.52</v>
      </c>
      <c r="U2637" s="70">
        <f>R2637-T2637</f>
        <v>2049.2999999999997</v>
      </c>
      <c r="V2637" s="70">
        <f>U2637*1</f>
        <v>2049.2999999999997</v>
      </c>
      <c r="W2637" s="70">
        <f>U2637-V2637</f>
        <v>0</v>
      </c>
      <c r="X2637" s="70">
        <f>L2637*37</f>
        <v>1684.98</v>
      </c>
      <c r="Y2637" s="71">
        <f>+T2637-X2637</f>
        <v>45.539999999999964</v>
      </c>
      <c r="Z2637" s="12" t="s">
        <v>41</v>
      </c>
      <c r="AA2637" s="12" t="s">
        <v>78</v>
      </c>
    </row>
    <row r="2638" spans="1:27" x14ac:dyDescent="0.25">
      <c r="A2638" s="10">
        <v>45695</v>
      </c>
      <c r="B2638" s="69">
        <v>8.356481481481437E-3</v>
      </c>
      <c r="C2638" s="11" t="s">
        <v>5011</v>
      </c>
      <c r="D2638" s="11">
        <v>17174</v>
      </c>
      <c r="E2638" s="11" t="s">
        <v>63</v>
      </c>
      <c r="F2638" s="11" t="s">
        <v>26</v>
      </c>
      <c r="G2638" s="11">
        <v>10185</v>
      </c>
      <c r="H2638" s="12" t="s">
        <v>140</v>
      </c>
      <c r="I2638" s="12" t="s">
        <v>27</v>
      </c>
      <c r="J2638" s="12" t="s">
        <v>42</v>
      </c>
      <c r="K2638" s="12" t="s">
        <v>43</v>
      </c>
      <c r="L2638" s="13">
        <v>41.48</v>
      </c>
      <c r="M2638" s="13">
        <v>25</v>
      </c>
      <c r="N2638" s="13">
        <f t="shared" si="436"/>
        <v>1.6591999999999998</v>
      </c>
      <c r="O2638" s="13">
        <v>35</v>
      </c>
      <c r="P2638" s="13"/>
      <c r="Q2638" s="13">
        <v>0</v>
      </c>
      <c r="R2638" s="70">
        <f>+L2638*O2638</f>
        <v>1451.8</v>
      </c>
      <c r="S2638" s="70">
        <v>0</v>
      </c>
      <c r="T2638" s="70">
        <f>+L2638*S2638</f>
        <v>0</v>
      </c>
      <c r="U2638" s="70">
        <f>+R2638-T2638</f>
        <v>1451.8</v>
      </c>
      <c r="V2638" s="70">
        <f t="shared" ref="V2638" si="471">+U2638*0</f>
        <v>0</v>
      </c>
      <c r="W2638" s="70">
        <f>+U2638-V2638</f>
        <v>1451.8</v>
      </c>
      <c r="X2638" s="70">
        <v>0</v>
      </c>
      <c r="Y2638" s="14">
        <f t="shared" ref="Y2638" si="472">T2638-X2638</f>
        <v>0</v>
      </c>
      <c r="Z2638" s="11" t="s">
        <v>26</v>
      </c>
      <c r="AA2638" s="12" t="s">
        <v>31</v>
      </c>
    </row>
    <row r="2639" spans="1:27" x14ac:dyDescent="0.25">
      <c r="A2639" s="10">
        <v>45695</v>
      </c>
      <c r="B2639" s="69">
        <v>2.3576388888888911E-2</v>
      </c>
      <c r="C2639" s="11" t="s">
        <v>5012</v>
      </c>
      <c r="D2639" s="11">
        <v>17175</v>
      </c>
      <c r="E2639" s="11" t="s">
        <v>53</v>
      </c>
      <c r="F2639" s="11" t="s">
        <v>26</v>
      </c>
      <c r="G2639" s="11" t="s">
        <v>26</v>
      </c>
      <c r="H2639" s="12" t="s">
        <v>4422</v>
      </c>
      <c r="I2639" s="12" t="s">
        <v>27</v>
      </c>
      <c r="J2639" s="12" t="s">
        <v>42</v>
      </c>
      <c r="K2639" s="12" t="s">
        <v>43</v>
      </c>
      <c r="L2639" s="13">
        <v>44.76</v>
      </c>
      <c r="M2639" s="13">
        <v>25</v>
      </c>
      <c r="N2639" s="13">
        <f t="shared" si="436"/>
        <v>1.7904</v>
      </c>
      <c r="O2639" s="13">
        <v>83</v>
      </c>
      <c r="P2639" s="13" t="s">
        <v>30</v>
      </c>
      <c r="Q2639" s="13">
        <v>0</v>
      </c>
      <c r="R2639" s="70">
        <f>L2639*O2639</f>
        <v>3715.08</v>
      </c>
      <c r="S2639" s="70">
        <v>38</v>
      </c>
      <c r="T2639" s="70">
        <f>L2639*S2639</f>
        <v>1700.8799999999999</v>
      </c>
      <c r="U2639" s="70">
        <f>R2639-T2639</f>
        <v>2014.2</v>
      </c>
      <c r="V2639" s="70">
        <f>U2639*1</f>
        <v>2014.2</v>
      </c>
      <c r="W2639" s="70">
        <f>U2639-V2639</f>
        <v>0</v>
      </c>
      <c r="X2639" s="70">
        <f>L2639*37</f>
        <v>1656.12</v>
      </c>
      <c r="Y2639" s="71">
        <f>+T2639-X2639</f>
        <v>44.759999999999991</v>
      </c>
      <c r="Z2639" s="12" t="s">
        <v>41</v>
      </c>
      <c r="AA2639" s="12" t="s">
        <v>78</v>
      </c>
    </row>
    <row r="2640" spans="1:27" x14ac:dyDescent="0.25">
      <c r="A2640" s="10">
        <v>45695</v>
      </c>
      <c r="B2640" s="69">
        <v>5.8414351851851842E-2</v>
      </c>
      <c r="C2640" s="11" t="s">
        <v>5013</v>
      </c>
      <c r="D2640" s="11">
        <v>17176</v>
      </c>
      <c r="E2640" s="11" t="s">
        <v>552</v>
      </c>
      <c r="F2640" s="11" t="s">
        <v>26</v>
      </c>
      <c r="G2640" s="11">
        <v>44156</v>
      </c>
      <c r="H2640" s="12" t="s">
        <v>4423</v>
      </c>
      <c r="I2640" s="12" t="s">
        <v>27</v>
      </c>
      <c r="J2640" s="12" t="s">
        <v>33</v>
      </c>
      <c r="K2640" s="12" t="s">
        <v>34</v>
      </c>
      <c r="L2640" s="13">
        <v>32.799999999999997</v>
      </c>
      <c r="M2640" s="13">
        <v>25</v>
      </c>
      <c r="N2640" s="13">
        <f t="shared" si="436"/>
        <v>1.3119999999999998</v>
      </c>
      <c r="O2640" s="13">
        <v>45</v>
      </c>
      <c r="P2640" s="13" t="s">
        <v>30</v>
      </c>
      <c r="Q2640" s="13">
        <v>0</v>
      </c>
      <c r="R2640" s="70">
        <f>+L2640*O2640</f>
        <v>1475.9999999999998</v>
      </c>
      <c r="S2640" s="70">
        <v>0</v>
      </c>
      <c r="T2640" s="70">
        <f>+L2640*S2640</f>
        <v>0</v>
      </c>
      <c r="U2640" s="70">
        <f t="shared" ref="U2640" si="473">+R2640-T2640</f>
        <v>1475.9999999999998</v>
      </c>
      <c r="V2640" s="70">
        <f>+U2640*1</f>
        <v>1475.9999999999998</v>
      </c>
      <c r="W2640" s="70">
        <f t="shared" ref="W2640" si="474">+U2640-V2640</f>
        <v>0</v>
      </c>
      <c r="X2640" s="70">
        <v>0</v>
      </c>
      <c r="Y2640" s="14">
        <f t="shared" ref="Y2640:Y2646" si="475">T2640-X2640</f>
        <v>0</v>
      </c>
      <c r="Z2640" s="11" t="s">
        <v>26</v>
      </c>
      <c r="AA2640" s="12" t="s">
        <v>31</v>
      </c>
    </row>
    <row r="2641" spans="1:27" x14ac:dyDescent="0.25">
      <c r="A2641" s="10">
        <v>45695</v>
      </c>
      <c r="B2641" s="69">
        <v>3.2986111111111216E-2</v>
      </c>
      <c r="C2641" s="11" t="s">
        <v>5014</v>
      </c>
      <c r="D2641" s="11">
        <v>17177</v>
      </c>
      <c r="E2641" s="11" t="s">
        <v>50</v>
      </c>
      <c r="F2641" s="11" t="s">
        <v>26</v>
      </c>
      <c r="G2641" s="11">
        <v>940</v>
      </c>
      <c r="H2641" s="12" t="s">
        <v>163</v>
      </c>
      <c r="I2641" s="12" t="s">
        <v>55</v>
      </c>
      <c r="J2641" s="12" t="s">
        <v>55</v>
      </c>
      <c r="K2641" s="12" t="s">
        <v>56</v>
      </c>
      <c r="L2641" s="13">
        <v>38.18</v>
      </c>
      <c r="M2641" s="13">
        <v>25</v>
      </c>
      <c r="N2641" s="13">
        <f t="shared" si="436"/>
        <v>1.5271999999999999</v>
      </c>
      <c r="O2641" s="13" t="s">
        <v>30</v>
      </c>
      <c r="P2641" s="13">
        <v>25</v>
      </c>
      <c r="Q2641" s="13">
        <v>0</v>
      </c>
      <c r="R2641" s="70">
        <f>M2641*P2641</f>
        <v>625</v>
      </c>
      <c r="S2641" s="70">
        <v>0</v>
      </c>
      <c r="T2641" s="70">
        <f>M2641*S2641</f>
        <v>0</v>
      </c>
      <c r="U2641" s="70">
        <f>R2641-T2641</f>
        <v>625</v>
      </c>
      <c r="V2641" s="70">
        <f>U2641*0</f>
        <v>0</v>
      </c>
      <c r="W2641" s="70">
        <f>U2641-V2641</f>
        <v>625</v>
      </c>
      <c r="X2641" s="70">
        <v>0</v>
      </c>
      <c r="Y2641" s="14">
        <f t="shared" si="475"/>
        <v>0</v>
      </c>
      <c r="Z2641" s="11" t="s">
        <v>26</v>
      </c>
      <c r="AA2641" s="12" t="s">
        <v>31</v>
      </c>
    </row>
    <row r="2642" spans="1:27" x14ac:dyDescent="0.25">
      <c r="A2642" s="10">
        <v>45695</v>
      </c>
      <c r="B2642" s="69">
        <v>6.87268518518519E-2</v>
      </c>
      <c r="C2642" s="11" t="s">
        <v>5015</v>
      </c>
      <c r="D2642" s="11">
        <v>17178</v>
      </c>
      <c r="E2642" s="11" t="s">
        <v>224</v>
      </c>
      <c r="F2642" s="11" t="s">
        <v>26</v>
      </c>
      <c r="G2642" s="11">
        <v>3206</v>
      </c>
      <c r="H2642" s="12" t="s">
        <v>4423</v>
      </c>
      <c r="I2642" s="12" t="s">
        <v>27</v>
      </c>
      <c r="J2642" s="12" t="s">
        <v>33</v>
      </c>
      <c r="K2642" s="12" t="s">
        <v>34</v>
      </c>
      <c r="L2642" s="13">
        <v>35.82</v>
      </c>
      <c r="M2642" s="13">
        <v>25</v>
      </c>
      <c r="N2642" s="13">
        <f t="shared" si="436"/>
        <v>1.4328000000000001</v>
      </c>
      <c r="O2642" s="13">
        <v>45</v>
      </c>
      <c r="P2642" s="13" t="s">
        <v>30</v>
      </c>
      <c r="Q2642" s="13">
        <v>0</v>
      </c>
      <c r="R2642" s="70">
        <f>+L2642*O2642</f>
        <v>1611.9</v>
      </c>
      <c r="S2642" s="70">
        <v>0</v>
      </c>
      <c r="T2642" s="70">
        <f>+L2642*S2642</f>
        <v>0</v>
      </c>
      <c r="U2642" s="70">
        <f t="shared" ref="U2642:U2643" si="476">+R2642-T2642</f>
        <v>1611.9</v>
      </c>
      <c r="V2642" s="70">
        <f>+U2642*1</f>
        <v>1611.9</v>
      </c>
      <c r="W2642" s="70">
        <f t="shared" ref="W2642:W2643" si="477">+U2642-V2642</f>
        <v>0</v>
      </c>
      <c r="X2642" s="70">
        <v>0</v>
      </c>
      <c r="Y2642" s="14">
        <f t="shared" si="475"/>
        <v>0</v>
      </c>
      <c r="Z2642" s="11" t="s">
        <v>26</v>
      </c>
      <c r="AA2642" s="12" t="s">
        <v>31</v>
      </c>
    </row>
    <row r="2643" spans="1:27" x14ac:dyDescent="0.25">
      <c r="A2643" s="10">
        <v>45695</v>
      </c>
      <c r="B2643" s="69">
        <v>5.9722222222221566E-3</v>
      </c>
      <c r="C2643" s="11" t="s">
        <v>5016</v>
      </c>
      <c r="D2643" s="11">
        <v>17179</v>
      </c>
      <c r="E2643" s="11" t="s">
        <v>180</v>
      </c>
      <c r="F2643" s="11" t="s">
        <v>26</v>
      </c>
      <c r="G2643" s="11" t="s">
        <v>35</v>
      </c>
      <c r="H2643" s="12" t="s">
        <v>36</v>
      </c>
      <c r="I2643" s="12" t="s">
        <v>55</v>
      </c>
      <c r="J2643" s="12" t="s">
        <v>55</v>
      </c>
      <c r="K2643" s="12" t="s">
        <v>56</v>
      </c>
      <c r="L2643" s="13">
        <v>15.1</v>
      </c>
      <c r="M2643" s="13">
        <v>10</v>
      </c>
      <c r="N2643" s="13">
        <f t="shared" si="436"/>
        <v>1.51</v>
      </c>
      <c r="O2643" s="13">
        <v>20</v>
      </c>
      <c r="P2643" s="13" t="s">
        <v>30</v>
      </c>
      <c r="Q2643" s="13">
        <v>0</v>
      </c>
      <c r="R2643" s="70">
        <f>(L2643*O2643)-Q2643</f>
        <v>302</v>
      </c>
      <c r="S2643" s="70">
        <v>0</v>
      </c>
      <c r="T2643" s="70">
        <f t="shared" ref="T2643" si="478">+L2643*S2643</f>
        <v>0</v>
      </c>
      <c r="U2643" s="70">
        <f t="shared" si="476"/>
        <v>302</v>
      </c>
      <c r="V2643" s="70">
        <f t="shared" ref="V2643" si="479">+U2643*0</f>
        <v>0</v>
      </c>
      <c r="W2643" s="70">
        <f t="shared" si="477"/>
        <v>302</v>
      </c>
      <c r="X2643" s="70">
        <v>0</v>
      </c>
      <c r="Y2643" s="14">
        <f t="shared" si="475"/>
        <v>0</v>
      </c>
      <c r="Z2643" s="11" t="s">
        <v>26</v>
      </c>
      <c r="AA2643" s="12" t="s">
        <v>31</v>
      </c>
    </row>
    <row r="2644" spans="1:27" x14ac:dyDescent="0.25">
      <c r="A2644" s="10">
        <v>45695</v>
      </c>
      <c r="B2644" s="69">
        <v>3.6655092592592586E-2</v>
      </c>
      <c r="C2644" s="11" t="s">
        <v>5017</v>
      </c>
      <c r="D2644" s="11">
        <v>17180</v>
      </c>
      <c r="E2644" s="11" t="s">
        <v>501</v>
      </c>
      <c r="F2644" s="11" t="s">
        <v>26</v>
      </c>
      <c r="G2644" s="11">
        <v>817</v>
      </c>
      <c r="H2644" s="12" t="s">
        <v>141</v>
      </c>
      <c r="I2644" s="12" t="s">
        <v>27</v>
      </c>
      <c r="J2644" s="12" t="s">
        <v>33</v>
      </c>
      <c r="K2644" s="12" t="s">
        <v>34</v>
      </c>
      <c r="L2644" s="13">
        <v>41.98</v>
      </c>
      <c r="M2644" s="13">
        <v>29</v>
      </c>
      <c r="N2644" s="13">
        <f t="shared" si="436"/>
        <v>1.4475862068965517</v>
      </c>
      <c r="O2644" s="13">
        <v>40</v>
      </c>
      <c r="P2644" s="13" t="s">
        <v>30</v>
      </c>
      <c r="Q2644" s="13">
        <v>0</v>
      </c>
      <c r="R2644" s="70">
        <f>L2644*O2644</f>
        <v>1679.1999999999998</v>
      </c>
      <c r="S2644" s="70">
        <v>0</v>
      </c>
      <c r="T2644" s="70">
        <f>L2644*S2644</f>
        <v>0</v>
      </c>
      <c r="U2644" s="70">
        <f>R2644-T2644</f>
        <v>1679.1999999999998</v>
      </c>
      <c r="V2644" s="70">
        <f>U2644*0</f>
        <v>0</v>
      </c>
      <c r="W2644" s="70">
        <f>U2644-V2644</f>
        <v>1679.1999999999998</v>
      </c>
      <c r="X2644" s="70">
        <v>0</v>
      </c>
      <c r="Y2644" s="14">
        <f t="shared" si="475"/>
        <v>0</v>
      </c>
      <c r="Z2644" s="11" t="s">
        <v>26</v>
      </c>
      <c r="AA2644" s="12" t="s">
        <v>31</v>
      </c>
    </row>
    <row r="2645" spans="1:27" x14ac:dyDescent="0.25">
      <c r="A2645" s="10">
        <v>45695</v>
      </c>
      <c r="B2645" s="69">
        <v>1.244212962962965E-2</v>
      </c>
      <c r="C2645" s="11" t="s">
        <v>5018</v>
      </c>
      <c r="D2645" s="11">
        <v>17181</v>
      </c>
      <c r="E2645" s="11" t="s">
        <v>67</v>
      </c>
      <c r="F2645" s="11" t="s">
        <v>26</v>
      </c>
      <c r="G2645" s="11">
        <v>1632</v>
      </c>
      <c r="H2645" s="12" t="s">
        <v>66</v>
      </c>
      <c r="I2645" s="12" t="s">
        <v>37</v>
      </c>
      <c r="J2645" s="12" t="s">
        <v>1909</v>
      </c>
      <c r="K2645" s="12" t="s">
        <v>82</v>
      </c>
      <c r="L2645" s="13">
        <v>38.020000000000003</v>
      </c>
      <c r="M2645" s="13">
        <v>25</v>
      </c>
      <c r="N2645" s="13">
        <f t="shared" si="436"/>
        <v>1.5208000000000002</v>
      </c>
      <c r="O2645" s="13" t="s">
        <v>30</v>
      </c>
      <c r="P2645" s="13">
        <v>54</v>
      </c>
      <c r="Q2645" s="13">
        <v>0</v>
      </c>
      <c r="R2645" s="70">
        <f>M2645*P2645</f>
        <v>1350</v>
      </c>
      <c r="S2645" s="70">
        <v>0</v>
      </c>
      <c r="T2645" s="70">
        <f>M2645*S2645</f>
        <v>0</v>
      </c>
      <c r="U2645" s="70">
        <f>R2645-T2645</f>
        <v>1350</v>
      </c>
      <c r="V2645" s="70">
        <f>U2645*1</f>
        <v>1350</v>
      </c>
      <c r="W2645" s="70">
        <f>U2645-V2645</f>
        <v>0</v>
      </c>
      <c r="X2645" s="70">
        <v>0</v>
      </c>
      <c r="Y2645" s="14">
        <f t="shared" si="475"/>
        <v>0</v>
      </c>
      <c r="Z2645" s="11" t="s">
        <v>26</v>
      </c>
      <c r="AA2645" s="12" t="s">
        <v>31</v>
      </c>
    </row>
    <row r="2646" spans="1:27" x14ac:dyDescent="0.25">
      <c r="A2646" s="10">
        <v>45695</v>
      </c>
      <c r="B2646" s="69">
        <v>1.1064814814814805E-2</v>
      </c>
      <c r="C2646" s="11" t="s">
        <v>5019</v>
      </c>
      <c r="D2646" s="11">
        <v>17182</v>
      </c>
      <c r="E2646" s="11" t="s">
        <v>1200</v>
      </c>
      <c r="F2646" s="11" t="s">
        <v>26</v>
      </c>
      <c r="G2646" s="11">
        <v>2957</v>
      </c>
      <c r="H2646" s="12" t="s">
        <v>163</v>
      </c>
      <c r="I2646" s="12" t="s">
        <v>27</v>
      </c>
      <c r="J2646" s="12" t="s">
        <v>42</v>
      </c>
      <c r="K2646" s="12" t="s">
        <v>43</v>
      </c>
      <c r="L2646" s="13">
        <v>42.96</v>
      </c>
      <c r="M2646" s="13">
        <v>25</v>
      </c>
      <c r="N2646" s="13">
        <f t="shared" si="436"/>
        <v>1.7183999999999999</v>
      </c>
      <c r="O2646" s="13" t="s">
        <v>30</v>
      </c>
      <c r="P2646" s="13">
        <v>64</v>
      </c>
      <c r="Q2646" s="13">
        <v>0</v>
      </c>
      <c r="R2646" s="70">
        <f>M2646*P2646</f>
        <v>1600</v>
      </c>
      <c r="S2646" s="70">
        <v>0</v>
      </c>
      <c r="T2646" s="70">
        <f>M2646*S2646</f>
        <v>0</v>
      </c>
      <c r="U2646" s="70">
        <f>R2646-T2646</f>
        <v>1600</v>
      </c>
      <c r="V2646" s="70">
        <f>U2646*0</f>
        <v>0</v>
      </c>
      <c r="W2646" s="70">
        <f>U2646-V2646</f>
        <v>1600</v>
      </c>
      <c r="X2646" s="70">
        <v>0</v>
      </c>
      <c r="Y2646" s="14">
        <f t="shared" si="475"/>
        <v>0</v>
      </c>
      <c r="Z2646" s="11" t="s">
        <v>26</v>
      </c>
      <c r="AA2646" s="12" t="s">
        <v>31</v>
      </c>
    </row>
    <row r="2647" spans="1:27" x14ac:dyDescent="0.25">
      <c r="A2647" s="10">
        <v>45695</v>
      </c>
      <c r="B2647" s="69">
        <v>1.7037037037037073E-2</v>
      </c>
      <c r="C2647" s="11" t="s">
        <v>5020</v>
      </c>
      <c r="D2647" s="11">
        <v>17183</v>
      </c>
      <c r="E2647" s="11" t="s">
        <v>113</v>
      </c>
      <c r="F2647" s="11" t="s">
        <v>26</v>
      </c>
      <c r="G2647" s="11" t="s">
        <v>26</v>
      </c>
      <c r="H2647" s="12" t="s">
        <v>4424</v>
      </c>
      <c r="I2647" s="12" t="s">
        <v>27</v>
      </c>
      <c r="J2647" s="12" t="s">
        <v>47</v>
      </c>
      <c r="K2647" s="12" t="s">
        <v>48</v>
      </c>
      <c r="L2647" s="13">
        <v>29</v>
      </c>
      <c r="M2647" s="13">
        <v>20</v>
      </c>
      <c r="N2647" s="13">
        <f t="shared" si="436"/>
        <v>1.45</v>
      </c>
      <c r="O2647" s="13">
        <v>90</v>
      </c>
      <c r="P2647" s="13" t="s">
        <v>30</v>
      </c>
      <c r="Q2647" s="13">
        <v>0</v>
      </c>
      <c r="R2647" s="70">
        <f>L2647*O2647</f>
        <v>2610</v>
      </c>
      <c r="S2647" s="70">
        <v>41</v>
      </c>
      <c r="T2647" s="70">
        <f>+L2647*S2647</f>
        <v>1189</v>
      </c>
      <c r="U2647" s="70">
        <f t="shared" ref="U2647" si="480">R2647-T2647</f>
        <v>1421</v>
      </c>
      <c r="V2647" s="70">
        <f>U2647*1</f>
        <v>1421</v>
      </c>
      <c r="W2647" s="70">
        <f t="shared" ref="W2647" si="481">U2647-V2647</f>
        <v>0</v>
      </c>
      <c r="X2647" s="16">
        <f>L2647*40</f>
        <v>1160</v>
      </c>
      <c r="Y2647" s="71">
        <f t="shared" ref="Y2647" si="482">+T2647-X2647</f>
        <v>29</v>
      </c>
      <c r="Z2647" s="12" t="s">
        <v>6328</v>
      </c>
      <c r="AA2647" s="12" t="s">
        <v>746</v>
      </c>
    </row>
    <row r="2648" spans="1:27" x14ac:dyDescent="0.25">
      <c r="A2648" s="10">
        <v>45695</v>
      </c>
      <c r="B2648" s="69">
        <v>1.142361111111112E-2</v>
      </c>
      <c r="C2648" s="11" t="s">
        <v>5021</v>
      </c>
      <c r="D2648" s="11">
        <v>17184</v>
      </c>
      <c r="E2648" s="11" t="s">
        <v>539</v>
      </c>
      <c r="F2648" s="11" t="s">
        <v>26</v>
      </c>
      <c r="G2648" s="11">
        <v>3356</v>
      </c>
      <c r="H2648" s="12" t="s">
        <v>41</v>
      </c>
      <c r="I2648" s="12" t="s">
        <v>27</v>
      </c>
      <c r="J2648" s="12" t="s">
        <v>42</v>
      </c>
      <c r="K2648" s="12" t="s">
        <v>43</v>
      </c>
      <c r="L2648" s="13">
        <v>41.52</v>
      </c>
      <c r="M2648" s="13">
        <v>25</v>
      </c>
      <c r="N2648" s="13">
        <f t="shared" si="436"/>
        <v>1.6608000000000001</v>
      </c>
      <c r="O2648" s="13" t="s">
        <v>30</v>
      </c>
      <c r="P2648" s="13">
        <v>64</v>
      </c>
      <c r="Q2648" s="13">
        <v>0</v>
      </c>
      <c r="R2648" s="70">
        <f>M2648*P2648</f>
        <v>1600</v>
      </c>
      <c r="S2648" s="70">
        <v>0</v>
      </c>
      <c r="T2648" s="70">
        <f>M2648*S2648</f>
        <v>0</v>
      </c>
      <c r="U2648" s="70">
        <f>+R2648-T2648</f>
        <v>1600</v>
      </c>
      <c r="V2648" s="70">
        <f t="shared" ref="V2648" si="483">+U2648*0</f>
        <v>0</v>
      </c>
      <c r="W2648" s="70">
        <f>+U2648-V2648</f>
        <v>1600</v>
      </c>
      <c r="X2648" s="70">
        <v>0</v>
      </c>
      <c r="Y2648" s="14">
        <f t="shared" ref="Y2648:Y2672" si="484">T2648-X2648</f>
        <v>0</v>
      </c>
      <c r="Z2648" s="11" t="s">
        <v>26</v>
      </c>
      <c r="AA2648" s="12" t="s">
        <v>31</v>
      </c>
    </row>
    <row r="2649" spans="1:27" x14ac:dyDescent="0.25">
      <c r="A2649" s="10">
        <v>45695</v>
      </c>
      <c r="B2649" s="69">
        <v>1.996527777777779E-2</v>
      </c>
      <c r="C2649" s="11" t="s">
        <v>5022</v>
      </c>
      <c r="D2649" s="11">
        <v>17185</v>
      </c>
      <c r="E2649" s="11" t="s">
        <v>561</v>
      </c>
      <c r="F2649" s="11" t="s">
        <v>26</v>
      </c>
      <c r="G2649" s="11">
        <v>112239</v>
      </c>
      <c r="H2649" s="12" t="s">
        <v>4446</v>
      </c>
      <c r="I2649" s="12" t="s">
        <v>27</v>
      </c>
      <c r="J2649" s="12" t="s">
        <v>33</v>
      </c>
      <c r="K2649" s="12" t="s">
        <v>34</v>
      </c>
      <c r="L2649" s="13">
        <v>35.22</v>
      </c>
      <c r="M2649" s="13">
        <v>25</v>
      </c>
      <c r="N2649" s="13">
        <f t="shared" si="436"/>
        <v>1.4088000000000001</v>
      </c>
      <c r="O2649" s="13">
        <v>44</v>
      </c>
      <c r="P2649" s="13" t="s">
        <v>30</v>
      </c>
      <c r="Q2649" s="13">
        <v>0</v>
      </c>
      <c r="R2649" s="70">
        <f t="shared" ref="R2649" si="485">+L2649*O2649</f>
        <v>1549.6799999999998</v>
      </c>
      <c r="S2649" s="70">
        <v>0</v>
      </c>
      <c r="T2649" s="70">
        <f>+L2649*S2649</f>
        <v>0</v>
      </c>
      <c r="U2649" s="70">
        <f>+R2649-T2649</f>
        <v>1549.6799999999998</v>
      </c>
      <c r="V2649" s="70">
        <f>+U2649*1</f>
        <v>1549.6799999999998</v>
      </c>
      <c r="W2649" s="70">
        <f>+U2649-V2649</f>
        <v>0</v>
      </c>
      <c r="X2649" s="70">
        <v>0</v>
      </c>
      <c r="Y2649" s="14">
        <f t="shared" si="484"/>
        <v>0</v>
      </c>
      <c r="Z2649" s="11" t="s">
        <v>26</v>
      </c>
      <c r="AA2649" s="12" t="s">
        <v>31</v>
      </c>
    </row>
    <row r="2650" spans="1:27" x14ac:dyDescent="0.25">
      <c r="A2650" s="10">
        <v>45695</v>
      </c>
      <c r="B2650" s="69">
        <v>1.6446759259259314E-2</v>
      </c>
      <c r="C2650" s="11" t="s">
        <v>5023</v>
      </c>
      <c r="D2650" s="11">
        <v>17186</v>
      </c>
      <c r="E2650" s="11" t="s">
        <v>40</v>
      </c>
      <c r="F2650" s="11" t="s">
        <v>26</v>
      </c>
      <c r="G2650" s="11">
        <v>3260</v>
      </c>
      <c r="H2650" s="12" t="s">
        <v>41</v>
      </c>
      <c r="I2650" s="12" t="s">
        <v>55</v>
      </c>
      <c r="J2650" s="12" t="s">
        <v>55</v>
      </c>
      <c r="K2650" s="12" t="s">
        <v>56</v>
      </c>
      <c r="L2650" s="13">
        <v>37.299999999999997</v>
      </c>
      <c r="M2650" s="13">
        <v>25</v>
      </c>
      <c r="N2650" s="13">
        <f t="shared" si="436"/>
        <v>1.492</v>
      </c>
      <c r="O2650" s="13" t="s">
        <v>30</v>
      </c>
      <c r="P2650" s="13">
        <v>24</v>
      </c>
      <c r="Q2650" s="13">
        <v>0</v>
      </c>
      <c r="R2650" s="70">
        <f>+M2650*P2650</f>
        <v>600</v>
      </c>
      <c r="S2650" s="70">
        <v>0</v>
      </c>
      <c r="T2650" s="70">
        <f>+M2650*S2650</f>
        <v>0</v>
      </c>
      <c r="U2650" s="70">
        <f t="shared" ref="U2650:U2661" si="486">+R2650-T2650</f>
        <v>600</v>
      </c>
      <c r="V2650" s="70">
        <f>+U2650*0</f>
        <v>0</v>
      </c>
      <c r="W2650" s="70">
        <f t="shared" ref="W2650:W2661" si="487">+U2650-V2650</f>
        <v>600</v>
      </c>
      <c r="X2650" s="70">
        <v>0</v>
      </c>
      <c r="Y2650" s="14">
        <f t="shared" si="484"/>
        <v>0</v>
      </c>
      <c r="Z2650" s="11" t="s">
        <v>26</v>
      </c>
      <c r="AA2650" s="12" t="s">
        <v>31</v>
      </c>
    </row>
    <row r="2651" spans="1:27" x14ac:dyDescent="0.25">
      <c r="A2651" s="10">
        <v>45695</v>
      </c>
      <c r="B2651" s="69">
        <v>1.3055555555555598E-2</v>
      </c>
      <c r="C2651" s="11" t="s">
        <v>5024</v>
      </c>
      <c r="D2651" s="11">
        <v>17187</v>
      </c>
      <c r="E2651" s="11" t="s">
        <v>486</v>
      </c>
      <c r="F2651" s="11" t="s">
        <v>26</v>
      </c>
      <c r="G2651" s="11">
        <v>70310</v>
      </c>
      <c r="H2651" s="12" t="s">
        <v>4448</v>
      </c>
      <c r="I2651" s="12" t="s">
        <v>55</v>
      </c>
      <c r="J2651" s="12" t="s">
        <v>55</v>
      </c>
      <c r="K2651" s="12" t="s">
        <v>56</v>
      </c>
      <c r="L2651" s="13">
        <v>37.22</v>
      </c>
      <c r="M2651" s="13">
        <v>25</v>
      </c>
      <c r="N2651" s="13">
        <f t="shared" si="436"/>
        <v>1.4887999999999999</v>
      </c>
      <c r="O2651" s="13">
        <v>15</v>
      </c>
      <c r="P2651" s="13" t="s">
        <v>30</v>
      </c>
      <c r="Q2651" s="13">
        <v>0</v>
      </c>
      <c r="R2651" s="70">
        <f>+L2651*O2651</f>
        <v>558.29999999999995</v>
      </c>
      <c r="S2651" s="70">
        <v>0</v>
      </c>
      <c r="T2651" s="70">
        <f t="shared" ref="T2651:T2658" si="488">+L2651*S2651</f>
        <v>0</v>
      </c>
      <c r="U2651" s="70">
        <f t="shared" si="486"/>
        <v>558.29999999999995</v>
      </c>
      <c r="V2651" s="70">
        <f>+U2651*0.75</f>
        <v>418.72499999999997</v>
      </c>
      <c r="W2651" s="70">
        <f t="shared" si="487"/>
        <v>139.57499999999999</v>
      </c>
      <c r="X2651" s="70">
        <v>0</v>
      </c>
      <c r="Y2651" s="14">
        <f t="shared" si="484"/>
        <v>0</v>
      </c>
      <c r="Z2651" s="11" t="s">
        <v>26</v>
      </c>
      <c r="AA2651" s="12" t="s">
        <v>31</v>
      </c>
    </row>
    <row r="2652" spans="1:27" x14ac:dyDescent="0.25">
      <c r="A2652" s="10">
        <v>45695</v>
      </c>
      <c r="B2652" s="69">
        <v>1.1562500000000031E-2</v>
      </c>
      <c r="C2652" s="11" t="s">
        <v>5025</v>
      </c>
      <c r="D2652" s="11">
        <v>17188</v>
      </c>
      <c r="E2652" s="11" t="s">
        <v>570</v>
      </c>
      <c r="F2652" s="11" t="s">
        <v>26</v>
      </c>
      <c r="G2652" s="11">
        <v>10350</v>
      </c>
      <c r="H2652" s="12" t="s">
        <v>140</v>
      </c>
      <c r="I2652" s="12" t="s">
        <v>27</v>
      </c>
      <c r="J2652" s="12" t="s">
        <v>47</v>
      </c>
      <c r="K2652" s="12" t="s">
        <v>48</v>
      </c>
      <c r="L2652" s="13">
        <v>40.840000000000003</v>
      </c>
      <c r="M2652" s="13">
        <v>28</v>
      </c>
      <c r="N2652" s="13">
        <f t="shared" si="436"/>
        <v>1.4585714285714286</v>
      </c>
      <c r="O2652" s="13">
        <v>40</v>
      </c>
      <c r="P2652" s="13"/>
      <c r="Q2652" s="13">
        <v>0</v>
      </c>
      <c r="R2652" s="70">
        <f>+L2652*O2652</f>
        <v>1633.6000000000001</v>
      </c>
      <c r="S2652" s="70">
        <v>0</v>
      </c>
      <c r="T2652" s="70">
        <f t="shared" si="488"/>
        <v>0</v>
      </c>
      <c r="U2652" s="70">
        <f t="shared" si="486"/>
        <v>1633.6000000000001</v>
      </c>
      <c r="V2652" s="70">
        <f t="shared" ref="V2652:V2653" si="489">+U2652*0</f>
        <v>0</v>
      </c>
      <c r="W2652" s="70">
        <f t="shared" si="487"/>
        <v>1633.6000000000001</v>
      </c>
      <c r="X2652" s="70">
        <v>0</v>
      </c>
      <c r="Y2652" s="14">
        <f t="shared" si="484"/>
        <v>0</v>
      </c>
      <c r="Z2652" s="11" t="s">
        <v>26</v>
      </c>
      <c r="AA2652" s="12" t="s">
        <v>31</v>
      </c>
    </row>
    <row r="2653" spans="1:27" x14ac:dyDescent="0.25">
      <c r="A2653" s="10">
        <v>45695</v>
      </c>
      <c r="B2653" s="69">
        <v>1.3356481481481497E-2</v>
      </c>
      <c r="C2653" s="11" t="s">
        <v>5026</v>
      </c>
      <c r="D2653" s="11">
        <v>17189</v>
      </c>
      <c r="E2653" s="11" t="s">
        <v>520</v>
      </c>
      <c r="F2653" s="11" t="s">
        <v>26</v>
      </c>
      <c r="G2653" s="11">
        <v>4397</v>
      </c>
      <c r="H2653" s="12" t="s">
        <v>140</v>
      </c>
      <c r="I2653" s="12" t="s">
        <v>27</v>
      </c>
      <c r="J2653" s="12" t="s">
        <v>42</v>
      </c>
      <c r="K2653" s="12" t="s">
        <v>43</v>
      </c>
      <c r="L2653" s="13">
        <v>40.4</v>
      </c>
      <c r="M2653" s="13">
        <v>25</v>
      </c>
      <c r="N2653" s="13">
        <f t="shared" si="436"/>
        <v>1.6159999999999999</v>
      </c>
      <c r="O2653" s="13">
        <v>35</v>
      </c>
      <c r="P2653" s="13"/>
      <c r="Q2653" s="13">
        <v>0</v>
      </c>
      <c r="R2653" s="70">
        <f>+L2653*O2653</f>
        <v>1414</v>
      </c>
      <c r="S2653" s="70">
        <v>0</v>
      </c>
      <c r="T2653" s="70">
        <f t="shared" si="488"/>
        <v>0</v>
      </c>
      <c r="U2653" s="70">
        <f t="shared" si="486"/>
        <v>1414</v>
      </c>
      <c r="V2653" s="70">
        <f t="shared" si="489"/>
        <v>0</v>
      </c>
      <c r="W2653" s="70">
        <f t="shared" si="487"/>
        <v>1414</v>
      </c>
      <c r="X2653" s="70">
        <v>0</v>
      </c>
      <c r="Y2653" s="14">
        <f t="shared" si="484"/>
        <v>0</v>
      </c>
      <c r="Z2653" s="11" t="s">
        <v>26</v>
      </c>
      <c r="AA2653" s="12" t="s">
        <v>31</v>
      </c>
    </row>
    <row r="2654" spans="1:27" x14ac:dyDescent="0.25">
      <c r="A2654" s="10">
        <v>45695</v>
      </c>
      <c r="B2654" s="69">
        <v>3.2222222222222263E-2</v>
      </c>
      <c r="C2654" s="11" t="s">
        <v>5027</v>
      </c>
      <c r="D2654" s="11">
        <v>17190</v>
      </c>
      <c r="E2654" s="11" t="s">
        <v>2126</v>
      </c>
      <c r="F2654" s="11" t="s">
        <v>26</v>
      </c>
      <c r="G2654" s="11">
        <v>112238</v>
      </c>
      <c r="H2654" s="12" t="s">
        <v>4446</v>
      </c>
      <c r="I2654" s="12" t="s">
        <v>27</v>
      </c>
      <c r="J2654" s="12" t="s">
        <v>33</v>
      </c>
      <c r="K2654" s="12" t="s">
        <v>34</v>
      </c>
      <c r="L2654" s="13">
        <v>34.76</v>
      </c>
      <c r="M2654" s="13">
        <v>25</v>
      </c>
      <c r="N2654" s="13">
        <f t="shared" si="436"/>
        <v>1.3903999999999999</v>
      </c>
      <c r="O2654" s="13">
        <v>44</v>
      </c>
      <c r="P2654" s="13" t="s">
        <v>30</v>
      </c>
      <c r="Q2654" s="13">
        <v>0</v>
      </c>
      <c r="R2654" s="70">
        <f t="shared" ref="R2654" si="490">+L2654*O2654</f>
        <v>1529.4399999999998</v>
      </c>
      <c r="S2654" s="70">
        <v>0</v>
      </c>
      <c r="T2654" s="70">
        <f t="shared" si="488"/>
        <v>0</v>
      </c>
      <c r="U2654" s="70">
        <f t="shared" si="486"/>
        <v>1529.4399999999998</v>
      </c>
      <c r="V2654" s="70">
        <f>+U2654*1</f>
        <v>1529.4399999999998</v>
      </c>
      <c r="W2654" s="70">
        <f t="shared" si="487"/>
        <v>0</v>
      </c>
      <c r="X2654" s="70">
        <v>0</v>
      </c>
      <c r="Y2654" s="14">
        <f t="shared" si="484"/>
        <v>0</v>
      </c>
      <c r="Z2654" s="11" t="s">
        <v>26</v>
      </c>
      <c r="AA2654" s="12" t="s">
        <v>31</v>
      </c>
    </row>
    <row r="2655" spans="1:27" x14ac:dyDescent="0.25">
      <c r="A2655" s="10">
        <v>45695</v>
      </c>
      <c r="B2655" s="69">
        <v>1.2523148148148144E-2</v>
      </c>
      <c r="C2655" s="11" t="s">
        <v>5028</v>
      </c>
      <c r="D2655" s="11">
        <v>17191</v>
      </c>
      <c r="E2655" s="11" t="s">
        <v>80</v>
      </c>
      <c r="F2655" s="11" t="s">
        <v>26</v>
      </c>
      <c r="G2655" s="11">
        <v>10677</v>
      </c>
      <c r="H2655" s="12" t="s">
        <v>140</v>
      </c>
      <c r="I2655" s="12" t="s">
        <v>27</v>
      </c>
      <c r="J2655" s="12" t="s">
        <v>42</v>
      </c>
      <c r="K2655" s="12" t="s">
        <v>43</v>
      </c>
      <c r="L2655" s="13">
        <v>41</v>
      </c>
      <c r="M2655" s="13">
        <v>25</v>
      </c>
      <c r="N2655" s="13">
        <f t="shared" si="436"/>
        <v>1.64</v>
      </c>
      <c r="O2655" s="13">
        <v>35</v>
      </c>
      <c r="P2655" s="13"/>
      <c r="Q2655" s="13">
        <v>0</v>
      </c>
      <c r="R2655" s="70">
        <f>+L2655*O2655</f>
        <v>1435</v>
      </c>
      <c r="S2655" s="70">
        <v>0</v>
      </c>
      <c r="T2655" s="70">
        <f t="shared" si="488"/>
        <v>0</v>
      </c>
      <c r="U2655" s="70">
        <f t="shared" si="486"/>
        <v>1435</v>
      </c>
      <c r="V2655" s="70">
        <f t="shared" ref="V2655" si="491">+U2655*0</f>
        <v>0</v>
      </c>
      <c r="W2655" s="70">
        <f t="shared" si="487"/>
        <v>1435</v>
      </c>
      <c r="X2655" s="70">
        <v>0</v>
      </c>
      <c r="Y2655" s="14">
        <f t="shared" si="484"/>
        <v>0</v>
      </c>
      <c r="Z2655" s="11" t="s">
        <v>26</v>
      </c>
      <c r="AA2655" s="12" t="s">
        <v>31</v>
      </c>
    </row>
    <row r="2656" spans="1:27" x14ac:dyDescent="0.25">
      <c r="A2656" s="10">
        <v>45695</v>
      </c>
      <c r="B2656" s="69">
        <v>1.9641203703703702E-2</v>
      </c>
      <c r="C2656" s="11" t="s">
        <v>5029</v>
      </c>
      <c r="D2656" s="11">
        <v>17192</v>
      </c>
      <c r="E2656" s="11" t="s">
        <v>485</v>
      </c>
      <c r="F2656" s="11" t="s">
        <v>26</v>
      </c>
      <c r="G2656" s="11">
        <v>22503</v>
      </c>
      <c r="H2656" s="12" t="s">
        <v>4448</v>
      </c>
      <c r="I2656" s="12" t="s">
        <v>27</v>
      </c>
      <c r="J2656" s="12" t="s">
        <v>42</v>
      </c>
      <c r="K2656" s="12" t="s">
        <v>43</v>
      </c>
      <c r="L2656" s="13">
        <v>41.7</v>
      </c>
      <c r="M2656" s="13">
        <v>25</v>
      </c>
      <c r="N2656" s="13">
        <f t="shared" si="436"/>
        <v>1.6680000000000001</v>
      </c>
      <c r="O2656" s="13">
        <v>42.5</v>
      </c>
      <c r="P2656" s="13"/>
      <c r="Q2656" s="13">
        <v>0</v>
      </c>
      <c r="R2656" s="70">
        <f>+L2656*O2656</f>
        <v>1772.2500000000002</v>
      </c>
      <c r="S2656" s="70">
        <v>0</v>
      </c>
      <c r="T2656" s="70">
        <f t="shared" si="488"/>
        <v>0</v>
      </c>
      <c r="U2656" s="70">
        <f t="shared" si="486"/>
        <v>1772.2500000000002</v>
      </c>
      <c r="V2656" s="70">
        <f>+U2656*0.75</f>
        <v>1329.1875000000002</v>
      </c>
      <c r="W2656" s="70">
        <f t="shared" si="487"/>
        <v>443.0625</v>
      </c>
      <c r="X2656" s="70">
        <v>0</v>
      </c>
      <c r="Y2656" s="14">
        <f t="shared" si="484"/>
        <v>0</v>
      </c>
      <c r="Z2656" s="11" t="s">
        <v>26</v>
      </c>
      <c r="AA2656" s="12" t="s">
        <v>31</v>
      </c>
    </row>
    <row r="2657" spans="1:27" x14ac:dyDescent="0.25">
      <c r="A2657" s="10">
        <v>45695</v>
      </c>
      <c r="B2657" s="69">
        <v>5.7037037037037108E-2</v>
      </c>
      <c r="C2657" s="11" t="s">
        <v>5030</v>
      </c>
      <c r="D2657" s="11">
        <v>17193</v>
      </c>
      <c r="E2657" s="11" t="s">
        <v>567</v>
      </c>
      <c r="F2657" s="11" t="s">
        <v>26</v>
      </c>
      <c r="G2657" s="11">
        <v>112242</v>
      </c>
      <c r="H2657" s="12" t="s">
        <v>4446</v>
      </c>
      <c r="I2657" s="12" t="s">
        <v>27</v>
      </c>
      <c r="J2657" s="12" t="s">
        <v>33</v>
      </c>
      <c r="K2657" s="12" t="s">
        <v>34</v>
      </c>
      <c r="L2657" s="13">
        <v>34.119999999999997</v>
      </c>
      <c r="M2657" s="13">
        <v>24</v>
      </c>
      <c r="N2657" s="13">
        <f t="shared" si="436"/>
        <v>1.4216666666666666</v>
      </c>
      <c r="O2657" s="13">
        <v>44</v>
      </c>
      <c r="P2657" s="13" t="s">
        <v>30</v>
      </c>
      <c r="Q2657" s="13">
        <v>0</v>
      </c>
      <c r="R2657" s="70">
        <f t="shared" ref="R2657" si="492">+L2657*O2657</f>
        <v>1501.28</v>
      </c>
      <c r="S2657" s="70">
        <v>0</v>
      </c>
      <c r="T2657" s="70">
        <f t="shared" si="488"/>
        <v>0</v>
      </c>
      <c r="U2657" s="70">
        <f t="shared" si="486"/>
        <v>1501.28</v>
      </c>
      <c r="V2657" s="70">
        <f>+U2657*1</f>
        <v>1501.28</v>
      </c>
      <c r="W2657" s="70">
        <f t="shared" si="487"/>
        <v>0</v>
      </c>
      <c r="X2657" s="70">
        <v>0</v>
      </c>
      <c r="Y2657" s="14">
        <f t="shared" si="484"/>
        <v>0</v>
      </c>
      <c r="Z2657" s="11" t="s">
        <v>26</v>
      </c>
      <c r="AA2657" s="12" t="s">
        <v>31</v>
      </c>
    </row>
    <row r="2658" spans="1:27" x14ac:dyDescent="0.25">
      <c r="A2658" s="10">
        <v>45695</v>
      </c>
      <c r="B2658" s="69">
        <v>2.0034722222222245E-2</v>
      </c>
      <c r="C2658" s="11" t="s">
        <v>5031</v>
      </c>
      <c r="D2658" s="11">
        <v>17194</v>
      </c>
      <c r="E2658" s="11" t="s">
        <v>5032</v>
      </c>
      <c r="F2658" s="11" t="s">
        <v>26</v>
      </c>
      <c r="G2658" s="11">
        <v>10801</v>
      </c>
      <c r="H2658" s="12" t="s">
        <v>140</v>
      </c>
      <c r="I2658" s="12" t="s">
        <v>27</v>
      </c>
      <c r="J2658" s="12" t="s">
        <v>42</v>
      </c>
      <c r="K2658" s="12" t="s">
        <v>43</v>
      </c>
      <c r="L2658" s="13">
        <v>41.48</v>
      </c>
      <c r="M2658" s="13">
        <v>25</v>
      </c>
      <c r="N2658" s="13">
        <f t="shared" si="436"/>
        <v>1.6591999999999998</v>
      </c>
      <c r="O2658" s="13">
        <v>35</v>
      </c>
      <c r="P2658" s="13"/>
      <c r="Q2658" s="13">
        <v>0</v>
      </c>
      <c r="R2658" s="70">
        <f>+L2658*O2658</f>
        <v>1451.8</v>
      </c>
      <c r="S2658" s="70">
        <v>0</v>
      </c>
      <c r="T2658" s="70">
        <f t="shared" si="488"/>
        <v>0</v>
      </c>
      <c r="U2658" s="70">
        <f t="shared" si="486"/>
        <v>1451.8</v>
      </c>
      <c r="V2658" s="70">
        <f t="shared" ref="V2658:V2659" si="493">+U2658*0</f>
        <v>0</v>
      </c>
      <c r="W2658" s="70">
        <f t="shared" si="487"/>
        <v>1451.8</v>
      </c>
      <c r="X2658" s="70">
        <v>0</v>
      </c>
      <c r="Y2658" s="14">
        <f t="shared" si="484"/>
        <v>0</v>
      </c>
      <c r="Z2658" s="11" t="s">
        <v>26</v>
      </c>
      <c r="AA2658" s="12" t="s">
        <v>31</v>
      </c>
    </row>
    <row r="2659" spans="1:27" x14ac:dyDescent="0.25">
      <c r="A2659" s="10">
        <v>45695</v>
      </c>
      <c r="B2659" s="69">
        <v>0.16993055555555558</v>
      </c>
      <c r="C2659" s="11" t="s">
        <v>5033</v>
      </c>
      <c r="D2659" s="11">
        <v>17195</v>
      </c>
      <c r="E2659" s="11" t="s">
        <v>435</v>
      </c>
      <c r="F2659" s="11" t="s">
        <v>26</v>
      </c>
      <c r="G2659" s="11">
        <v>2765</v>
      </c>
      <c r="H2659" s="12" t="s">
        <v>41</v>
      </c>
      <c r="I2659" s="12" t="s">
        <v>27</v>
      </c>
      <c r="J2659" s="12" t="s">
        <v>42</v>
      </c>
      <c r="K2659" s="12" t="s">
        <v>43</v>
      </c>
      <c r="L2659" s="13">
        <v>38.159999999999997</v>
      </c>
      <c r="M2659" s="13">
        <v>24</v>
      </c>
      <c r="N2659" s="13">
        <f t="shared" si="436"/>
        <v>1.5899999999999999</v>
      </c>
      <c r="O2659" s="13" t="s">
        <v>30</v>
      </c>
      <c r="P2659" s="13">
        <v>64</v>
      </c>
      <c r="Q2659" s="13">
        <v>0</v>
      </c>
      <c r="R2659" s="70">
        <f>M2659*P2659</f>
        <v>1536</v>
      </c>
      <c r="S2659" s="70">
        <v>0</v>
      </c>
      <c r="T2659" s="70">
        <f>M2659*S2659</f>
        <v>0</v>
      </c>
      <c r="U2659" s="70">
        <f t="shared" si="486"/>
        <v>1536</v>
      </c>
      <c r="V2659" s="70">
        <f t="shared" si="493"/>
        <v>0</v>
      </c>
      <c r="W2659" s="70">
        <f t="shared" si="487"/>
        <v>1536</v>
      </c>
      <c r="X2659" s="70">
        <v>0</v>
      </c>
      <c r="Y2659" s="14">
        <f t="shared" si="484"/>
        <v>0</v>
      </c>
      <c r="Z2659" s="11" t="s">
        <v>26</v>
      </c>
      <c r="AA2659" s="12" t="s">
        <v>31</v>
      </c>
    </row>
    <row r="2660" spans="1:27" x14ac:dyDescent="0.25">
      <c r="A2660" s="10">
        <v>45695</v>
      </c>
      <c r="B2660" s="69">
        <v>7.3564814814814805E-2</v>
      </c>
      <c r="C2660" s="11" t="s">
        <v>5034</v>
      </c>
      <c r="D2660" s="11">
        <v>17196</v>
      </c>
      <c r="E2660" s="11" t="s">
        <v>593</v>
      </c>
      <c r="F2660" s="11" t="s">
        <v>26</v>
      </c>
      <c r="G2660" s="11">
        <v>44325</v>
      </c>
      <c r="H2660" s="12" t="s">
        <v>4423</v>
      </c>
      <c r="I2660" s="12" t="s">
        <v>27</v>
      </c>
      <c r="J2660" s="12" t="s">
        <v>47</v>
      </c>
      <c r="K2660" s="12" t="s">
        <v>48</v>
      </c>
      <c r="L2660" s="13">
        <v>34.799999999999997</v>
      </c>
      <c r="M2660" s="13">
        <v>25</v>
      </c>
      <c r="N2660" s="13">
        <f t="shared" ref="N2660:N2723" si="494">L2660/M2660</f>
        <v>1.3919999999999999</v>
      </c>
      <c r="O2660" s="13">
        <v>46</v>
      </c>
      <c r="P2660" s="13" t="s">
        <v>30</v>
      </c>
      <c r="Q2660" s="13">
        <v>0</v>
      </c>
      <c r="R2660" s="70">
        <f t="shared" ref="R2660" si="495">+L2660*O2660</f>
        <v>1600.8</v>
      </c>
      <c r="S2660" s="70">
        <v>0</v>
      </c>
      <c r="T2660" s="70">
        <f t="shared" ref="T2660:T2661" si="496">+L2660*S2660</f>
        <v>0</v>
      </c>
      <c r="U2660" s="70">
        <f t="shared" si="486"/>
        <v>1600.8</v>
      </c>
      <c r="V2660" s="70">
        <f>+U2660*1</f>
        <v>1600.8</v>
      </c>
      <c r="W2660" s="70">
        <f t="shared" si="487"/>
        <v>0</v>
      </c>
      <c r="X2660" s="70">
        <v>0</v>
      </c>
      <c r="Y2660" s="14">
        <f t="shared" si="484"/>
        <v>0</v>
      </c>
      <c r="Z2660" s="11" t="s">
        <v>26</v>
      </c>
      <c r="AA2660" s="12" t="s">
        <v>31</v>
      </c>
    </row>
    <row r="2661" spans="1:27" x14ac:dyDescent="0.25">
      <c r="A2661" s="10">
        <v>45695</v>
      </c>
      <c r="B2661" s="69">
        <v>1.0787037037036984E-2</v>
      </c>
      <c r="C2661" s="11" t="s">
        <v>5035</v>
      </c>
      <c r="D2661" s="11">
        <v>17197</v>
      </c>
      <c r="E2661" s="11" t="s">
        <v>440</v>
      </c>
      <c r="F2661" s="11" t="s">
        <v>26</v>
      </c>
      <c r="G2661" s="11" t="s">
        <v>35</v>
      </c>
      <c r="H2661" s="12" t="s">
        <v>36</v>
      </c>
      <c r="I2661" s="12" t="s">
        <v>55</v>
      </c>
      <c r="J2661" s="12" t="s">
        <v>55</v>
      </c>
      <c r="K2661" s="12" t="s">
        <v>56</v>
      </c>
      <c r="L2661" s="13">
        <v>30.98</v>
      </c>
      <c r="M2661" s="13">
        <v>22</v>
      </c>
      <c r="N2661" s="13">
        <f t="shared" si="494"/>
        <v>1.4081818181818182</v>
      </c>
      <c r="O2661" s="13">
        <v>20</v>
      </c>
      <c r="P2661" s="13" t="s">
        <v>30</v>
      </c>
      <c r="Q2661" s="13">
        <v>0</v>
      </c>
      <c r="R2661" s="70">
        <f>(L2661*O2661)-Q2661</f>
        <v>619.6</v>
      </c>
      <c r="S2661" s="70">
        <v>0</v>
      </c>
      <c r="T2661" s="70">
        <f t="shared" si="496"/>
        <v>0</v>
      </c>
      <c r="U2661" s="70">
        <f t="shared" si="486"/>
        <v>619.6</v>
      </c>
      <c r="V2661" s="70">
        <f t="shared" ref="V2661" si="497">+U2661*0</f>
        <v>0</v>
      </c>
      <c r="W2661" s="70">
        <f t="shared" si="487"/>
        <v>619.6</v>
      </c>
      <c r="X2661" s="70">
        <v>0</v>
      </c>
      <c r="Y2661" s="14">
        <f t="shared" si="484"/>
        <v>0</v>
      </c>
      <c r="Z2661" s="11" t="s">
        <v>26</v>
      </c>
      <c r="AA2661" s="12" t="s">
        <v>31</v>
      </c>
    </row>
    <row r="2662" spans="1:27" x14ac:dyDescent="0.25">
      <c r="A2662" s="10">
        <v>45695</v>
      </c>
      <c r="B2662" s="69">
        <v>1.6516203703703769E-2</v>
      </c>
      <c r="C2662" s="11" t="s">
        <v>5036</v>
      </c>
      <c r="D2662" s="11">
        <v>17198</v>
      </c>
      <c r="E2662" s="11" t="s">
        <v>3786</v>
      </c>
      <c r="F2662" s="11" t="s">
        <v>26</v>
      </c>
      <c r="G2662" s="11">
        <v>24337</v>
      </c>
      <c r="H2662" s="12" t="s">
        <v>4448</v>
      </c>
      <c r="I2662" s="12" t="s">
        <v>55</v>
      </c>
      <c r="J2662" s="12" t="s">
        <v>55</v>
      </c>
      <c r="K2662" s="12" t="s">
        <v>56</v>
      </c>
      <c r="L2662" s="13">
        <v>37.96</v>
      </c>
      <c r="M2662" s="13">
        <v>25</v>
      </c>
      <c r="N2662" s="13">
        <f t="shared" si="494"/>
        <v>1.5184</v>
      </c>
      <c r="O2662" s="13">
        <v>15</v>
      </c>
      <c r="P2662" s="13" t="s">
        <v>30</v>
      </c>
      <c r="Q2662" s="13">
        <v>0</v>
      </c>
      <c r="R2662" s="70">
        <f>+L2662*O2662</f>
        <v>569.4</v>
      </c>
      <c r="S2662" s="70">
        <v>0</v>
      </c>
      <c r="T2662" s="70">
        <f>+L2662*S2662</f>
        <v>0</v>
      </c>
      <c r="U2662" s="70">
        <f>+R2662-T2662</f>
        <v>569.4</v>
      </c>
      <c r="V2662" s="70">
        <f>+U2662*0.75</f>
        <v>427.04999999999995</v>
      </c>
      <c r="W2662" s="70">
        <f>+U2662-V2662</f>
        <v>142.35000000000002</v>
      </c>
      <c r="X2662" s="70">
        <v>0</v>
      </c>
      <c r="Y2662" s="14">
        <f t="shared" si="484"/>
        <v>0</v>
      </c>
      <c r="Z2662" s="11" t="s">
        <v>26</v>
      </c>
      <c r="AA2662" s="12" t="s">
        <v>31</v>
      </c>
    </row>
    <row r="2663" spans="1:27" x14ac:dyDescent="0.25">
      <c r="A2663" s="10">
        <v>45695</v>
      </c>
      <c r="B2663" s="69">
        <v>8.3217592592591538E-3</v>
      </c>
      <c r="C2663" s="11" t="s">
        <v>5037</v>
      </c>
      <c r="D2663" s="11">
        <v>17199</v>
      </c>
      <c r="E2663" s="11" t="s">
        <v>180</v>
      </c>
      <c r="F2663" s="11" t="s">
        <v>26</v>
      </c>
      <c r="G2663" s="11" t="s">
        <v>35</v>
      </c>
      <c r="H2663" s="12" t="s">
        <v>36</v>
      </c>
      <c r="I2663" s="12" t="s">
        <v>55</v>
      </c>
      <c r="J2663" s="12" t="s">
        <v>55</v>
      </c>
      <c r="K2663" s="12" t="s">
        <v>56</v>
      </c>
      <c r="L2663" s="13">
        <v>14.72</v>
      </c>
      <c r="M2663" s="13">
        <v>9</v>
      </c>
      <c r="N2663" s="13">
        <f t="shared" si="494"/>
        <v>1.6355555555555557</v>
      </c>
      <c r="O2663" s="13">
        <v>20</v>
      </c>
      <c r="P2663" s="13" t="s">
        <v>30</v>
      </c>
      <c r="Q2663" s="13">
        <v>0</v>
      </c>
      <c r="R2663" s="70">
        <f>(L2663*O2663)-Q2663</f>
        <v>294.40000000000003</v>
      </c>
      <c r="S2663" s="70">
        <v>0</v>
      </c>
      <c r="T2663" s="70">
        <f t="shared" ref="T2663" si="498">+L2663*S2663</f>
        <v>0</v>
      </c>
      <c r="U2663" s="70">
        <f t="shared" ref="U2663:U2665" si="499">+R2663-T2663</f>
        <v>294.40000000000003</v>
      </c>
      <c r="V2663" s="70">
        <f t="shared" ref="V2663" si="500">+U2663*0</f>
        <v>0</v>
      </c>
      <c r="W2663" s="70">
        <f t="shared" ref="W2663:W2665" si="501">+U2663-V2663</f>
        <v>294.40000000000003</v>
      </c>
      <c r="X2663" s="70">
        <v>0</v>
      </c>
      <c r="Y2663" s="14">
        <f t="shared" si="484"/>
        <v>0</v>
      </c>
      <c r="Z2663" s="11" t="s">
        <v>26</v>
      </c>
      <c r="AA2663" s="12" t="s">
        <v>31</v>
      </c>
    </row>
    <row r="2664" spans="1:27" x14ac:dyDescent="0.25">
      <c r="A2664" s="10">
        <v>45695</v>
      </c>
      <c r="B2664" s="69">
        <v>9.2847222222222192E-2</v>
      </c>
      <c r="C2664" s="11" t="s">
        <v>5038</v>
      </c>
      <c r="D2664" s="11">
        <v>17200</v>
      </c>
      <c r="E2664" s="11" t="s">
        <v>246</v>
      </c>
      <c r="F2664" s="11" t="s">
        <v>26</v>
      </c>
      <c r="G2664" s="11">
        <v>3407</v>
      </c>
      <c r="H2664" s="12" t="s">
        <v>41</v>
      </c>
      <c r="I2664" s="12" t="s">
        <v>27</v>
      </c>
      <c r="J2664" s="12" t="s">
        <v>33</v>
      </c>
      <c r="K2664" s="12" t="s">
        <v>34</v>
      </c>
      <c r="L2664" s="13">
        <v>35.299999999999997</v>
      </c>
      <c r="M2664" s="13">
        <v>24</v>
      </c>
      <c r="N2664" s="13">
        <f t="shared" si="494"/>
        <v>1.4708333333333332</v>
      </c>
      <c r="O2664" s="13" t="s">
        <v>30</v>
      </c>
      <c r="P2664" s="13">
        <v>60</v>
      </c>
      <c r="Q2664" s="13">
        <v>0</v>
      </c>
      <c r="R2664" s="70">
        <f>M2664*P2664</f>
        <v>1440</v>
      </c>
      <c r="S2664" s="70">
        <v>0</v>
      </c>
      <c r="T2664" s="70">
        <f>M2664*S2664</f>
        <v>0</v>
      </c>
      <c r="U2664" s="70">
        <f t="shared" si="499"/>
        <v>1440</v>
      </c>
      <c r="V2664" s="70">
        <f>+U2664*0</f>
        <v>0</v>
      </c>
      <c r="W2664" s="70">
        <f t="shared" si="501"/>
        <v>1440</v>
      </c>
      <c r="X2664" s="70">
        <v>0</v>
      </c>
      <c r="Y2664" s="14">
        <f t="shared" si="484"/>
        <v>0</v>
      </c>
      <c r="Z2664" s="11" t="s">
        <v>26</v>
      </c>
      <c r="AA2664" s="12" t="s">
        <v>31</v>
      </c>
    </row>
    <row r="2665" spans="1:27" x14ac:dyDescent="0.25">
      <c r="A2665" s="10">
        <v>45695</v>
      </c>
      <c r="B2665" s="69">
        <v>6.0428240740740824E-2</v>
      </c>
      <c r="C2665" s="11" t="s">
        <v>5039</v>
      </c>
      <c r="D2665" s="11">
        <v>17201</v>
      </c>
      <c r="E2665" s="11" t="s">
        <v>53</v>
      </c>
      <c r="F2665" s="11" t="s">
        <v>26</v>
      </c>
      <c r="G2665" s="11">
        <v>2766</v>
      </c>
      <c r="H2665" s="12" t="s">
        <v>41</v>
      </c>
      <c r="I2665" s="12" t="s">
        <v>55</v>
      </c>
      <c r="J2665" s="12" t="s">
        <v>55</v>
      </c>
      <c r="K2665" s="12" t="s">
        <v>56</v>
      </c>
      <c r="L2665" s="13">
        <v>36.76</v>
      </c>
      <c r="M2665" s="13">
        <v>22</v>
      </c>
      <c r="N2665" s="13">
        <f t="shared" si="494"/>
        <v>1.6709090909090909</v>
      </c>
      <c r="O2665" s="13" t="s">
        <v>30</v>
      </c>
      <c r="P2665" s="13">
        <v>24</v>
      </c>
      <c r="Q2665" s="13">
        <v>0</v>
      </c>
      <c r="R2665" s="70">
        <f>+M2665*P2665</f>
        <v>528</v>
      </c>
      <c r="S2665" s="70">
        <v>0</v>
      </c>
      <c r="T2665" s="70">
        <f>+M2665*S2665</f>
        <v>0</v>
      </c>
      <c r="U2665" s="70">
        <f t="shared" si="499"/>
        <v>528</v>
      </c>
      <c r="V2665" s="70">
        <f>+U2665*0</f>
        <v>0</v>
      </c>
      <c r="W2665" s="70">
        <f t="shared" si="501"/>
        <v>528</v>
      </c>
      <c r="X2665" s="70">
        <v>0</v>
      </c>
      <c r="Y2665" s="14">
        <f t="shared" si="484"/>
        <v>0</v>
      </c>
      <c r="Z2665" s="11" t="s">
        <v>26</v>
      </c>
      <c r="AA2665" s="12" t="s">
        <v>31</v>
      </c>
    </row>
    <row r="2666" spans="1:27" x14ac:dyDescent="0.25">
      <c r="A2666" s="10">
        <v>45695</v>
      </c>
      <c r="B2666" s="69">
        <v>1.7986111111111036E-2</v>
      </c>
      <c r="C2666" s="11" t="s">
        <v>5040</v>
      </c>
      <c r="D2666" s="11">
        <v>17202</v>
      </c>
      <c r="E2666" s="11" t="s">
        <v>63</v>
      </c>
      <c r="F2666" s="11" t="s">
        <v>26</v>
      </c>
      <c r="G2666" s="11">
        <v>10186</v>
      </c>
      <c r="H2666" s="12" t="s">
        <v>140</v>
      </c>
      <c r="I2666" s="12" t="s">
        <v>27</v>
      </c>
      <c r="J2666" s="12" t="s">
        <v>42</v>
      </c>
      <c r="K2666" s="12" t="s">
        <v>43</v>
      </c>
      <c r="L2666" s="13">
        <v>41.7</v>
      </c>
      <c r="M2666" s="13">
        <v>25</v>
      </c>
      <c r="N2666" s="13">
        <f t="shared" si="494"/>
        <v>1.6680000000000001</v>
      </c>
      <c r="O2666" s="13">
        <v>35</v>
      </c>
      <c r="P2666" s="13"/>
      <c r="Q2666" s="13">
        <v>0</v>
      </c>
      <c r="R2666" s="70">
        <f>+L2666*O2666</f>
        <v>1459.5</v>
      </c>
      <c r="S2666" s="70">
        <v>0</v>
      </c>
      <c r="T2666" s="70">
        <f>+L2666*S2666</f>
        <v>0</v>
      </c>
      <c r="U2666" s="70">
        <f>+R2666-T2666</f>
        <v>1459.5</v>
      </c>
      <c r="V2666" s="70">
        <f t="shared" ref="V2666" si="502">+U2666*0</f>
        <v>0</v>
      </c>
      <c r="W2666" s="70">
        <f>+U2666-V2666</f>
        <v>1459.5</v>
      </c>
      <c r="X2666" s="70">
        <v>0</v>
      </c>
      <c r="Y2666" s="14">
        <f t="shared" si="484"/>
        <v>0</v>
      </c>
      <c r="Z2666" s="11" t="s">
        <v>26</v>
      </c>
      <c r="AA2666" s="12" t="s">
        <v>31</v>
      </c>
    </row>
    <row r="2667" spans="1:27" x14ac:dyDescent="0.25">
      <c r="A2667" s="10">
        <v>45695</v>
      </c>
      <c r="B2667" s="69">
        <v>3.4907407407407387E-2</v>
      </c>
      <c r="C2667" s="11" t="s">
        <v>5041</v>
      </c>
      <c r="D2667" s="11">
        <v>17203</v>
      </c>
      <c r="E2667" s="11" t="s">
        <v>50</v>
      </c>
      <c r="F2667" s="11" t="s">
        <v>26</v>
      </c>
      <c r="G2667" s="11">
        <v>941</v>
      </c>
      <c r="H2667" s="12" t="s">
        <v>163</v>
      </c>
      <c r="I2667" s="12" t="s">
        <v>55</v>
      </c>
      <c r="J2667" s="12" t="s">
        <v>55</v>
      </c>
      <c r="K2667" s="12" t="s">
        <v>56</v>
      </c>
      <c r="L2667" s="13">
        <v>40.46</v>
      </c>
      <c r="M2667" s="13">
        <v>25</v>
      </c>
      <c r="N2667" s="13">
        <f t="shared" si="494"/>
        <v>1.6184000000000001</v>
      </c>
      <c r="O2667" s="13" t="s">
        <v>30</v>
      </c>
      <c r="P2667" s="13">
        <v>25</v>
      </c>
      <c r="Q2667" s="13">
        <v>0</v>
      </c>
      <c r="R2667" s="70">
        <f>M2667*P2667</f>
        <v>625</v>
      </c>
      <c r="S2667" s="70">
        <v>0</v>
      </c>
      <c r="T2667" s="70">
        <f>M2667*S2667</f>
        <v>0</v>
      </c>
      <c r="U2667" s="70">
        <f>R2667-T2667</f>
        <v>625</v>
      </c>
      <c r="V2667" s="70">
        <f>U2667*0</f>
        <v>0</v>
      </c>
      <c r="W2667" s="70">
        <f>U2667-V2667</f>
        <v>625</v>
      </c>
      <c r="X2667" s="70">
        <v>0</v>
      </c>
      <c r="Y2667" s="14">
        <f t="shared" si="484"/>
        <v>0</v>
      </c>
      <c r="Z2667" s="11" t="s">
        <v>26</v>
      </c>
      <c r="AA2667" s="12" t="s">
        <v>31</v>
      </c>
    </row>
    <row r="2668" spans="1:27" x14ac:dyDescent="0.25">
      <c r="A2668" s="10">
        <v>45695</v>
      </c>
      <c r="B2668" s="69">
        <v>8.4143518518517979E-3</v>
      </c>
      <c r="C2668" s="11" t="s">
        <v>5042</v>
      </c>
      <c r="D2668" s="11">
        <v>17204</v>
      </c>
      <c r="E2668" s="11" t="s">
        <v>67</v>
      </c>
      <c r="F2668" s="11" t="s">
        <v>26</v>
      </c>
      <c r="G2668" s="11">
        <v>1633</v>
      </c>
      <c r="H2668" s="12" t="s">
        <v>66</v>
      </c>
      <c r="I2668" s="12" t="s">
        <v>37</v>
      </c>
      <c r="J2668" s="12" t="s">
        <v>1909</v>
      </c>
      <c r="K2668" s="12" t="s">
        <v>82</v>
      </c>
      <c r="L2668" s="13">
        <v>38.6</v>
      </c>
      <c r="M2668" s="13">
        <v>25</v>
      </c>
      <c r="N2668" s="13">
        <f t="shared" si="494"/>
        <v>1.544</v>
      </c>
      <c r="O2668" s="13" t="s">
        <v>30</v>
      </c>
      <c r="P2668" s="13">
        <v>54</v>
      </c>
      <c r="Q2668" s="13">
        <v>0</v>
      </c>
      <c r="R2668" s="70">
        <f>M2668*P2668</f>
        <v>1350</v>
      </c>
      <c r="S2668" s="70">
        <v>0</v>
      </c>
      <c r="T2668" s="70">
        <f>M2668*S2668</f>
        <v>0</v>
      </c>
      <c r="U2668" s="70">
        <f>R2668-T2668</f>
        <v>1350</v>
      </c>
      <c r="V2668" s="70">
        <f>U2668*1</f>
        <v>1350</v>
      </c>
      <c r="W2668" s="70">
        <f>U2668-V2668</f>
        <v>0</v>
      </c>
      <c r="X2668" s="70">
        <v>0</v>
      </c>
      <c r="Y2668" s="14">
        <f t="shared" si="484"/>
        <v>0</v>
      </c>
      <c r="Z2668" s="11" t="s">
        <v>26</v>
      </c>
      <c r="AA2668" s="12" t="s">
        <v>31</v>
      </c>
    </row>
    <row r="2669" spans="1:27" x14ac:dyDescent="0.25">
      <c r="A2669" s="10">
        <v>45695</v>
      </c>
      <c r="B2669" s="69">
        <v>0.12233796296296306</v>
      </c>
      <c r="C2669" s="11" t="s">
        <v>5043</v>
      </c>
      <c r="D2669" s="11">
        <v>17205</v>
      </c>
      <c r="E2669" s="11" t="s">
        <v>506</v>
      </c>
      <c r="F2669" s="11" t="s">
        <v>26</v>
      </c>
      <c r="G2669" s="11">
        <v>1607</v>
      </c>
      <c r="H2669" s="12" t="s">
        <v>45</v>
      </c>
      <c r="I2669" s="12" t="s">
        <v>27</v>
      </c>
      <c r="J2669" s="12" t="s">
        <v>33</v>
      </c>
      <c r="K2669" s="12" t="s">
        <v>34</v>
      </c>
      <c r="L2669" s="13">
        <v>38.08</v>
      </c>
      <c r="M2669" s="13">
        <v>25</v>
      </c>
      <c r="N2669" s="13">
        <f t="shared" si="494"/>
        <v>1.5231999999999999</v>
      </c>
      <c r="O2669" s="13" t="s">
        <v>30</v>
      </c>
      <c r="P2669" s="13">
        <v>58</v>
      </c>
      <c r="Q2669" s="13">
        <v>0</v>
      </c>
      <c r="R2669" s="70">
        <f>M2669*P2669</f>
        <v>1450</v>
      </c>
      <c r="S2669" s="70">
        <v>0</v>
      </c>
      <c r="T2669" s="70">
        <f>M2669*S2669</f>
        <v>0</v>
      </c>
      <c r="U2669" s="70">
        <f>R2669-T2669</f>
        <v>1450</v>
      </c>
      <c r="V2669" s="70">
        <f>U2669*0</f>
        <v>0</v>
      </c>
      <c r="W2669" s="70">
        <f>U2669-V2669</f>
        <v>1450</v>
      </c>
      <c r="X2669" s="70">
        <v>0</v>
      </c>
      <c r="Y2669" s="14">
        <f t="shared" si="484"/>
        <v>0</v>
      </c>
      <c r="Z2669" s="11" t="s">
        <v>26</v>
      </c>
      <c r="AA2669" s="12" t="s">
        <v>31</v>
      </c>
    </row>
    <row r="2670" spans="1:27" x14ac:dyDescent="0.25">
      <c r="A2670" s="10">
        <v>45695</v>
      </c>
      <c r="B2670" s="69">
        <v>2.8263888888888977E-2</v>
      </c>
      <c r="C2670" s="11" t="s">
        <v>5044</v>
      </c>
      <c r="D2670" s="11">
        <v>17206</v>
      </c>
      <c r="E2670" s="11" t="s">
        <v>501</v>
      </c>
      <c r="F2670" s="11" t="s">
        <v>26</v>
      </c>
      <c r="G2670" s="11">
        <v>818</v>
      </c>
      <c r="H2670" s="12" t="s">
        <v>141</v>
      </c>
      <c r="I2670" s="12" t="s">
        <v>27</v>
      </c>
      <c r="J2670" s="12" t="s">
        <v>42</v>
      </c>
      <c r="K2670" s="12" t="s">
        <v>43</v>
      </c>
      <c r="L2670" s="13">
        <v>42.4</v>
      </c>
      <c r="M2670" s="13">
        <v>25</v>
      </c>
      <c r="N2670" s="13">
        <f t="shared" si="494"/>
        <v>1.696</v>
      </c>
      <c r="O2670" s="13">
        <v>40</v>
      </c>
      <c r="P2670" s="13" t="s">
        <v>30</v>
      </c>
      <c r="Q2670" s="13">
        <v>0</v>
      </c>
      <c r="R2670" s="70">
        <f>L2670*O2670</f>
        <v>1696</v>
      </c>
      <c r="S2670" s="70">
        <v>0</v>
      </c>
      <c r="T2670" s="70">
        <f>L2670*S2670</f>
        <v>0</v>
      </c>
      <c r="U2670" s="70">
        <f>R2670-T2670</f>
        <v>1696</v>
      </c>
      <c r="V2670" s="70">
        <f>U2670*0</f>
        <v>0</v>
      </c>
      <c r="W2670" s="70">
        <f>U2670-V2670</f>
        <v>1696</v>
      </c>
      <c r="X2670" s="70">
        <v>0</v>
      </c>
      <c r="Y2670" s="14">
        <f t="shared" si="484"/>
        <v>0</v>
      </c>
      <c r="Z2670" s="11" t="s">
        <v>26</v>
      </c>
      <c r="AA2670" s="12" t="s">
        <v>31</v>
      </c>
    </row>
    <row r="2671" spans="1:27" x14ac:dyDescent="0.25">
      <c r="A2671" s="10">
        <v>45695</v>
      </c>
      <c r="B2671" s="69">
        <v>1.6261574074074137E-2</v>
      </c>
      <c r="C2671" s="11" t="s">
        <v>5045</v>
      </c>
      <c r="D2671" s="11">
        <v>17207</v>
      </c>
      <c r="E2671" s="11" t="s">
        <v>485</v>
      </c>
      <c r="F2671" s="11" t="s">
        <v>26</v>
      </c>
      <c r="G2671" s="11">
        <v>22504</v>
      </c>
      <c r="H2671" s="12" t="s">
        <v>4448</v>
      </c>
      <c r="I2671" s="12" t="s">
        <v>27</v>
      </c>
      <c r="J2671" s="12" t="s">
        <v>42</v>
      </c>
      <c r="K2671" s="12" t="s">
        <v>43</v>
      </c>
      <c r="L2671" s="13">
        <v>41.2</v>
      </c>
      <c r="M2671" s="13">
        <v>25</v>
      </c>
      <c r="N2671" s="13">
        <f t="shared" si="494"/>
        <v>1.6480000000000001</v>
      </c>
      <c r="O2671" s="13">
        <v>42.5</v>
      </c>
      <c r="P2671" s="13"/>
      <c r="Q2671" s="13">
        <v>0</v>
      </c>
      <c r="R2671" s="70">
        <f>+L2671*O2671</f>
        <v>1751.0000000000002</v>
      </c>
      <c r="S2671" s="70">
        <v>0</v>
      </c>
      <c r="T2671" s="70">
        <f>+L2671*S2671</f>
        <v>0</v>
      </c>
      <c r="U2671" s="70">
        <f>+R2671-T2671</f>
        <v>1751.0000000000002</v>
      </c>
      <c r="V2671" s="70">
        <f>+U2671*0.75</f>
        <v>1313.2500000000002</v>
      </c>
      <c r="W2671" s="70">
        <f>+U2671-V2671</f>
        <v>437.75</v>
      </c>
      <c r="X2671" s="70">
        <v>0</v>
      </c>
      <c r="Y2671" s="14">
        <f t="shared" si="484"/>
        <v>0</v>
      </c>
      <c r="Z2671" s="11" t="s">
        <v>26</v>
      </c>
      <c r="AA2671" s="12" t="s">
        <v>31</v>
      </c>
    </row>
    <row r="2672" spans="1:27" x14ac:dyDescent="0.25">
      <c r="A2672" s="10">
        <v>45695</v>
      </c>
      <c r="B2672" s="69">
        <v>0.11878472222222225</v>
      </c>
      <c r="C2672" s="11" t="s">
        <v>5046</v>
      </c>
      <c r="D2672" s="11">
        <v>17208</v>
      </c>
      <c r="E2672" s="11" t="s">
        <v>552</v>
      </c>
      <c r="F2672" s="11" t="s">
        <v>26</v>
      </c>
      <c r="G2672" s="11">
        <v>44157</v>
      </c>
      <c r="H2672" s="12" t="s">
        <v>4423</v>
      </c>
      <c r="I2672" s="12" t="s">
        <v>27</v>
      </c>
      <c r="J2672" s="12" t="s">
        <v>42</v>
      </c>
      <c r="K2672" s="12" t="s">
        <v>43</v>
      </c>
      <c r="L2672" s="13">
        <v>36.06</v>
      </c>
      <c r="M2672" s="13">
        <v>25</v>
      </c>
      <c r="N2672" s="13">
        <f t="shared" si="494"/>
        <v>1.4424000000000001</v>
      </c>
      <c r="O2672" s="13">
        <v>42</v>
      </c>
      <c r="P2672" s="13" t="s">
        <v>30</v>
      </c>
      <c r="Q2672" s="13">
        <v>0</v>
      </c>
      <c r="R2672" s="70">
        <f t="shared" ref="R2672" si="503">+L2672*O2672</f>
        <v>1514.52</v>
      </c>
      <c r="S2672" s="70">
        <v>0</v>
      </c>
      <c r="T2672" s="70">
        <f t="shared" ref="T2672" si="504">+L2672*S2672</f>
        <v>0</v>
      </c>
      <c r="U2672" s="70">
        <f t="shared" ref="U2672" si="505">+R2672-T2672</f>
        <v>1514.52</v>
      </c>
      <c r="V2672" s="70">
        <f>+U2672*1</f>
        <v>1514.52</v>
      </c>
      <c r="W2672" s="70">
        <f t="shared" ref="W2672" si="506">+U2672-V2672</f>
        <v>0</v>
      </c>
      <c r="X2672" s="70">
        <v>0</v>
      </c>
      <c r="Y2672" s="14">
        <f t="shared" si="484"/>
        <v>0</v>
      </c>
      <c r="Z2672" s="11" t="s">
        <v>26</v>
      </c>
      <c r="AA2672" s="12" t="s">
        <v>31</v>
      </c>
    </row>
    <row r="2673" spans="1:27" x14ac:dyDescent="0.25">
      <c r="A2673" s="10">
        <v>45695</v>
      </c>
      <c r="B2673" s="69">
        <v>4.6226851851851714E-2</v>
      </c>
      <c r="C2673" s="11" t="s">
        <v>5047</v>
      </c>
      <c r="D2673" s="11">
        <v>17209</v>
      </c>
      <c r="E2673" s="11" t="s">
        <v>113</v>
      </c>
      <c r="F2673" s="11" t="s">
        <v>26</v>
      </c>
      <c r="G2673" s="11" t="s">
        <v>26</v>
      </c>
      <c r="H2673" s="12" t="s">
        <v>4424</v>
      </c>
      <c r="I2673" s="12" t="s">
        <v>27</v>
      </c>
      <c r="J2673" s="12" t="s">
        <v>47</v>
      </c>
      <c r="K2673" s="12" t="s">
        <v>48</v>
      </c>
      <c r="L2673" s="13">
        <v>28.06</v>
      </c>
      <c r="M2673" s="13">
        <v>20</v>
      </c>
      <c r="N2673" s="13">
        <f t="shared" si="494"/>
        <v>1.403</v>
      </c>
      <c r="O2673" s="13">
        <v>90</v>
      </c>
      <c r="P2673" s="13" t="s">
        <v>30</v>
      </c>
      <c r="Q2673" s="13">
        <v>0</v>
      </c>
      <c r="R2673" s="70">
        <f>L2673*O2673</f>
        <v>2525.4</v>
      </c>
      <c r="S2673" s="70">
        <v>41</v>
      </c>
      <c r="T2673" s="70">
        <f>+L2673*S2673</f>
        <v>1150.46</v>
      </c>
      <c r="U2673" s="70">
        <f t="shared" ref="U2673" si="507">R2673-T2673</f>
        <v>1374.94</v>
      </c>
      <c r="V2673" s="70">
        <f>U2673*1</f>
        <v>1374.94</v>
      </c>
      <c r="W2673" s="70">
        <f t="shared" ref="W2673" si="508">U2673-V2673</f>
        <v>0</v>
      </c>
      <c r="X2673" s="16">
        <f>L2673*40</f>
        <v>1122.3999999999999</v>
      </c>
      <c r="Y2673" s="71">
        <f t="shared" ref="Y2673" si="509">+T2673-X2673</f>
        <v>28.060000000000173</v>
      </c>
      <c r="Z2673" s="12" t="s">
        <v>6328</v>
      </c>
      <c r="AA2673" s="12" t="s">
        <v>746</v>
      </c>
    </row>
    <row r="2674" spans="1:27" x14ac:dyDescent="0.25">
      <c r="A2674" s="10">
        <v>45695</v>
      </c>
      <c r="B2674" s="69">
        <v>1.7141203703703756E-2</v>
      </c>
      <c r="C2674" s="11" t="s">
        <v>5048</v>
      </c>
      <c r="D2674" s="11">
        <v>17210</v>
      </c>
      <c r="E2674" s="11" t="s">
        <v>440</v>
      </c>
      <c r="F2674" s="11" t="s">
        <v>26</v>
      </c>
      <c r="G2674" s="11" t="s">
        <v>35</v>
      </c>
      <c r="H2674" s="12" t="s">
        <v>36</v>
      </c>
      <c r="I2674" s="12" t="s">
        <v>55</v>
      </c>
      <c r="J2674" s="12" t="s">
        <v>55</v>
      </c>
      <c r="K2674" s="12" t="s">
        <v>56</v>
      </c>
      <c r="L2674" s="13">
        <v>31.92</v>
      </c>
      <c r="M2674" s="13">
        <v>22</v>
      </c>
      <c r="N2674" s="13">
        <f t="shared" si="494"/>
        <v>1.4509090909090909</v>
      </c>
      <c r="O2674" s="13">
        <v>20</v>
      </c>
      <c r="P2674" s="13" t="s">
        <v>30</v>
      </c>
      <c r="Q2674" s="13">
        <v>0</v>
      </c>
      <c r="R2674" s="70">
        <f>(L2674*O2674)-Q2674</f>
        <v>638.40000000000009</v>
      </c>
      <c r="S2674" s="70">
        <v>0</v>
      </c>
      <c r="T2674" s="70">
        <f t="shared" ref="T2674" si="510">+L2674*S2674</f>
        <v>0</v>
      </c>
      <c r="U2674" s="70">
        <f t="shared" ref="U2674:U2675" si="511">+R2674-T2674</f>
        <v>638.40000000000009</v>
      </c>
      <c r="V2674" s="70">
        <f t="shared" ref="V2674" si="512">+U2674*0</f>
        <v>0</v>
      </c>
      <c r="W2674" s="70">
        <f t="shared" ref="W2674:W2675" si="513">+U2674-V2674</f>
        <v>638.40000000000009</v>
      </c>
      <c r="X2674" s="70">
        <v>0</v>
      </c>
      <c r="Y2674" s="14">
        <f t="shared" ref="Y2674:Y2676" si="514">T2674-X2674</f>
        <v>0</v>
      </c>
      <c r="Z2674" s="11" t="s">
        <v>26</v>
      </c>
      <c r="AA2674" s="12" t="s">
        <v>31</v>
      </c>
    </row>
    <row r="2675" spans="1:27" x14ac:dyDescent="0.25">
      <c r="A2675" s="10">
        <v>45695</v>
      </c>
      <c r="B2675" s="69">
        <v>0.15423611111111124</v>
      </c>
      <c r="C2675" s="11" t="s">
        <v>5049</v>
      </c>
      <c r="D2675" s="11">
        <v>17211</v>
      </c>
      <c r="E2675" s="11" t="s">
        <v>57</v>
      </c>
      <c r="F2675" s="11" t="s">
        <v>26</v>
      </c>
      <c r="G2675" s="11">
        <v>3697</v>
      </c>
      <c r="H2675" s="12" t="s">
        <v>41</v>
      </c>
      <c r="I2675" s="12" t="s">
        <v>27</v>
      </c>
      <c r="J2675" s="12" t="s">
        <v>33</v>
      </c>
      <c r="K2675" s="12" t="s">
        <v>34</v>
      </c>
      <c r="L2675" s="13">
        <v>35.78</v>
      </c>
      <c r="M2675" s="13">
        <v>24</v>
      </c>
      <c r="N2675" s="13">
        <f t="shared" si="494"/>
        <v>1.4908333333333335</v>
      </c>
      <c r="O2675" s="13" t="s">
        <v>30</v>
      </c>
      <c r="P2675" s="13">
        <v>60</v>
      </c>
      <c r="Q2675" s="13">
        <v>0</v>
      </c>
      <c r="R2675" s="70">
        <f>M2675*P2675</f>
        <v>1440</v>
      </c>
      <c r="S2675" s="70">
        <v>0</v>
      </c>
      <c r="T2675" s="70">
        <f>M2675*S2675</f>
        <v>0</v>
      </c>
      <c r="U2675" s="70">
        <f t="shared" si="511"/>
        <v>1440</v>
      </c>
      <c r="V2675" s="70">
        <f>+U2675*0</f>
        <v>0</v>
      </c>
      <c r="W2675" s="70">
        <f t="shared" si="513"/>
        <v>1440</v>
      </c>
      <c r="X2675" s="70">
        <v>0</v>
      </c>
      <c r="Y2675" s="14">
        <f t="shared" si="514"/>
        <v>0</v>
      </c>
      <c r="Z2675" s="11" t="s">
        <v>26</v>
      </c>
      <c r="AA2675" s="12" t="s">
        <v>31</v>
      </c>
    </row>
    <row r="2676" spans="1:27" x14ac:dyDescent="0.25">
      <c r="A2676" s="10">
        <v>45696</v>
      </c>
      <c r="B2676" s="69">
        <v>3.4907407407407387E-2</v>
      </c>
      <c r="C2676" s="11" t="s">
        <v>5050</v>
      </c>
      <c r="D2676" s="11">
        <v>17212</v>
      </c>
      <c r="E2676" s="11" t="s">
        <v>32</v>
      </c>
      <c r="F2676" s="11" t="s">
        <v>26</v>
      </c>
      <c r="G2676" s="11">
        <v>1602</v>
      </c>
      <c r="H2676" s="12" t="s">
        <v>45</v>
      </c>
      <c r="I2676" s="12" t="s">
        <v>27</v>
      </c>
      <c r="J2676" s="12" t="s">
        <v>33</v>
      </c>
      <c r="K2676" s="12" t="s">
        <v>34</v>
      </c>
      <c r="L2676" s="13">
        <v>37.159999999999997</v>
      </c>
      <c r="M2676" s="13">
        <v>25</v>
      </c>
      <c r="N2676" s="13">
        <f t="shared" si="494"/>
        <v>1.4863999999999999</v>
      </c>
      <c r="O2676" s="13" t="s">
        <v>30</v>
      </c>
      <c r="P2676" s="13">
        <v>58</v>
      </c>
      <c r="Q2676" s="13">
        <v>0</v>
      </c>
      <c r="R2676" s="70">
        <f>M2676*P2676</f>
        <v>1450</v>
      </c>
      <c r="S2676" s="70">
        <v>0</v>
      </c>
      <c r="T2676" s="70">
        <f>M2676*S2676</f>
        <v>0</v>
      </c>
      <c r="U2676" s="70">
        <f>R2676-T2676</f>
        <v>1450</v>
      </c>
      <c r="V2676" s="70">
        <f>U2676*0</f>
        <v>0</v>
      </c>
      <c r="W2676" s="70">
        <f>U2676-V2676</f>
        <v>1450</v>
      </c>
      <c r="X2676" s="70">
        <v>0</v>
      </c>
      <c r="Y2676" s="14">
        <f t="shared" si="514"/>
        <v>0</v>
      </c>
      <c r="Z2676" s="11" t="s">
        <v>26</v>
      </c>
      <c r="AA2676" s="12" t="s">
        <v>31</v>
      </c>
    </row>
    <row r="2677" spans="1:27" x14ac:dyDescent="0.25">
      <c r="A2677" s="10">
        <v>45696</v>
      </c>
      <c r="B2677" s="69">
        <v>1.1030092592592577E-2</v>
      </c>
      <c r="C2677" s="11" t="s">
        <v>5051</v>
      </c>
      <c r="D2677" s="11">
        <v>17213</v>
      </c>
      <c r="E2677" s="11" t="s">
        <v>184</v>
      </c>
      <c r="F2677" s="11" t="s">
        <v>26</v>
      </c>
      <c r="G2677" s="11" t="s">
        <v>26</v>
      </c>
      <c r="H2677" s="12" t="s">
        <v>4422</v>
      </c>
      <c r="I2677" s="12" t="s">
        <v>27</v>
      </c>
      <c r="J2677" s="12" t="s">
        <v>42</v>
      </c>
      <c r="K2677" s="12" t="s">
        <v>43</v>
      </c>
      <c r="L2677" s="13">
        <v>42.92</v>
      </c>
      <c r="M2677" s="13">
        <v>25</v>
      </c>
      <c r="N2677" s="13">
        <f t="shared" si="494"/>
        <v>1.7168000000000001</v>
      </c>
      <c r="O2677" s="13">
        <v>83</v>
      </c>
      <c r="P2677" s="13" t="s">
        <v>30</v>
      </c>
      <c r="Q2677" s="13">
        <v>0</v>
      </c>
      <c r="R2677" s="70">
        <f>L2677*O2677</f>
        <v>3562.36</v>
      </c>
      <c r="S2677" s="70">
        <v>38</v>
      </c>
      <c r="T2677" s="70">
        <f>L2677*S2677</f>
        <v>1630.96</v>
      </c>
      <c r="U2677" s="70">
        <f>R2677-T2677</f>
        <v>1931.4</v>
      </c>
      <c r="V2677" s="70">
        <f>U2677*1</f>
        <v>1931.4</v>
      </c>
      <c r="W2677" s="70">
        <f>U2677-V2677</f>
        <v>0</v>
      </c>
      <c r="X2677" s="70">
        <f>L2677*36</f>
        <v>1545.1200000000001</v>
      </c>
      <c r="Y2677" s="71">
        <f>+T2677-X2677</f>
        <v>85.839999999999918</v>
      </c>
      <c r="Z2677" s="12" t="s">
        <v>141</v>
      </c>
      <c r="AA2677" s="12" t="s">
        <v>78</v>
      </c>
    </row>
    <row r="2678" spans="1:27" x14ac:dyDescent="0.25">
      <c r="A2678" s="10">
        <v>45696</v>
      </c>
      <c r="B2678" s="69">
        <v>1.8055555555555547E-2</v>
      </c>
      <c r="C2678" s="11" t="s">
        <v>5052</v>
      </c>
      <c r="D2678" s="11">
        <v>17214</v>
      </c>
      <c r="E2678" s="11" t="s">
        <v>322</v>
      </c>
      <c r="F2678" s="11" t="s">
        <v>26</v>
      </c>
      <c r="G2678" s="11">
        <v>112237</v>
      </c>
      <c r="H2678" s="12" t="s">
        <v>4446</v>
      </c>
      <c r="I2678" s="12" t="s">
        <v>27</v>
      </c>
      <c r="J2678" s="12" t="s">
        <v>33</v>
      </c>
      <c r="K2678" s="12" t="s">
        <v>34</v>
      </c>
      <c r="L2678" s="13">
        <v>34</v>
      </c>
      <c r="M2678" s="13">
        <v>25</v>
      </c>
      <c r="N2678" s="13">
        <f t="shared" si="494"/>
        <v>1.36</v>
      </c>
      <c r="O2678" s="13">
        <v>44</v>
      </c>
      <c r="P2678" s="13" t="s">
        <v>30</v>
      </c>
      <c r="Q2678" s="13">
        <v>0</v>
      </c>
      <c r="R2678" s="70">
        <f t="shared" ref="R2678" si="515">+L2678*O2678</f>
        <v>1496</v>
      </c>
      <c r="S2678" s="70">
        <v>0</v>
      </c>
      <c r="T2678" s="70">
        <f>+L2678*S2678</f>
        <v>0</v>
      </c>
      <c r="U2678" s="70">
        <f>+R2678-T2678</f>
        <v>1496</v>
      </c>
      <c r="V2678" s="70">
        <f>+U2678*1</f>
        <v>1496</v>
      </c>
      <c r="W2678" s="70">
        <f>+U2678-V2678</f>
        <v>0</v>
      </c>
      <c r="X2678" s="70">
        <v>0</v>
      </c>
      <c r="Y2678" s="14">
        <f t="shared" ref="Y2678" si="516">T2678-X2678</f>
        <v>0</v>
      </c>
      <c r="Z2678" s="11" t="s">
        <v>26</v>
      </c>
      <c r="AA2678" s="12" t="s">
        <v>31</v>
      </c>
    </row>
    <row r="2679" spans="1:27" x14ac:dyDescent="0.25">
      <c r="A2679" s="10">
        <v>45696</v>
      </c>
      <c r="B2679" s="69">
        <v>1.7824074074074103E-2</v>
      </c>
      <c r="C2679" s="11" t="s">
        <v>5053</v>
      </c>
      <c r="D2679" s="11">
        <v>17215</v>
      </c>
      <c r="E2679" s="11" t="s">
        <v>574</v>
      </c>
      <c r="F2679" s="11" t="s">
        <v>26</v>
      </c>
      <c r="G2679" s="11" t="s">
        <v>26</v>
      </c>
      <c r="H2679" s="12" t="s">
        <v>4422</v>
      </c>
      <c r="I2679" s="12" t="s">
        <v>27</v>
      </c>
      <c r="J2679" s="12" t="s">
        <v>47</v>
      </c>
      <c r="K2679" s="12" t="s">
        <v>48</v>
      </c>
      <c r="L2679" s="13">
        <v>38.72</v>
      </c>
      <c r="M2679" s="13">
        <v>25</v>
      </c>
      <c r="N2679" s="13">
        <f t="shared" si="494"/>
        <v>1.5488</v>
      </c>
      <c r="O2679" s="13">
        <v>87</v>
      </c>
      <c r="P2679" s="13" t="s">
        <v>30</v>
      </c>
      <c r="Q2679" s="13">
        <v>0</v>
      </c>
      <c r="R2679" s="70">
        <f>L2679*O2679</f>
        <v>3368.64</v>
      </c>
      <c r="S2679" s="70">
        <v>38</v>
      </c>
      <c r="T2679" s="70">
        <f>L2679*S2679</f>
        <v>1471.36</v>
      </c>
      <c r="U2679" s="70">
        <f>R2679-T2679</f>
        <v>1897.28</v>
      </c>
      <c r="V2679" s="70">
        <f>U2679*1</f>
        <v>1897.28</v>
      </c>
      <c r="W2679" s="70">
        <f>U2679-V2679</f>
        <v>0</v>
      </c>
      <c r="X2679" s="70">
        <f>L2679*36</f>
        <v>1393.92</v>
      </c>
      <c r="Y2679" s="71">
        <f>+T2679-X2679</f>
        <v>77.439999999999827</v>
      </c>
      <c r="Z2679" s="12" t="s">
        <v>141</v>
      </c>
      <c r="AA2679" s="12" t="s">
        <v>78</v>
      </c>
    </row>
    <row r="2680" spans="1:27" x14ac:dyDescent="0.25">
      <c r="A2680" s="10">
        <v>45696</v>
      </c>
      <c r="B2680" s="69">
        <v>2.2222222222222254E-2</v>
      </c>
      <c r="C2680" s="11" t="s">
        <v>5054</v>
      </c>
      <c r="D2680" s="11">
        <v>17216</v>
      </c>
      <c r="E2680" s="11" t="s">
        <v>81</v>
      </c>
      <c r="F2680" s="11" t="s">
        <v>26</v>
      </c>
      <c r="G2680" s="11">
        <v>1210</v>
      </c>
      <c r="H2680" s="12" t="s">
        <v>141</v>
      </c>
      <c r="I2680" s="12" t="s">
        <v>27</v>
      </c>
      <c r="J2680" s="12" t="s">
        <v>42</v>
      </c>
      <c r="K2680" s="12" t="s">
        <v>43</v>
      </c>
      <c r="L2680" s="13">
        <v>40.64</v>
      </c>
      <c r="M2680" s="13">
        <v>25</v>
      </c>
      <c r="N2680" s="13">
        <f t="shared" si="494"/>
        <v>1.6255999999999999</v>
      </c>
      <c r="O2680" s="13">
        <v>40</v>
      </c>
      <c r="P2680" s="13" t="s">
        <v>30</v>
      </c>
      <c r="Q2680" s="13">
        <v>0</v>
      </c>
      <c r="R2680" s="70">
        <f>L2680*O2680</f>
        <v>1625.6</v>
      </c>
      <c r="S2680" s="70">
        <v>0</v>
      </c>
      <c r="T2680" s="70">
        <f>L2680*S2680</f>
        <v>0</v>
      </c>
      <c r="U2680" s="70">
        <f>R2680-T2680</f>
        <v>1625.6</v>
      </c>
      <c r="V2680" s="70">
        <f>U2680*0</f>
        <v>0</v>
      </c>
      <c r="W2680" s="70">
        <f>U2680-V2680</f>
        <v>1625.6</v>
      </c>
      <c r="X2680" s="70">
        <v>0</v>
      </c>
      <c r="Y2680" s="14">
        <f t="shared" ref="Y2680" si="517">T2680-X2680</f>
        <v>0</v>
      </c>
      <c r="Z2680" s="11" t="s">
        <v>26</v>
      </c>
      <c r="AA2680" s="12" t="s">
        <v>31</v>
      </c>
    </row>
    <row r="2681" spans="1:27" x14ac:dyDescent="0.25">
      <c r="A2681" s="10">
        <v>45696</v>
      </c>
      <c r="B2681" s="69">
        <v>2.7974537037037006E-2</v>
      </c>
      <c r="C2681" s="11" t="s">
        <v>5055</v>
      </c>
      <c r="D2681" s="11">
        <v>17217</v>
      </c>
      <c r="E2681" s="11" t="s">
        <v>98</v>
      </c>
      <c r="F2681" s="11" t="s">
        <v>26</v>
      </c>
      <c r="G2681" s="11" t="s">
        <v>26</v>
      </c>
      <c r="H2681" s="12" t="s">
        <v>4422</v>
      </c>
      <c r="I2681" s="12" t="s">
        <v>27</v>
      </c>
      <c r="J2681" s="12" t="s">
        <v>33</v>
      </c>
      <c r="K2681" s="12" t="s">
        <v>34</v>
      </c>
      <c r="L2681" s="13">
        <v>39.36</v>
      </c>
      <c r="M2681" s="13">
        <v>27</v>
      </c>
      <c r="N2681" s="13">
        <f t="shared" si="494"/>
        <v>1.4577777777777778</v>
      </c>
      <c r="O2681" s="13">
        <v>85</v>
      </c>
      <c r="P2681" s="13" t="s">
        <v>30</v>
      </c>
      <c r="Q2681" s="13">
        <v>0</v>
      </c>
      <c r="R2681" s="70">
        <f>L2681*O2681</f>
        <v>3345.6</v>
      </c>
      <c r="S2681" s="70">
        <v>38</v>
      </c>
      <c r="T2681" s="70">
        <f>L2681*S2681</f>
        <v>1495.68</v>
      </c>
      <c r="U2681" s="70">
        <f>R2681-T2681</f>
        <v>1849.9199999999998</v>
      </c>
      <c r="V2681" s="70">
        <f>U2681*1</f>
        <v>1849.9199999999998</v>
      </c>
      <c r="W2681" s="70">
        <f>U2681-V2681</f>
        <v>0</v>
      </c>
      <c r="X2681" s="70">
        <f>L2681*36</f>
        <v>1416.96</v>
      </c>
      <c r="Y2681" s="71">
        <f>+T2681-X2681</f>
        <v>78.720000000000027</v>
      </c>
      <c r="Z2681" s="12" t="s">
        <v>140</v>
      </c>
      <c r="AA2681" s="12" t="s">
        <v>78</v>
      </c>
    </row>
    <row r="2682" spans="1:27" x14ac:dyDescent="0.25">
      <c r="A2682" s="10">
        <v>45696</v>
      </c>
      <c r="B2682" s="69">
        <v>2.6319444444444451E-2</v>
      </c>
      <c r="C2682" s="11" t="s">
        <v>5056</v>
      </c>
      <c r="D2682" s="11">
        <v>17218</v>
      </c>
      <c r="E2682" s="11" t="s">
        <v>431</v>
      </c>
      <c r="F2682" s="11" t="s">
        <v>26</v>
      </c>
      <c r="G2682" s="11" t="s">
        <v>26</v>
      </c>
      <c r="H2682" s="12" t="s">
        <v>4422</v>
      </c>
      <c r="I2682" s="12" t="s">
        <v>27</v>
      </c>
      <c r="J2682" s="12" t="s">
        <v>33</v>
      </c>
      <c r="K2682" s="12" t="s">
        <v>34</v>
      </c>
      <c r="L2682" s="13">
        <v>38.9</v>
      </c>
      <c r="M2682" s="13">
        <v>25</v>
      </c>
      <c r="N2682" s="13">
        <f t="shared" si="494"/>
        <v>1.556</v>
      </c>
      <c r="O2682" s="13">
        <v>85</v>
      </c>
      <c r="P2682" s="13" t="s">
        <v>30</v>
      </c>
      <c r="Q2682" s="13">
        <v>0</v>
      </c>
      <c r="R2682" s="70">
        <f>L2682*O2682</f>
        <v>3306.5</v>
      </c>
      <c r="S2682" s="70">
        <v>38</v>
      </c>
      <c r="T2682" s="70">
        <f>L2682*S2682</f>
        <v>1478.2</v>
      </c>
      <c r="U2682" s="70">
        <f>R2682-T2682</f>
        <v>1828.3</v>
      </c>
      <c r="V2682" s="70">
        <f>U2682*1</f>
        <v>1828.3</v>
      </c>
      <c r="W2682" s="70">
        <f>U2682-V2682</f>
        <v>0</v>
      </c>
      <c r="X2682" s="72">
        <f>L2682*36</f>
        <v>1400.3999999999999</v>
      </c>
      <c r="Y2682" s="71">
        <f>+T2682-X2682</f>
        <v>77.800000000000182</v>
      </c>
      <c r="Z2682" s="12" t="s">
        <v>6328</v>
      </c>
      <c r="AA2682" s="12" t="s">
        <v>78</v>
      </c>
    </row>
    <row r="2683" spans="1:27" x14ac:dyDescent="0.25">
      <c r="A2683" s="10">
        <v>45696</v>
      </c>
      <c r="B2683" s="69">
        <v>3.1018518518518501E-2</v>
      </c>
      <c r="C2683" s="11" t="s">
        <v>5057</v>
      </c>
      <c r="D2683" s="11">
        <v>17219</v>
      </c>
      <c r="E2683" s="11" t="s">
        <v>496</v>
      </c>
      <c r="F2683" s="11" t="s">
        <v>26</v>
      </c>
      <c r="G2683" s="11">
        <v>22924</v>
      </c>
      <c r="H2683" s="12" t="s">
        <v>4448</v>
      </c>
      <c r="I2683" s="12" t="s">
        <v>27</v>
      </c>
      <c r="J2683" s="12" t="s">
        <v>42</v>
      </c>
      <c r="K2683" s="12" t="s">
        <v>43</v>
      </c>
      <c r="L2683" s="13">
        <v>40.479999999999997</v>
      </c>
      <c r="M2683" s="13">
        <v>25</v>
      </c>
      <c r="N2683" s="13">
        <f t="shared" si="494"/>
        <v>1.6192</v>
      </c>
      <c r="O2683" s="13">
        <v>42.5</v>
      </c>
      <c r="P2683" s="13"/>
      <c r="Q2683" s="13">
        <v>0</v>
      </c>
      <c r="R2683" s="70">
        <f>+L2683*O2683</f>
        <v>1720.3999999999999</v>
      </c>
      <c r="S2683" s="70">
        <v>0</v>
      </c>
      <c r="T2683" s="70">
        <f>+L2683*S2683</f>
        <v>0</v>
      </c>
      <c r="U2683" s="70">
        <f>+R2683-T2683</f>
        <v>1720.3999999999999</v>
      </c>
      <c r="V2683" s="70">
        <f>+U2683*0.75</f>
        <v>1290.3</v>
      </c>
      <c r="W2683" s="70">
        <f>+U2683-V2683</f>
        <v>430.09999999999991</v>
      </c>
      <c r="X2683" s="70">
        <v>0</v>
      </c>
      <c r="Y2683" s="14">
        <f t="shared" ref="Y2683:Y2684" si="518">T2683-X2683</f>
        <v>0</v>
      </c>
      <c r="Z2683" s="11" t="s">
        <v>26</v>
      </c>
      <c r="AA2683" s="12" t="s">
        <v>31</v>
      </c>
    </row>
    <row r="2684" spans="1:27" x14ac:dyDescent="0.25">
      <c r="A2684" s="10">
        <v>45696</v>
      </c>
      <c r="B2684" s="69">
        <v>3.3310185185185193E-2</v>
      </c>
      <c r="C2684" s="11" t="s">
        <v>5058</v>
      </c>
      <c r="D2684" s="11">
        <v>17220</v>
      </c>
      <c r="E2684" s="11" t="s">
        <v>100</v>
      </c>
      <c r="F2684" s="11" t="s">
        <v>26</v>
      </c>
      <c r="G2684" s="11">
        <v>22251</v>
      </c>
      <c r="H2684" s="12" t="s">
        <v>4448</v>
      </c>
      <c r="I2684" s="12" t="s">
        <v>27</v>
      </c>
      <c r="J2684" s="12" t="s">
        <v>42</v>
      </c>
      <c r="K2684" s="12" t="s">
        <v>43</v>
      </c>
      <c r="L2684" s="13">
        <v>38.619999999999997</v>
      </c>
      <c r="M2684" s="13">
        <v>25</v>
      </c>
      <c r="N2684" s="13">
        <f t="shared" si="494"/>
        <v>1.5448</v>
      </c>
      <c r="O2684" s="13">
        <v>42.5</v>
      </c>
      <c r="P2684" s="13"/>
      <c r="Q2684" s="13">
        <v>0</v>
      </c>
      <c r="R2684" s="70">
        <f>+L2684*O2684</f>
        <v>1641.35</v>
      </c>
      <c r="S2684" s="70">
        <v>0</v>
      </c>
      <c r="T2684" s="70">
        <f>+L2684*S2684</f>
        <v>0</v>
      </c>
      <c r="U2684" s="70">
        <f>+R2684-T2684</f>
        <v>1641.35</v>
      </c>
      <c r="V2684" s="70">
        <f>+U2684*0.75</f>
        <v>1231.0124999999998</v>
      </c>
      <c r="W2684" s="70">
        <f>+U2684-V2684</f>
        <v>410.33750000000009</v>
      </c>
      <c r="X2684" s="70">
        <v>0</v>
      </c>
      <c r="Y2684" s="14">
        <f t="shared" si="518"/>
        <v>0</v>
      </c>
      <c r="Z2684" s="11" t="s">
        <v>26</v>
      </c>
      <c r="AA2684" s="12" t="s">
        <v>31</v>
      </c>
    </row>
    <row r="2685" spans="1:27" x14ac:dyDescent="0.25">
      <c r="A2685" s="10">
        <v>45696</v>
      </c>
      <c r="B2685" s="69">
        <v>3.645833333333337E-2</v>
      </c>
      <c r="C2685" s="11" t="s">
        <v>5059</v>
      </c>
      <c r="D2685" s="11">
        <v>17221</v>
      </c>
      <c r="E2685" s="11" t="s">
        <v>501</v>
      </c>
      <c r="F2685" s="11" t="s">
        <v>26</v>
      </c>
      <c r="G2685" s="11" t="s">
        <v>26</v>
      </c>
      <c r="H2685" s="12" t="s">
        <v>4422</v>
      </c>
      <c r="I2685" s="12" t="s">
        <v>27</v>
      </c>
      <c r="J2685" s="12" t="s">
        <v>42</v>
      </c>
      <c r="K2685" s="12" t="s">
        <v>43</v>
      </c>
      <c r="L2685" s="13">
        <v>40.4</v>
      </c>
      <c r="M2685" s="13">
        <v>25</v>
      </c>
      <c r="N2685" s="13">
        <f t="shared" si="494"/>
        <v>1.6159999999999999</v>
      </c>
      <c r="O2685" s="13">
        <v>83</v>
      </c>
      <c r="P2685" s="13" t="s">
        <v>30</v>
      </c>
      <c r="Q2685" s="13">
        <v>0</v>
      </c>
      <c r="R2685" s="70">
        <f>L2685*O2685</f>
        <v>3353.2</v>
      </c>
      <c r="S2685" s="70">
        <v>38</v>
      </c>
      <c r="T2685" s="70">
        <f>L2685*S2685</f>
        <v>1535.2</v>
      </c>
      <c r="U2685" s="70">
        <f>R2685-T2685</f>
        <v>1817.9999999999998</v>
      </c>
      <c r="V2685" s="70">
        <f>U2685*1</f>
        <v>1817.9999999999998</v>
      </c>
      <c r="W2685" s="70">
        <f>U2685-V2685</f>
        <v>0</v>
      </c>
      <c r="X2685" s="70">
        <f>L2685*36</f>
        <v>1454.3999999999999</v>
      </c>
      <c r="Y2685" s="71">
        <f>+T2685-X2685</f>
        <v>80.800000000000182</v>
      </c>
      <c r="Z2685" s="12" t="s">
        <v>141</v>
      </c>
      <c r="AA2685" s="12" t="s">
        <v>78</v>
      </c>
    </row>
    <row r="2686" spans="1:27" x14ac:dyDescent="0.25">
      <c r="A2686" s="10">
        <v>45696</v>
      </c>
      <c r="B2686" s="69">
        <v>2.3923611111111076E-2</v>
      </c>
      <c r="C2686" s="11" t="s">
        <v>5060</v>
      </c>
      <c r="D2686" s="11">
        <v>17222</v>
      </c>
      <c r="E2686" s="11" t="s">
        <v>519</v>
      </c>
      <c r="F2686" s="11" t="s">
        <v>26</v>
      </c>
      <c r="G2686" s="11">
        <v>21772</v>
      </c>
      <c r="H2686" s="12" t="s">
        <v>4448</v>
      </c>
      <c r="I2686" s="12" t="s">
        <v>55</v>
      </c>
      <c r="J2686" s="12" t="s">
        <v>55</v>
      </c>
      <c r="K2686" s="12" t="s">
        <v>56</v>
      </c>
      <c r="L2686" s="13">
        <v>34.520000000000003</v>
      </c>
      <c r="M2686" s="13">
        <v>25</v>
      </c>
      <c r="N2686" s="13">
        <f t="shared" si="494"/>
        <v>1.3808</v>
      </c>
      <c r="O2686" s="13">
        <v>15</v>
      </c>
      <c r="P2686" s="13" t="s">
        <v>30</v>
      </c>
      <c r="Q2686" s="13">
        <v>0</v>
      </c>
      <c r="R2686" s="70">
        <f>+L2686*O2686</f>
        <v>517.80000000000007</v>
      </c>
      <c r="S2686" s="70">
        <v>0</v>
      </c>
      <c r="T2686" s="70">
        <f>+L2686*S2686</f>
        <v>0</v>
      </c>
      <c r="U2686" s="70">
        <f>+R2686-T2686</f>
        <v>517.80000000000007</v>
      </c>
      <c r="V2686" s="70">
        <f>+U2686*0.75</f>
        <v>388.35</v>
      </c>
      <c r="W2686" s="70">
        <f>+U2686-V2686</f>
        <v>129.45000000000005</v>
      </c>
      <c r="X2686" s="70">
        <v>0</v>
      </c>
      <c r="Y2686" s="14">
        <f t="shared" ref="Y2686" si="519">T2686-X2686</f>
        <v>0</v>
      </c>
      <c r="Z2686" s="11" t="s">
        <v>26</v>
      </c>
      <c r="AA2686" s="12" t="s">
        <v>31</v>
      </c>
    </row>
    <row r="2687" spans="1:27" x14ac:dyDescent="0.25">
      <c r="A2687" s="10">
        <v>45696</v>
      </c>
      <c r="B2687" s="69">
        <v>2.2847222222222241E-2</v>
      </c>
      <c r="C2687" s="11" t="s">
        <v>5061</v>
      </c>
      <c r="D2687" s="11">
        <v>17223</v>
      </c>
      <c r="E2687" s="11" t="s">
        <v>605</v>
      </c>
      <c r="F2687" s="11" t="s">
        <v>26</v>
      </c>
      <c r="G2687" s="11" t="s">
        <v>26</v>
      </c>
      <c r="H2687" s="12" t="s">
        <v>4422</v>
      </c>
      <c r="I2687" s="12" t="s">
        <v>27</v>
      </c>
      <c r="J2687" s="12" t="s">
        <v>42</v>
      </c>
      <c r="K2687" s="12" t="s">
        <v>43</v>
      </c>
      <c r="L2687" s="13">
        <v>40.020000000000003</v>
      </c>
      <c r="M2687" s="13">
        <v>25</v>
      </c>
      <c r="N2687" s="13">
        <f t="shared" si="494"/>
        <v>1.6008000000000002</v>
      </c>
      <c r="O2687" s="13">
        <v>83</v>
      </c>
      <c r="P2687" s="13" t="s">
        <v>30</v>
      </c>
      <c r="Q2687" s="13">
        <v>0</v>
      </c>
      <c r="R2687" s="70">
        <f>L2687*O2687</f>
        <v>3321.6600000000003</v>
      </c>
      <c r="S2687" s="70">
        <v>38</v>
      </c>
      <c r="T2687" s="70">
        <f>L2687*S2687</f>
        <v>1520.7600000000002</v>
      </c>
      <c r="U2687" s="70">
        <f>R2687-T2687</f>
        <v>1800.9</v>
      </c>
      <c r="V2687" s="70">
        <f>U2687*1</f>
        <v>1800.9</v>
      </c>
      <c r="W2687" s="70">
        <f>U2687-V2687</f>
        <v>0</v>
      </c>
      <c r="X2687" s="70">
        <f>L2687*36</f>
        <v>1440.72</v>
      </c>
      <c r="Y2687" s="71">
        <f>+T2687-X2687</f>
        <v>80.040000000000191</v>
      </c>
      <c r="Z2687" s="12" t="s">
        <v>141</v>
      </c>
      <c r="AA2687" s="12" t="s">
        <v>78</v>
      </c>
    </row>
    <row r="2688" spans="1:27" x14ac:dyDescent="0.25">
      <c r="A2688" s="10">
        <v>45696</v>
      </c>
      <c r="B2688" s="69">
        <v>2.9143518518518541E-2</v>
      </c>
      <c r="C2688" s="11" t="s">
        <v>5062</v>
      </c>
      <c r="D2688" s="11">
        <v>17224</v>
      </c>
      <c r="E2688" s="11" t="s">
        <v>57</v>
      </c>
      <c r="F2688" s="11" t="s">
        <v>26</v>
      </c>
      <c r="G2688" s="11">
        <v>3698</v>
      </c>
      <c r="H2688" s="12" t="s">
        <v>41</v>
      </c>
      <c r="I2688" s="12" t="s">
        <v>55</v>
      </c>
      <c r="J2688" s="12" t="s">
        <v>55</v>
      </c>
      <c r="K2688" s="12" t="s">
        <v>56</v>
      </c>
      <c r="L2688" s="13">
        <v>36.659999999999997</v>
      </c>
      <c r="M2688" s="13">
        <v>25</v>
      </c>
      <c r="N2688" s="13">
        <f t="shared" si="494"/>
        <v>1.4663999999999999</v>
      </c>
      <c r="O2688" s="13" t="s">
        <v>30</v>
      </c>
      <c r="P2688" s="13">
        <v>24</v>
      </c>
      <c r="Q2688" s="13">
        <v>0</v>
      </c>
      <c r="R2688" s="70">
        <f>+M2688*P2688</f>
        <v>600</v>
      </c>
      <c r="S2688" s="70">
        <v>0</v>
      </c>
      <c r="T2688" s="70">
        <f>+M2688*S2688</f>
        <v>0</v>
      </c>
      <c r="U2688" s="70">
        <f t="shared" ref="U2688" si="520">+R2688-T2688</f>
        <v>600</v>
      </c>
      <c r="V2688" s="70">
        <f>+U2688*0</f>
        <v>0</v>
      </c>
      <c r="W2688" s="70">
        <f t="shared" ref="W2688" si="521">+U2688-V2688</f>
        <v>600</v>
      </c>
      <c r="X2688" s="70">
        <v>0</v>
      </c>
      <c r="Y2688" s="14">
        <f t="shared" ref="Y2688:Y2690" si="522">T2688-X2688</f>
        <v>0</v>
      </c>
      <c r="Z2688" s="11" t="s">
        <v>26</v>
      </c>
      <c r="AA2688" s="12" t="s">
        <v>31</v>
      </c>
    </row>
    <row r="2689" spans="1:27" x14ac:dyDescent="0.25">
      <c r="A2689" s="10">
        <v>45696</v>
      </c>
      <c r="B2689" s="69">
        <v>2.2094907407407438E-2</v>
      </c>
      <c r="C2689" s="11" t="s">
        <v>5063</v>
      </c>
      <c r="D2689" s="11">
        <v>17225</v>
      </c>
      <c r="E2689" s="11" t="s">
        <v>1200</v>
      </c>
      <c r="F2689" s="11" t="s">
        <v>26</v>
      </c>
      <c r="G2689" s="11">
        <v>2958</v>
      </c>
      <c r="H2689" s="12" t="s">
        <v>163</v>
      </c>
      <c r="I2689" s="12" t="s">
        <v>27</v>
      </c>
      <c r="J2689" s="12" t="s">
        <v>42</v>
      </c>
      <c r="K2689" s="12" t="s">
        <v>43</v>
      </c>
      <c r="L2689" s="13">
        <v>39.880000000000003</v>
      </c>
      <c r="M2689" s="13">
        <v>25</v>
      </c>
      <c r="N2689" s="13">
        <f t="shared" si="494"/>
        <v>1.5952000000000002</v>
      </c>
      <c r="O2689" s="13" t="s">
        <v>30</v>
      </c>
      <c r="P2689" s="13">
        <v>64</v>
      </c>
      <c r="Q2689" s="13">
        <v>0</v>
      </c>
      <c r="R2689" s="70">
        <f>M2689*P2689</f>
        <v>1600</v>
      </c>
      <c r="S2689" s="70">
        <v>0</v>
      </c>
      <c r="T2689" s="70">
        <f>M2689*S2689</f>
        <v>0</v>
      </c>
      <c r="U2689" s="70">
        <f>R2689-T2689</f>
        <v>1600</v>
      </c>
      <c r="V2689" s="70">
        <f>U2689*0</f>
        <v>0</v>
      </c>
      <c r="W2689" s="70">
        <f>U2689-V2689</f>
        <v>1600</v>
      </c>
      <c r="X2689" s="70">
        <v>0</v>
      </c>
      <c r="Y2689" s="14">
        <f t="shared" si="522"/>
        <v>0</v>
      </c>
      <c r="Z2689" s="11" t="s">
        <v>26</v>
      </c>
      <c r="AA2689" s="12" t="s">
        <v>31</v>
      </c>
    </row>
    <row r="2690" spans="1:27" x14ac:dyDescent="0.25">
      <c r="A2690" s="10">
        <v>45696</v>
      </c>
      <c r="B2690" s="69">
        <v>2.5127314814814783E-2</v>
      </c>
      <c r="C2690" s="11" t="s">
        <v>5064</v>
      </c>
      <c r="D2690" s="11">
        <v>17226</v>
      </c>
      <c r="E2690" s="11" t="s">
        <v>68</v>
      </c>
      <c r="F2690" s="11" t="s">
        <v>26</v>
      </c>
      <c r="G2690" s="11">
        <v>76368</v>
      </c>
      <c r="H2690" s="12" t="s">
        <v>4448</v>
      </c>
      <c r="I2690" s="12" t="s">
        <v>55</v>
      </c>
      <c r="J2690" s="12" t="s">
        <v>55</v>
      </c>
      <c r="K2690" s="12" t="s">
        <v>56</v>
      </c>
      <c r="L2690" s="13">
        <v>35.700000000000003</v>
      </c>
      <c r="M2690" s="13">
        <v>25</v>
      </c>
      <c r="N2690" s="13">
        <f t="shared" si="494"/>
        <v>1.4280000000000002</v>
      </c>
      <c r="O2690" s="13">
        <v>15</v>
      </c>
      <c r="P2690" s="13" t="s">
        <v>30</v>
      </c>
      <c r="Q2690" s="13">
        <v>0</v>
      </c>
      <c r="R2690" s="70">
        <f>+L2690*O2690</f>
        <v>535.5</v>
      </c>
      <c r="S2690" s="70">
        <v>0</v>
      </c>
      <c r="T2690" s="70">
        <f>+L2690*S2690</f>
        <v>0</v>
      </c>
      <c r="U2690" s="70">
        <f>+R2690-T2690</f>
        <v>535.5</v>
      </c>
      <c r="V2690" s="70">
        <f>+U2690*0.75</f>
        <v>401.625</v>
      </c>
      <c r="W2690" s="70">
        <f>+U2690-V2690</f>
        <v>133.875</v>
      </c>
      <c r="X2690" s="70">
        <v>0</v>
      </c>
      <c r="Y2690" s="14">
        <f t="shared" si="522"/>
        <v>0</v>
      </c>
      <c r="Z2690" s="11" t="s">
        <v>26</v>
      </c>
      <c r="AA2690" s="12" t="s">
        <v>31</v>
      </c>
    </row>
    <row r="2691" spans="1:27" x14ac:dyDescent="0.25">
      <c r="A2691" s="10">
        <v>45696</v>
      </c>
      <c r="B2691" s="69">
        <v>2.3553240740740777E-2</v>
      </c>
      <c r="C2691" s="11" t="s">
        <v>5065</v>
      </c>
      <c r="D2691" s="11">
        <v>17227</v>
      </c>
      <c r="E2691" s="11" t="s">
        <v>63</v>
      </c>
      <c r="F2691" s="11" t="s">
        <v>26</v>
      </c>
      <c r="G2691" s="11" t="s">
        <v>26</v>
      </c>
      <c r="H2691" s="12" t="s">
        <v>4422</v>
      </c>
      <c r="I2691" s="12" t="s">
        <v>27</v>
      </c>
      <c r="J2691" s="12" t="s">
        <v>42</v>
      </c>
      <c r="K2691" s="12" t="s">
        <v>43</v>
      </c>
      <c r="L2691" s="13">
        <v>41.42</v>
      </c>
      <c r="M2691" s="13">
        <v>25</v>
      </c>
      <c r="N2691" s="13">
        <f t="shared" si="494"/>
        <v>1.6568000000000001</v>
      </c>
      <c r="O2691" s="13">
        <v>83</v>
      </c>
      <c r="P2691" s="13" t="s">
        <v>30</v>
      </c>
      <c r="Q2691" s="13">
        <v>0</v>
      </c>
      <c r="R2691" s="70">
        <f>L2691*O2691</f>
        <v>3437.86</v>
      </c>
      <c r="S2691" s="70">
        <v>38</v>
      </c>
      <c r="T2691" s="70">
        <f>L2691*S2691</f>
        <v>1573.96</v>
      </c>
      <c r="U2691" s="70">
        <f>R2691-T2691</f>
        <v>1863.9</v>
      </c>
      <c r="V2691" s="70">
        <f>U2691*1</f>
        <v>1863.9</v>
      </c>
      <c r="W2691" s="70">
        <f>U2691-V2691</f>
        <v>0</v>
      </c>
      <c r="X2691" s="70">
        <f>L2691*36</f>
        <v>1491.1200000000001</v>
      </c>
      <c r="Y2691" s="71">
        <f>+T2691-X2691</f>
        <v>82.839999999999918</v>
      </c>
      <c r="Z2691" s="12" t="s">
        <v>140</v>
      </c>
      <c r="AA2691" s="12" t="s">
        <v>78</v>
      </c>
    </row>
    <row r="2692" spans="1:27" x14ac:dyDescent="0.25">
      <c r="A2692" s="10">
        <v>45696</v>
      </c>
      <c r="B2692" s="69">
        <v>2.7789351851851885E-2</v>
      </c>
      <c r="C2692" s="11" t="s">
        <v>5066</v>
      </c>
      <c r="D2692" s="11">
        <v>17228</v>
      </c>
      <c r="E2692" s="11" t="s">
        <v>246</v>
      </c>
      <c r="F2692" s="11" t="s">
        <v>26</v>
      </c>
      <c r="G2692" s="11">
        <v>3408</v>
      </c>
      <c r="H2692" s="12" t="s">
        <v>41</v>
      </c>
      <c r="I2692" s="12" t="s">
        <v>55</v>
      </c>
      <c r="J2692" s="12" t="s">
        <v>55</v>
      </c>
      <c r="K2692" s="12" t="s">
        <v>56</v>
      </c>
      <c r="L2692" s="13">
        <v>37</v>
      </c>
      <c r="M2692" s="13">
        <v>23</v>
      </c>
      <c r="N2692" s="13">
        <f t="shared" si="494"/>
        <v>1.6086956521739131</v>
      </c>
      <c r="O2692" s="13" t="s">
        <v>30</v>
      </c>
      <c r="P2692" s="13">
        <v>24</v>
      </c>
      <c r="Q2692" s="13">
        <v>0</v>
      </c>
      <c r="R2692" s="70">
        <f>+M2692*P2692</f>
        <v>552</v>
      </c>
      <c r="S2692" s="70">
        <v>0</v>
      </c>
      <c r="T2692" s="70">
        <f>+M2692*S2692</f>
        <v>0</v>
      </c>
      <c r="U2692" s="70">
        <f t="shared" ref="U2692" si="523">+R2692-T2692</f>
        <v>552</v>
      </c>
      <c r="V2692" s="70">
        <f>+U2692*0</f>
        <v>0</v>
      </c>
      <c r="W2692" s="70">
        <f t="shared" ref="W2692" si="524">+U2692-V2692</f>
        <v>552</v>
      </c>
      <c r="X2692" s="70">
        <v>0</v>
      </c>
      <c r="Y2692" s="14">
        <f t="shared" ref="Y2692:Y2696" si="525">T2692-X2692</f>
        <v>0</v>
      </c>
      <c r="Z2692" s="11" t="s">
        <v>26</v>
      </c>
      <c r="AA2692" s="12" t="s">
        <v>31</v>
      </c>
    </row>
    <row r="2693" spans="1:27" x14ac:dyDescent="0.25">
      <c r="A2693" s="10">
        <v>45696</v>
      </c>
      <c r="B2693" s="69">
        <v>2.3402777777777772E-2</v>
      </c>
      <c r="C2693" s="11" t="s">
        <v>5067</v>
      </c>
      <c r="D2693" s="11">
        <v>17229</v>
      </c>
      <c r="E2693" s="11" t="s">
        <v>480</v>
      </c>
      <c r="F2693" s="11" t="s">
        <v>26</v>
      </c>
      <c r="G2693" s="11">
        <v>70414</v>
      </c>
      <c r="H2693" s="12" t="s">
        <v>4448</v>
      </c>
      <c r="I2693" s="12" t="s">
        <v>55</v>
      </c>
      <c r="J2693" s="12" t="s">
        <v>55</v>
      </c>
      <c r="K2693" s="12" t="s">
        <v>56</v>
      </c>
      <c r="L2693" s="13">
        <v>36.04</v>
      </c>
      <c r="M2693" s="13">
        <v>25</v>
      </c>
      <c r="N2693" s="13">
        <f t="shared" si="494"/>
        <v>1.4416</v>
      </c>
      <c r="O2693" s="13">
        <v>15</v>
      </c>
      <c r="P2693" s="13" t="s">
        <v>30</v>
      </c>
      <c r="Q2693" s="13">
        <v>0</v>
      </c>
      <c r="R2693" s="70">
        <f>+L2693*O2693</f>
        <v>540.6</v>
      </c>
      <c r="S2693" s="70">
        <v>0</v>
      </c>
      <c r="T2693" s="70">
        <f>+L2693*S2693</f>
        <v>0</v>
      </c>
      <c r="U2693" s="70">
        <f>+R2693-T2693</f>
        <v>540.6</v>
      </c>
      <c r="V2693" s="70">
        <f>+U2693*0.75</f>
        <v>405.45000000000005</v>
      </c>
      <c r="W2693" s="70">
        <f>+U2693-V2693</f>
        <v>135.14999999999998</v>
      </c>
      <c r="X2693" s="70">
        <v>0</v>
      </c>
      <c r="Y2693" s="14">
        <f t="shared" si="525"/>
        <v>0</v>
      </c>
      <c r="Z2693" s="11" t="s">
        <v>26</v>
      </c>
      <c r="AA2693" s="12" t="s">
        <v>31</v>
      </c>
    </row>
    <row r="2694" spans="1:27" x14ac:dyDescent="0.25">
      <c r="A2694" s="10">
        <v>45696</v>
      </c>
      <c r="B2694" s="69">
        <v>2.6458333333333361E-2</v>
      </c>
      <c r="C2694" s="11" t="s">
        <v>5068</v>
      </c>
      <c r="D2694" s="11">
        <v>17230</v>
      </c>
      <c r="E2694" s="11" t="s">
        <v>53</v>
      </c>
      <c r="F2694" s="11" t="s">
        <v>26</v>
      </c>
      <c r="G2694" s="11">
        <v>2768</v>
      </c>
      <c r="H2694" s="12" t="s">
        <v>41</v>
      </c>
      <c r="I2694" s="12" t="s">
        <v>27</v>
      </c>
      <c r="J2694" s="12" t="s">
        <v>42</v>
      </c>
      <c r="K2694" s="12" t="s">
        <v>43</v>
      </c>
      <c r="L2694" s="13">
        <v>39.92</v>
      </c>
      <c r="M2694" s="13">
        <v>25</v>
      </c>
      <c r="N2694" s="13">
        <f t="shared" si="494"/>
        <v>1.5968</v>
      </c>
      <c r="O2694" s="13" t="s">
        <v>30</v>
      </c>
      <c r="P2694" s="13">
        <v>64</v>
      </c>
      <c r="Q2694" s="13">
        <v>0</v>
      </c>
      <c r="R2694" s="70">
        <f>M2694*P2694</f>
        <v>1600</v>
      </c>
      <c r="S2694" s="70">
        <v>0</v>
      </c>
      <c r="T2694" s="70">
        <f>M2694*S2694</f>
        <v>0</v>
      </c>
      <c r="U2694" s="70">
        <f>+R2694-T2694</f>
        <v>1600</v>
      </c>
      <c r="V2694" s="70">
        <f t="shared" ref="V2694" si="526">+U2694*0</f>
        <v>0</v>
      </c>
      <c r="W2694" s="70">
        <f>+U2694-V2694</f>
        <v>1600</v>
      </c>
      <c r="X2694" s="70">
        <v>0</v>
      </c>
      <c r="Y2694" s="14">
        <f t="shared" si="525"/>
        <v>0</v>
      </c>
      <c r="Z2694" s="11" t="s">
        <v>26</v>
      </c>
      <c r="AA2694" s="12" t="s">
        <v>31</v>
      </c>
    </row>
    <row r="2695" spans="1:27" x14ac:dyDescent="0.25">
      <c r="A2695" s="10">
        <v>45696</v>
      </c>
      <c r="B2695" s="69">
        <v>3.3009259259259238E-2</v>
      </c>
      <c r="C2695" s="11" t="s">
        <v>5069</v>
      </c>
      <c r="D2695" s="11">
        <v>17231</v>
      </c>
      <c r="E2695" s="11" t="s">
        <v>481</v>
      </c>
      <c r="F2695" s="11" t="s">
        <v>26</v>
      </c>
      <c r="G2695" s="11">
        <v>78804</v>
      </c>
      <c r="H2695" s="12" t="s">
        <v>4448</v>
      </c>
      <c r="I2695" s="12" t="s">
        <v>55</v>
      </c>
      <c r="J2695" s="12" t="s">
        <v>55</v>
      </c>
      <c r="K2695" s="12" t="s">
        <v>56</v>
      </c>
      <c r="L2695" s="13">
        <v>35.619999999999997</v>
      </c>
      <c r="M2695" s="13">
        <v>25</v>
      </c>
      <c r="N2695" s="13">
        <f t="shared" si="494"/>
        <v>1.4247999999999998</v>
      </c>
      <c r="O2695" s="13">
        <v>15</v>
      </c>
      <c r="P2695" s="13" t="s">
        <v>30</v>
      </c>
      <c r="Q2695" s="13">
        <v>0</v>
      </c>
      <c r="R2695" s="70">
        <f>+L2695*O2695</f>
        <v>534.29999999999995</v>
      </c>
      <c r="S2695" s="70">
        <v>0</v>
      </c>
      <c r="T2695" s="70">
        <f>+L2695*S2695</f>
        <v>0</v>
      </c>
      <c r="U2695" s="70">
        <f>+R2695-T2695</f>
        <v>534.29999999999995</v>
      </c>
      <c r="V2695" s="70">
        <f>+U2695*0.75</f>
        <v>400.72499999999997</v>
      </c>
      <c r="W2695" s="70">
        <f>+U2695-V2695</f>
        <v>133.57499999999999</v>
      </c>
      <c r="X2695" s="70">
        <v>0</v>
      </c>
      <c r="Y2695" s="14">
        <f t="shared" si="525"/>
        <v>0</v>
      </c>
      <c r="Z2695" s="11" t="s">
        <v>26</v>
      </c>
      <c r="AA2695" s="12" t="s">
        <v>31</v>
      </c>
    </row>
    <row r="2696" spans="1:27" x14ac:dyDescent="0.25">
      <c r="A2696" s="10">
        <v>45696</v>
      </c>
      <c r="B2696" s="69">
        <v>2.8229166666666639E-2</v>
      </c>
      <c r="C2696" s="11" t="s">
        <v>5070</v>
      </c>
      <c r="D2696" s="11">
        <v>17232</v>
      </c>
      <c r="E2696" s="11" t="s">
        <v>67</v>
      </c>
      <c r="F2696" s="11" t="s">
        <v>26</v>
      </c>
      <c r="G2696" s="11">
        <v>1634</v>
      </c>
      <c r="H2696" s="12" t="s">
        <v>66</v>
      </c>
      <c r="I2696" s="12" t="s">
        <v>37</v>
      </c>
      <c r="J2696" s="12" t="s">
        <v>1909</v>
      </c>
      <c r="K2696" s="12" t="s">
        <v>82</v>
      </c>
      <c r="L2696" s="13">
        <v>38.82</v>
      </c>
      <c r="M2696" s="13">
        <v>25</v>
      </c>
      <c r="N2696" s="13">
        <f t="shared" si="494"/>
        <v>1.5528</v>
      </c>
      <c r="O2696" s="13" t="s">
        <v>30</v>
      </c>
      <c r="P2696" s="13">
        <v>54</v>
      </c>
      <c r="Q2696" s="13">
        <v>0</v>
      </c>
      <c r="R2696" s="70">
        <f>M2696*P2696</f>
        <v>1350</v>
      </c>
      <c r="S2696" s="70">
        <v>0</v>
      </c>
      <c r="T2696" s="70">
        <f>M2696*S2696</f>
        <v>0</v>
      </c>
      <c r="U2696" s="70">
        <f>R2696-T2696</f>
        <v>1350</v>
      </c>
      <c r="V2696" s="70">
        <f>U2696*1</f>
        <v>1350</v>
      </c>
      <c r="W2696" s="70">
        <f>U2696-V2696</f>
        <v>0</v>
      </c>
      <c r="X2696" s="70">
        <v>0</v>
      </c>
      <c r="Y2696" s="14">
        <f t="shared" si="525"/>
        <v>0</v>
      </c>
      <c r="Z2696" s="11" t="s">
        <v>26</v>
      </c>
      <c r="AA2696" s="12" t="s">
        <v>31</v>
      </c>
    </row>
    <row r="2697" spans="1:27" x14ac:dyDescent="0.25">
      <c r="A2697" s="10">
        <v>45696</v>
      </c>
      <c r="B2697" s="69">
        <v>6.5509259259258767E-3</v>
      </c>
      <c r="C2697" s="11" t="s">
        <v>5071</v>
      </c>
      <c r="D2697" s="11">
        <v>17233</v>
      </c>
      <c r="E2697" s="11" t="s">
        <v>61</v>
      </c>
      <c r="F2697" s="11" t="s">
        <v>26</v>
      </c>
      <c r="G2697" s="11" t="s">
        <v>35</v>
      </c>
      <c r="H2697" s="12" t="s">
        <v>36</v>
      </c>
      <c r="I2697" s="12" t="s">
        <v>27</v>
      </c>
      <c r="J2697" s="12" t="s">
        <v>42</v>
      </c>
      <c r="K2697" s="12" t="s">
        <v>43</v>
      </c>
      <c r="L2697" s="13">
        <v>8.86</v>
      </c>
      <c r="M2697" s="13">
        <v>6</v>
      </c>
      <c r="N2697" s="13">
        <f t="shared" si="494"/>
        <v>1.4766666666666666</v>
      </c>
      <c r="O2697" s="13">
        <v>45</v>
      </c>
      <c r="P2697" s="13" t="s">
        <v>30</v>
      </c>
      <c r="Q2697" s="13">
        <v>0</v>
      </c>
      <c r="R2697" s="70">
        <f>(L2697*O2697)-Q2697</f>
        <v>398.7</v>
      </c>
      <c r="S2697" s="70">
        <v>0</v>
      </c>
      <c r="T2697" s="70">
        <f t="shared" ref="T2697:T2698" si="527">+L2697*S2697</f>
        <v>0</v>
      </c>
      <c r="U2697" s="70">
        <f t="shared" ref="U2697:U2699" si="528">+R2697-T2697</f>
        <v>398.7</v>
      </c>
      <c r="V2697" s="70">
        <f>+U2697*0</f>
        <v>0</v>
      </c>
      <c r="W2697" s="70">
        <f t="shared" ref="W2697:W2699" si="529">+U2697-V2697</f>
        <v>398.7</v>
      </c>
      <c r="X2697" s="70">
        <v>0</v>
      </c>
      <c r="Y2697" s="14">
        <f>T2697-X2697</f>
        <v>0</v>
      </c>
      <c r="Z2697" s="11" t="s">
        <v>26</v>
      </c>
      <c r="AA2697" s="12" t="s">
        <v>31</v>
      </c>
    </row>
    <row r="2698" spans="1:27" x14ac:dyDescent="0.25">
      <c r="A2698" s="10">
        <v>45696</v>
      </c>
      <c r="B2698" s="69">
        <v>9.8958333333333259E-3</v>
      </c>
      <c r="C2698" s="11" t="s">
        <v>5072</v>
      </c>
      <c r="D2698" s="11">
        <v>17234</v>
      </c>
      <c r="E2698" s="11" t="s">
        <v>60</v>
      </c>
      <c r="F2698" s="11" t="s">
        <v>26</v>
      </c>
      <c r="G2698" s="11" t="s">
        <v>35</v>
      </c>
      <c r="H2698" s="12" t="s">
        <v>36</v>
      </c>
      <c r="I2698" s="12" t="s">
        <v>27</v>
      </c>
      <c r="J2698" s="12" t="s">
        <v>42</v>
      </c>
      <c r="K2698" s="12" t="s">
        <v>43</v>
      </c>
      <c r="L2698" s="13">
        <v>5.72</v>
      </c>
      <c r="M2698" s="13">
        <v>3</v>
      </c>
      <c r="N2698" s="13">
        <f t="shared" si="494"/>
        <v>1.9066666666666665</v>
      </c>
      <c r="O2698" s="13">
        <v>45</v>
      </c>
      <c r="P2698" s="13" t="s">
        <v>30</v>
      </c>
      <c r="Q2698" s="13">
        <v>0</v>
      </c>
      <c r="R2698" s="70">
        <f>(L2698*O2698)-Q2698</f>
        <v>257.39999999999998</v>
      </c>
      <c r="S2698" s="70">
        <v>0</v>
      </c>
      <c r="T2698" s="70">
        <f t="shared" si="527"/>
        <v>0</v>
      </c>
      <c r="U2698" s="70">
        <f t="shared" si="528"/>
        <v>257.39999999999998</v>
      </c>
      <c r="V2698" s="70">
        <f>+U2698*0</f>
        <v>0</v>
      </c>
      <c r="W2698" s="70">
        <f t="shared" si="529"/>
        <v>257.39999999999998</v>
      </c>
      <c r="X2698" s="70">
        <v>0</v>
      </c>
      <c r="Y2698" s="14">
        <f>T2698-X2698</f>
        <v>0</v>
      </c>
      <c r="Z2698" s="11" t="s">
        <v>26</v>
      </c>
      <c r="AA2698" s="12" t="s">
        <v>31</v>
      </c>
    </row>
    <row r="2699" spans="1:27" x14ac:dyDescent="0.25">
      <c r="A2699" s="10">
        <v>45696</v>
      </c>
      <c r="B2699" s="69">
        <v>9.2245370370370727E-3</v>
      </c>
      <c r="C2699" s="11" t="s">
        <v>5073</v>
      </c>
      <c r="D2699" s="11">
        <v>17235</v>
      </c>
      <c r="E2699" s="11" t="s">
        <v>54</v>
      </c>
      <c r="F2699" s="11" t="s">
        <v>26</v>
      </c>
      <c r="G2699" s="11">
        <v>112754</v>
      </c>
      <c r="H2699" s="12" t="s">
        <v>4446</v>
      </c>
      <c r="I2699" s="12" t="s">
        <v>27</v>
      </c>
      <c r="J2699" s="12" t="s">
        <v>42</v>
      </c>
      <c r="K2699" s="12" t="s">
        <v>43</v>
      </c>
      <c r="L2699" s="13">
        <v>37.340000000000003</v>
      </c>
      <c r="M2699" s="13">
        <v>25</v>
      </c>
      <c r="N2699" s="13">
        <f t="shared" si="494"/>
        <v>1.4936</v>
      </c>
      <c r="O2699" s="13">
        <v>42</v>
      </c>
      <c r="P2699" s="13" t="s">
        <v>30</v>
      </c>
      <c r="Q2699" s="13">
        <v>0</v>
      </c>
      <c r="R2699" s="70">
        <f t="shared" ref="R2699" si="530">+L2699*O2699</f>
        <v>1568.2800000000002</v>
      </c>
      <c r="S2699" s="70">
        <v>0</v>
      </c>
      <c r="T2699" s="70">
        <f>+L2699*S2699</f>
        <v>0</v>
      </c>
      <c r="U2699" s="70">
        <f t="shared" si="528"/>
        <v>1568.2800000000002</v>
      </c>
      <c r="V2699" s="70">
        <f>+U2699*1</f>
        <v>1568.2800000000002</v>
      </c>
      <c r="W2699" s="70">
        <f t="shared" si="529"/>
        <v>0</v>
      </c>
      <c r="X2699" s="70">
        <v>0</v>
      </c>
      <c r="Y2699" s="14">
        <f t="shared" ref="Y2699:Y2705" si="531">T2699-X2699</f>
        <v>0</v>
      </c>
      <c r="Z2699" s="11" t="s">
        <v>26</v>
      </c>
      <c r="AA2699" s="12" t="s">
        <v>31</v>
      </c>
    </row>
    <row r="2700" spans="1:27" x14ac:dyDescent="0.25">
      <c r="A2700" s="10">
        <v>45696</v>
      </c>
      <c r="B2700" s="69">
        <v>1.489583333333333E-2</v>
      </c>
      <c r="C2700" s="11" t="s">
        <v>5074</v>
      </c>
      <c r="D2700" s="11">
        <v>17236</v>
      </c>
      <c r="E2700" s="11" t="s">
        <v>520</v>
      </c>
      <c r="F2700" s="11" t="s">
        <v>26</v>
      </c>
      <c r="G2700" s="11">
        <v>4398</v>
      </c>
      <c r="H2700" s="12" t="s">
        <v>140</v>
      </c>
      <c r="I2700" s="12" t="s">
        <v>27</v>
      </c>
      <c r="J2700" s="12" t="s">
        <v>42</v>
      </c>
      <c r="K2700" s="12" t="s">
        <v>43</v>
      </c>
      <c r="L2700" s="13">
        <v>41.28</v>
      </c>
      <c r="M2700" s="13">
        <v>25</v>
      </c>
      <c r="N2700" s="13">
        <f t="shared" si="494"/>
        <v>1.6512</v>
      </c>
      <c r="O2700" s="13">
        <v>35</v>
      </c>
      <c r="P2700" s="13"/>
      <c r="Q2700" s="13">
        <v>0</v>
      </c>
      <c r="R2700" s="70">
        <f>+L2700*O2700</f>
        <v>1444.8</v>
      </c>
      <c r="S2700" s="70">
        <v>0</v>
      </c>
      <c r="T2700" s="70">
        <f>+L2700*S2700</f>
        <v>0</v>
      </c>
      <c r="U2700" s="70">
        <f>+R2700-T2700</f>
        <v>1444.8</v>
      </c>
      <c r="V2700" s="70">
        <f t="shared" ref="V2700" si="532">+U2700*0</f>
        <v>0</v>
      </c>
      <c r="W2700" s="70">
        <f>+U2700-V2700</f>
        <v>1444.8</v>
      </c>
      <c r="X2700" s="70">
        <v>0</v>
      </c>
      <c r="Y2700" s="14">
        <f t="shared" si="531"/>
        <v>0</v>
      </c>
      <c r="Z2700" s="11" t="s">
        <v>26</v>
      </c>
      <c r="AA2700" s="12" t="s">
        <v>31</v>
      </c>
    </row>
    <row r="2701" spans="1:27" x14ac:dyDescent="0.25">
      <c r="A2701" s="10">
        <v>45696</v>
      </c>
      <c r="B2701" s="69">
        <v>9.1284722222222225E-2</v>
      </c>
      <c r="C2701" s="11" t="s">
        <v>5075</v>
      </c>
      <c r="D2701" s="11">
        <v>17237</v>
      </c>
      <c r="E2701" s="11" t="s">
        <v>50</v>
      </c>
      <c r="F2701" s="11" t="s">
        <v>26</v>
      </c>
      <c r="G2701" s="11">
        <v>943</v>
      </c>
      <c r="H2701" s="12" t="s">
        <v>163</v>
      </c>
      <c r="I2701" s="12" t="s">
        <v>27</v>
      </c>
      <c r="J2701" s="12" t="s">
        <v>42</v>
      </c>
      <c r="K2701" s="12" t="s">
        <v>43</v>
      </c>
      <c r="L2701" s="13">
        <v>40.880000000000003</v>
      </c>
      <c r="M2701" s="13">
        <v>25</v>
      </c>
      <c r="N2701" s="13">
        <f t="shared" si="494"/>
        <v>1.6352000000000002</v>
      </c>
      <c r="O2701" s="13" t="s">
        <v>30</v>
      </c>
      <c r="P2701" s="13">
        <v>64</v>
      </c>
      <c r="Q2701" s="13">
        <v>0</v>
      </c>
      <c r="R2701" s="70">
        <f>M2701*P2701</f>
        <v>1600</v>
      </c>
      <c r="S2701" s="70">
        <v>0</v>
      </c>
      <c r="T2701" s="70">
        <f>M2701*S2701</f>
        <v>0</v>
      </c>
      <c r="U2701" s="70">
        <f>R2701-T2701</f>
        <v>1600</v>
      </c>
      <c r="V2701" s="70">
        <f>U2701*0</f>
        <v>0</v>
      </c>
      <c r="W2701" s="70">
        <f>U2701-V2701</f>
        <v>1600</v>
      </c>
      <c r="X2701" s="70">
        <v>0</v>
      </c>
      <c r="Y2701" s="14">
        <f t="shared" si="531"/>
        <v>0</v>
      </c>
      <c r="Z2701" s="11" t="s">
        <v>26</v>
      </c>
      <c r="AA2701" s="12" t="s">
        <v>31</v>
      </c>
    </row>
    <row r="2702" spans="1:27" x14ac:dyDescent="0.25">
      <c r="A2702" s="10">
        <v>45696</v>
      </c>
      <c r="B2702" s="69">
        <v>6.6550925925925597E-3</v>
      </c>
      <c r="C2702" s="11" t="s">
        <v>5076</v>
      </c>
      <c r="D2702" s="11">
        <v>17238</v>
      </c>
      <c r="E2702" s="11" t="s">
        <v>240</v>
      </c>
      <c r="F2702" s="11" t="s">
        <v>26</v>
      </c>
      <c r="G2702" s="11">
        <v>2873</v>
      </c>
      <c r="H2702" s="12" t="s">
        <v>41</v>
      </c>
      <c r="I2702" s="12" t="s">
        <v>27</v>
      </c>
      <c r="J2702" s="12" t="s">
        <v>42</v>
      </c>
      <c r="K2702" s="12" t="s">
        <v>43</v>
      </c>
      <c r="L2702" s="13">
        <v>36.520000000000003</v>
      </c>
      <c r="M2702" s="13">
        <v>23</v>
      </c>
      <c r="N2702" s="13">
        <f t="shared" si="494"/>
        <v>1.5878260869565219</v>
      </c>
      <c r="O2702" s="13" t="s">
        <v>30</v>
      </c>
      <c r="P2702" s="13">
        <v>64</v>
      </c>
      <c r="Q2702" s="13">
        <v>0</v>
      </c>
      <c r="R2702" s="70">
        <f>M2702*P2702</f>
        <v>1472</v>
      </c>
      <c r="S2702" s="70">
        <v>0</v>
      </c>
      <c r="T2702" s="70">
        <f>M2702*S2702</f>
        <v>0</v>
      </c>
      <c r="U2702" s="70">
        <f>+R2702-T2702</f>
        <v>1472</v>
      </c>
      <c r="V2702" s="70">
        <f t="shared" ref="V2702" si="533">+U2702*0</f>
        <v>0</v>
      </c>
      <c r="W2702" s="70">
        <f>+U2702-V2702</f>
        <v>1472</v>
      </c>
      <c r="X2702" s="70">
        <v>0</v>
      </c>
      <c r="Y2702" s="14">
        <f t="shared" si="531"/>
        <v>0</v>
      </c>
      <c r="Z2702" s="11" t="s">
        <v>26</v>
      </c>
      <c r="AA2702" s="12" t="s">
        <v>31</v>
      </c>
    </row>
    <row r="2703" spans="1:27" x14ac:dyDescent="0.25">
      <c r="A2703" s="10">
        <v>45696</v>
      </c>
      <c r="B2703" s="69">
        <v>7.0486111111110472E-3</v>
      </c>
      <c r="C2703" s="11" t="s">
        <v>5077</v>
      </c>
      <c r="D2703" s="11">
        <v>17239</v>
      </c>
      <c r="E2703" s="11" t="s">
        <v>544</v>
      </c>
      <c r="F2703" s="11" t="s">
        <v>26</v>
      </c>
      <c r="G2703" s="11">
        <v>70191</v>
      </c>
      <c r="H2703" s="12" t="s">
        <v>4448</v>
      </c>
      <c r="I2703" s="12" t="s">
        <v>27</v>
      </c>
      <c r="J2703" s="12" t="s">
        <v>42</v>
      </c>
      <c r="K2703" s="12" t="s">
        <v>43</v>
      </c>
      <c r="L2703" s="13">
        <v>40.14</v>
      </c>
      <c r="M2703" s="13">
        <v>25</v>
      </c>
      <c r="N2703" s="13">
        <f t="shared" si="494"/>
        <v>1.6055999999999999</v>
      </c>
      <c r="O2703" s="13">
        <v>42.5</v>
      </c>
      <c r="P2703" s="13"/>
      <c r="Q2703" s="13">
        <v>0</v>
      </c>
      <c r="R2703" s="70">
        <f>+L2703*O2703</f>
        <v>1705.95</v>
      </c>
      <c r="S2703" s="70">
        <v>0</v>
      </c>
      <c r="T2703" s="70">
        <f>+L2703*S2703</f>
        <v>0</v>
      </c>
      <c r="U2703" s="70">
        <f>+R2703-T2703</f>
        <v>1705.95</v>
      </c>
      <c r="V2703" s="70">
        <f>+U2703*0.75</f>
        <v>1279.4625000000001</v>
      </c>
      <c r="W2703" s="70">
        <f>+U2703-V2703</f>
        <v>426.48749999999995</v>
      </c>
      <c r="X2703" s="70">
        <v>0</v>
      </c>
      <c r="Y2703" s="14">
        <f t="shared" si="531"/>
        <v>0</v>
      </c>
      <c r="Z2703" s="11" t="s">
        <v>26</v>
      </c>
      <c r="AA2703" s="12" t="s">
        <v>31</v>
      </c>
    </row>
    <row r="2704" spans="1:27" x14ac:dyDescent="0.25">
      <c r="A2704" s="10">
        <v>45696</v>
      </c>
      <c r="B2704" s="69">
        <v>6.9907407407407418E-3</v>
      </c>
      <c r="C2704" s="11" t="s">
        <v>5078</v>
      </c>
      <c r="D2704" s="11">
        <v>17240</v>
      </c>
      <c r="E2704" s="11" t="s">
        <v>525</v>
      </c>
      <c r="F2704" s="11" t="s">
        <v>26</v>
      </c>
      <c r="G2704" s="11">
        <v>26346</v>
      </c>
      <c r="H2704" s="12" t="s">
        <v>4448</v>
      </c>
      <c r="I2704" s="12" t="s">
        <v>27</v>
      </c>
      <c r="J2704" s="12" t="s">
        <v>42</v>
      </c>
      <c r="K2704" s="12" t="s">
        <v>43</v>
      </c>
      <c r="L2704" s="13">
        <v>41.9</v>
      </c>
      <c r="M2704" s="13">
        <v>25</v>
      </c>
      <c r="N2704" s="13">
        <f t="shared" si="494"/>
        <v>1.6759999999999999</v>
      </c>
      <c r="O2704" s="13">
        <v>42.5</v>
      </c>
      <c r="P2704" s="13"/>
      <c r="Q2704" s="13">
        <v>0</v>
      </c>
      <c r="R2704" s="70">
        <f>+L2704*O2704</f>
        <v>1780.75</v>
      </c>
      <c r="S2704" s="70">
        <v>0</v>
      </c>
      <c r="T2704" s="70">
        <f>+L2704*S2704</f>
        <v>0</v>
      </c>
      <c r="U2704" s="70">
        <f>+R2704-T2704</f>
        <v>1780.75</v>
      </c>
      <c r="V2704" s="70">
        <f>+U2704*0.75</f>
        <v>1335.5625</v>
      </c>
      <c r="W2704" s="70">
        <f>+U2704-V2704</f>
        <v>445.1875</v>
      </c>
      <c r="X2704" s="70">
        <v>0</v>
      </c>
      <c r="Y2704" s="14">
        <f t="shared" si="531"/>
        <v>0</v>
      </c>
      <c r="Z2704" s="11" t="s">
        <v>26</v>
      </c>
      <c r="AA2704" s="12" t="s">
        <v>31</v>
      </c>
    </row>
    <row r="2705" spans="1:27" x14ac:dyDescent="0.25">
      <c r="A2705" s="10">
        <v>45696</v>
      </c>
      <c r="B2705" s="69">
        <v>0.132662037037037</v>
      </c>
      <c r="C2705" s="11" t="s">
        <v>5079</v>
      </c>
      <c r="D2705" s="11">
        <v>17241</v>
      </c>
      <c r="E2705" s="11" t="s">
        <v>568</v>
      </c>
      <c r="F2705" s="11" t="s">
        <v>26</v>
      </c>
      <c r="G2705" s="11">
        <v>112756</v>
      </c>
      <c r="H2705" s="12" t="s">
        <v>4446</v>
      </c>
      <c r="I2705" s="12" t="s">
        <v>27</v>
      </c>
      <c r="J2705" s="12" t="s">
        <v>33</v>
      </c>
      <c r="K2705" s="12" t="s">
        <v>34</v>
      </c>
      <c r="L2705" s="13">
        <v>35.119999999999997</v>
      </c>
      <c r="M2705" s="13">
        <v>25</v>
      </c>
      <c r="N2705" s="13">
        <f t="shared" si="494"/>
        <v>1.4047999999999998</v>
      </c>
      <c r="O2705" s="13">
        <v>44</v>
      </c>
      <c r="P2705" s="13" t="s">
        <v>30</v>
      </c>
      <c r="Q2705" s="13">
        <v>0</v>
      </c>
      <c r="R2705" s="70">
        <f t="shared" ref="R2705" si="534">+L2705*O2705</f>
        <v>1545.28</v>
      </c>
      <c r="S2705" s="70">
        <v>0</v>
      </c>
      <c r="T2705" s="70">
        <f>+L2705*S2705</f>
        <v>0</v>
      </c>
      <c r="U2705" s="70">
        <f>+R2705-T2705</f>
        <v>1545.28</v>
      </c>
      <c r="V2705" s="70">
        <f>+U2705*1</f>
        <v>1545.28</v>
      </c>
      <c r="W2705" s="70">
        <f>+U2705-V2705</f>
        <v>0</v>
      </c>
      <c r="X2705" s="70">
        <v>0</v>
      </c>
      <c r="Y2705" s="14">
        <f t="shared" si="531"/>
        <v>0</v>
      </c>
      <c r="Z2705" s="11" t="s">
        <v>26</v>
      </c>
      <c r="AA2705" s="12" t="s">
        <v>31</v>
      </c>
    </row>
    <row r="2706" spans="1:27" x14ac:dyDescent="0.25">
      <c r="A2706" s="10">
        <v>45696</v>
      </c>
      <c r="B2706" s="69">
        <v>1.0497685185185179E-2</v>
      </c>
      <c r="C2706" s="11" t="s">
        <v>5080</v>
      </c>
      <c r="D2706" s="11">
        <v>17242</v>
      </c>
      <c r="E2706" s="11" t="s">
        <v>60</v>
      </c>
      <c r="F2706" s="11" t="s">
        <v>26</v>
      </c>
      <c r="G2706" s="11" t="s">
        <v>35</v>
      </c>
      <c r="H2706" s="12" t="s">
        <v>36</v>
      </c>
      <c r="I2706" s="12" t="s">
        <v>27</v>
      </c>
      <c r="J2706" s="12" t="s">
        <v>42</v>
      </c>
      <c r="K2706" s="12" t="s">
        <v>43</v>
      </c>
      <c r="L2706" s="13">
        <v>8.5</v>
      </c>
      <c r="M2706" s="13">
        <v>5</v>
      </c>
      <c r="N2706" s="13">
        <f t="shared" si="494"/>
        <v>1.7</v>
      </c>
      <c r="O2706" s="13">
        <v>45</v>
      </c>
      <c r="P2706" s="13" t="s">
        <v>30</v>
      </c>
      <c r="Q2706" s="13">
        <v>0</v>
      </c>
      <c r="R2706" s="70">
        <f>(L2706*O2706)-Q2706</f>
        <v>382.5</v>
      </c>
      <c r="S2706" s="70">
        <v>0</v>
      </c>
      <c r="T2706" s="70">
        <f t="shared" ref="T2706" si="535">+L2706*S2706</f>
        <v>0</v>
      </c>
      <c r="U2706" s="70">
        <f t="shared" ref="U2706" si="536">+R2706-T2706</f>
        <v>382.5</v>
      </c>
      <c r="V2706" s="70">
        <f>+U2706*0</f>
        <v>0</v>
      </c>
      <c r="W2706" s="70">
        <f t="shared" ref="W2706" si="537">+U2706-V2706</f>
        <v>382.5</v>
      </c>
      <c r="X2706" s="70">
        <v>0</v>
      </c>
      <c r="Y2706" s="14">
        <f>T2706-X2706</f>
        <v>0</v>
      </c>
      <c r="Z2706" s="11" t="s">
        <v>26</v>
      </c>
      <c r="AA2706" s="12" t="s">
        <v>31</v>
      </c>
    </row>
    <row r="2707" spans="1:27" x14ac:dyDescent="0.25">
      <c r="A2707" s="10">
        <v>45696</v>
      </c>
      <c r="B2707" s="69">
        <v>1.5300925925925912E-2</v>
      </c>
      <c r="C2707" s="11" t="s">
        <v>5081</v>
      </c>
      <c r="D2707" s="11">
        <v>17243</v>
      </c>
      <c r="E2707" s="11" t="s">
        <v>431</v>
      </c>
      <c r="F2707" s="11" t="s">
        <v>26</v>
      </c>
      <c r="G2707" s="11" t="s">
        <v>26</v>
      </c>
      <c r="H2707" s="12" t="s">
        <v>4422</v>
      </c>
      <c r="I2707" s="12" t="s">
        <v>27</v>
      </c>
      <c r="J2707" s="12" t="s">
        <v>42</v>
      </c>
      <c r="K2707" s="12" t="s">
        <v>43</v>
      </c>
      <c r="L2707" s="13">
        <v>41.46</v>
      </c>
      <c r="M2707" s="13">
        <v>25</v>
      </c>
      <c r="N2707" s="13">
        <f t="shared" si="494"/>
        <v>1.6584000000000001</v>
      </c>
      <c r="O2707" s="13">
        <v>83</v>
      </c>
      <c r="P2707" s="13" t="s">
        <v>30</v>
      </c>
      <c r="Q2707" s="13">
        <v>0</v>
      </c>
      <c r="R2707" s="70">
        <f>L2707*O2707</f>
        <v>3441.1800000000003</v>
      </c>
      <c r="S2707" s="70">
        <v>38</v>
      </c>
      <c r="T2707" s="70">
        <f>L2707*S2707</f>
        <v>1575.48</v>
      </c>
      <c r="U2707" s="70">
        <f t="shared" ref="U2707:U2716" si="538">R2707-T2707</f>
        <v>1865.7000000000003</v>
      </c>
      <c r="V2707" s="70">
        <f>U2707*1</f>
        <v>1865.7000000000003</v>
      </c>
      <c r="W2707" s="70">
        <f>U2707-V2707</f>
        <v>0</v>
      </c>
      <c r="X2707" s="72">
        <f>L2707*36</f>
        <v>1492.56</v>
      </c>
      <c r="Y2707" s="71">
        <f>+T2707-X2707</f>
        <v>82.920000000000073</v>
      </c>
      <c r="Z2707" s="12" t="s">
        <v>6328</v>
      </c>
      <c r="AA2707" s="12" t="s">
        <v>78</v>
      </c>
    </row>
    <row r="2708" spans="1:27" x14ac:dyDescent="0.25">
      <c r="A2708" s="10">
        <v>45696</v>
      </c>
      <c r="B2708" s="69">
        <v>1.599537037037041E-2</v>
      </c>
      <c r="C2708" s="11" t="s">
        <v>5082</v>
      </c>
      <c r="D2708" s="11">
        <v>17244</v>
      </c>
      <c r="E2708" s="11" t="s">
        <v>63</v>
      </c>
      <c r="F2708" s="11" t="s">
        <v>26</v>
      </c>
      <c r="G2708" s="11" t="s">
        <v>26</v>
      </c>
      <c r="H2708" s="12" t="s">
        <v>4422</v>
      </c>
      <c r="I2708" s="12" t="s">
        <v>27</v>
      </c>
      <c r="J2708" s="12" t="s">
        <v>33</v>
      </c>
      <c r="K2708" s="12" t="s">
        <v>34</v>
      </c>
      <c r="L2708" s="13">
        <v>40.020000000000003</v>
      </c>
      <c r="M2708" s="13">
        <v>28</v>
      </c>
      <c r="N2708" s="13">
        <f t="shared" si="494"/>
        <v>1.4292857142857145</v>
      </c>
      <c r="O2708" s="13">
        <v>85</v>
      </c>
      <c r="P2708" s="13" t="s">
        <v>30</v>
      </c>
      <c r="Q2708" s="13">
        <v>0</v>
      </c>
      <c r="R2708" s="70">
        <f>L2708*O2708</f>
        <v>3401.7000000000003</v>
      </c>
      <c r="S2708" s="70">
        <v>38</v>
      </c>
      <c r="T2708" s="70">
        <f>L2708*S2708</f>
        <v>1520.7600000000002</v>
      </c>
      <c r="U2708" s="70">
        <f t="shared" si="538"/>
        <v>1880.94</v>
      </c>
      <c r="V2708" s="70">
        <f>U2708*1</f>
        <v>1880.94</v>
      </c>
      <c r="W2708" s="70">
        <f>U2708-V2708</f>
        <v>0</v>
      </c>
      <c r="X2708" s="70">
        <f>L2708*36</f>
        <v>1440.72</v>
      </c>
      <c r="Y2708" s="71">
        <f>+T2708-X2708</f>
        <v>80.040000000000191</v>
      </c>
      <c r="Z2708" s="12" t="s">
        <v>140</v>
      </c>
      <c r="AA2708" s="12" t="s">
        <v>78</v>
      </c>
    </row>
    <row r="2709" spans="1:27" x14ac:dyDescent="0.25">
      <c r="A2709" s="10">
        <v>45696</v>
      </c>
      <c r="B2709" s="69">
        <v>0.12199074074074073</v>
      </c>
      <c r="C2709" s="11" t="s">
        <v>5083</v>
      </c>
      <c r="D2709" s="11">
        <v>17245</v>
      </c>
      <c r="E2709" s="11" t="s">
        <v>75</v>
      </c>
      <c r="F2709" s="11" t="s">
        <v>26</v>
      </c>
      <c r="G2709" s="11">
        <v>42047</v>
      </c>
      <c r="H2709" s="12" t="s">
        <v>565</v>
      </c>
      <c r="I2709" s="12" t="s">
        <v>55</v>
      </c>
      <c r="J2709" s="12" t="s">
        <v>55</v>
      </c>
      <c r="K2709" s="12" t="s">
        <v>56</v>
      </c>
      <c r="L2709" s="13">
        <v>36.299999999999997</v>
      </c>
      <c r="M2709" s="13">
        <v>25</v>
      </c>
      <c r="N2709" s="13">
        <f t="shared" si="494"/>
        <v>1.452</v>
      </c>
      <c r="O2709" s="13"/>
      <c r="P2709" s="13">
        <v>24</v>
      </c>
      <c r="Q2709" s="13">
        <v>0</v>
      </c>
      <c r="R2709" s="70">
        <f>M2709*P2709</f>
        <v>600</v>
      </c>
      <c r="S2709" s="70">
        <v>0</v>
      </c>
      <c r="T2709" s="70">
        <f>M2709*S2709</f>
        <v>0</v>
      </c>
      <c r="U2709" s="70">
        <f t="shared" si="538"/>
        <v>600</v>
      </c>
      <c r="V2709" s="70">
        <f>U2709*0</f>
        <v>0</v>
      </c>
      <c r="W2709" s="70">
        <f>+U2709-V2709</f>
        <v>600</v>
      </c>
      <c r="X2709" s="70">
        <v>0</v>
      </c>
      <c r="Y2709" s="14">
        <f t="shared" ref="Y2709:Y2715" si="539">T2709-X2709</f>
        <v>0</v>
      </c>
      <c r="Z2709" s="11" t="s">
        <v>26</v>
      </c>
      <c r="AA2709" s="12" t="s">
        <v>31</v>
      </c>
    </row>
    <row r="2710" spans="1:27" x14ac:dyDescent="0.25">
      <c r="A2710" s="10">
        <v>45696</v>
      </c>
      <c r="B2710" s="69">
        <v>0.16954861111111108</v>
      </c>
      <c r="C2710" s="11" t="s">
        <v>5084</v>
      </c>
      <c r="D2710" s="11">
        <v>17246</v>
      </c>
      <c r="E2710" s="11" t="s">
        <v>658</v>
      </c>
      <c r="F2710" s="11" t="s">
        <v>26</v>
      </c>
      <c r="G2710" s="11">
        <v>866</v>
      </c>
      <c r="H2710" s="12" t="s">
        <v>141</v>
      </c>
      <c r="I2710" s="12" t="s">
        <v>37</v>
      </c>
      <c r="J2710" s="12" t="s">
        <v>85</v>
      </c>
      <c r="K2710" s="12" t="s">
        <v>86</v>
      </c>
      <c r="L2710" s="13">
        <v>35.22</v>
      </c>
      <c r="M2710" s="13">
        <v>25</v>
      </c>
      <c r="N2710" s="13">
        <f t="shared" si="494"/>
        <v>1.4088000000000001</v>
      </c>
      <c r="O2710" s="13">
        <v>29</v>
      </c>
      <c r="P2710" s="13" t="s">
        <v>30</v>
      </c>
      <c r="Q2710" s="13">
        <v>0</v>
      </c>
      <c r="R2710" s="70">
        <f>L2710*O2710</f>
        <v>1021.38</v>
      </c>
      <c r="S2710" s="70">
        <v>0</v>
      </c>
      <c r="T2710" s="70">
        <f>L2710*S2710</f>
        <v>0</v>
      </c>
      <c r="U2710" s="70">
        <f t="shared" si="538"/>
        <v>1021.38</v>
      </c>
      <c r="V2710" s="70">
        <f>U2710*0</f>
        <v>0</v>
      </c>
      <c r="W2710" s="70">
        <f>U2710-V2710</f>
        <v>1021.38</v>
      </c>
      <c r="X2710" s="70">
        <v>0</v>
      </c>
      <c r="Y2710" s="14">
        <f t="shared" si="539"/>
        <v>0</v>
      </c>
      <c r="Z2710" s="11" t="s">
        <v>26</v>
      </c>
      <c r="AA2710" s="12" t="s">
        <v>31</v>
      </c>
    </row>
    <row r="2711" spans="1:27" x14ac:dyDescent="0.25">
      <c r="A2711" s="10">
        <v>45696</v>
      </c>
      <c r="B2711" s="69">
        <v>0.19131944444444443</v>
      </c>
      <c r="C2711" s="11" t="s">
        <v>5085</v>
      </c>
      <c r="D2711" s="11">
        <v>17247</v>
      </c>
      <c r="E2711" s="11" t="s">
        <v>604</v>
      </c>
      <c r="F2711" s="11" t="s">
        <v>26</v>
      </c>
      <c r="G2711" s="11">
        <v>1121</v>
      </c>
      <c r="H2711" s="12" t="s">
        <v>141</v>
      </c>
      <c r="I2711" s="12" t="s">
        <v>37</v>
      </c>
      <c r="J2711" s="12" t="s">
        <v>85</v>
      </c>
      <c r="K2711" s="12" t="s">
        <v>86</v>
      </c>
      <c r="L2711" s="13">
        <v>36.76</v>
      </c>
      <c r="M2711" s="13">
        <v>25</v>
      </c>
      <c r="N2711" s="13">
        <f t="shared" si="494"/>
        <v>1.4703999999999999</v>
      </c>
      <c r="O2711" s="13">
        <v>29</v>
      </c>
      <c r="P2711" s="13" t="s">
        <v>30</v>
      </c>
      <c r="Q2711" s="13">
        <v>0</v>
      </c>
      <c r="R2711" s="70">
        <f>L2711*O2711</f>
        <v>1066.04</v>
      </c>
      <c r="S2711" s="70">
        <v>0</v>
      </c>
      <c r="T2711" s="70">
        <f>L2711*S2711</f>
        <v>0</v>
      </c>
      <c r="U2711" s="70">
        <f t="shared" si="538"/>
        <v>1066.04</v>
      </c>
      <c r="V2711" s="70">
        <f>U2711*0</f>
        <v>0</v>
      </c>
      <c r="W2711" s="70">
        <f>U2711-V2711</f>
        <v>1066.04</v>
      </c>
      <c r="X2711" s="70">
        <v>0</v>
      </c>
      <c r="Y2711" s="14">
        <f t="shared" si="539"/>
        <v>0</v>
      </c>
      <c r="Z2711" s="11" t="s">
        <v>26</v>
      </c>
      <c r="AA2711" s="12" t="s">
        <v>31</v>
      </c>
    </row>
    <row r="2712" spans="1:27" x14ac:dyDescent="0.25">
      <c r="A2712" s="10">
        <v>45696</v>
      </c>
      <c r="B2712" s="69">
        <v>6.5069444444444513E-2</v>
      </c>
      <c r="C2712" s="11" t="s">
        <v>5086</v>
      </c>
      <c r="D2712" s="11">
        <v>17248</v>
      </c>
      <c r="E2712" s="11" t="s">
        <v>501</v>
      </c>
      <c r="F2712" s="11" t="s">
        <v>26</v>
      </c>
      <c r="G2712" s="11">
        <v>819</v>
      </c>
      <c r="H2712" s="12" t="s">
        <v>141</v>
      </c>
      <c r="I2712" s="12" t="s">
        <v>37</v>
      </c>
      <c r="J2712" s="12" t="s">
        <v>85</v>
      </c>
      <c r="K2712" s="12" t="s">
        <v>86</v>
      </c>
      <c r="L2712" s="13">
        <v>37.18</v>
      </c>
      <c r="M2712" s="13">
        <v>25</v>
      </c>
      <c r="N2712" s="13">
        <f t="shared" si="494"/>
        <v>1.4872000000000001</v>
      </c>
      <c r="O2712" s="13">
        <v>29</v>
      </c>
      <c r="P2712" s="13" t="s">
        <v>30</v>
      </c>
      <c r="Q2712" s="13">
        <v>0</v>
      </c>
      <c r="R2712" s="70">
        <f>L2712*O2712</f>
        <v>1078.22</v>
      </c>
      <c r="S2712" s="70">
        <v>0</v>
      </c>
      <c r="T2712" s="70">
        <f>L2712*S2712</f>
        <v>0</v>
      </c>
      <c r="U2712" s="70">
        <f t="shared" si="538"/>
        <v>1078.22</v>
      </c>
      <c r="V2712" s="70">
        <f>U2712*0</f>
        <v>0</v>
      </c>
      <c r="W2712" s="70">
        <f>U2712-V2712</f>
        <v>1078.22</v>
      </c>
      <c r="X2712" s="70">
        <v>0</v>
      </c>
      <c r="Y2712" s="14">
        <f t="shared" si="539"/>
        <v>0</v>
      </c>
      <c r="Z2712" s="11" t="s">
        <v>26</v>
      </c>
      <c r="AA2712" s="12" t="s">
        <v>31</v>
      </c>
    </row>
    <row r="2713" spans="1:27" x14ac:dyDescent="0.25">
      <c r="A2713" s="10">
        <v>45696</v>
      </c>
      <c r="B2713" s="69">
        <v>2.8310185185185133E-2</v>
      </c>
      <c r="C2713" s="11" t="s">
        <v>5087</v>
      </c>
      <c r="D2713" s="11">
        <v>17249</v>
      </c>
      <c r="E2713" s="11" t="s">
        <v>67</v>
      </c>
      <c r="F2713" s="11" t="s">
        <v>26</v>
      </c>
      <c r="G2713" s="11">
        <v>1635</v>
      </c>
      <c r="H2713" s="12" t="s">
        <v>66</v>
      </c>
      <c r="I2713" s="12" t="s">
        <v>37</v>
      </c>
      <c r="J2713" s="12" t="s">
        <v>1909</v>
      </c>
      <c r="K2713" s="12" t="s">
        <v>82</v>
      </c>
      <c r="L2713" s="13">
        <v>37.72</v>
      </c>
      <c r="M2713" s="13">
        <v>25</v>
      </c>
      <c r="N2713" s="13">
        <f t="shared" si="494"/>
        <v>1.5087999999999999</v>
      </c>
      <c r="O2713" s="13" t="s">
        <v>30</v>
      </c>
      <c r="P2713" s="13">
        <v>54</v>
      </c>
      <c r="Q2713" s="13">
        <v>0</v>
      </c>
      <c r="R2713" s="70">
        <f>M2713*P2713</f>
        <v>1350</v>
      </c>
      <c r="S2713" s="70">
        <v>0</v>
      </c>
      <c r="T2713" s="70">
        <f>M2713*S2713</f>
        <v>0</v>
      </c>
      <c r="U2713" s="70">
        <f t="shared" si="538"/>
        <v>1350</v>
      </c>
      <c r="V2713" s="70">
        <f>U2713*1</f>
        <v>1350</v>
      </c>
      <c r="W2713" s="70">
        <f>U2713-V2713</f>
        <v>0</v>
      </c>
      <c r="X2713" s="70">
        <v>0</v>
      </c>
      <c r="Y2713" s="14">
        <f t="shared" si="539"/>
        <v>0</v>
      </c>
      <c r="Z2713" s="11" t="s">
        <v>26</v>
      </c>
      <c r="AA2713" s="12" t="s">
        <v>31</v>
      </c>
    </row>
    <row r="2714" spans="1:27" x14ac:dyDescent="0.25">
      <c r="A2714" s="10">
        <v>45696</v>
      </c>
      <c r="B2714" s="69">
        <v>0.13918981481481479</v>
      </c>
      <c r="C2714" s="11" t="s">
        <v>5088</v>
      </c>
      <c r="D2714" s="11">
        <v>17250</v>
      </c>
      <c r="E2714" s="11" t="s">
        <v>230</v>
      </c>
      <c r="F2714" s="11" t="s">
        <v>26</v>
      </c>
      <c r="G2714" s="11">
        <v>26202</v>
      </c>
      <c r="H2714" s="12" t="s">
        <v>565</v>
      </c>
      <c r="I2714" s="12" t="s">
        <v>27</v>
      </c>
      <c r="J2714" s="12" t="s">
        <v>28</v>
      </c>
      <c r="K2714" s="12" t="s">
        <v>29</v>
      </c>
      <c r="L2714" s="13">
        <v>42.66</v>
      </c>
      <c r="M2714" s="13">
        <v>28</v>
      </c>
      <c r="N2714" s="13">
        <f t="shared" si="494"/>
        <v>1.5235714285714284</v>
      </c>
      <c r="O2714" s="13"/>
      <c r="P2714" s="13">
        <v>40.5</v>
      </c>
      <c r="Q2714" s="13">
        <v>0</v>
      </c>
      <c r="R2714" s="70">
        <f>M2714*P2714</f>
        <v>1134</v>
      </c>
      <c r="S2714" s="70">
        <v>0</v>
      </c>
      <c r="T2714" s="70">
        <f>M2714*S2714</f>
        <v>0</v>
      </c>
      <c r="U2714" s="70">
        <f t="shared" si="538"/>
        <v>1134</v>
      </c>
      <c r="V2714" s="70">
        <f>U2714*0</f>
        <v>0</v>
      </c>
      <c r="W2714" s="70">
        <f>+U2714-V2714</f>
        <v>1134</v>
      </c>
      <c r="X2714" s="70">
        <v>0</v>
      </c>
      <c r="Y2714" s="14">
        <f t="shared" si="539"/>
        <v>0</v>
      </c>
      <c r="Z2714" s="11" t="s">
        <v>26</v>
      </c>
      <c r="AA2714" s="12" t="s">
        <v>31</v>
      </c>
    </row>
    <row r="2715" spans="1:27" x14ac:dyDescent="0.25">
      <c r="A2715" s="10">
        <v>45696</v>
      </c>
      <c r="B2715" s="69">
        <v>8.3888888888888902E-2</v>
      </c>
      <c r="C2715" s="11" t="s">
        <v>5089</v>
      </c>
      <c r="D2715" s="11">
        <v>17251</v>
      </c>
      <c r="E2715" s="11" t="s">
        <v>81</v>
      </c>
      <c r="F2715" s="11" t="s">
        <v>26</v>
      </c>
      <c r="G2715" s="11">
        <v>1211</v>
      </c>
      <c r="H2715" s="12" t="s">
        <v>141</v>
      </c>
      <c r="I2715" s="12" t="s">
        <v>27</v>
      </c>
      <c r="J2715" s="12" t="s">
        <v>42</v>
      </c>
      <c r="K2715" s="12" t="s">
        <v>43</v>
      </c>
      <c r="L2715" s="13">
        <v>42.88</v>
      </c>
      <c r="M2715" s="13">
        <v>25</v>
      </c>
      <c r="N2715" s="13">
        <f t="shared" si="494"/>
        <v>1.7152000000000001</v>
      </c>
      <c r="O2715" s="13">
        <v>40</v>
      </c>
      <c r="P2715" s="13" t="s">
        <v>30</v>
      </c>
      <c r="Q2715" s="13">
        <v>0</v>
      </c>
      <c r="R2715" s="70">
        <f>L2715*O2715</f>
        <v>1715.2</v>
      </c>
      <c r="S2715" s="70">
        <v>0</v>
      </c>
      <c r="T2715" s="70">
        <f>L2715*S2715</f>
        <v>0</v>
      </c>
      <c r="U2715" s="70">
        <f t="shared" si="538"/>
        <v>1715.2</v>
      </c>
      <c r="V2715" s="70">
        <f>U2715*0</f>
        <v>0</v>
      </c>
      <c r="W2715" s="70">
        <f>U2715-V2715</f>
        <v>1715.2</v>
      </c>
      <c r="X2715" s="70">
        <v>0</v>
      </c>
      <c r="Y2715" s="14">
        <f t="shared" si="539"/>
        <v>0</v>
      </c>
      <c r="Z2715" s="11" t="s">
        <v>26</v>
      </c>
      <c r="AA2715" s="12" t="s">
        <v>31</v>
      </c>
    </row>
    <row r="2716" spans="1:27" x14ac:dyDescent="0.25">
      <c r="A2716" s="10">
        <v>45696</v>
      </c>
      <c r="B2716" s="69">
        <v>0.30523148148148155</v>
      </c>
      <c r="C2716" s="11" t="s">
        <v>5090</v>
      </c>
      <c r="D2716" s="11">
        <v>17252</v>
      </c>
      <c r="E2716" s="11" t="s">
        <v>570</v>
      </c>
      <c r="F2716" s="11" t="s">
        <v>26</v>
      </c>
      <c r="G2716" s="11" t="s">
        <v>26</v>
      </c>
      <c r="H2716" s="12" t="s">
        <v>4422</v>
      </c>
      <c r="I2716" s="12" t="s">
        <v>27</v>
      </c>
      <c r="J2716" s="12" t="s">
        <v>47</v>
      </c>
      <c r="K2716" s="12" t="s">
        <v>48</v>
      </c>
      <c r="L2716" s="13">
        <v>39.74</v>
      </c>
      <c r="M2716" s="13">
        <v>27</v>
      </c>
      <c r="N2716" s="13">
        <f t="shared" si="494"/>
        <v>1.471851851851852</v>
      </c>
      <c r="O2716" s="13">
        <v>87</v>
      </c>
      <c r="P2716" s="13" t="s">
        <v>30</v>
      </c>
      <c r="Q2716" s="13">
        <v>0</v>
      </c>
      <c r="R2716" s="70">
        <f>L2716*O2716</f>
        <v>3457.38</v>
      </c>
      <c r="S2716" s="70">
        <v>38</v>
      </c>
      <c r="T2716" s="70">
        <f>L2716*S2716</f>
        <v>1510.1200000000001</v>
      </c>
      <c r="U2716" s="70">
        <f t="shared" si="538"/>
        <v>1947.26</v>
      </c>
      <c r="V2716" s="70">
        <f>U2716*1</f>
        <v>1947.26</v>
      </c>
      <c r="W2716" s="70">
        <f>U2716-V2716</f>
        <v>0</v>
      </c>
      <c r="X2716" s="70">
        <f>L2716*36</f>
        <v>1430.64</v>
      </c>
      <c r="Y2716" s="71">
        <f>+T2716-X2716</f>
        <v>79.480000000000018</v>
      </c>
      <c r="Z2716" s="12" t="s">
        <v>140</v>
      </c>
      <c r="AA2716" s="12" t="s">
        <v>78</v>
      </c>
    </row>
    <row r="2717" spans="1:27" x14ac:dyDescent="0.25">
      <c r="A2717" s="10">
        <v>45696</v>
      </c>
      <c r="B2717" s="69">
        <v>0.14068287037037036</v>
      </c>
      <c r="C2717" s="11" t="s">
        <v>5091</v>
      </c>
      <c r="D2717" s="11">
        <v>17253</v>
      </c>
      <c r="E2717" s="11" t="s">
        <v>246</v>
      </c>
      <c r="F2717" s="11" t="s">
        <v>26</v>
      </c>
      <c r="G2717" s="11">
        <v>3410</v>
      </c>
      <c r="H2717" s="12" t="s">
        <v>41</v>
      </c>
      <c r="I2717" s="12" t="s">
        <v>55</v>
      </c>
      <c r="J2717" s="12" t="s">
        <v>55</v>
      </c>
      <c r="K2717" s="12" t="s">
        <v>56</v>
      </c>
      <c r="L2717" s="13">
        <v>37.96</v>
      </c>
      <c r="M2717" s="13">
        <v>23</v>
      </c>
      <c r="N2717" s="13">
        <f t="shared" si="494"/>
        <v>1.6504347826086956</v>
      </c>
      <c r="O2717" s="13" t="s">
        <v>30</v>
      </c>
      <c r="P2717" s="13">
        <v>24</v>
      </c>
      <c r="Q2717" s="13">
        <v>0</v>
      </c>
      <c r="R2717" s="70">
        <f>+M2717*P2717</f>
        <v>552</v>
      </c>
      <c r="S2717" s="70">
        <v>0</v>
      </c>
      <c r="T2717" s="70">
        <f>+M2717*S2717</f>
        <v>0</v>
      </c>
      <c r="U2717" s="70">
        <f t="shared" ref="U2717" si="540">+R2717-T2717</f>
        <v>552</v>
      </c>
      <c r="V2717" s="70">
        <f>+U2717*0</f>
        <v>0</v>
      </c>
      <c r="W2717" s="70">
        <f t="shared" ref="W2717" si="541">+U2717-V2717</f>
        <v>552</v>
      </c>
      <c r="X2717" s="70">
        <v>0</v>
      </c>
      <c r="Y2717" s="14">
        <f t="shared" ref="Y2717" si="542">T2717-X2717</f>
        <v>0</v>
      </c>
      <c r="Z2717" s="11" t="s">
        <v>26</v>
      </c>
      <c r="AA2717" s="12" t="s">
        <v>31</v>
      </c>
    </row>
    <row r="2718" spans="1:27" x14ac:dyDescent="0.25">
      <c r="A2718" s="10">
        <v>45696</v>
      </c>
      <c r="B2718" s="69">
        <v>1.4097222222222316E-2</v>
      </c>
      <c r="C2718" s="11" t="s">
        <v>5092</v>
      </c>
      <c r="D2718" s="11">
        <v>17254</v>
      </c>
      <c r="E2718" s="11" t="s">
        <v>63</v>
      </c>
      <c r="F2718" s="11" t="s">
        <v>26</v>
      </c>
      <c r="G2718" s="11" t="s">
        <v>26</v>
      </c>
      <c r="H2718" s="12" t="s">
        <v>4422</v>
      </c>
      <c r="I2718" s="12" t="s">
        <v>27</v>
      </c>
      <c r="J2718" s="12" t="s">
        <v>47</v>
      </c>
      <c r="K2718" s="12" t="s">
        <v>48</v>
      </c>
      <c r="L2718" s="13">
        <v>40.340000000000003</v>
      </c>
      <c r="M2718" s="13">
        <v>28</v>
      </c>
      <c r="N2718" s="13">
        <f t="shared" si="494"/>
        <v>1.4407142857142858</v>
      </c>
      <c r="O2718" s="13">
        <v>87</v>
      </c>
      <c r="P2718" s="13" t="s">
        <v>30</v>
      </c>
      <c r="Q2718" s="13">
        <v>0</v>
      </c>
      <c r="R2718" s="70">
        <f>L2718*O2718</f>
        <v>3509.5800000000004</v>
      </c>
      <c r="S2718" s="70">
        <v>38</v>
      </c>
      <c r="T2718" s="70">
        <f>L2718*S2718</f>
        <v>1532.92</v>
      </c>
      <c r="U2718" s="70">
        <f>R2718-T2718</f>
        <v>1976.6600000000003</v>
      </c>
      <c r="V2718" s="70">
        <f>U2718*1</f>
        <v>1976.6600000000003</v>
      </c>
      <c r="W2718" s="70">
        <f>U2718-V2718</f>
        <v>0</v>
      </c>
      <c r="X2718" s="70">
        <f>L2718*36</f>
        <v>1452.2400000000002</v>
      </c>
      <c r="Y2718" s="71">
        <f>+T2718-X2718</f>
        <v>80.679999999999836</v>
      </c>
      <c r="Z2718" s="12" t="s">
        <v>140</v>
      </c>
      <c r="AA2718" s="12" t="s">
        <v>78</v>
      </c>
    </row>
    <row r="2719" spans="1:27" x14ac:dyDescent="0.25">
      <c r="A2719" s="10">
        <v>45696</v>
      </c>
      <c r="B2719" s="69">
        <v>5.6435185185185199E-2</v>
      </c>
      <c r="C2719" s="11" t="s">
        <v>5093</v>
      </c>
      <c r="D2719" s="11">
        <v>17255</v>
      </c>
      <c r="E2719" s="11" t="s">
        <v>483</v>
      </c>
      <c r="F2719" s="11" t="s">
        <v>26</v>
      </c>
      <c r="G2719" s="11">
        <v>3592</v>
      </c>
      <c r="H2719" s="12" t="s">
        <v>41</v>
      </c>
      <c r="I2719" s="12" t="s">
        <v>55</v>
      </c>
      <c r="J2719" s="12" t="s">
        <v>55</v>
      </c>
      <c r="K2719" s="12" t="s">
        <v>56</v>
      </c>
      <c r="L2719" s="13">
        <v>35.340000000000003</v>
      </c>
      <c r="M2719" s="13">
        <v>22</v>
      </c>
      <c r="N2719" s="13">
        <f t="shared" si="494"/>
        <v>1.6063636363636364</v>
      </c>
      <c r="O2719" s="13" t="s">
        <v>30</v>
      </c>
      <c r="P2719" s="13">
        <v>24</v>
      </c>
      <c r="Q2719" s="13">
        <v>0</v>
      </c>
      <c r="R2719" s="70">
        <f>+M2719*P2719</f>
        <v>528</v>
      </c>
      <c r="S2719" s="70">
        <v>0</v>
      </c>
      <c r="T2719" s="70">
        <f>+M2719*S2719</f>
        <v>0</v>
      </c>
      <c r="U2719" s="70">
        <f t="shared" ref="U2719:U2721" si="543">+R2719-T2719</f>
        <v>528</v>
      </c>
      <c r="V2719" s="70">
        <f>+U2719*0</f>
        <v>0</v>
      </c>
      <c r="W2719" s="70">
        <f t="shared" ref="W2719:W2721" si="544">+U2719-V2719</f>
        <v>528</v>
      </c>
      <c r="X2719" s="70">
        <v>0</v>
      </c>
      <c r="Y2719" s="14">
        <f t="shared" ref="Y2719:Y2720" si="545">T2719-X2719</f>
        <v>0</v>
      </c>
      <c r="Z2719" s="11" t="s">
        <v>26</v>
      </c>
      <c r="AA2719" s="12" t="s">
        <v>31</v>
      </c>
    </row>
    <row r="2720" spans="1:27" x14ac:dyDescent="0.25">
      <c r="A2720" s="10">
        <v>45696</v>
      </c>
      <c r="B2720" s="69">
        <v>2.3356481481481506E-2</v>
      </c>
      <c r="C2720" s="11" t="s">
        <v>5094</v>
      </c>
      <c r="D2720" s="11">
        <v>17256</v>
      </c>
      <c r="E2720" s="11" t="s">
        <v>74</v>
      </c>
      <c r="F2720" s="11" t="s">
        <v>26</v>
      </c>
      <c r="G2720" s="11">
        <v>1327</v>
      </c>
      <c r="H2720" s="12" t="s">
        <v>70</v>
      </c>
      <c r="I2720" s="12" t="s">
        <v>27</v>
      </c>
      <c r="J2720" s="12" t="s">
        <v>42</v>
      </c>
      <c r="K2720" s="12" t="s">
        <v>43</v>
      </c>
      <c r="L2720" s="13">
        <v>40.880000000000003</v>
      </c>
      <c r="M2720" s="13">
        <v>25</v>
      </c>
      <c r="N2720" s="13">
        <f t="shared" si="494"/>
        <v>1.6352000000000002</v>
      </c>
      <c r="O2720" s="13" t="s">
        <v>30</v>
      </c>
      <c r="P2720" s="13">
        <v>64</v>
      </c>
      <c r="Q2720" s="13">
        <v>0</v>
      </c>
      <c r="R2720" s="70">
        <f>+M2720*P2720</f>
        <v>1600</v>
      </c>
      <c r="S2720" s="70">
        <v>0</v>
      </c>
      <c r="T2720" s="70">
        <f>+M2720*S2720</f>
        <v>0</v>
      </c>
      <c r="U2720" s="70">
        <f t="shared" si="543"/>
        <v>1600</v>
      </c>
      <c r="V2720" s="70">
        <f t="shared" ref="V2720" si="546">+U2720*0</f>
        <v>0</v>
      </c>
      <c r="W2720" s="70">
        <f t="shared" si="544"/>
        <v>1600</v>
      </c>
      <c r="X2720" s="70">
        <v>0</v>
      </c>
      <c r="Y2720" s="14">
        <f t="shared" si="545"/>
        <v>0</v>
      </c>
      <c r="Z2720" s="11" t="s">
        <v>26</v>
      </c>
      <c r="AA2720" s="12" t="s">
        <v>31</v>
      </c>
    </row>
    <row r="2721" spans="1:27" x14ac:dyDescent="0.25">
      <c r="A2721" s="10">
        <v>45696</v>
      </c>
      <c r="B2721" s="69">
        <v>1.0405092592592591E-2</v>
      </c>
      <c r="C2721" s="11" t="s">
        <v>5095</v>
      </c>
      <c r="D2721" s="11">
        <v>17257</v>
      </c>
      <c r="E2721" s="11" t="s">
        <v>60</v>
      </c>
      <c r="F2721" s="11" t="s">
        <v>26</v>
      </c>
      <c r="G2721" s="11" t="s">
        <v>35</v>
      </c>
      <c r="H2721" s="12" t="s">
        <v>36</v>
      </c>
      <c r="I2721" s="12" t="s">
        <v>27</v>
      </c>
      <c r="J2721" s="12" t="s">
        <v>42</v>
      </c>
      <c r="K2721" s="12" t="s">
        <v>43</v>
      </c>
      <c r="L2721" s="13">
        <v>4.96</v>
      </c>
      <c r="M2721" s="13">
        <v>4</v>
      </c>
      <c r="N2721" s="13">
        <f t="shared" si="494"/>
        <v>1.24</v>
      </c>
      <c r="O2721" s="13">
        <v>45</v>
      </c>
      <c r="P2721" s="13" t="s">
        <v>30</v>
      </c>
      <c r="Q2721" s="13">
        <v>0</v>
      </c>
      <c r="R2721" s="70">
        <f>(L2721*O2721)-Q2721</f>
        <v>223.2</v>
      </c>
      <c r="S2721" s="70">
        <v>0</v>
      </c>
      <c r="T2721" s="70">
        <f t="shared" ref="T2721" si="547">+L2721*S2721</f>
        <v>0</v>
      </c>
      <c r="U2721" s="70">
        <f t="shared" si="543"/>
        <v>223.2</v>
      </c>
      <c r="V2721" s="70">
        <f>+U2721*0</f>
        <v>0</v>
      </c>
      <c r="W2721" s="70">
        <f t="shared" si="544"/>
        <v>223.2</v>
      </c>
      <c r="X2721" s="70">
        <v>0</v>
      </c>
      <c r="Y2721" s="14">
        <f>T2721-X2721</f>
        <v>0</v>
      </c>
      <c r="Z2721" s="11" t="s">
        <v>26</v>
      </c>
      <c r="AA2721" s="12" t="s">
        <v>31</v>
      </c>
    </row>
    <row r="2722" spans="1:27" x14ac:dyDescent="0.25">
      <c r="A2722" s="10">
        <v>45696</v>
      </c>
      <c r="B2722" s="69">
        <v>1.1481481481481426E-2</v>
      </c>
      <c r="C2722" s="11" t="s">
        <v>5096</v>
      </c>
      <c r="D2722" s="11">
        <v>17258</v>
      </c>
      <c r="E2722" s="11" t="s">
        <v>509</v>
      </c>
      <c r="F2722" s="11" t="s">
        <v>26</v>
      </c>
      <c r="G2722" s="11">
        <v>1313</v>
      </c>
      <c r="H2722" s="12" t="s">
        <v>141</v>
      </c>
      <c r="I2722" s="12" t="s">
        <v>37</v>
      </c>
      <c r="J2722" s="12" t="s">
        <v>85</v>
      </c>
      <c r="K2722" s="12" t="s">
        <v>86</v>
      </c>
      <c r="L2722" s="13">
        <v>36.22</v>
      </c>
      <c r="M2722" s="13">
        <v>25</v>
      </c>
      <c r="N2722" s="13">
        <f t="shared" si="494"/>
        <v>1.4487999999999999</v>
      </c>
      <c r="O2722" s="13">
        <v>29</v>
      </c>
      <c r="P2722" s="13" t="s">
        <v>30</v>
      </c>
      <c r="Q2722" s="13">
        <v>0</v>
      </c>
      <c r="R2722" s="70">
        <f>L2722*O2722</f>
        <v>1050.3799999999999</v>
      </c>
      <c r="S2722" s="70">
        <v>0</v>
      </c>
      <c r="T2722" s="70">
        <f>L2722*S2722</f>
        <v>0</v>
      </c>
      <c r="U2722" s="70">
        <f>R2722-T2722</f>
        <v>1050.3799999999999</v>
      </c>
      <c r="V2722" s="70">
        <f>U2722*0</f>
        <v>0</v>
      </c>
      <c r="W2722" s="70">
        <f>U2722-V2722</f>
        <v>1050.3799999999999</v>
      </c>
      <c r="X2722" s="70">
        <v>0</v>
      </c>
      <c r="Y2722" s="14">
        <f t="shared" ref="Y2722:Y2742" si="548">T2722-X2722</f>
        <v>0</v>
      </c>
      <c r="Z2722" s="11" t="s">
        <v>26</v>
      </c>
      <c r="AA2722" s="12" t="s">
        <v>31</v>
      </c>
    </row>
    <row r="2723" spans="1:27" x14ac:dyDescent="0.25">
      <c r="A2723" s="10">
        <v>45696</v>
      </c>
      <c r="B2723" s="69">
        <v>9.4328703703703276E-3</v>
      </c>
      <c r="C2723" s="11" t="s">
        <v>5097</v>
      </c>
      <c r="D2723" s="11">
        <v>17259</v>
      </c>
      <c r="E2723" s="11" t="s">
        <v>435</v>
      </c>
      <c r="F2723" s="11" t="s">
        <v>26</v>
      </c>
      <c r="G2723" s="11">
        <v>2772</v>
      </c>
      <c r="H2723" s="12" t="s">
        <v>41</v>
      </c>
      <c r="I2723" s="12" t="s">
        <v>55</v>
      </c>
      <c r="J2723" s="12" t="s">
        <v>55</v>
      </c>
      <c r="K2723" s="12" t="s">
        <v>56</v>
      </c>
      <c r="L2723" s="13">
        <v>36.82</v>
      </c>
      <c r="M2723" s="13">
        <v>22</v>
      </c>
      <c r="N2723" s="13">
        <f t="shared" si="494"/>
        <v>1.6736363636363636</v>
      </c>
      <c r="O2723" s="13" t="s">
        <v>30</v>
      </c>
      <c r="P2723" s="13">
        <v>24</v>
      </c>
      <c r="Q2723" s="13">
        <v>0</v>
      </c>
      <c r="R2723" s="70">
        <f>+M2723*P2723</f>
        <v>528</v>
      </c>
      <c r="S2723" s="70">
        <v>0</v>
      </c>
      <c r="T2723" s="70">
        <f>+M2723*S2723</f>
        <v>0</v>
      </c>
      <c r="U2723" s="70">
        <f t="shared" ref="U2723" si="549">+R2723-T2723</f>
        <v>528</v>
      </c>
      <c r="V2723" s="70">
        <f>+U2723*0</f>
        <v>0</v>
      </c>
      <c r="W2723" s="70">
        <f t="shared" ref="W2723" si="550">+U2723-V2723</f>
        <v>528</v>
      </c>
      <c r="X2723" s="70">
        <v>0</v>
      </c>
      <c r="Y2723" s="14">
        <f t="shared" si="548"/>
        <v>0</v>
      </c>
      <c r="Z2723" s="11" t="s">
        <v>26</v>
      </c>
      <c r="AA2723" s="12" t="s">
        <v>31</v>
      </c>
    </row>
    <row r="2724" spans="1:27" x14ac:dyDescent="0.25">
      <c r="A2724" s="10">
        <v>45696</v>
      </c>
      <c r="B2724" s="69">
        <v>0.35491898148148143</v>
      </c>
      <c r="C2724" s="11" t="s">
        <v>5098</v>
      </c>
      <c r="D2724" s="11">
        <v>17260</v>
      </c>
      <c r="E2724" s="11" t="s">
        <v>80</v>
      </c>
      <c r="F2724" s="11" t="s">
        <v>26</v>
      </c>
      <c r="G2724" s="11">
        <v>10678</v>
      </c>
      <c r="H2724" s="12" t="s">
        <v>140</v>
      </c>
      <c r="I2724" s="12" t="s">
        <v>27</v>
      </c>
      <c r="J2724" s="12" t="s">
        <v>33</v>
      </c>
      <c r="K2724" s="12" t="s">
        <v>34</v>
      </c>
      <c r="L2724" s="13">
        <v>39.64</v>
      </c>
      <c r="M2724" s="13">
        <v>28</v>
      </c>
      <c r="N2724" s="13">
        <f t="shared" ref="N2724:N2725" si="551">L2724/M2724</f>
        <v>1.4157142857142857</v>
      </c>
      <c r="O2724" s="13">
        <v>40</v>
      </c>
      <c r="P2724" s="13"/>
      <c r="Q2724" s="13">
        <v>0</v>
      </c>
      <c r="R2724" s="70">
        <f>+L2724*O2724</f>
        <v>1585.6</v>
      </c>
      <c r="S2724" s="70">
        <v>0</v>
      </c>
      <c r="T2724" s="70">
        <f>+L2724*S2724</f>
        <v>0</v>
      </c>
      <c r="U2724" s="70">
        <f>+R2724-T2724</f>
        <v>1585.6</v>
      </c>
      <c r="V2724" s="70">
        <f t="shared" ref="V2724:V2725" si="552">+U2724*0</f>
        <v>0</v>
      </c>
      <c r="W2724" s="70">
        <f>+U2724-V2724</f>
        <v>1585.6</v>
      </c>
      <c r="X2724" s="70">
        <v>0</v>
      </c>
      <c r="Y2724" s="14">
        <f t="shared" si="548"/>
        <v>0</v>
      </c>
      <c r="Z2724" s="11" t="s">
        <v>26</v>
      </c>
      <c r="AA2724" s="12" t="s">
        <v>31</v>
      </c>
    </row>
    <row r="2725" spans="1:27" x14ac:dyDescent="0.25">
      <c r="A2725" s="10">
        <v>45696</v>
      </c>
      <c r="B2725" s="69">
        <v>1.3923611111111178E-2</v>
      </c>
      <c r="C2725" s="11" t="s">
        <v>5099</v>
      </c>
      <c r="D2725" s="11">
        <v>17261</v>
      </c>
      <c r="E2725" s="11" t="s">
        <v>60</v>
      </c>
      <c r="F2725" s="11" t="s">
        <v>26</v>
      </c>
      <c r="G2725" s="11" t="s">
        <v>35</v>
      </c>
      <c r="H2725" s="12" t="s">
        <v>36</v>
      </c>
      <c r="I2725" s="12" t="s">
        <v>27</v>
      </c>
      <c r="J2725" s="12" t="s">
        <v>33</v>
      </c>
      <c r="K2725" s="12" t="s">
        <v>34</v>
      </c>
      <c r="L2725" s="13">
        <v>4.72</v>
      </c>
      <c r="M2725" s="13">
        <v>4</v>
      </c>
      <c r="N2725" s="13">
        <f t="shared" si="551"/>
        <v>1.18</v>
      </c>
      <c r="O2725" s="13">
        <v>50</v>
      </c>
      <c r="P2725" s="13" t="s">
        <v>30</v>
      </c>
      <c r="Q2725" s="13">
        <v>0</v>
      </c>
      <c r="R2725" s="70">
        <f>(L2725*O2725)-Q2725</f>
        <v>236</v>
      </c>
      <c r="S2725" s="70">
        <v>0</v>
      </c>
      <c r="T2725" s="70">
        <f t="shared" ref="T2725:T2726" si="553">+L2725*S2725</f>
        <v>0</v>
      </c>
      <c r="U2725" s="70">
        <f t="shared" ref="U2725:U2726" si="554">+R2725-T2725</f>
        <v>236</v>
      </c>
      <c r="V2725" s="70">
        <f t="shared" si="552"/>
        <v>0</v>
      </c>
      <c r="W2725" s="70">
        <f t="shared" ref="W2725:W2726" si="555">+U2725-V2725</f>
        <v>236</v>
      </c>
      <c r="X2725" s="70">
        <v>0</v>
      </c>
      <c r="Y2725" s="14">
        <f t="shared" si="548"/>
        <v>0</v>
      </c>
      <c r="Z2725" s="11" t="s">
        <v>26</v>
      </c>
      <c r="AA2725" s="12" t="s">
        <v>31</v>
      </c>
    </row>
    <row r="2726" spans="1:27" x14ac:dyDescent="0.25">
      <c r="A2726" s="10">
        <v>45698</v>
      </c>
      <c r="B2726" s="69">
        <v>2.3356481481481506E-2</v>
      </c>
      <c r="C2726" s="11" t="s">
        <v>5100</v>
      </c>
      <c r="D2726" s="11">
        <v>17262</v>
      </c>
      <c r="E2726" s="11" t="s">
        <v>224</v>
      </c>
      <c r="F2726" s="11" t="s">
        <v>26</v>
      </c>
      <c r="G2726" s="11">
        <v>3208</v>
      </c>
      <c r="H2726" s="12" t="s">
        <v>4423</v>
      </c>
      <c r="I2726" s="12" t="s">
        <v>27</v>
      </c>
      <c r="J2726" s="12" t="s">
        <v>47</v>
      </c>
      <c r="K2726" s="12" t="s">
        <v>48</v>
      </c>
      <c r="L2726" s="13">
        <v>35.979999999999997</v>
      </c>
      <c r="M2726" s="13">
        <v>25</v>
      </c>
      <c r="N2726" s="13">
        <f>L2726/M2726</f>
        <v>1.4391999999999998</v>
      </c>
      <c r="O2726" s="13">
        <v>46</v>
      </c>
      <c r="P2726" s="13" t="s">
        <v>30</v>
      </c>
      <c r="Q2726" s="13">
        <v>0</v>
      </c>
      <c r="R2726" s="70">
        <f t="shared" ref="R2726" si="556">+L2726*O2726</f>
        <v>1655.08</v>
      </c>
      <c r="S2726" s="70">
        <v>0</v>
      </c>
      <c r="T2726" s="70">
        <f t="shared" si="553"/>
        <v>0</v>
      </c>
      <c r="U2726" s="70">
        <f t="shared" si="554"/>
        <v>1655.08</v>
      </c>
      <c r="V2726" s="70">
        <f>+U2726*1</f>
        <v>1655.08</v>
      </c>
      <c r="W2726" s="70">
        <f t="shared" si="555"/>
        <v>0</v>
      </c>
      <c r="X2726" s="70">
        <v>0</v>
      </c>
      <c r="Y2726" s="14">
        <f t="shared" si="548"/>
        <v>0</v>
      </c>
      <c r="Z2726" s="11" t="s">
        <v>26</v>
      </c>
      <c r="AA2726" s="12" t="s">
        <v>31</v>
      </c>
    </row>
    <row r="2727" spans="1:27" x14ac:dyDescent="0.25">
      <c r="A2727" s="10">
        <v>45698</v>
      </c>
      <c r="B2727" s="69">
        <v>1.0682870370370356E-2</v>
      </c>
      <c r="C2727" s="11" t="s">
        <v>5101</v>
      </c>
      <c r="D2727" s="11">
        <v>17263</v>
      </c>
      <c r="E2727" s="11" t="s">
        <v>481</v>
      </c>
      <c r="F2727" s="11" t="s">
        <v>26</v>
      </c>
      <c r="G2727" s="11">
        <v>78805</v>
      </c>
      <c r="H2727" s="12" t="s">
        <v>4448</v>
      </c>
      <c r="I2727" s="12" t="s">
        <v>55</v>
      </c>
      <c r="J2727" s="12" t="s">
        <v>55</v>
      </c>
      <c r="K2727" s="12" t="s">
        <v>56</v>
      </c>
      <c r="L2727" s="13">
        <v>35.6</v>
      </c>
      <c r="M2727" s="13">
        <v>25</v>
      </c>
      <c r="N2727" s="13">
        <f t="shared" ref="N2727:N2788" si="557">L2727/M2727</f>
        <v>1.4240000000000002</v>
      </c>
      <c r="O2727" s="13">
        <v>15</v>
      </c>
      <c r="P2727" s="13" t="s">
        <v>30</v>
      </c>
      <c r="Q2727" s="13">
        <v>0</v>
      </c>
      <c r="R2727" s="70">
        <f>+L2727*O2727</f>
        <v>534</v>
      </c>
      <c r="S2727" s="70">
        <v>0</v>
      </c>
      <c r="T2727" s="70">
        <f>+L2727*S2727</f>
        <v>0</v>
      </c>
      <c r="U2727" s="70">
        <f>+R2727-T2727</f>
        <v>534</v>
      </c>
      <c r="V2727" s="70">
        <f>+U2727*0.75</f>
        <v>400.5</v>
      </c>
      <c r="W2727" s="70">
        <f>+U2727-V2727</f>
        <v>133.5</v>
      </c>
      <c r="X2727" s="70">
        <v>0</v>
      </c>
      <c r="Y2727" s="14">
        <f t="shared" si="548"/>
        <v>0</v>
      </c>
      <c r="Z2727" s="11" t="s">
        <v>26</v>
      </c>
      <c r="AA2727" s="12" t="s">
        <v>31</v>
      </c>
    </row>
    <row r="2728" spans="1:27" x14ac:dyDescent="0.25">
      <c r="A2728" s="10">
        <v>45698</v>
      </c>
      <c r="B2728" s="69">
        <v>1.0555555555555596E-2</v>
      </c>
      <c r="C2728" s="11" t="s">
        <v>5102</v>
      </c>
      <c r="D2728" s="11">
        <v>17264</v>
      </c>
      <c r="E2728" s="11" t="s">
        <v>5103</v>
      </c>
      <c r="F2728" s="11" t="s">
        <v>26</v>
      </c>
      <c r="G2728" s="11">
        <v>21952</v>
      </c>
      <c r="H2728" s="12" t="s">
        <v>4448</v>
      </c>
      <c r="I2728" s="12" t="s">
        <v>27</v>
      </c>
      <c r="J2728" s="12" t="s">
        <v>33</v>
      </c>
      <c r="K2728" s="12" t="s">
        <v>34</v>
      </c>
      <c r="L2728" s="13">
        <v>41.62</v>
      </c>
      <c r="M2728" s="13">
        <v>28</v>
      </c>
      <c r="N2728" s="13">
        <f t="shared" si="557"/>
        <v>1.4864285714285714</v>
      </c>
      <c r="O2728" s="13">
        <v>45.33</v>
      </c>
      <c r="P2728" s="13" t="s">
        <v>30</v>
      </c>
      <c r="Q2728" s="13">
        <v>0</v>
      </c>
      <c r="R2728" s="70">
        <f>+L2728*O2728</f>
        <v>1886.6345999999999</v>
      </c>
      <c r="S2728" s="70">
        <v>0</v>
      </c>
      <c r="T2728" s="70">
        <f>+L2728*S2728</f>
        <v>0</v>
      </c>
      <c r="U2728" s="70">
        <f>+R2728-T2728</f>
        <v>1886.6345999999999</v>
      </c>
      <c r="V2728" s="70">
        <f>+U2728*0.75</f>
        <v>1414.97595</v>
      </c>
      <c r="W2728" s="70">
        <f>+U2728-V2728</f>
        <v>471.65864999999985</v>
      </c>
      <c r="X2728" s="70">
        <v>0</v>
      </c>
      <c r="Y2728" s="14">
        <f t="shared" si="548"/>
        <v>0</v>
      </c>
      <c r="Z2728" s="11" t="s">
        <v>26</v>
      </c>
      <c r="AA2728" s="12" t="s">
        <v>31</v>
      </c>
    </row>
    <row r="2729" spans="1:27" x14ac:dyDescent="0.25">
      <c r="A2729" s="10">
        <v>45698</v>
      </c>
      <c r="B2729" s="69">
        <v>1.4560185185185204E-2</v>
      </c>
      <c r="C2729" s="11" t="s">
        <v>5104</v>
      </c>
      <c r="D2729" s="11">
        <v>17265</v>
      </c>
      <c r="E2729" s="11" t="s">
        <v>519</v>
      </c>
      <c r="F2729" s="11" t="s">
        <v>26</v>
      </c>
      <c r="G2729" s="11">
        <v>21773</v>
      </c>
      <c r="H2729" s="12" t="s">
        <v>4448</v>
      </c>
      <c r="I2729" s="12" t="s">
        <v>55</v>
      </c>
      <c r="J2729" s="12" t="s">
        <v>55</v>
      </c>
      <c r="K2729" s="12" t="s">
        <v>56</v>
      </c>
      <c r="L2729" s="13">
        <v>37.42</v>
      </c>
      <c r="M2729" s="13">
        <v>25</v>
      </c>
      <c r="N2729" s="13">
        <f t="shared" si="557"/>
        <v>1.4968000000000001</v>
      </c>
      <c r="O2729" s="13">
        <v>15</v>
      </c>
      <c r="P2729" s="13" t="s">
        <v>30</v>
      </c>
      <c r="Q2729" s="13">
        <v>0</v>
      </c>
      <c r="R2729" s="70">
        <f>+L2729*O2729</f>
        <v>561.30000000000007</v>
      </c>
      <c r="S2729" s="70">
        <v>0</v>
      </c>
      <c r="T2729" s="70">
        <f>+L2729*S2729</f>
        <v>0</v>
      </c>
      <c r="U2729" s="70">
        <f>+R2729-T2729</f>
        <v>561.30000000000007</v>
      </c>
      <c r="V2729" s="70">
        <f>+U2729*0.75</f>
        <v>420.97500000000002</v>
      </c>
      <c r="W2729" s="70">
        <f>+U2729-V2729</f>
        <v>140.32500000000005</v>
      </c>
      <c r="X2729" s="70">
        <v>0</v>
      </c>
      <c r="Y2729" s="14">
        <f t="shared" si="548"/>
        <v>0</v>
      </c>
      <c r="Z2729" s="11" t="s">
        <v>26</v>
      </c>
      <c r="AA2729" s="12" t="s">
        <v>31</v>
      </c>
    </row>
    <row r="2730" spans="1:27" x14ac:dyDescent="0.25">
      <c r="A2730" s="10">
        <v>45698</v>
      </c>
      <c r="B2730" s="69">
        <v>1.8055555555555547E-2</v>
      </c>
      <c r="C2730" s="11" t="s">
        <v>5105</v>
      </c>
      <c r="D2730" s="11">
        <v>17266</v>
      </c>
      <c r="E2730" s="11" t="s">
        <v>480</v>
      </c>
      <c r="F2730" s="11" t="s">
        <v>26</v>
      </c>
      <c r="G2730" s="11">
        <v>70415</v>
      </c>
      <c r="H2730" s="12" t="s">
        <v>4448</v>
      </c>
      <c r="I2730" s="12" t="s">
        <v>55</v>
      </c>
      <c r="J2730" s="12" t="s">
        <v>55</v>
      </c>
      <c r="K2730" s="12" t="s">
        <v>56</v>
      </c>
      <c r="L2730" s="13">
        <v>38.78</v>
      </c>
      <c r="M2730" s="13">
        <v>25</v>
      </c>
      <c r="N2730" s="13">
        <f t="shared" si="557"/>
        <v>1.5512000000000001</v>
      </c>
      <c r="O2730" s="13">
        <v>15</v>
      </c>
      <c r="P2730" s="13" t="s">
        <v>30</v>
      </c>
      <c r="Q2730" s="13">
        <v>0</v>
      </c>
      <c r="R2730" s="70">
        <f>+L2730*O2730</f>
        <v>581.70000000000005</v>
      </c>
      <c r="S2730" s="70">
        <v>0</v>
      </c>
      <c r="T2730" s="70">
        <f>+L2730*S2730</f>
        <v>0</v>
      </c>
      <c r="U2730" s="70">
        <f>+R2730-T2730</f>
        <v>581.70000000000005</v>
      </c>
      <c r="V2730" s="70">
        <f>+U2730*0.75</f>
        <v>436.27500000000003</v>
      </c>
      <c r="W2730" s="70">
        <f>+U2730-V2730</f>
        <v>145.42500000000001</v>
      </c>
      <c r="X2730" s="70">
        <v>0</v>
      </c>
      <c r="Y2730" s="14">
        <f t="shared" si="548"/>
        <v>0</v>
      </c>
      <c r="Z2730" s="11" t="s">
        <v>26</v>
      </c>
      <c r="AA2730" s="12" t="s">
        <v>31</v>
      </c>
    </row>
    <row r="2731" spans="1:27" x14ac:dyDescent="0.25">
      <c r="A2731" s="10">
        <v>45698</v>
      </c>
      <c r="B2731" s="69">
        <v>2.0775462962962954E-2</v>
      </c>
      <c r="C2731" s="11" t="s">
        <v>5106</v>
      </c>
      <c r="D2731" s="11">
        <v>17267</v>
      </c>
      <c r="E2731" s="11" t="s">
        <v>2109</v>
      </c>
      <c r="F2731" s="11" t="s">
        <v>26</v>
      </c>
      <c r="G2731" s="11">
        <v>10621</v>
      </c>
      <c r="H2731" s="12" t="s">
        <v>140</v>
      </c>
      <c r="I2731" s="12" t="s">
        <v>27</v>
      </c>
      <c r="J2731" s="12" t="s">
        <v>47</v>
      </c>
      <c r="K2731" s="12" t="s">
        <v>48</v>
      </c>
      <c r="L2731" s="13">
        <v>42.14</v>
      </c>
      <c r="M2731" s="13">
        <v>29</v>
      </c>
      <c r="N2731" s="13">
        <f t="shared" si="557"/>
        <v>1.453103448275862</v>
      </c>
      <c r="O2731" s="13">
        <v>40</v>
      </c>
      <c r="P2731" s="13"/>
      <c r="Q2731" s="13">
        <v>0</v>
      </c>
      <c r="R2731" s="70">
        <f>+L2731*O2731</f>
        <v>1685.6</v>
      </c>
      <c r="S2731" s="70">
        <v>0</v>
      </c>
      <c r="T2731" s="70">
        <f>+L2731*S2731</f>
        <v>0</v>
      </c>
      <c r="U2731" s="70">
        <f>+R2731-T2731</f>
        <v>1685.6</v>
      </c>
      <c r="V2731" s="70">
        <f t="shared" ref="V2731" si="558">+U2731*0</f>
        <v>0</v>
      </c>
      <c r="W2731" s="70">
        <f>+U2731-V2731</f>
        <v>1685.6</v>
      </c>
      <c r="X2731" s="70">
        <v>0</v>
      </c>
      <c r="Y2731" s="14">
        <f t="shared" si="548"/>
        <v>0</v>
      </c>
      <c r="Z2731" s="11" t="s">
        <v>26</v>
      </c>
      <c r="AA2731" s="12" t="s">
        <v>31</v>
      </c>
    </row>
    <row r="2732" spans="1:27" x14ac:dyDescent="0.25">
      <c r="A2732" s="10">
        <v>45698</v>
      </c>
      <c r="B2732" s="69">
        <v>1.7210648148148211E-2</v>
      </c>
      <c r="C2732" s="11" t="s">
        <v>5107</v>
      </c>
      <c r="D2732" s="11">
        <v>17268</v>
      </c>
      <c r="E2732" s="11" t="s">
        <v>539</v>
      </c>
      <c r="F2732" s="11" t="s">
        <v>26</v>
      </c>
      <c r="G2732" s="11">
        <v>3360</v>
      </c>
      <c r="H2732" s="12" t="s">
        <v>41</v>
      </c>
      <c r="I2732" s="12" t="s">
        <v>55</v>
      </c>
      <c r="J2732" s="12" t="s">
        <v>55</v>
      </c>
      <c r="K2732" s="12" t="s">
        <v>56</v>
      </c>
      <c r="L2732" s="13">
        <v>36.159999999999997</v>
      </c>
      <c r="M2732" s="13">
        <v>25</v>
      </c>
      <c r="N2732" s="13">
        <f t="shared" si="557"/>
        <v>1.4463999999999999</v>
      </c>
      <c r="O2732" s="13" t="s">
        <v>30</v>
      </c>
      <c r="P2732" s="13">
        <v>24</v>
      </c>
      <c r="Q2732" s="13">
        <v>0</v>
      </c>
      <c r="R2732" s="70">
        <f>+M2732*P2732</f>
        <v>600</v>
      </c>
      <c r="S2732" s="70">
        <v>0</v>
      </c>
      <c r="T2732" s="70">
        <f>+M2732*S2732</f>
        <v>0</v>
      </c>
      <c r="U2732" s="70">
        <f t="shared" ref="U2732:U2733" si="559">+R2732-T2732</f>
        <v>600</v>
      </c>
      <c r="V2732" s="70">
        <f>+U2732*0</f>
        <v>0</v>
      </c>
      <c r="W2732" s="70">
        <f t="shared" ref="W2732:W2733" si="560">+U2732-V2732</f>
        <v>600</v>
      </c>
      <c r="X2732" s="70">
        <v>0</v>
      </c>
      <c r="Y2732" s="14">
        <f t="shared" si="548"/>
        <v>0</v>
      </c>
      <c r="Z2732" s="11" t="s">
        <v>26</v>
      </c>
      <c r="AA2732" s="12" t="s">
        <v>31</v>
      </c>
    </row>
    <row r="2733" spans="1:27" x14ac:dyDescent="0.25">
      <c r="A2733" s="10">
        <v>45698</v>
      </c>
      <c r="B2733" s="69">
        <v>2.5775462962962958E-2</v>
      </c>
      <c r="C2733" s="11" t="s">
        <v>5108</v>
      </c>
      <c r="D2733" s="11">
        <v>17269</v>
      </c>
      <c r="E2733" s="11" t="s">
        <v>246</v>
      </c>
      <c r="F2733" s="11" t="s">
        <v>26</v>
      </c>
      <c r="G2733" s="11">
        <v>3411</v>
      </c>
      <c r="H2733" s="12" t="s">
        <v>41</v>
      </c>
      <c r="I2733" s="12" t="s">
        <v>27</v>
      </c>
      <c r="J2733" s="12" t="s">
        <v>33</v>
      </c>
      <c r="K2733" s="12" t="s">
        <v>34</v>
      </c>
      <c r="L2733" s="13">
        <v>38.020000000000003</v>
      </c>
      <c r="M2733" s="13">
        <v>25</v>
      </c>
      <c r="N2733" s="13">
        <f t="shared" si="557"/>
        <v>1.5208000000000002</v>
      </c>
      <c r="O2733" s="13" t="s">
        <v>30</v>
      </c>
      <c r="P2733" s="13">
        <v>60</v>
      </c>
      <c r="Q2733" s="13">
        <v>0</v>
      </c>
      <c r="R2733" s="70">
        <f>M2733*P2733</f>
        <v>1500</v>
      </c>
      <c r="S2733" s="70">
        <v>0</v>
      </c>
      <c r="T2733" s="70">
        <f>M2733*S2733</f>
        <v>0</v>
      </c>
      <c r="U2733" s="70">
        <f t="shared" si="559"/>
        <v>1500</v>
      </c>
      <c r="V2733" s="70">
        <f>+U2733*0</f>
        <v>0</v>
      </c>
      <c r="W2733" s="70">
        <f t="shared" si="560"/>
        <v>1500</v>
      </c>
      <c r="X2733" s="70">
        <v>0</v>
      </c>
      <c r="Y2733" s="14">
        <f t="shared" si="548"/>
        <v>0</v>
      </c>
      <c r="Z2733" s="11" t="s">
        <v>26</v>
      </c>
      <c r="AA2733" s="12" t="s">
        <v>31</v>
      </c>
    </row>
    <row r="2734" spans="1:27" x14ac:dyDescent="0.25">
      <c r="A2734" s="10">
        <v>45698</v>
      </c>
      <c r="B2734" s="69">
        <v>1.923611111111112E-2</v>
      </c>
      <c r="C2734" s="11" t="s">
        <v>5109</v>
      </c>
      <c r="D2734" s="11">
        <v>17270</v>
      </c>
      <c r="E2734" s="11" t="s">
        <v>57</v>
      </c>
      <c r="F2734" s="11" t="s">
        <v>26</v>
      </c>
      <c r="G2734" s="11">
        <v>3413</v>
      </c>
      <c r="H2734" s="12" t="s">
        <v>41</v>
      </c>
      <c r="I2734" s="12" t="s">
        <v>27</v>
      </c>
      <c r="J2734" s="12" t="s">
        <v>42</v>
      </c>
      <c r="K2734" s="12" t="s">
        <v>43</v>
      </c>
      <c r="L2734" s="13">
        <v>40.340000000000003</v>
      </c>
      <c r="M2734" s="13">
        <v>25</v>
      </c>
      <c r="N2734" s="13">
        <f t="shared" si="557"/>
        <v>1.6136000000000001</v>
      </c>
      <c r="O2734" s="13" t="s">
        <v>30</v>
      </c>
      <c r="P2734" s="13">
        <v>64</v>
      </c>
      <c r="Q2734" s="13">
        <v>0</v>
      </c>
      <c r="R2734" s="70">
        <f>M2734*P2734</f>
        <v>1600</v>
      </c>
      <c r="S2734" s="70">
        <v>0</v>
      </c>
      <c r="T2734" s="70">
        <f>M2734*S2734</f>
        <v>0</v>
      </c>
      <c r="U2734" s="70">
        <f>+R2734-T2734</f>
        <v>1600</v>
      </c>
      <c r="V2734" s="70">
        <f t="shared" ref="V2734" si="561">+U2734*0</f>
        <v>0</v>
      </c>
      <c r="W2734" s="70">
        <f>+U2734-V2734</f>
        <v>1600</v>
      </c>
      <c r="X2734" s="70">
        <v>0</v>
      </c>
      <c r="Y2734" s="14">
        <f t="shared" si="548"/>
        <v>0</v>
      </c>
      <c r="Z2734" s="11" t="s">
        <v>26</v>
      </c>
      <c r="AA2734" s="12" t="s">
        <v>31</v>
      </c>
    </row>
    <row r="2735" spans="1:27" x14ac:dyDescent="0.25">
      <c r="A2735" s="10">
        <v>45698</v>
      </c>
      <c r="B2735" s="69">
        <v>2.2627314814814836E-2</v>
      </c>
      <c r="C2735" s="11" t="s">
        <v>5110</v>
      </c>
      <c r="D2735" s="11">
        <v>17271</v>
      </c>
      <c r="E2735" s="11" t="s">
        <v>49</v>
      </c>
      <c r="F2735" s="11" t="s">
        <v>26</v>
      </c>
      <c r="G2735" s="11">
        <v>1591</v>
      </c>
      <c r="H2735" s="12" t="s">
        <v>45</v>
      </c>
      <c r="I2735" s="12" t="s">
        <v>27</v>
      </c>
      <c r="J2735" s="12" t="s">
        <v>33</v>
      </c>
      <c r="K2735" s="12" t="s">
        <v>34</v>
      </c>
      <c r="L2735" s="13">
        <v>37.72</v>
      </c>
      <c r="M2735" s="13">
        <v>25</v>
      </c>
      <c r="N2735" s="13">
        <f t="shared" si="557"/>
        <v>1.5087999999999999</v>
      </c>
      <c r="O2735" s="13" t="s">
        <v>30</v>
      </c>
      <c r="P2735" s="13">
        <v>58</v>
      </c>
      <c r="Q2735" s="13">
        <v>0</v>
      </c>
      <c r="R2735" s="70">
        <f>M2735*P2735</f>
        <v>1450</v>
      </c>
      <c r="S2735" s="70">
        <v>0</v>
      </c>
      <c r="T2735" s="70">
        <f>M2735*S2735</f>
        <v>0</v>
      </c>
      <c r="U2735" s="70">
        <f>R2735-T2735</f>
        <v>1450</v>
      </c>
      <c r="V2735" s="70">
        <f>U2735*0</f>
        <v>0</v>
      </c>
      <c r="W2735" s="70">
        <f>U2735-V2735</f>
        <v>1450</v>
      </c>
      <c r="X2735" s="70">
        <v>0</v>
      </c>
      <c r="Y2735" s="14">
        <f t="shared" si="548"/>
        <v>0</v>
      </c>
      <c r="Z2735" s="11" t="s">
        <v>26</v>
      </c>
      <c r="AA2735" s="12" t="s">
        <v>31</v>
      </c>
    </row>
    <row r="2736" spans="1:27" x14ac:dyDescent="0.25">
      <c r="A2736" s="10">
        <v>45698</v>
      </c>
      <c r="B2736" s="69">
        <v>1.6481481481481486E-2</v>
      </c>
      <c r="C2736" s="11" t="s">
        <v>5111</v>
      </c>
      <c r="D2736" s="11">
        <v>17272</v>
      </c>
      <c r="E2736" s="11" t="s">
        <v>53</v>
      </c>
      <c r="F2736" s="11" t="s">
        <v>26</v>
      </c>
      <c r="G2736" s="11">
        <v>3412</v>
      </c>
      <c r="H2736" s="12" t="s">
        <v>41</v>
      </c>
      <c r="I2736" s="12" t="s">
        <v>27</v>
      </c>
      <c r="J2736" s="12" t="s">
        <v>42</v>
      </c>
      <c r="K2736" s="12" t="s">
        <v>43</v>
      </c>
      <c r="L2736" s="13">
        <v>39.840000000000003</v>
      </c>
      <c r="M2736" s="13">
        <v>25</v>
      </c>
      <c r="N2736" s="13">
        <f t="shared" si="557"/>
        <v>1.5936000000000001</v>
      </c>
      <c r="O2736" s="13" t="s">
        <v>30</v>
      </c>
      <c r="P2736" s="13">
        <v>64</v>
      </c>
      <c r="Q2736" s="13">
        <v>0</v>
      </c>
      <c r="R2736" s="70">
        <f>M2736*P2736</f>
        <v>1600</v>
      </c>
      <c r="S2736" s="70">
        <v>0</v>
      </c>
      <c r="T2736" s="70">
        <f>M2736*S2736</f>
        <v>0</v>
      </c>
      <c r="U2736" s="70">
        <f>+R2736-T2736</f>
        <v>1600</v>
      </c>
      <c r="V2736" s="70">
        <f t="shared" ref="V2736" si="562">+U2736*0</f>
        <v>0</v>
      </c>
      <c r="W2736" s="70">
        <f>+U2736-V2736</f>
        <v>1600</v>
      </c>
      <c r="X2736" s="70">
        <v>0</v>
      </c>
      <c r="Y2736" s="14">
        <f t="shared" si="548"/>
        <v>0</v>
      </c>
      <c r="Z2736" s="11" t="s">
        <v>26</v>
      </c>
      <c r="AA2736" s="12" t="s">
        <v>31</v>
      </c>
    </row>
    <row r="2737" spans="1:27" x14ac:dyDescent="0.25">
      <c r="A2737" s="10">
        <v>45698</v>
      </c>
      <c r="B2737" s="69">
        <v>2.5555555555555498E-2</v>
      </c>
      <c r="C2737" s="11" t="s">
        <v>5112</v>
      </c>
      <c r="D2737" s="11">
        <v>17273</v>
      </c>
      <c r="E2737" s="11" t="s">
        <v>44</v>
      </c>
      <c r="F2737" s="11" t="s">
        <v>26</v>
      </c>
      <c r="G2737" s="11">
        <v>1595</v>
      </c>
      <c r="H2737" s="12" t="s">
        <v>45</v>
      </c>
      <c r="I2737" s="12" t="s">
        <v>27</v>
      </c>
      <c r="J2737" s="12" t="s">
        <v>33</v>
      </c>
      <c r="K2737" s="12" t="s">
        <v>34</v>
      </c>
      <c r="L2737" s="13">
        <v>37.22</v>
      </c>
      <c r="M2737" s="13">
        <v>25</v>
      </c>
      <c r="N2737" s="13">
        <f t="shared" si="557"/>
        <v>1.4887999999999999</v>
      </c>
      <c r="O2737" s="13" t="s">
        <v>30</v>
      </c>
      <c r="P2737" s="13">
        <v>58</v>
      </c>
      <c r="Q2737" s="13">
        <v>0</v>
      </c>
      <c r="R2737" s="70">
        <f>M2737*P2737</f>
        <v>1450</v>
      </c>
      <c r="S2737" s="70">
        <v>0</v>
      </c>
      <c r="T2737" s="70">
        <f>M2737*S2737</f>
        <v>0</v>
      </c>
      <c r="U2737" s="70">
        <f>R2737-T2737</f>
        <v>1450</v>
      </c>
      <c r="V2737" s="70">
        <f>U2737*0</f>
        <v>0</v>
      </c>
      <c r="W2737" s="70">
        <f>U2737-V2737</f>
        <v>1450</v>
      </c>
      <c r="X2737" s="70">
        <v>0</v>
      </c>
      <c r="Y2737" s="14">
        <f t="shared" si="548"/>
        <v>0</v>
      </c>
      <c r="Z2737" s="11" t="s">
        <v>26</v>
      </c>
      <c r="AA2737" s="12" t="s">
        <v>31</v>
      </c>
    </row>
    <row r="2738" spans="1:27" x14ac:dyDescent="0.25">
      <c r="A2738" s="10">
        <v>45698</v>
      </c>
      <c r="B2738" s="69">
        <v>1.6064814814814865E-2</v>
      </c>
      <c r="C2738" s="11" t="s">
        <v>5113</v>
      </c>
      <c r="D2738" s="11">
        <v>17274</v>
      </c>
      <c r="E2738" s="11" t="s">
        <v>98</v>
      </c>
      <c r="F2738" s="11" t="s">
        <v>26</v>
      </c>
      <c r="G2738" s="11">
        <v>10719</v>
      </c>
      <c r="H2738" s="12" t="s">
        <v>140</v>
      </c>
      <c r="I2738" s="12" t="s">
        <v>27</v>
      </c>
      <c r="J2738" s="12" t="s">
        <v>42</v>
      </c>
      <c r="K2738" s="12" t="s">
        <v>43</v>
      </c>
      <c r="L2738" s="13">
        <v>43.84</v>
      </c>
      <c r="M2738" s="13">
        <v>25</v>
      </c>
      <c r="N2738" s="13">
        <f t="shared" si="557"/>
        <v>1.7536</v>
      </c>
      <c r="O2738" s="13">
        <v>35</v>
      </c>
      <c r="P2738" s="13"/>
      <c r="Q2738" s="13">
        <v>0</v>
      </c>
      <c r="R2738" s="70">
        <f>+L2738*O2738</f>
        <v>1534.4</v>
      </c>
      <c r="S2738" s="70">
        <v>0</v>
      </c>
      <c r="T2738" s="70">
        <f>+L2738*S2738</f>
        <v>0</v>
      </c>
      <c r="U2738" s="70">
        <f>+R2738-T2738</f>
        <v>1534.4</v>
      </c>
      <c r="V2738" s="70">
        <f t="shared" ref="V2738:V2741" si="563">+U2738*0</f>
        <v>0</v>
      </c>
      <c r="W2738" s="70">
        <f>+U2738-V2738</f>
        <v>1534.4</v>
      </c>
      <c r="X2738" s="70">
        <v>0</v>
      </c>
      <c r="Y2738" s="14">
        <f t="shared" si="548"/>
        <v>0</v>
      </c>
      <c r="Z2738" s="11" t="s">
        <v>26</v>
      </c>
      <c r="AA2738" s="12" t="s">
        <v>31</v>
      </c>
    </row>
    <row r="2739" spans="1:27" x14ac:dyDescent="0.25">
      <c r="A2739" s="10">
        <v>45698</v>
      </c>
      <c r="B2739" s="69">
        <v>1.0023148148148142E-2</v>
      </c>
      <c r="C2739" s="11" t="s">
        <v>5114</v>
      </c>
      <c r="D2739" s="11">
        <v>17275</v>
      </c>
      <c r="E2739" s="11" t="s">
        <v>520</v>
      </c>
      <c r="F2739" s="11" t="s">
        <v>26</v>
      </c>
      <c r="G2739" s="11">
        <v>4399</v>
      </c>
      <c r="H2739" s="12" t="s">
        <v>140</v>
      </c>
      <c r="I2739" s="12" t="s">
        <v>27</v>
      </c>
      <c r="J2739" s="12" t="s">
        <v>42</v>
      </c>
      <c r="K2739" s="12" t="s">
        <v>43</v>
      </c>
      <c r="L2739" s="13">
        <v>43.32</v>
      </c>
      <c r="M2739" s="13">
        <v>25</v>
      </c>
      <c r="N2739" s="13">
        <f t="shared" si="557"/>
        <v>1.7328000000000001</v>
      </c>
      <c r="O2739" s="13">
        <v>35</v>
      </c>
      <c r="P2739" s="13"/>
      <c r="Q2739" s="13">
        <v>0</v>
      </c>
      <c r="R2739" s="70">
        <f>+L2739*O2739</f>
        <v>1516.2</v>
      </c>
      <c r="S2739" s="70">
        <v>0</v>
      </c>
      <c r="T2739" s="70">
        <f>+L2739*S2739</f>
        <v>0</v>
      </c>
      <c r="U2739" s="70">
        <f>+R2739-T2739</f>
        <v>1516.2</v>
      </c>
      <c r="V2739" s="70">
        <f t="shared" si="563"/>
        <v>0</v>
      </c>
      <c r="W2739" s="70">
        <f>+U2739-V2739</f>
        <v>1516.2</v>
      </c>
      <c r="X2739" s="70">
        <v>0</v>
      </c>
      <c r="Y2739" s="14">
        <f t="shared" si="548"/>
        <v>0</v>
      </c>
      <c r="Z2739" s="11" t="s">
        <v>26</v>
      </c>
      <c r="AA2739" s="12" t="s">
        <v>31</v>
      </c>
    </row>
    <row r="2740" spans="1:27" x14ac:dyDescent="0.25">
      <c r="A2740" s="10">
        <v>45698</v>
      </c>
      <c r="B2740" s="69">
        <v>2.1504629629629624E-2</v>
      </c>
      <c r="C2740" s="11" t="s">
        <v>5115</v>
      </c>
      <c r="D2740" s="11">
        <v>17276</v>
      </c>
      <c r="E2740" s="11" t="s">
        <v>63</v>
      </c>
      <c r="F2740" s="11" t="s">
        <v>26</v>
      </c>
      <c r="G2740" s="11">
        <v>10187</v>
      </c>
      <c r="H2740" s="12" t="s">
        <v>140</v>
      </c>
      <c r="I2740" s="12" t="s">
        <v>27</v>
      </c>
      <c r="J2740" s="12" t="s">
        <v>42</v>
      </c>
      <c r="K2740" s="12" t="s">
        <v>43</v>
      </c>
      <c r="L2740" s="13">
        <v>45</v>
      </c>
      <c r="M2740" s="13">
        <v>25</v>
      </c>
      <c r="N2740" s="13">
        <f t="shared" si="557"/>
        <v>1.8</v>
      </c>
      <c r="O2740" s="13">
        <v>35</v>
      </c>
      <c r="P2740" s="13"/>
      <c r="Q2740" s="13">
        <v>0</v>
      </c>
      <c r="R2740" s="70">
        <f>+L2740*O2740</f>
        <v>1575</v>
      </c>
      <c r="S2740" s="70">
        <v>0</v>
      </c>
      <c r="T2740" s="70">
        <f>+L2740*S2740</f>
        <v>0</v>
      </c>
      <c r="U2740" s="70">
        <f>+R2740-T2740</f>
        <v>1575</v>
      </c>
      <c r="V2740" s="70">
        <f t="shared" si="563"/>
        <v>0</v>
      </c>
      <c r="W2740" s="70">
        <f>+U2740-V2740</f>
        <v>1575</v>
      </c>
      <c r="X2740" s="70">
        <v>0</v>
      </c>
      <c r="Y2740" s="14">
        <f t="shared" si="548"/>
        <v>0</v>
      </c>
      <c r="Z2740" s="11" t="s">
        <v>26</v>
      </c>
      <c r="AA2740" s="12" t="s">
        <v>31</v>
      </c>
    </row>
    <row r="2741" spans="1:27" x14ac:dyDescent="0.25">
      <c r="A2741" s="10">
        <v>45698</v>
      </c>
      <c r="B2741" s="69">
        <v>2.2245370370370332E-2</v>
      </c>
      <c r="C2741" s="11" t="s">
        <v>5116</v>
      </c>
      <c r="D2741" s="11">
        <v>17277</v>
      </c>
      <c r="E2741" s="11" t="s">
        <v>435</v>
      </c>
      <c r="F2741" s="11" t="s">
        <v>26</v>
      </c>
      <c r="G2741" s="11">
        <v>2767</v>
      </c>
      <c r="H2741" s="12" t="s">
        <v>41</v>
      </c>
      <c r="I2741" s="12" t="s">
        <v>27</v>
      </c>
      <c r="J2741" s="12" t="s">
        <v>42</v>
      </c>
      <c r="K2741" s="12" t="s">
        <v>43</v>
      </c>
      <c r="L2741" s="13">
        <v>39.36</v>
      </c>
      <c r="M2741" s="13">
        <v>25</v>
      </c>
      <c r="N2741" s="13">
        <f t="shared" si="557"/>
        <v>1.5744</v>
      </c>
      <c r="O2741" s="13" t="s">
        <v>30</v>
      </c>
      <c r="P2741" s="13">
        <v>64</v>
      </c>
      <c r="Q2741" s="13">
        <v>0</v>
      </c>
      <c r="R2741" s="70">
        <f>M2741*P2741</f>
        <v>1600</v>
      </c>
      <c r="S2741" s="70">
        <v>0</v>
      </c>
      <c r="T2741" s="70">
        <f>M2741*S2741</f>
        <v>0</v>
      </c>
      <c r="U2741" s="70">
        <f>+R2741-T2741</f>
        <v>1600</v>
      </c>
      <c r="V2741" s="70">
        <f t="shared" si="563"/>
        <v>0</v>
      </c>
      <c r="W2741" s="70">
        <f>+U2741-V2741</f>
        <v>1600</v>
      </c>
      <c r="X2741" s="70">
        <v>0</v>
      </c>
      <c r="Y2741" s="14">
        <f t="shared" si="548"/>
        <v>0</v>
      </c>
      <c r="Z2741" s="11" t="s">
        <v>26</v>
      </c>
      <c r="AA2741" s="12" t="s">
        <v>31</v>
      </c>
    </row>
    <row r="2742" spans="1:27" x14ac:dyDescent="0.25">
      <c r="A2742" s="10">
        <v>45698</v>
      </c>
      <c r="B2742" s="69">
        <v>7.5462962962962732E-3</v>
      </c>
      <c r="C2742" s="11" t="s">
        <v>5117</v>
      </c>
      <c r="D2742" s="11">
        <v>17278</v>
      </c>
      <c r="E2742" s="11" t="s">
        <v>67</v>
      </c>
      <c r="F2742" s="11" t="s">
        <v>26</v>
      </c>
      <c r="G2742" s="11">
        <v>1636</v>
      </c>
      <c r="H2742" s="12" t="s">
        <v>66</v>
      </c>
      <c r="I2742" s="12" t="s">
        <v>37</v>
      </c>
      <c r="J2742" s="12" t="s">
        <v>1909</v>
      </c>
      <c r="K2742" s="12" t="s">
        <v>82</v>
      </c>
      <c r="L2742" s="13">
        <v>40.46</v>
      </c>
      <c r="M2742" s="13">
        <v>25</v>
      </c>
      <c r="N2742" s="13">
        <f t="shared" si="557"/>
        <v>1.6184000000000001</v>
      </c>
      <c r="O2742" s="13" t="s">
        <v>30</v>
      </c>
      <c r="P2742" s="13">
        <v>54</v>
      </c>
      <c r="Q2742" s="13">
        <v>0</v>
      </c>
      <c r="R2742" s="70">
        <f>M2742*P2742</f>
        <v>1350</v>
      </c>
      <c r="S2742" s="70">
        <v>0</v>
      </c>
      <c r="T2742" s="70">
        <f>M2742*S2742</f>
        <v>0</v>
      </c>
      <c r="U2742" s="70">
        <f t="shared" ref="U2742" si="564">R2742-T2742</f>
        <v>1350</v>
      </c>
      <c r="V2742" s="70">
        <f>U2742*1</f>
        <v>1350</v>
      </c>
      <c r="W2742" s="70">
        <f>U2742-V2742</f>
        <v>0</v>
      </c>
      <c r="X2742" s="70">
        <v>0</v>
      </c>
      <c r="Y2742" s="14">
        <f t="shared" si="548"/>
        <v>0</v>
      </c>
      <c r="Z2742" s="11" t="s">
        <v>26</v>
      </c>
      <c r="AA2742" s="12" t="s">
        <v>31</v>
      </c>
    </row>
    <row r="2743" spans="1:27" x14ac:dyDescent="0.25">
      <c r="A2743" s="10">
        <v>45698</v>
      </c>
      <c r="B2743" s="69">
        <v>5.4861111111110805E-3</v>
      </c>
      <c r="C2743" s="11" t="s">
        <v>5118</v>
      </c>
      <c r="D2743" s="11">
        <v>17279</v>
      </c>
      <c r="E2743" s="11" t="s">
        <v>61</v>
      </c>
      <c r="F2743" s="11" t="s">
        <v>26</v>
      </c>
      <c r="G2743" s="11" t="s">
        <v>35</v>
      </c>
      <c r="H2743" s="12" t="s">
        <v>36</v>
      </c>
      <c r="I2743" s="12" t="s">
        <v>27</v>
      </c>
      <c r="J2743" s="12" t="s">
        <v>42</v>
      </c>
      <c r="K2743" s="12" t="s">
        <v>43</v>
      </c>
      <c r="L2743" s="13">
        <v>10.02</v>
      </c>
      <c r="M2743" s="13">
        <v>6</v>
      </c>
      <c r="N2743" s="13">
        <f t="shared" si="557"/>
        <v>1.67</v>
      </c>
      <c r="O2743" s="13">
        <v>45</v>
      </c>
      <c r="P2743" s="13" t="s">
        <v>30</v>
      </c>
      <c r="Q2743" s="13">
        <v>0</v>
      </c>
      <c r="R2743" s="70">
        <f>(L2743*O2743)-Q2743</f>
        <v>450.9</v>
      </c>
      <c r="S2743" s="70">
        <v>0</v>
      </c>
      <c r="T2743" s="70">
        <f t="shared" ref="T2743" si="565">+L2743*S2743</f>
        <v>0</v>
      </c>
      <c r="U2743" s="70">
        <f t="shared" ref="U2743" si="566">+R2743-T2743</f>
        <v>450.9</v>
      </c>
      <c r="V2743" s="70">
        <f>+U2743*0</f>
        <v>0</v>
      </c>
      <c r="W2743" s="70">
        <f t="shared" ref="W2743" si="567">+U2743-V2743</f>
        <v>450.9</v>
      </c>
      <c r="X2743" s="70">
        <v>0</v>
      </c>
      <c r="Y2743" s="14">
        <f>T2743-X2743</f>
        <v>0</v>
      </c>
      <c r="Z2743" s="11" t="s">
        <v>26</v>
      </c>
      <c r="AA2743" s="12" t="s">
        <v>31</v>
      </c>
    </row>
    <row r="2744" spans="1:27" x14ac:dyDescent="0.25">
      <c r="A2744" s="10">
        <v>45698</v>
      </c>
      <c r="B2744" s="69">
        <v>8.9386574074074077E-2</v>
      </c>
      <c r="C2744" s="11" t="s">
        <v>5119</v>
      </c>
      <c r="D2744" s="11">
        <v>17280</v>
      </c>
      <c r="E2744" s="11" t="s">
        <v>80</v>
      </c>
      <c r="F2744" s="11" t="s">
        <v>26</v>
      </c>
      <c r="G2744" s="11">
        <v>10679</v>
      </c>
      <c r="H2744" s="12" t="s">
        <v>140</v>
      </c>
      <c r="I2744" s="12" t="s">
        <v>27</v>
      </c>
      <c r="J2744" s="12" t="s">
        <v>47</v>
      </c>
      <c r="K2744" s="12" t="s">
        <v>48</v>
      </c>
      <c r="L2744" s="13">
        <v>43.3</v>
      </c>
      <c r="M2744" s="13">
        <v>30</v>
      </c>
      <c r="N2744" s="13">
        <f t="shared" si="557"/>
        <v>1.4433333333333331</v>
      </c>
      <c r="O2744" s="13">
        <v>40</v>
      </c>
      <c r="P2744" s="13"/>
      <c r="Q2744" s="13">
        <v>0</v>
      </c>
      <c r="R2744" s="70">
        <f>+L2744*O2744</f>
        <v>1732</v>
      </c>
      <c r="S2744" s="70">
        <v>0</v>
      </c>
      <c r="T2744" s="70">
        <f>+L2744*S2744</f>
        <v>0</v>
      </c>
      <c r="U2744" s="70">
        <f>+R2744-T2744</f>
        <v>1732</v>
      </c>
      <c r="V2744" s="70">
        <f t="shared" ref="V2744" si="568">+U2744*0</f>
        <v>0</v>
      </c>
      <c r="W2744" s="70">
        <f>+U2744-V2744</f>
        <v>1732</v>
      </c>
      <c r="X2744" s="70">
        <v>0</v>
      </c>
      <c r="Y2744" s="14">
        <f t="shared" ref="Y2744:Y2751" si="569">T2744-X2744</f>
        <v>0</v>
      </c>
      <c r="Z2744" s="11" t="s">
        <v>26</v>
      </c>
      <c r="AA2744" s="12" t="s">
        <v>31</v>
      </c>
    </row>
    <row r="2745" spans="1:27" x14ac:dyDescent="0.25">
      <c r="A2745" s="10">
        <v>45698</v>
      </c>
      <c r="B2745" s="69">
        <v>8.8564814814814763E-2</v>
      </c>
      <c r="C2745" s="11" t="s">
        <v>5120</v>
      </c>
      <c r="D2745" s="11">
        <v>17281</v>
      </c>
      <c r="E2745" s="11" t="s">
        <v>1200</v>
      </c>
      <c r="F2745" s="11" t="s">
        <v>26</v>
      </c>
      <c r="G2745" s="11">
        <v>2959</v>
      </c>
      <c r="H2745" s="12" t="s">
        <v>163</v>
      </c>
      <c r="I2745" s="12" t="s">
        <v>27</v>
      </c>
      <c r="J2745" s="12" t="s">
        <v>33</v>
      </c>
      <c r="K2745" s="12" t="s">
        <v>34</v>
      </c>
      <c r="L2745" s="13">
        <v>38.82</v>
      </c>
      <c r="M2745" s="13">
        <v>25</v>
      </c>
      <c r="N2745" s="13">
        <f t="shared" si="557"/>
        <v>1.5528</v>
      </c>
      <c r="O2745" s="13" t="s">
        <v>30</v>
      </c>
      <c r="P2745" s="13">
        <v>60</v>
      </c>
      <c r="Q2745" s="13">
        <v>0</v>
      </c>
      <c r="R2745" s="70">
        <f>M2745*P2745</f>
        <v>1500</v>
      </c>
      <c r="S2745" s="70">
        <v>0</v>
      </c>
      <c r="T2745" s="70">
        <f>M2745*S2745</f>
        <v>0</v>
      </c>
      <c r="U2745" s="70">
        <f>R2745-T2745</f>
        <v>1500</v>
      </c>
      <c r="V2745" s="70">
        <f>U2745*0</f>
        <v>0</v>
      </c>
      <c r="W2745" s="70">
        <f>U2745-V2745</f>
        <v>1500</v>
      </c>
      <c r="X2745" s="70">
        <v>0</v>
      </c>
      <c r="Y2745" s="14">
        <f t="shared" si="569"/>
        <v>0</v>
      </c>
      <c r="Z2745" s="11" t="s">
        <v>26</v>
      </c>
      <c r="AA2745" s="12" t="s">
        <v>31</v>
      </c>
    </row>
    <row r="2746" spans="1:27" x14ac:dyDescent="0.25">
      <c r="A2746" s="10">
        <v>45698</v>
      </c>
      <c r="B2746" s="69">
        <v>8.1481481481481266E-3</v>
      </c>
      <c r="C2746" s="11" t="s">
        <v>5121</v>
      </c>
      <c r="D2746" s="11">
        <v>17282</v>
      </c>
      <c r="E2746" s="11" t="s">
        <v>5122</v>
      </c>
      <c r="F2746" s="11" t="s">
        <v>26</v>
      </c>
      <c r="G2746" s="11">
        <v>78853</v>
      </c>
      <c r="H2746" s="12" t="s">
        <v>4448</v>
      </c>
      <c r="I2746" s="12" t="s">
        <v>27</v>
      </c>
      <c r="J2746" s="12" t="s">
        <v>42</v>
      </c>
      <c r="K2746" s="12" t="s">
        <v>43</v>
      </c>
      <c r="L2746" s="13">
        <v>43.34</v>
      </c>
      <c r="M2746" s="13">
        <v>25</v>
      </c>
      <c r="N2746" s="13">
        <f t="shared" si="557"/>
        <v>1.7336</v>
      </c>
      <c r="O2746" s="13">
        <v>42.5</v>
      </c>
      <c r="P2746" s="13"/>
      <c r="Q2746" s="13">
        <v>0</v>
      </c>
      <c r="R2746" s="70">
        <f>+L2746*O2746</f>
        <v>1841.95</v>
      </c>
      <c r="S2746" s="70">
        <v>0</v>
      </c>
      <c r="T2746" s="70">
        <f>+L2746*S2746</f>
        <v>0</v>
      </c>
      <c r="U2746" s="70">
        <f>+R2746-T2746</f>
        <v>1841.95</v>
      </c>
      <c r="V2746" s="70">
        <f>+U2746*0.75</f>
        <v>1381.4625000000001</v>
      </c>
      <c r="W2746" s="70">
        <f>+U2746-V2746</f>
        <v>460.48749999999995</v>
      </c>
      <c r="X2746" s="70">
        <v>0</v>
      </c>
      <c r="Y2746" s="14">
        <f t="shared" si="569"/>
        <v>0</v>
      </c>
      <c r="Z2746" s="11" t="s">
        <v>26</v>
      </c>
      <c r="AA2746" s="12" t="s">
        <v>31</v>
      </c>
    </row>
    <row r="2747" spans="1:27" x14ac:dyDescent="0.25">
      <c r="A2747" s="10">
        <v>45698</v>
      </c>
      <c r="B2747" s="69">
        <v>8.2986111111110761E-3</v>
      </c>
      <c r="C2747" s="11" t="s">
        <v>5123</v>
      </c>
      <c r="D2747" s="11">
        <v>17283</v>
      </c>
      <c r="E2747" s="11" t="s">
        <v>230</v>
      </c>
      <c r="F2747" s="11" t="s">
        <v>26</v>
      </c>
      <c r="G2747" s="11">
        <v>26203</v>
      </c>
      <c r="H2747" s="12" t="s">
        <v>565</v>
      </c>
      <c r="I2747" s="12" t="s">
        <v>27</v>
      </c>
      <c r="J2747" s="12" t="s">
        <v>33</v>
      </c>
      <c r="K2747" s="12" t="s">
        <v>34</v>
      </c>
      <c r="L2747" s="13">
        <v>42.44</v>
      </c>
      <c r="M2747" s="13">
        <v>29</v>
      </c>
      <c r="N2747" s="13">
        <f t="shared" si="557"/>
        <v>1.4634482758620688</v>
      </c>
      <c r="O2747" s="13"/>
      <c r="P2747" s="13">
        <v>60</v>
      </c>
      <c r="Q2747" s="13">
        <v>0</v>
      </c>
      <c r="R2747" s="70">
        <f>M2747*P2747</f>
        <v>1740</v>
      </c>
      <c r="S2747" s="70">
        <v>0</v>
      </c>
      <c r="T2747" s="70">
        <f>M2747*S2747</f>
        <v>0</v>
      </c>
      <c r="U2747" s="70">
        <f>R2747-T2747</f>
        <v>1740</v>
      </c>
      <c r="V2747" s="70">
        <f>U2747*0</f>
        <v>0</v>
      </c>
      <c r="W2747" s="70">
        <f>+U2747-V2747</f>
        <v>1740</v>
      </c>
      <c r="X2747" s="70">
        <v>0</v>
      </c>
      <c r="Y2747" s="14">
        <f t="shared" si="569"/>
        <v>0</v>
      </c>
      <c r="Z2747" s="11" t="s">
        <v>26</v>
      </c>
      <c r="AA2747" s="12" t="s">
        <v>31</v>
      </c>
    </row>
    <row r="2748" spans="1:27" x14ac:dyDescent="0.25">
      <c r="A2748" s="10">
        <v>45698</v>
      </c>
      <c r="B2748" s="69">
        <v>6.9097222222221921E-3</v>
      </c>
      <c r="C2748" s="11" t="s">
        <v>5124</v>
      </c>
      <c r="D2748" s="11">
        <v>17284</v>
      </c>
      <c r="E2748" s="11" t="s">
        <v>4776</v>
      </c>
      <c r="F2748" s="11" t="s">
        <v>26</v>
      </c>
      <c r="G2748" s="11" t="s">
        <v>35</v>
      </c>
      <c r="H2748" s="12" t="s">
        <v>36</v>
      </c>
      <c r="I2748" s="12" t="s">
        <v>55</v>
      </c>
      <c r="J2748" s="12" t="s">
        <v>55</v>
      </c>
      <c r="K2748" s="12" t="s">
        <v>56</v>
      </c>
      <c r="L2748" s="13">
        <v>15.74</v>
      </c>
      <c r="M2748" s="13">
        <v>10</v>
      </c>
      <c r="N2748" s="13">
        <f t="shared" si="557"/>
        <v>1.5740000000000001</v>
      </c>
      <c r="O2748" s="13">
        <v>20</v>
      </c>
      <c r="P2748" s="13" t="s">
        <v>30</v>
      </c>
      <c r="Q2748" s="13">
        <v>0</v>
      </c>
      <c r="R2748" s="70">
        <f>(L2748*O2748)-Q2748</f>
        <v>314.8</v>
      </c>
      <c r="S2748" s="70">
        <v>0</v>
      </c>
      <c r="T2748" s="70">
        <f t="shared" ref="T2748" si="570">+L2748*S2748</f>
        <v>0</v>
      </c>
      <c r="U2748" s="70">
        <f t="shared" ref="U2748" si="571">+R2748-T2748</f>
        <v>314.8</v>
      </c>
      <c r="V2748" s="70">
        <f t="shared" ref="V2748" si="572">+U2748*0</f>
        <v>0</v>
      </c>
      <c r="W2748" s="70">
        <f t="shared" ref="W2748" si="573">+U2748-V2748</f>
        <v>314.8</v>
      </c>
      <c r="X2748" s="70">
        <v>0</v>
      </c>
      <c r="Y2748" s="14">
        <f t="shared" si="569"/>
        <v>0</v>
      </c>
      <c r="Z2748" s="11" t="s">
        <v>26</v>
      </c>
      <c r="AA2748" s="12" t="s">
        <v>31</v>
      </c>
    </row>
    <row r="2749" spans="1:27" x14ac:dyDescent="0.25">
      <c r="A2749" s="10">
        <v>45698</v>
      </c>
      <c r="B2749" s="69">
        <v>5.3009259259259256E-2</v>
      </c>
      <c r="C2749" s="11" t="s">
        <v>5125</v>
      </c>
      <c r="D2749" s="11">
        <v>17285</v>
      </c>
      <c r="E2749" s="11" t="s">
        <v>50</v>
      </c>
      <c r="F2749" s="11" t="s">
        <v>26</v>
      </c>
      <c r="G2749" s="11">
        <v>944</v>
      </c>
      <c r="H2749" s="12" t="s">
        <v>163</v>
      </c>
      <c r="I2749" s="12" t="s">
        <v>27</v>
      </c>
      <c r="J2749" s="12" t="s">
        <v>47</v>
      </c>
      <c r="K2749" s="12" t="s">
        <v>48</v>
      </c>
      <c r="L2749" s="13">
        <v>38.92</v>
      </c>
      <c r="M2749" s="13">
        <v>25</v>
      </c>
      <c r="N2749" s="13">
        <f t="shared" si="557"/>
        <v>1.5568</v>
      </c>
      <c r="O2749" s="13" t="s">
        <v>30</v>
      </c>
      <c r="P2749" s="13">
        <v>60</v>
      </c>
      <c r="Q2749" s="13">
        <v>0</v>
      </c>
      <c r="R2749" s="70">
        <f>M2749*P2749</f>
        <v>1500</v>
      </c>
      <c r="S2749" s="70">
        <v>0</v>
      </c>
      <c r="T2749" s="70">
        <f>M2749*S2749</f>
        <v>0</v>
      </c>
      <c r="U2749" s="70">
        <f>R2749-T2749</f>
        <v>1500</v>
      </c>
      <c r="V2749" s="70">
        <f>U2749*0</f>
        <v>0</v>
      </c>
      <c r="W2749" s="70">
        <f>U2749-V2749</f>
        <v>1500</v>
      </c>
      <c r="X2749" s="70">
        <v>0</v>
      </c>
      <c r="Y2749" s="14">
        <f t="shared" si="569"/>
        <v>0</v>
      </c>
      <c r="Z2749" s="11" t="s">
        <v>26</v>
      </c>
      <c r="AA2749" s="12" t="s">
        <v>31</v>
      </c>
    </row>
    <row r="2750" spans="1:27" x14ac:dyDescent="0.25">
      <c r="A2750" s="10">
        <v>45698</v>
      </c>
      <c r="B2750" s="69">
        <v>1.1828703703703702E-2</v>
      </c>
      <c r="C2750" s="11" t="s">
        <v>5126</v>
      </c>
      <c r="D2750" s="11">
        <v>17286</v>
      </c>
      <c r="E2750" s="11" t="s">
        <v>322</v>
      </c>
      <c r="F2750" s="11" t="s">
        <v>26</v>
      </c>
      <c r="G2750" s="11">
        <v>112247</v>
      </c>
      <c r="H2750" s="12" t="s">
        <v>4446</v>
      </c>
      <c r="I2750" s="12" t="s">
        <v>27</v>
      </c>
      <c r="J2750" s="12" t="s">
        <v>33</v>
      </c>
      <c r="K2750" s="12" t="s">
        <v>34</v>
      </c>
      <c r="L2750" s="13">
        <v>35.520000000000003</v>
      </c>
      <c r="M2750" s="13">
        <v>25</v>
      </c>
      <c r="N2750" s="13">
        <f t="shared" si="557"/>
        <v>1.4208000000000001</v>
      </c>
      <c r="O2750" s="13">
        <v>44</v>
      </c>
      <c r="P2750" s="13" t="s">
        <v>30</v>
      </c>
      <c r="Q2750" s="13">
        <v>0</v>
      </c>
      <c r="R2750" s="70">
        <f t="shared" ref="R2750" si="574">+L2750*O2750</f>
        <v>1562.88</v>
      </c>
      <c r="S2750" s="70">
        <v>0</v>
      </c>
      <c r="T2750" s="70">
        <f>+L2750*S2750</f>
        <v>0</v>
      </c>
      <c r="U2750" s="70">
        <f>+R2750-T2750</f>
        <v>1562.88</v>
      </c>
      <c r="V2750" s="70">
        <f>+U2750*1</f>
        <v>1562.88</v>
      </c>
      <c r="W2750" s="70">
        <f>+U2750-V2750</f>
        <v>0</v>
      </c>
      <c r="X2750" s="70">
        <v>0</v>
      </c>
      <c r="Y2750" s="14">
        <f t="shared" si="569"/>
        <v>0</v>
      </c>
      <c r="Z2750" s="11" t="s">
        <v>26</v>
      </c>
      <c r="AA2750" s="12" t="s">
        <v>31</v>
      </c>
    </row>
    <row r="2751" spans="1:27" x14ac:dyDescent="0.25">
      <c r="A2751" s="10">
        <v>45698</v>
      </c>
      <c r="B2751" s="69">
        <v>7.4768518518518734E-3</v>
      </c>
      <c r="C2751" s="11" t="s">
        <v>5127</v>
      </c>
      <c r="D2751" s="11">
        <v>17287</v>
      </c>
      <c r="E2751" s="11" t="s">
        <v>97</v>
      </c>
      <c r="F2751" s="11" t="s">
        <v>26</v>
      </c>
      <c r="G2751" s="11">
        <v>9859</v>
      </c>
      <c r="H2751" s="12" t="s">
        <v>4447</v>
      </c>
      <c r="I2751" s="12" t="s">
        <v>27</v>
      </c>
      <c r="J2751" s="12" t="s">
        <v>42</v>
      </c>
      <c r="K2751" s="12" t="s">
        <v>43</v>
      </c>
      <c r="L2751" s="13">
        <v>19.8</v>
      </c>
      <c r="M2751" s="13">
        <v>12</v>
      </c>
      <c r="N2751" s="13">
        <f t="shared" si="557"/>
        <v>1.6500000000000001</v>
      </c>
      <c r="O2751" s="13" t="s">
        <v>30</v>
      </c>
      <c r="P2751" s="13">
        <v>65.599999999999994</v>
      </c>
      <c r="Q2751" s="13">
        <v>0</v>
      </c>
      <c r="R2751" s="70">
        <f>+M2751*P2751</f>
        <v>787.19999999999993</v>
      </c>
      <c r="S2751" s="70">
        <v>0</v>
      </c>
      <c r="T2751" s="70">
        <f>+M2751*S2751</f>
        <v>0</v>
      </c>
      <c r="U2751" s="70">
        <f t="shared" ref="U2751" si="575">+R2751-T2751</f>
        <v>787.19999999999993</v>
      </c>
      <c r="V2751" s="70">
        <f>+U2751*1</f>
        <v>787.19999999999993</v>
      </c>
      <c r="W2751" s="70">
        <f t="shared" ref="W2751" si="576">+U2751-V2751</f>
        <v>0</v>
      </c>
      <c r="X2751" s="70">
        <v>0</v>
      </c>
      <c r="Y2751" s="14">
        <f t="shared" si="569"/>
        <v>0</v>
      </c>
      <c r="Z2751" s="11" t="s">
        <v>26</v>
      </c>
      <c r="AA2751" s="12" t="s">
        <v>31</v>
      </c>
    </row>
    <row r="2752" spans="1:27" x14ac:dyDescent="0.25">
      <c r="A2752" s="10">
        <v>45698</v>
      </c>
      <c r="B2752" s="69">
        <v>1.8379629629629635E-2</v>
      </c>
      <c r="C2752" s="11" t="s">
        <v>5128</v>
      </c>
      <c r="D2752" s="11">
        <v>17288</v>
      </c>
      <c r="E2752" s="11" t="s">
        <v>69</v>
      </c>
      <c r="F2752" s="11" t="s">
        <v>26</v>
      </c>
      <c r="G2752" s="11" t="s">
        <v>26</v>
      </c>
      <c r="H2752" s="12" t="s">
        <v>146</v>
      </c>
      <c r="I2752" s="12" t="s">
        <v>27</v>
      </c>
      <c r="J2752" s="12" t="s">
        <v>33</v>
      </c>
      <c r="K2752" s="12" t="s">
        <v>34</v>
      </c>
      <c r="L2752" s="13">
        <v>43.36</v>
      </c>
      <c r="M2752" s="13">
        <v>30</v>
      </c>
      <c r="N2752" s="13">
        <f t="shared" si="557"/>
        <v>1.4453333333333334</v>
      </c>
      <c r="O2752" s="13">
        <v>91</v>
      </c>
      <c r="P2752" s="13" t="s">
        <v>30</v>
      </c>
      <c r="Q2752" s="13">
        <v>0</v>
      </c>
      <c r="R2752" s="70">
        <f>+L2752*O2752</f>
        <v>3945.7599999999998</v>
      </c>
      <c r="S2752" s="70">
        <v>40</v>
      </c>
      <c r="T2752" s="70">
        <f>L2752*S2752</f>
        <v>1734.4</v>
      </c>
      <c r="U2752" s="70">
        <f t="shared" ref="U2752" si="577">R2752-T2752</f>
        <v>2211.3599999999997</v>
      </c>
      <c r="V2752" s="70">
        <f>U2752*1</f>
        <v>2211.3599999999997</v>
      </c>
      <c r="W2752" s="70">
        <f t="shared" ref="W2752" si="578">U2752-V2752</f>
        <v>0</v>
      </c>
      <c r="X2752" s="70">
        <f>L2752*36</f>
        <v>1560.96</v>
      </c>
      <c r="Y2752" s="71">
        <f>+T2752-X2752</f>
        <v>173.44000000000005</v>
      </c>
      <c r="Z2752" s="12" t="s">
        <v>70</v>
      </c>
      <c r="AA2752" s="12" t="s">
        <v>79</v>
      </c>
    </row>
    <row r="2753" spans="1:27" x14ac:dyDescent="0.25">
      <c r="A2753" s="10">
        <v>45698</v>
      </c>
      <c r="B2753" s="69">
        <v>2.2083333333333344E-2</v>
      </c>
      <c r="C2753" s="11" t="s">
        <v>5129</v>
      </c>
      <c r="D2753" s="11">
        <v>17289</v>
      </c>
      <c r="E2753" s="11" t="s">
        <v>98</v>
      </c>
      <c r="F2753" s="11" t="s">
        <v>26</v>
      </c>
      <c r="G2753" s="11">
        <v>10720</v>
      </c>
      <c r="H2753" s="12" t="s">
        <v>140</v>
      </c>
      <c r="I2753" s="12" t="s">
        <v>27</v>
      </c>
      <c r="J2753" s="12" t="s">
        <v>33</v>
      </c>
      <c r="K2753" s="12" t="s">
        <v>34</v>
      </c>
      <c r="L2753" s="13">
        <v>40.520000000000003</v>
      </c>
      <c r="M2753" s="13">
        <v>28</v>
      </c>
      <c r="N2753" s="13">
        <f t="shared" si="557"/>
        <v>1.4471428571428573</v>
      </c>
      <c r="O2753" s="13">
        <v>40</v>
      </c>
      <c r="P2753" s="13"/>
      <c r="Q2753" s="13">
        <v>0</v>
      </c>
      <c r="R2753" s="70">
        <f>+L2753*O2753</f>
        <v>1620.8000000000002</v>
      </c>
      <c r="S2753" s="70">
        <v>0</v>
      </c>
      <c r="T2753" s="70">
        <f>+L2753*S2753</f>
        <v>0</v>
      </c>
      <c r="U2753" s="70">
        <f>+R2753-T2753</f>
        <v>1620.8000000000002</v>
      </c>
      <c r="V2753" s="70">
        <f t="shared" ref="V2753" si="579">+U2753*0</f>
        <v>0</v>
      </c>
      <c r="W2753" s="70">
        <f>+U2753-V2753</f>
        <v>1620.8000000000002</v>
      </c>
      <c r="X2753" s="70">
        <v>0</v>
      </c>
      <c r="Y2753" s="14">
        <f t="shared" ref="Y2753" si="580">T2753-X2753</f>
        <v>0</v>
      </c>
      <c r="Z2753" s="11" t="s">
        <v>26</v>
      </c>
      <c r="AA2753" s="12" t="s">
        <v>31</v>
      </c>
    </row>
    <row r="2754" spans="1:27" x14ac:dyDescent="0.25">
      <c r="A2754" s="10">
        <v>45698</v>
      </c>
      <c r="B2754" s="69">
        <v>5.3344907407407383E-2</v>
      </c>
      <c r="C2754" s="11" t="s">
        <v>5130</v>
      </c>
      <c r="D2754" s="11">
        <v>17290</v>
      </c>
      <c r="E2754" s="11" t="s">
        <v>113</v>
      </c>
      <c r="F2754" s="11" t="s">
        <v>26</v>
      </c>
      <c r="G2754" s="11" t="s">
        <v>26</v>
      </c>
      <c r="H2754" s="12" t="s">
        <v>4424</v>
      </c>
      <c r="I2754" s="12" t="s">
        <v>27</v>
      </c>
      <c r="J2754" s="12" t="s">
        <v>47</v>
      </c>
      <c r="K2754" s="12" t="s">
        <v>48</v>
      </c>
      <c r="L2754" s="13">
        <v>28.82</v>
      </c>
      <c r="M2754" s="13">
        <v>20</v>
      </c>
      <c r="N2754" s="13">
        <f t="shared" si="557"/>
        <v>1.4410000000000001</v>
      </c>
      <c r="O2754" s="13">
        <v>90</v>
      </c>
      <c r="P2754" s="13" t="s">
        <v>30</v>
      </c>
      <c r="Q2754" s="13">
        <v>0</v>
      </c>
      <c r="R2754" s="70">
        <f>L2754*O2754</f>
        <v>2593.8000000000002</v>
      </c>
      <c r="S2754" s="70">
        <v>41</v>
      </c>
      <c r="T2754" s="70">
        <f>+L2754*S2754</f>
        <v>1181.6200000000001</v>
      </c>
      <c r="U2754" s="70">
        <f t="shared" ref="U2754:U2756" si="581">R2754-T2754</f>
        <v>1412.18</v>
      </c>
      <c r="V2754" s="70">
        <f>U2754*1</f>
        <v>1412.18</v>
      </c>
      <c r="W2754" s="70">
        <f t="shared" ref="W2754" si="582">U2754-V2754</f>
        <v>0</v>
      </c>
      <c r="X2754" s="16">
        <f>L2754*40</f>
        <v>1152.8</v>
      </c>
      <c r="Y2754" s="71">
        <f t="shared" ref="Y2754" si="583">+T2754-X2754</f>
        <v>28.820000000000164</v>
      </c>
      <c r="Z2754" s="12" t="s">
        <v>6328</v>
      </c>
      <c r="AA2754" s="12" t="s">
        <v>746</v>
      </c>
    </row>
    <row r="2755" spans="1:27" x14ac:dyDescent="0.25">
      <c r="A2755" s="10">
        <v>45698</v>
      </c>
      <c r="B2755" s="69">
        <v>1.0057870370370314E-2</v>
      </c>
      <c r="C2755" s="11" t="s">
        <v>5131</v>
      </c>
      <c r="D2755" s="11">
        <v>17291</v>
      </c>
      <c r="E2755" s="11" t="s">
        <v>67</v>
      </c>
      <c r="F2755" s="11" t="s">
        <v>26</v>
      </c>
      <c r="G2755" s="11">
        <v>1637</v>
      </c>
      <c r="H2755" s="12" t="s">
        <v>66</v>
      </c>
      <c r="I2755" s="12" t="s">
        <v>37</v>
      </c>
      <c r="J2755" s="12" t="s">
        <v>1909</v>
      </c>
      <c r="K2755" s="12" t="s">
        <v>82</v>
      </c>
      <c r="L2755" s="13">
        <v>39.86</v>
      </c>
      <c r="M2755" s="13">
        <v>25</v>
      </c>
      <c r="N2755" s="13">
        <f t="shared" si="557"/>
        <v>1.5944</v>
      </c>
      <c r="O2755" s="13" t="s">
        <v>30</v>
      </c>
      <c r="P2755" s="13">
        <v>54</v>
      </c>
      <c r="Q2755" s="13">
        <v>0</v>
      </c>
      <c r="R2755" s="70">
        <f>M2755*P2755</f>
        <v>1350</v>
      </c>
      <c r="S2755" s="70">
        <v>0</v>
      </c>
      <c r="T2755" s="70">
        <f>M2755*S2755</f>
        <v>0</v>
      </c>
      <c r="U2755" s="70">
        <f t="shared" si="581"/>
        <v>1350</v>
      </c>
      <c r="V2755" s="70">
        <f>U2755*1</f>
        <v>1350</v>
      </c>
      <c r="W2755" s="70">
        <f>U2755-V2755</f>
        <v>0</v>
      </c>
      <c r="X2755" s="70">
        <v>0</v>
      </c>
      <c r="Y2755" s="14">
        <f t="shared" ref="Y2755" si="584">T2755-X2755</f>
        <v>0</v>
      </c>
      <c r="Z2755" s="11" t="s">
        <v>26</v>
      </c>
      <c r="AA2755" s="12" t="s">
        <v>31</v>
      </c>
    </row>
    <row r="2756" spans="1:27" x14ac:dyDescent="0.25">
      <c r="A2756" s="10">
        <v>45698</v>
      </c>
      <c r="B2756" s="69">
        <v>6.4444444444444471E-2</v>
      </c>
      <c r="C2756" s="11" t="s">
        <v>5132</v>
      </c>
      <c r="D2756" s="11">
        <v>17292</v>
      </c>
      <c r="E2756" s="11" t="s">
        <v>74</v>
      </c>
      <c r="F2756" s="11" t="s">
        <v>26</v>
      </c>
      <c r="G2756" s="11" t="s">
        <v>26</v>
      </c>
      <c r="H2756" s="12" t="s">
        <v>146</v>
      </c>
      <c r="I2756" s="12" t="s">
        <v>27</v>
      </c>
      <c r="J2756" s="12" t="s">
        <v>47</v>
      </c>
      <c r="K2756" s="12" t="s">
        <v>48</v>
      </c>
      <c r="L2756" s="13">
        <v>43.06</v>
      </c>
      <c r="M2756" s="13">
        <v>29</v>
      </c>
      <c r="N2756" s="13">
        <f t="shared" si="557"/>
        <v>1.4848275862068967</v>
      </c>
      <c r="O2756" s="13">
        <v>91</v>
      </c>
      <c r="P2756" s="13" t="s">
        <v>30</v>
      </c>
      <c r="Q2756" s="13">
        <v>0</v>
      </c>
      <c r="R2756" s="70">
        <f>+L2756*O2756</f>
        <v>3918.46</v>
      </c>
      <c r="S2756" s="70">
        <v>40</v>
      </c>
      <c r="T2756" s="70">
        <f>L2756*S2756</f>
        <v>1722.4</v>
      </c>
      <c r="U2756" s="70">
        <f t="shared" si="581"/>
        <v>2196.06</v>
      </c>
      <c r="V2756" s="70">
        <f>U2756*1</f>
        <v>2196.06</v>
      </c>
      <c r="W2756" s="70">
        <f t="shared" ref="W2756" si="585">U2756-V2756</f>
        <v>0</v>
      </c>
      <c r="X2756" s="70">
        <f>L2756*36</f>
        <v>1550.16</v>
      </c>
      <c r="Y2756" s="71">
        <f>+T2756-X2756</f>
        <v>172.24</v>
      </c>
      <c r="Z2756" s="12" t="s">
        <v>70</v>
      </c>
      <c r="AA2756" s="12" t="s">
        <v>79</v>
      </c>
    </row>
    <row r="2757" spans="1:27" x14ac:dyDescent="0.25">
      <c r="A2757" s="10">
        <v>45698</v>
      </c>
      <c r="B2757" s="69">
        <v>2.4756944444444429E-2</v>
      </c>
      <c r="C2757" s="11" t="s">
        <v>5133</v>
      </c>
      <c r="D2757" s="11">
        <v>17293</v>
      </c>
      <c r="E2757" s="11" t="s">
        <v>54</v>
      </c>
      <c r="F2757" s="11" t="s">
        <v>26</v>
      </c>
      <c r="G2757" s="11">
        <v>112758</v>
      </c>
      <c r="H2757" s="12" t="s">
        <v>4446</v>
      </c>
      <c r="I2757" s="12" t="s">
        <v>27</v>
      </c>
      <c r="J2757" s="12" t="s">
        <v>33</v>
      </c>
      <c r="K2757" s="12" t="s">
        <v>34</v>
      </c>
      <c r="L2757" s="13">
        <v>34.200000000000003</v>
      </c>
      <c r="M2757" s="13">
        <v>25</v>
      </c>
      <c r="N2757" s="13">
        <f t="shared" si="557"/>
        <v>1.3680000000000001</v>
      </c>
      <c r="O2757" s="13">
        <v>44</v>
      </c>
      <c r="P2757" s="13" t="s">
        <v>30</v>
      </c>
      <c r="Q2757" s="13">
        <v>0</v>
      </c>
      <c r="R2757" s="70">
        <f t="shared" ref="R2757:R2758" si="586">+L2757*O2757</f>
        <v>1504.8000000000002</v>
      </c>
      <c r="S2757" s="70">
        <v>0</v>
      </c>
      <c r="T2757" s="70">
        <f>+L2757*S2757</f>
        <v>0</v>
      </c>
      <c r="U2757" s="70">
        <f>+R2757-T2757</f>
        <v>1504.8000000000002</v>
      </c>
      <c r="V2757" s="70">
        <f>+U2757*1</f>
        <v>1504.8000000000002</v>
      </c>
      <c r="W2757" s="70">
        <f>+U2757-V2757</f>
        <v>0</v>
      </c>
      <c r="X2757" s="70">
        <v>0</v>
      </c>
      <c r="Y2757" s="14">
        <f t="shared" ref="Y2757:Y2764" si="587">T2757-X2757</f>
        <v>0</v>
      </c>
      <c r="Z2757" s="11" t="s">
        <v>26</v>
      </c>
      <c r="AA2757" s="12" t="s">
        <v>31</v>
      </c>
    </row>
    <row r="2758" spans="1:27" x14ac:dyDescent="0.25">
      <c r="A2758" s="10">
        <v>45698</v>
      </c>
      <c r="B2758" s="69">
        <v>0.21859953703703705</v>
      </c>
      <c r="C2758" s="11" t="s">
        <v>5134</v>
      </c>
      <c r="D2758" s="11">
        <v>17294</v>
      </c>
      <c r="E2758" s="11" t="s">
        <v>561</v>
      </c>
      <c r="F2758" s="11" t="s">
        <v>26</v>
      </c>
      <c r="G2758" s="11">
        <v>112763</v>
      </c>
      <c r="H2758" s="12" t="s">
        <v>4446</v>
      </c>
      <c r="I2758" s="12" t="s">
        <v>27</v>
      </c>
      <c r="J2758" s="12" t="s">
        <v>33</v>
      </c>
      <c r="K2758" s="12" t="s">
        <v>34</v>
      </c>
      <c r="L2758" s="13">
        <v>34.64</v>
      </c>
      <c r="M2758" s="13">
        <v>25</v>
      </c>
      <c r="N2758" s="13">
        <f t="shared" si="557"/>
        <v>1.3855999999999999</v>
      </c>
      <c r="O2758" s="13">
        <v>44</v>
      </c>
      <c r="P2758" s="13" t="s">
        <v>30</v>
      </c>
      <c r="Q2758" s="13">
        <v>0</v>
      </c>
      <c r="R2758" s="70">
        <f t="shared" si="586"/>
        <v>1524.16</v>
      </c>
      <c r="S2758" s="70">
        <v>0</v>
      </c>
      <c r="T2758" s="70">
        <f>+L2758*S2758</f>
        <v>0</v>
      </c>
      <c r="U2758" s="70">
        <f>+R2758-T2758</f>
        <v>1524.16</v>
      </c>
      <c r="V2758" s="70">
        <f>+U2758*1</f>
        <v>1524.16</v>
      </c>
      <c r="W2758" s="70">
        <f>+U2758-V2758</f>
        <v>0</v>
      </c>
      <c r="X2758" s="70">
        <v>0</v>
      </c>
      <c r="Y2758" s="14">
        <f t="shared" si="587"/>
        <v>0</v>
      </c>
      <c r="Z2758" s="11" t="s">
        <v>26</v>
      </c>
      <c r="AA2758" s="12" t="s">
        <v>31</v>
      </c>
    </row>
    <row r="2759" spans="1:27" x14ac:dyDescent="0.25">
      <c r="A2759" s="10">
        <v>45698</v>
      </c>
      <c r="B2759" s="69">
        <v>0.25307870370370372</v>
      </c>
      <c r="C2759" s="11" t="s">
        <v>5135</v>
      </c>
      <c r="D2759" s="11">
        <v>17295</v>
      </c>
      <c r="E2759" s="11" t="s">
        <v>552</v>
      </c>
      <c r="F2759" s="11" t="s">
        <v>26</v>
      </c>
      <c r="G2759" s="11">
        <v>44161</v>
      </c>
      <c r="H2759" s="12" t="s">
        <v>4423</v>
      </c>
      <c r="I2759" s="12" t="s">
        <v>27</v>
      </c>
      <c r="J2759" s="12" t="s">
        <v>33</v>
      </c>
      <c r="K2759" s="12" t="s">
        <v>34</v>
      </c>
      <c r="L2759" s="13">
        <v>35.58</v>
      </c>
      <c r="M2759" s="13">
        <v>25</v>
      </c>
      <c r="N2759" s="13">
        <f t="shared" si="557"/>
        <v>1.4232</v>
      </c>
      <c r="O2759" s="13">
        <v>45</v>
      </c>
      <c r="P2759" s="13" t="s">
        <v>30</v>
      </c>
      <c r="Q2759" s="13">
        <v>0</v>
      </c>
      <c r="R2759" s="70">
        <f>+L2759*O2759</f>
        <v>1601.1</v>
      </c>
      <c r="S2759" s="70">
        <v>0</v>
      </c>
      <c r="T2759" s="70">
        <f>+L2759*S2759</f>
        <v>0</v>
      </c>
      <c r="U2759" s="70">
        <f t="shared" ref="U2759" si="588">+R2759-T2759</f>
        <v>1601.1</v>
      </c>
      <c r="V2759" s="70">
        <f>+U2759*1</f>
        <v>1601.1</v>
      </c>
      <c r="W2759" s="70">
        <f t="shared" ref="W2759" si="589">+U2759-V2759</f>
        <v>0</v>
      </c>
      <c r="X2759" s="70">
        <v>0</v>
      </c>
      <c r="Y2759" s="14">
        <f t="shared" si="587"/>
        <v>0</v>
      </c>
      <c r="Z2759" s="11" t="s">
        <v>26</v>
      </c>
      <c r="AA2759" s="12" t="s">
        <v>31</v>
      </c>
    </row>
    <row r="2760" spans="1:27" x14ac:dyDescent="0.25">
      <c r="A2760" s="10">
        <v>45698</v>
      </c>
      <c r="B2760" s="69">
        <v>1.4652777777777848E-2</v>
      </c>
      <c r="C2760" s="11" t="s">
        <v>5136</v>
      </c>
      <c r="D2760" s="11">
        <v>17296</v>
      </c>
      <c r="E2760" s="11" t="s">
        <v>431</v>
      </c>
      <c r="F2760" s="11" t="s">
        <v>26</v>
      </c>
      <c r="G2760" s="11">
        <v>145</v>
      </c>
      <c r="H2760" s="12" t="s">
        <v>6328</v>
      </c>
      <c r="I2760" s="12" t="s">
        <v>27</v>
      </c>
      <c r="J2760" s="12" t="s">
        <v>42</v>
      </c>
      <c r="K2760" s="12" t="s">
        <v>43</v>
      </c>
      <c r="L2760" s="13">
        <v>38.78</v>
      </c>
      <c r="M2760" s="13">
        <v>25</v>
      </c>
      <c r="N2760" s="13">
        <f t="shared" si="557"/>
        <v>1.5512000000000001</v>
      </c>
      <c r="O2760" s="13">
        <v>42.5</v>
      </c>
      <c r="P2760" s="13"/>
      <c r="Q2760" s="13">
        <v>0</v>
      </c>
      <c r="R2760" s="70">
        <f>L2760*O2760</f>
        <v>1648.15</v>
      </c>
      <c r="S2760" s="70">
        <v>0</v>
      </c>
      <c r="T2760" s="70">
        <f>+L2760*S2760</f>
        <v>0</v>
      </c>
      <c r="U2760" s="70">
        <f>R2760-T2760</f>
        <v>1648.15</v>
      </c>
      <c r="V2760" s="70">
        <f>U2760*0</f>
        <v>0</v>
      </c>
      <c r="W2760" s="70">
        <f>U2760-V2760</f>
        <v>1648.15</v>
      </c>
      <c r="X2760" s="70">
        <v>0</v>
      </c>
      <c r="Y2760" s="14">
        <f t="shared" si="587"/>
        <v>0</v>
      </c>
      <c r="Z2760" s="11" t="s">
        <v>26</v>
      </c>
      <c r="AA2760" s="12" t="s">
        <v>31</v>
      </c>
    </row>
    <row r="2761" spans="1:27" x14ac:dyDescent="0.25">
      <c r="A2761" s="10">
        <v>45698</v>
      </c>
      <c r="B2761" s="69">
        <v>9.4212962962962887E-3</v>
      </c>
      <c r="C2761" s="11" t="s">
        <v>5137</v>
      </c>
      <c r="D2761" s="11">
        <v>17297</v>
      </c>
      <c r="E2761" s="11" t="s">
        <v>3938</v>
      </c>
      <c r="F2761" s="11" t="s">
        <v>26</v>
      </c>
      <c r="G2761" s="11" t="s">
        <v>35</v>
      </c>
      <c r="H2761" s="12" t="s">
        <v>36</v>
      </c>
      <c r="I2761" s="12" t="s">
        <v>55</v>
      </c>
      <c r="J2761" s="12" t="s">
        <v>55</v>
      </c>
      <c r="K2761" s="12" t="s">
        <v>56</v>
      </c>
      <c r="L2761" s="13">
        <v>9.9600000000000009</v>
      </c>
      <c r="M2761" s="13">
        <v>6</v>
      </c>
      <c r="N2761" s="13">
        <f t="shared" si="557"/>
        <v>1.6600000000000001</v>
      </c>
      <c r="O2761" s="13">
        <v>20</v>
      </c>
      <c r="P2761" s="13" t="s">
        <v>30</v>
      </c>
      <c r="Q2761" s="13">
        <v>0</v>
      </c>
      <c r="R2761" s="70">
        <f>(L2761*O2761)-Q2761</f>
        <v>199.20000000000002</v>
      </c>
      <c r="S2761" s="70">
        <v>0</v>
      </c>
      <c r="T2761" s="70">
        <f t="shared" ref="T2761" si="590">+L2761*S2761</f>
        <v>0</v>
      </c>
      <c r="U2761" s="70">
        <f t="shared" ref="U2761" si="591">+R2761-T2761</f>
        <v>199.20000000000002</v>
      </c>
      <c r="V2761" s="70">
        <f t="shared" ref="V2761:V2762" si="592">+U2761*0</f>
        <v>0</v>
      </c>
      <c r="W2761" s="70">
        <f t="shared" ref="W2761" si="593">+U2761-V2761</f>
        <v>199.20000000000002</v>
      </c>
      <c r="X2761" s="70">
        <v>0</v>
      </c>
      <c r="Y2761" s="14">
        <f t="shared" si="587"/>
        <v>0</v>
      </c>
      <c r="Z2761" s="11" t="s">
        <v>26</v>
      </c>
      <c r="AA2761" s="12" t="s">
        <v>31</v>
      </c>
    </row>
    <row r="2762" spans="1:27" x14ac:dyDescent="0.25">
      <c r="A2762" s="10">
        <v>45698</v>
      </c>
      <c r="B2762" s="69">
        <v>1.4918981481481519E-2</v>
      </c>
      <c r="C2762" s="11" t="s">
        <v>5138</v>
      </c>
      <c r="D2762" s="11">
        <v>17298</v>
      </c>
      <c r="E2762" s="11" t="s">
        <v>80</v>
      </c>
      <c r="F2762" s="11" t="s">
        <v>26</v>
      </c>
      <c r="G2762" s="11">
        <v>10680</v>
      </c>
      <c r="H2762" s="12" t="s">
        <v>140</v>
      </c>
      <c r="I2762" s="12" t="s">
        <v>27</v>
      </c>
      <c r="J2762" s="12" t="s">
        <v>42</v>
      </c>
      <c r="K2762" s="12" t="s">
        <v>43</v>
      </c>
      <c r="L2762" s="13">
        <v>43.78</v>
      </c>
      <c r="M2762" s="13">
        <v>25</v>
      </c>
      <c r="N2762" s="13">
        <f t="shared" si="557"/>
        <v>1.7512000000000001</v>
      </c>
      <c r="O2762" s="13">
        <v>35</v>
      </c>
      <c r="P2762" s="13"/>
      <c r="Q2762" s="13">
        <v>0</v>
      </c>
      <c r="R2762" s="70">
        <f>+L2762*O2762</f>
        <v>1532.3</v>
      </c>
      <c r="S2762" s="70">
        <v>0</v>
      </c>
      <c r="T2762" s="70">
        <f>+L2762*S2762</f>
        <v>0</v>
      </c>
      <c r="U2762" s="70">
        <f>+R2762-T2762</f>
        <v>1532.3</v>
      </c>
      <c r="V2762" s="70">
        <f t="shared" si="592"/>
        <v>0</v>
      </c>
      <c r="W2762" s="70">
        <f>+U2762-V2762</f>
        <v>1532.3</v>
      </c>
      <c r="X2762" s="70">
        <v>0</v>
      </c>
      <c r="Y2762" s="14">
        <f t="shared" si="587"/>
        <v>0</v>
      </c>
      <c r="Z2762" s="11" t="s">
        <v>26</v>
      </c>
      <c r="AA2762" s="12" t="s">
        <v>31</v>
      </c>
    </row>
    <row r="2763" spans="1:27" x14ac:dyDescent="0.25">
      <c r="A2763" s="10">
        <v>45698</v>
      </c>
      <c r="B2763" s="69">
        <v>2.2673611111111103E-2</v>
      </c>
      <c r="C2763" s="11" t="s">
        <v>5139</v>
      </c>
      <c r="D2763" s="11">
        <v>17299</v>
      </c>
      <c r="E2763" s="11" t="s">
        <v>46</v>
      </c>
      <c r="F2763" s="11" t="s">
        <v>26</v>
      </c>
      <c r="G2763" s="11">
        <v>112762</v>
      </c>
      <c r="H2763" s="12" t="s">
        <v>4446</v>
      </c>
      <c r="I2763" s="12" t="s">
        <v>27</v>
      </c>
      <c r="J2763" s="12" t="s">
        <v>33</v>
      </c>
      <c r="K2763" s="12" t="s">
        <v>34</v>
      </c>
      <c r="L2763" s="13">
        <v>36.14</v>
      </c>
      <c r="M2763" s="13">
        <v>25</v>
      </c>
      <c r="N2763" s="13">
        <f t="shared" si="557"/>
        <v>1.4456</v>
      </c>
      <c r="O2763" s="13">
        <v>44</v>
      </c>
      <c r="P2763" s="13" t="s">
        <v>30</v>
      </c>
      <c r="Q2763" s="13">
        <v>0</v>
      </c>
      <c r="R2763" s="70">
        <f t="shared" ref="R2763" si="594">+L2763*O2763</f>
        <v>1590.16</v>
      </c>
      <c r="S2763" s="70">
        <v>0</v>
      </c>
      <c r="T2763" s="70">
        <f>+L2763*S2763</f>
        <v>0</v>
      </c>
      <c r="U2763" s="70">
        <f>+R2763-T2763</f>
        <v>1590.16</v>
      </c>
      <c r="V2763" s="70">
        <f>+U2763*1</f>
        <v>1590.16</v>
      </c>
      <c r="W2763" s="70">
        <f>+U2763-V2763</f>
        <v>0</v>
      </c>
      <c r="X2763" s="70">
        <v>0</v>
      </c>
      <c r="Y2763" s="14">
        <f t="shared" si="587"/>
        <v>0</v>
      </c>
      <c r="Z2763" s="11" t="s">
        <v>26</v>
      </c>
      <c r="AA2763" s="12" t="s">
        <v>31</v>
      </c>
    </row>
    <row r="2764" spans="1:27" x14ac:dyDescent="0.25">
      <c r="A2764" s="10">
        <v>45698</v>
      </c>
      <c r="B2764" s="69">
        <v>0.12392361111111111</v>
      </c>
      <c r="C2764" s="11" t="s">
        <v>5140</v>
      </c>
      <c r="D2764" s="11">
        <v>17300</v>
      </c>
      <c r="E2764" s="11" t="s">
        <v>236</v>
      </c>
      <c r="F2764" s="11" t="s">
        <v>26</v>
      </c>
      <c r="G2764" s="11">
        <v>1605</v>
      </c>
      <c r="H2764" s="12" t="s">
        <v>45</v>
      </c>
      <c r="I2764" s="12" t="s">
        <v>27</v>
      </c>
      <c r="J2764" s="12" t="s">
        <v>47</v>
      </c>
      <c r="K2764" s="12" t="s">
        <v>48</v>
      </c>
      <c r="L2764" s="13">
        <v>38.46</v>
      </c>
      <c r="M2764" s="13">
        <v>25</v>
      </c>
      <c r="N2764" s="13">
        <f t="shared" si="557"/>
        <v>1.5384</v>
      </c>
      <c r="O2764" s="13" t="s">
        <v>30</v>
      </c>
      <c r="P2764" s="13">
        <v>58</v>
      </c>
      <c r="Q2764" s="13">
        <v>0</v>
      </c>
      <c r="R2764" s="70">
        <f>M2764*P2764</f>
        <v>1450</v>
      </c>
      <c r="S2764" s="70">
        <v>0</v>
      </c>
      <c r="T2764" s="70">
        <f>M2764*S2764</f>
        <v>0</v>
      </c>
      <c r="U2764" s="70">
        <f>R2764-T2764</f>
        <v>1450</v>
      </c>
      <c r="V2764" s="70">
        <f>U2764*0</f>
        <v>0</v>
      </c>
      <c r="W2764" s="70">
        <f>U2764-V2764</f>
        <v>1450</v>
      </c>
      <c r="X2764" s="70">
        <v>0</v>
      </c>
      <c r="Y2764" s="14">
        <f t="shared" si="587"/>
        <v>0</v>
      </c>
      <c r="Z2764" s="11" t="s">
        <v>26</v>
      </c>
      <c r="AA2764" s="12" t="s">
        <v>31</v>
      </c>
    </row>
    <row r="2765" spans="1:27" x14ac:dyDescent="0.25">
      <c r="A2765" s="10">
        <v>45698</v>
      </c>
      <c r="B2765" s="69">
        <v>4.2592592592592515E-2</v>
      </c>
      <c r="C2765" s="11" t="s">
        <v>5141</v>
      </c>
      <c r="D2765" s="11">
        <v>17301</v>
      </c>
      <c r="E2765" s="11" t="s">
        <v>69</v>
      </c>
      <c r="F2765" s="11" t="s">
        <v>26</v>
      </c>
      <c r="G2765" s="11" t="s">
        <v>26</v>
      </c>
      <c r="H2765" s="12" t="s">
        <v>146</v>
      </c>
      <c r="I2765" s="12" t="s">
        <v>27</v>
      </c>
      <c r="J2765" s="12" t="s">
        <v>33</v>
      </c>
      <c r="K2765" s="12" t="s">
        <v>34</v>
      </c>
      <c r="L2765" s="13">
        <v>43.56</v>
      </c>
      <c r="M2765" s="13">
        <v>30</v>
      </c>
      <c r="N2765" s="13">
        <f t="shared" si="557"/>
        <v>1.4520000000000002</v>
      </c>
      <c r="O2765" s="13">
        <v>91</v>
      </c>
      <c r="P2765" s="13" t="s">
        <v>30</v>
      </c>
      <c r="Q2765" s="13">
        <v>0</v>
      </c>
      <c r="R2765" s="70">
        <f>+L2765*O2765</f>
        <v>3963.96</v>
      </c>
      <c r="S2765" s="70">
        <v>40</v>
      </c>
      <c r="T2765" s="70">
        <f>L2765*S2765</f>
        <v>1742.4</v>
      </c>
      <c r="U2765" s="70">
        <f t="shared" ref="U2765" si="595">R2765-T2765</f>
        <v>2221.56</v>
      </c>
      <c r="V2765" s="70">
        <f>U2765*1</f>
        <v>2221.56</v>
      </c>
      <c r="W2765" s="70">
        <f t="shared" ref="W2765" si="596">U2765-V2765</f>
        <v>0</v>
      </c>
      <c r="X2765" s="70">
        <f>L2765*36</f>
        <v>1568.16</v>
      </c>
      <c r="Y2765" s="71">
        <f>+T2765-X2765</f>
        <v>174.24</v>
      </c>
      <c r="Z2765" s="12" t="s">
        <v>70</v>
      </c>
      <c r="AA2765" s="12" t="s">
        <v>79</v>
      </c>
    </row>
    <row r="2766" spans="1:27" x14ac:dyDescent="0.25">
      <c r="A2766" s="10">
        <v>45698</v>
      </c>
      <c r="B2766" s="69">
        <v>1.2708333333333321E-2</v>
      </c>
      <c r="C2766" s="11" t="s">
        <v>5142</v>
      </c>
      <c r="D2766" s="11">
        <v>17302</v>
      </c>
      <c r="E2766" s="11" t="s">
        <v>3938</v>
      </c>
      <c r="F2766" s="11" t="s">
        <v>26</v>
      </c>
      <c r="G2766" s="11" t="s">
        <v>35</v>
      </c>
      <c r="H2766" s="12" t="s">
        <v>36</v>
      </c>
      <c r="I2766" s="12" t="s">
        <v>55</v>
      </c>
      <c r="J2766" s="12" t="s">
        <v>55</v>
      </c>
      <c r="K2766" s="12" t="s">
        <v>56</v>
      </c>
      <c r="L2766" s="13">
        <v>9.58</v>
      </c>
      <c r="M2766" s="13">
        <v>6</v>
      </c>
      <c r="N2766" s="13">
        <f t="shared" si="557"/>
        <v>1.5966666666666667</v>
      </c>
      <c r="O2766" s="13">
        <v>20</v>
      </c>
      <c r="P2766" s="13" t="s">
        <v>30</v>
      </c>
      <c r="Q2766" s="13">
        <v>0</v>
      </c>
      <c r="R2766" s="70">
        <f>(L2766*O2766)-Q2766</f>
        <v>191.6</v>
      </c>
      <c r="S2766" s="70">
        <v>0</v>
      </c>
      <c r="T2766" s="70">
        <f t="shared" ref="T2766" si="597">+L2766*S2766</f>
        <v>0</v>
      </c>
      <c r="U2766" s="70">
        <f t="shared" ref="U2766" si="598">+R2766-T2766</f>
        <v>191.6</v>
      </c>
      <c r="V2766" s="70">
        <f t="shared" ref="V2766" si="599">+U2766*0</f>
        <v>0</v>
      </c>
      <c r="W2766" s="70">
        <f t="shared" ref="W2766" si="600">+U2766-V2766</f>
        <v>191.6</v>
      </c>
      <c r="X2766" s="70">
        <v>0</v>
      </c>
      <c r="Y2766" s="14">
        <f t="shared" ref="Y2766:Y2767" si="601">T2766-X2766</f>
        <v>0</v>
      </c>
      <c r="Z2766" s="11" t="s">
        <v>26</v>
      </c>
      <c r="AA2766" s="12" t="s">
        <v>31</v>
      </c>
    </row>
    <row r="2767" spans="1:27" x14ac:dyDescent="0.25">
      <c r="A2767" s="10">
        <v>45698</v>
      </c>
      <c r="B2767" s="69">
        <v>1.2210648148148096E-2</v>
      </c>
      <c r="C2767" s="11" t="s">
        <v>5143</v>
      </c>
      <c r="D2767" s="11">
        <v>17303</v>
      </c>
      <c r="E2767" s="11" t="s">
        <v>75</v>
      </c>
      <c r="F2767" s="11" t="s">
        <v>26</v>
      </c>
      <c r="G2767" s="11">
        <v>42048</v>
      </c>
      <c r="H2767" s="12" t="s">
        <v>565</v>
      </c>
      <c r="I2767" s="12" t="s">
        <v>55</v>
      </c>
      <c r="J2767" s="12" t="s">
        <v>566</v>
      </c>
      <c r="K2767" s="12" t="s">
        <v>550</v>
      </c>
      <c r="L2767" s="13">
        <v>43.4</v>
      </c>
      <c r="M2767" s="13">
        <v>25</v>
      </c>
      <c r="N2767" s="13">
        <f t="shared" si="557"/>
        <v>1.736</v>
      </c>
      <c r="O2767" s="13">
        <v>25</v>
      </c>
      <c r="P2767" s="13" t="s">
        <v>30</v>
      </c>
      <c r="Q2767" s="13">
        <v>0</v>
      </c>
      <c r="R2767" s="70">
        <f t="shared" ref="R2767" si="602">L2767*O2767</f>
        <v>1085</v>
      </c>
      <c r="S2767" s="70">
        <v>0</v>
      </c>
      <c r="T2767" s="70">
        <f t="shared" ref="T2767" si="603">L2767*S2767</f>
        <v>0</v>
      </c>
      <c r="U2767" s="70">
        <f t="shared" ref="U2767" si="604">R2767-T2767</f>
        <v>1085</v>
      </c>
      <c r="V2767" s="70">
        <f>U2767*0</f>
        <v>0</v>
      </c>
      <c r="W2767" s="70">
        <f t="shared" ref="W2767" si="605">U2767-V2767</f>
        <v>1085</v>
      </c>
      <c r="X2767" s="70">
        <v>0</v>
      </c>
      <c r="Y2767" s="14">
        <f t="shared" si="601"/>
        <v>0</v>
      </c>
      <c r="Z2767" s="11" t="s">
        <v>26</v>
      </c>
      <c r="AA2767" s="12" t="s">
        <v>31</v>
      </c>
    </row>
    <row r="2768" spans="1:27" x14ac:dyDescent="0.25">
      <c r="A2768" s="10">
        <v>45698</v>
      </c>
      <c r="B2768" s="69">
        <v>1.3101851851851865E-2</v>
      </c>
      <c r="C2768" s="11" t="s">
        <v>5144</v>
      </c>
      <c r="D2768" s="11">
        <v>17304</v>
      </c>
      <c r="E2768" s="11" t="s">
        <v>1200</v>
      </c>
      <c r="F2768" s="11" t="s">
        <v>26</v>
      </c>
      <c r="G2768" s="11">
        <v>2960</v>
      </c>
      <c r="H2768" s="12" t="s">
        <v>163</v>
      </c>
      <c r="I2768" s="12" t="s">
        <v>55</v>
      </c>
      <c r="J2768" s="12" t="s">
        <v>566</v>
      </c>
      <c r="K2768" s="12" t="s">
        <v>550</v>
      </c>
      <c r="L2768" s="13">
        <v>43.32</v>
      </c>
      <c r="M2768" s="13">
        <v>25</v>
      </c>
      <c r="N2768" s="13">
        <f t="shared" si="557"/>
        <v>1.7328000000000001</v>
      </c>
      <c r="O2768" s="13">
        <v>25</v>
      </c>
      <c r="P2768" s="13"/>
      <c r="Q2768" s="13">
        <v>0</v>
      </c>
      <c r="R2768" s="70">
        <f>L2768*O2768</f>
        <v>1083</v>
      </c>
      <c r="S2768" s="70">
        <v>0</v>
      </c>
      <c r="T2768" s="70">
        <f>L2768*S2768</f>
        <v>0</v>
      </c>
      <c r="U2768" s="70">
        <f>R2768-T2768</f>
        <v>1083</v>
      </c>
      <c r="V2768" s="70">
        <f>U2768*0</f>
        <v>0</v>
      </c>
      <c r="W2768" s="70">
        <f>U2768-V2768</f>
        <v>1083</v>
      </c>
      <c r="X2768" s="70">
        <f>L2768*0</f>
        <v>0</v>
      </c>
      <c r="Y2768" s="14">
        <f>T2768-X2768</f>
        <v>0</v>
      </c>
      <c r="Z2768" s="11" t="s">
        <v>26</v>
      </c>
      <c r="AA2768" s="12" t="s">
        <v>31</v>
      </c>
    </row>
    <row r="2769" spans="1:27" x14ac:dyDescent="0.25">
      <c r="A2769" s="10">
        <v>45698</v>
      </c>
      <c r="B2769" s="69">
        <v>1.7083333333333339E-2</v>
      </c>
      <c r="C2769" s="11" t="s">
        <v>5145</v>
      </c>
      <c r="D2769" s="11">
        <v>17305</v>
      </c>
      <c r="E2769" s="11" t="s">
        <v>539</v>
      </c>
      <c r="F2769" s="11" t="s">
        <v>26</v>
      </c>
      <c r="G2769" s="11">
        <v>3363</v>
      </c>
      <c r="H2769" s="12" t="s">
        <v>41</v>
      </c>
      <c r="I2769" s="12" t="s">
        <v>27</v>
      </c>
      <c r="J2769" s="12" t="s">
        <v>28</v>
      </c>
      <c r="K2769" s="12" t="s">
        <v>29</v>
      </c>
      <c r="L2769" s="13">
        <v>37.880000000000003</v>
      </c>
      <c r="M2769" s="13">
        <v>25</v>
      </c>
      <c r="N2769" s="13">
        <f t="shared" si="557"/>
        <v>1.5152000000000001</v>
      </c>
      <c r="O2769" s="13" t="s">
        <v>30</v>
      </c>
      <c r="P2769" s="13">
        <v>40.5</v>
      </c>
      <c r="Q2769" s="13">
        <v>0</v>
      </c>
      <c r="R2769" s="70">
        <f>M2769*P2769</f>
        <v>1012.5</v>
      </c>
      <c r="S2769" s="70">
        <v>0</v>
      </c>
      <c r="T2769" s="70">
        <f>M2769*S2769</f>
        <v>0</v>
      </c>
      <c r="U2769" s="70">
        <f>+R2769-T2769</f>
        <v>1012.5</v>
      </c>
      <c r="V2769" s="70">
        <f t="shared" ref="V2769:V2770" si="606">+U2769*0</f>
        <v>0</v>
      </c>
      <c r="W2769" s="70">
        <f>+U2769-V2769</f>
        <v>1012.5</v>
      </c>
      <c r="X2769" s="70">
        <v>0</v>
      </c>
      <c r="Y2769" s="14">
        <f t="shared" ref="Y2769:Y2770" si="607">T2769-X2769</f>
        <v>0</v>
      </c>
      <c r="Z2769" s="11" t="s">
        <v>26</v>
      </c>
      <c r="AA2769" s="12" t="s">
        <v>31</v>
      </c>
    </row>
    <row r="2770" spans="1:27" x14ac:dyDescent="0.25">
      <c r="A2770" s="10">
        <v>45698</v>
      </c>
      <c r="B2770" s="69">
        <v>4.3715277777777728E-2</v>
      </c>
      <c r="C2770" s="11" t="s">
        <v>5146</v>
      </c>
      <c r="D2770" s="11">
        <v>17306</v>
      </c>
      <c r="E2770" s="11" t="s">
        <v>98</v>
      </c>
      <c r="F2770" s="11" t="s">
        <v>26</v>
      </c>
      <c r="G2770" s="11">
        <v>10721</v>
      </c>
      <c r="H2770" s="12" t="s">
        <v>140</v>
      </c>
      <c r="I2770" s="12" t="s">
        <v>27</v>
      </c>
      <c r="J2770" s="12" t="s">
        <v>42</v>
      </c>
      <c r="K2770" s="12" t="s">
        <v>43</v>
      </c>
      <c r="L2770" s="13">
        <v>43.16</v>
      </c>
      <c r="M2770" s="13">
        <v>25</v>
      </c>
      <c r="N2770" s="13">
        <f t="shared" si="557"/>
        <v>1.7263999999999999</v>
      </c>
      <c r="O2770" s="13">
        <v>35</v>
      </c>
      <c r="P2770" s="13"/>
      <c r="Q2770" s="13">
        <v>0</v>
      </c>
      <c r="R2770" s="70">
        <f>+L2770*O2770</f>
        <v>1510.6</v>
      </c>
      <c r="S2770" s="70">
        <v>0</v>
      </c>
      <c r="T2770" s="70">
        <f>+L2770*S2770</f>
        <v>0</v>
      </c>
      <c r="U2770" s="70">
        <f>+R2770-T2770</f>
        <v>1510.6</v>
      </c>
      <c r="V2770" s="70">
        <f t="shared" si="606"/>
        <v>0</v>
      </c>
      <c r="W2770" s="70">
        <f>+U2770-V2770</f>
        <v>1510.6</v>
      </c>
      <c r="X2770" s="70">
        <v>0</v>
      </c>
      <c r="Y2770" s="14">
        <f t="shared" si="607"/>
        <v>0</v>
      </c>
      <c r="Z2770" s="11" t="s">
        <v>26</v>
      </c>
      <c r="AA2770" s="12" t="s">
        <v>31</v>
      </c>
    </row>
    <row r="2771" spans="1:27" x14ac:dyDescent="0.25">
      <c r="A2771" s="10">
        <v>45698</v>
      </c>
      <c r="B2771" s="69">
        <v>6.7083333333333384E-2</v>
      </c>
      <c r="C2771" s="11" t="s">
        <v>5147</v>
      </c>
      <c r="D2771" s="11">
        <v>17307</v>
      </c>
      <c r="E2771" s="11" t="s">
        <v>50</v>
      </c>
      <c r="F2771" s="11" t="s">
        <v>26</v>
      </c>
      <c r="G2771" s="11">
        <v>942</v>
      </c>
      <c r="H2771" s="12" t="s">
        <v>163</v>
      </c>
      <c r="I2771" s="12" t="s">
        <v>55</v>
      </c>
      <c r="J2771" s="12" t="s">
        <v>566</v>
      </c>
      <c r="K2771" s="12" t="s">
        <v>550</v>
      </c>
      <c r="L2771" s="13">
        <v>40.56</v>
      </c>
      <c r="M2771" s="13">
        <v>25</v>
      </c>
      <c r="N2771" s="13">
        <f t="shared" si="557"/>
        <v>1.6224000000000001</v>
      </c>
      <c r="O2771" s="13">
        <v>25</v>
      </c>
      <c r="P2771" s="13"/>
      <c r="Q2771" s="13">
        <v>0</v>
      </c>
      <c r="R2771" s="70">
        <f>L2771*O2771</f>
        <v>1014</v>
      </c>
      <c r="S2771" s="70">
        <v>0</v>
      </c>
      <c r="T2771" s="70">
        <f>L2771*S2771</f>
        <v>0</v>
      </c>
      <c r="U2771" s="70">
        <f>R2771-T2771</f>
        <v>1014</v>
      </c>
      <c r="V2771" s="70">
        <f>U2771*0</f>
        <v>0</v>
      </c>
      <c r="W2771" s="70">
        <f>U2771-V2771</f>
        <v>1014</v>
      </c>
      <c r="X2771" s="70">
        <f>L2771*0</f>
        <v>0</v>
      </c>
      <c r="Y2771" s="14">
        <f>T2771-X2771</f>
        <v>0</v>
      </c>
      <c r="Z2771" s="11" t="s">
        <v>26</v>
      </c>
      <c r="AA2771" s="12" t="s">
        <v>31</v>
      </c>
    </row>
    <row r="2772" spans="1:27" x14ac:dyDescent="0.25">
      <c r="A2772" s="10">
        <v>45698</v>
      </c>
      <c r="B2772" s="69">
        <v>7.3495370370371127E-3</v>
      </c>
      <c r="C2772" s="11" t="s">
        <v>5148</v>
      </c>
      <c r="D2772" s="11">
        <v>17308</v>
      </c>
      <c r="E2772" s="11" t="s">
        <v>3938</v>
      </c>
      <c r="F2772" s="11" t="s">
        <v>26</v>
      </c>
      <c r="G2772" s="11" t="s">
        <v>35</v>
      </c>
      <c r="H2772" s="12" t="s">
        <v>36</v>
      </c>
      <c r="I2772" s="12" t="s">
        <v>55</v>
      </c>
      <c r="J2772" s="12" t="s">
        <v>55</v>
      </c>
      <c r="K2772" s="12" t="s">
        <v>56</v>
      </c>
      <c r="L2772" s="13">
        <v>10.039999999999999</v>
      </c>
      <c r="M2772" s="13">
        <v>7</v>
      </c>
      <c r="N2772" s="13">
        <f t="shared" si="557"/>
        <v>1.4342857142857142</v>
      </c>
      <c r="O2772" s="13">
        <v>20</v>
      </c>
      <c r="P2772" s="13" t="s">
        <v>30</v>
      </c>
      <c r="Q2772" s="13">
        <v>0</v>
      </c>
      <c r="R2772" s="70">
        <f>(L2772*O2772)-Q2772</f>
        <v>200.79999999999998</v>
      </c>
      <c r="S2772" s="70">
        <v>0</v>
      </c>
      <c r="T2772" s="70">
        <f t="shared" ref="T2772" si="608">+L2772*S2772</f>
        <v>0</v>
      </c>
      <c r="U2772" s="70">
        <f t="shared" ref="U2772" si="609">+R2772-T2772</f>
        <v>200.79999999999998</v>
      </c>
      <c r="V2772" s="70">
        <f t="shared" ref="V2772:V2773" si="610">+U2772*0</f>
        <v>0</v>
      </c>
      <c r="W2772" s="70">
        <f t="shared" ref="W2772" si="611">+U2772-V2772</f>
        <v>200.79999999999998</v>
      </c>
      <c r="X2772" s="70">
        <v>0</v>
      </c>
      <c r="Y2772" s="14">
        <f t="shared" ref="Y2772:Y2774" si="612">T2772-X2772</f>
        <v>0</v>
      </c>
      <c r="Z2772" s="11" t="s">
        <v>26</v>
      </c>
      <c r="AA2772" s="12" t="s">
        <v>31</v>
      </c>
    </row>
    <row r="2773" spans="1:27" x14ac:dyDescent="0.25">
      <c r="A2773" s="10">
        <v>45698</v>
      </c>
      <c r="B2773" s="69">
        <v>9.3252314814814774E-2</v>
      </c>
      <c r="C2773" s="11" t="s">
        <v>5149</v>
      </c>
      <c r="D2773" s="11">
        <v>17309</v>
      </c>
      <c r="E2773" s="11" t="s">
        <v>2109</v>
      </c>
      <c r="F2773" s="11" t="s">
        <v>26</v>
      </c>
      <c r="G2773" s="11">
        <v>10622</v>
      </c>
      <c r="H2773" s="12" t="s">
        <v>140</v>
      </c>
      <c r="I2773" s="12" t="s">
        <v>27</v>
      </c>
      <c r="J2773" s="12" t="s">
        <v>33</v>
      </c>
      <c r="K2773" s="12" t="s">
        <v>34</v>
      </c>
      <c r="L2773" s="13">
        <v>41.96</v>
      </c>
      <c r="M2773" s="13">
        <v>29</v>
      </c>
      <c r="N2773" s="13">
        <f t="shared" si="557"/>
        <v>1.4468965517241379</v>
      </c>
      <c r="O2773" s="13">
        <v>40</v>
      </c>
      <c r="P2773" s="13"/>
      <c r="Q2773" s="13">
        <v>0</v>
      </c>
      <c r="R2773" s="70">
        <f>+L2773*O2773</f>
        <v>1678.4</v>
      </c>
      <c r="S2773" s="70">
        <v>0</v>
      </c>
      <c r="T2773" s="70">
        <f>+L2773*S2773</f>
        <v>0</v>
      </c>
      <c r="U2773" s="70">
        <f>+R2773-T2773</f>
        <v>1678.4</v>
      </c>
      <c r="V2773" s="70">
        <f t="shared" si="610"/>
        <v>0</v>
      </c>
      <c r="W2773" s="70">
        <f>+U2773-V2773</f>
        <v>1678.4</v>
      </c>
      <c r="X2773" s="70">
        <v>0</v>
      </c>
      <c r="Y2773" s="14">
        <f t="shared" si="612"/>
        <v>0</v>
      </c>
      <c r="Z2773" s="11" t="s">
        <v>26</v>
      </c>
      <c r="AA2773" s="12" t="s">
        <v>31</v>
      </c>
    </row>
    <row r="2774" spans="1:27" x14ac:dyDescent="0.25">
      <c r="A2774" s="10">
        <v>45698</v>
      </c>
      <c r="B2774" s="69">
        <v>1.547453703703694E-2</v>
      </c>
      <c r="C2774" s="11" t="s">
        <v>5150</v>
      </c>
      <c r="D2774" s="11">
        <v>17310</v>
      </c>
      <c r="E2774" s="11" t="s">
        <v>67</v>
      </c>
      <c r="F2774" s="11" t="s">
        <v>26</v>
      </c>
      <c r="G2774" s="11">
        <v>1638</v>
      </c>
      <c r="H2774" s="12" t="s">
        <v>66</v>
      </c>
      <c r="I2774" s="12" t="s">
        <v>37</v>
      </c>
      <c r="J2774" s="12" t="s">
        <v>1909</v>
      </c>
      <c r="K2774" s="12" t="s">
        <v>82</v>
      </c>
      <c r="L2774" s="13">
        <v>41.58</v>
      </c>
      <c r="M2774" s="13">
        <v>25</v>
      </c>
      <c r="N2774" s="13">
        <f t="shared" si="557"/>
        <v>1.6632</v>
      </c>
      <c r="O2774" s="13" t="s">
        <v>30</v>
      </c>
      <c r="P2774" s="13">
        <v>54</v>
      </c>
      <c r="Q2774" s="13">
        <v>0</v>
      </c>
      <c r="R2774" s="70">
        <f>M2774*P2774</f>
        <v>1350</v>
      </c>
      <c r="S2774" s="70">
        <v>0</v>
      </c>
      <c r="T2774" s="70">
        <f>M2774*S2774</f>
        <v>0</v>
      </c>
      <c r="U2774" s="70">
        <f t="shared" ref="U2774:U2775" si="613">R2774-T2774</f>
        <v>1350</v>
      </c>
      <c r="V2774" s="70">
        <f>U2774*1</f>
        <v>1350</v>
      </c>
      <c r="W2774" s="70">
        <f>U2774-V2774</f>
        <v>0</v>
      </c>
      <c r="X2774" s="70">
        <v>0</v>
      </c>
      <c r="Y2774" s="14">
        <f t="shared" si="612"/>
        <v>0</v>
      </c>
      <c r="Z2774" s="11" t="s">
        <v>26</v>
      </c>
      <c r="AA2774" s="12" t="s">
        <v>31</v>
      </c>
    </row>
    <row r="2775" spans="1:27" x14ac:dyDescent="0.25">
      <c r="A2775" s="10">
        <v>45698</v>
      </c>
      <c r="B2775" s="69">
        <v>9.3564814814814712E-2</v>
      </c>
      <c r="C2775" s="11" t="s">
        <v>5151</v>
      </c>
      <c r="D2775" s="11">
        <v>17311</v>
      </c>
      <c r="E2775" s="11" t="s">
        <v>113</v>
      </c>
      <c r="F2775" s="11" t="s">
        <v>26</v>
      </c>
      <c r="G2775" s="11" t="s">
        <v>26</v>
      </c>
      <c r="H2775" s="12" t="s">
        <v>4424</v>
      </c>
      <c r="I2775" s="12" t="s">
        <v>27</v>
      </c>
      <c r="J2775" s="12" t="s">
        <v>47</v>
      </c>
      <c r="K2775" s="12" t="s">
        <v>48</v>
      </c>
      <c r="L2775" s="13">
        <v>28.36</v>
      </c>
      <c r="M2775" s="13">
        <v>20</v>
      </c>
      <c r="N2775" s="13">
        <f t="shared" si="557"/>
        <v>1.4179999999999999</v>
      </c>
      <c r="O2775" s="13">
        <v>90</v>
      </c>
      <c r="P2775" s="13" t="s">
        <v>30</v>
      </c>
      <c r="Q2775" s="13">
        <v>0</v>
      </c>
      <c r="R2775" s="70">
        <f>L2775*O2775</f>
        <v>2552.4</v>
      </c>
      <c r="S2775" s="70">
        <v>41</v>
      </c>
      <c r="T2775" s="70">
        <f>+L2775*S2775</f>
        <v>1162.76</v>
      </c>
      <c r="U2775" s="70">
        <f t="shared" si="613"/>
        <v>1389.64</v>
      </c>
      <c r="V2775" s="70">
        <f>U2775*1</f>
        <v>1389.64</v>
      </c>
      <c r="W2775" s="70">
        <f t="shared" ref="W2775" si="614">U2775-V2775</f>
        <v>0</v>
      </c>
      <c r="X2775" s="16">
        <f>L2775*40</f>
        <v>1134.4000000000001</v>
      </c>
      <c r="Y2775" s="71">
        <f t="shared" ref="Y2775" si="615">+T2775-X2775</f>
        <v>28.3599999999999</v>
      </c>
      <c r="Z2775" s="12" t="s">
        <v>6328</v>
      </c>
      <c r="AA2775" s="12" t="s">
        <v>746</v>
      </c>
    </row>
    <row r="2776" spans="1:27" x14ac:dyDescent="0.25">
      <c r="A2776" s="10">
        <v>45698</v>
      </c>
      <c r="B2776" s="69">
        <v>0.14287037037037031</v>
      </c>
      <c r="C2776" s="11" t="s">
        <v>5152</v>
      </c>
      <c r="D2776" s="11">
        <v>17312</v>
      </c>
      <c r="E2776" s="11" t="s">
        <v>97</v>
      </c>
      <c r="F2776" s="11" t="s">
        <v>26</v>
      </c>
      <c r="G2776" s="11">
        <v>9856</v>
      </c>
      <c r="H2776" s="12" t="s">
        <v>4447</v>
      </c>
      <c r="I2776" s="12" t="s">
        <v>27</v>
      </c>
      <c r="J2776" s="12" t="s">
        <v>47</v>
      </c>
      <c r="K2776" s="12" t="s">
        <v>48</v>
      </c>
      <c r="L2776" s="13">
        <v>18.559999999999999</v>
      </c>
      <c r="M2776" s="13">
        <v>12</v>
      </c>
      <c r="N2776" s="13">
        <f t="shared" si="557"/>
        <v>1.5466666666666666</v>
      </c>
      <c r="O2776" s="13" t="s">
        <v>30</v>
      </c>
      <c r="P2776" s="13">
        <v>63</v>
      </c>
      <c r="Q2776" s="13">
        <v>0</v>
      </c>
      <c r="R2776" s="70">
        <f>+M2776*P2776</f>
        <v>756</v>
      </c>
      <c r="S2776" s="70">
        <v>0</v>
      </c>
      <c r="T2776" s="70">
        <f>+M2776*S2776</f>
        <v>0</v>
      </c>
      <c r="U2776" s="70">
        <f t="shared" ref="U2776" si="616">+R2776-T2776</f>
        <v>756</v>
      </c>
      <c r="V2776" s="70">
        <f>+U2776*1</f>
        <v>756</v>
      </c>
      <c r="W2776" s="70">
        <f t="shared" ref="W2776" si="617">+U2776-V2776</f>
        <v>0</v>
      </c>
      <c r="X2776" s="70">
        <v>0</v>
      </c>
      <c r="Y2776" s="14">
        <f t="shared" ref="Y2776:Y2798" si="618">T2776-X2776</f>
        <v>0</v>
      </c>
      <c r="Z2776" s="11" t="s">
        <v>26</v>
      </c>
      <c r="AA2776" s="12" t="s">
        <v>31</v>
      </c>
    </row>
    <row r="2777" spans="1:27" x14ac:dyDescent="0.25">
      <c r="A2777" s="10">
        <v>45698</v>
      </c>
      <c r="B2777" s="69">
        <v>8.0787037037035603E-3</v>
      </c>
      <c r="C2777" s="11" t="s">
        <v>5153</v>
      </c>
      <c r="D2777" s="11">
        <v>17313</v>
      </c>
      <c r="E2777" s="11" t="s">
        <v>230</v>
      </c>
      <c r="F2777" s="11" t="s">
        <v>26</v>
      </c>
      <c r="G2777" s="11">
        <v>26204</v>
      </c>
      <c r="H2777" s="12" t="s">
        <v>565</v>
      </c>
      <c r="I2777" s="12" t="s">
        <v>55</v>
      </c>
      <c r="J2777" s="12" t="s">
        <v>566</v>
      </c>
      <c r="K2777" s="12" t="s">
        <v>550</v>
      </c>
      <c r="L2777" s="13">
        <v>42.24</v>
      </c>
      <c r="M2777" s="13">
        <v>25</v>
      </c>
      <c r="N2777" s="13">
        <f t="shared" si="557"/>
        <v>1.6896</v>
      </c>
      <c r="O2777" s="13">
        <v>25</v>
      </c>
      <c r="P2777" s="13" t="s">
        <v>30</v>
      </c>
      <c r="Q2777" s="13">
        <v>0</v>
      </c>
      <c r="R2777" s="70">
        <f t="shared" ref="R2777" si="619">L2777*O2777</f>
        <v>1056</v>
      </c>
      <c r="S2777" s="70">
        <v>0</v>
      </c>
      <c r="T2777" s="70">
        <f t="shared" ref="T2777" si="620">L2777*S2777</f>
        <v>0</v>
      </c>
      <c r="U2777" s="70">
        <f t="shared" ref="U2777" si="621">R2777-T2777</f>
        <v>1056</v>
      </c>
      <c r="V2777" s="70">
        <f>U2777*0</f>
        <v>0</v>
      </c>
      <c r="W2777" s="70">
        <f t="shared" ref="W2777" si="622">U2777-V2777</f>
        <v>1056</v>
      </c>
      <c r="X2777" s="70">
        <v>0</v>
      </c>
      <c r="Y2777" s="14">
        <f t="shared" si="618"/>
        <v>0</v>
      </c>
      <c r="Z2777" s="11" t="s">
        <v>26</v>
      </c>
      <c r="AA2777" s="12" t="s">
        <v>31</v>
      </c>
    </row>
    <row r="2778" spans="1:27" x14ac:dyDescent="0.25">
      <c r="A2778" s="10">
        <v>45698</v>
      </c>
      <c r="B2778" s="69">
        <v>0.1262847222222222</v>
      </c>
      <c r="C2778" s="11" t="s">
        <v>5154</v>
      </c>
      <c r="D2778" s="11">
        <v>17314</v>
      </c>
      <c r="E2778" s="11" t="s">
        <v>224</v>
      </c>
      <c r="F2778" s="11" t="s">
        <v>26</v>
      </c>
      <c r="G2778" s="11">
        <v>3210</v>
      </c>
      <c r="H2778" s="12" t="s">
        <v>4423</v>
      </c>
      <c r="I2778" s="12" t="s">
        <v>27</v>
      </c>
      <c r="J2778" s="12" t="s">
        <v>33</v>
      </c>
      <c r="K2778" s="12" t="s">
        <v>34</v>
      </c>
      <c r="L2778" s="13">
        <v>35.96</v>
      </c>
      <c r="M2778" s="13">
        <v>25</v>
      </c>
      <c r="N2778" s="13">
        <f t="shared" si="557"/>
        <v>1.4384000000000001</v>
      </c>
      <c r="O2778" s="13">
        <v>45</v>
      </c>
      <c r="P2778" s="13" t="s">
        <v>30</v>
      </c>
      <c r="Q2778" s="13">
        <v>0</v>
      </c>
      <c r="R2778" s="70">
        <f>+L2778*O2778</f>
        <v>1618.2</v>
      </c>
      <c r="S2778" s="70">
        <v>0</v>
      </c>
      <c r="T2778" s="70">
        <f>+L2778*S2778</f>
        <v>0</v>
      </c>
      <c r="U2778" s="70">
        <f t="shared" ref="U2778:U2779" si="623">+R2778-T2778</f>
        <v>1618.2</v>
      </c>
      <c r="V2778" s="70">
        <f>+U2778*1</f>
        <v>1618.2</v>
      </c>
      <c r="W2778" s="70">
        <f t="shared" ref="W2778:W2779" si="624">+U2778-V2778</f>
        <v>0</v>
      </c>
      <c r="X2778" s="70">
        <v>0</v>
      </c>
      <c r="Y2778" s="14">
        <f t="shared" si="618"/>
        <v>0</v>
      </c>
      <c r="Z2778" s="11" t="s">
        <v>26</v>
      </c>
      <c r="AA2778" s="12" t="s">
        <v>31</v>
      </c>
    </row>
    <row r="2779" spans="1:27" x14ac:dyDescent="0.25">
      <c r="A2779" s="10">
        <v>45698</v>
      </c>
      <c r="B2779" s="69">
        <v>7.2685185185183965E-3</v>
      </c>
      <c r="C2779" s="11" t="s">
        <v>5155</v>
      </c>
      <c r="D2779" s="11">
        <v>17315</v>
      </c>
      <c r="E2779" s="11" t="s">
        <v>74</v>
      </c>
      <c r="F2779" s="11" t="s">
        <v>26</v>
      </c>
      <c r="G2779" s="11">
        <v>1328</v>
      </c>
      <c r="H2779" s="12" t="s">
        <v>70</v>
      </c>
      <c r="I2779" s="12" t="s">
        <v>27</v>
      </c>
      <c r="J2779" s="12" t="s">
        <v>42</v>
      </c>
      <c r="K2779" s="12" t="s">
        <v>43</v>
      </c>
      <c r="L2779" s="13">
        <v>42.96</v>
      </c>
      <c r="M2779" s="13">
        <v>25</v>
      </c>
      <c r="N2779" s="13">
        <f t="shared" si="557"/>
        <v>1.7183999999999999</v>
      </c>
      <c r="O2779" s="13" t="s">
        <v>30</v>
      </c>
      <c r="P2779" s="13">
        <v>64</v>
      </c>
      <c r="Q2779" s="13">
        <v>0</v>
      </c>
      <c r="R2779" s="70">
        <f>+M2779*P2779</f>
        <v>1600</v>
      </c>
      <c r="S2779" s="70">
        <v>0</v>
      </c>
      <c r="T2779" s="70">
        <f>+M2779*S2779</f>
        <v>0</v>
      </c>
      <c r="U2779" s="70">
        <f t="shared" si="623"/>
        <v>1600</v>
      </c>
      <c r="V2779" s="70">
        <f t="shared" ref="V2779" si="625">+U2779*0</f>
        <v>0</v>
      </c>
      <c r="W2779" s="70">
        <f t="shared" si="624"/>
        <v>1600</v>
      </c>
      <c r="X2779" s="70">
        <v>0</v>
      </c>
      <c r="Y2779" s="14">
        <f t="shared" si="618"/>
        <v>0</v>
      </c>
      <c r="Z2779" s="11" t="s">
        <v>26</v>
      </c>
      <c r="AA2779" s="12" t="s">
        <v>31</v>
      </c>
    </row>
    <row r="2780" spans="1:27" x14ac:dyDescent="0.25">
      <c r="A2780" s="10">
        <v>45698</v>
      </c>
      <c r="B2780" s="69">
        <v>0.12678240740740732</v>
      </c>
      <c r="C2780" s="11" t="s">
        <v>5156</v>
      </c>
      <c r="D2780" s="11">
        <v>17316</v>
      </c>
      <c r="E2780" s="11" t="s">
        <v>322</v>
      </c>
      <c r="F2780" s="11" t="s">
        <v>26</v>
      </c>
      <c r="G2780" s="11">
        <v>112767</v>
      </c>
      <c r="H2780" s="12" t="s">
        <v>4446</v>
      </c>
      <c r="I2780" s="12" t="s">
        <v>27</v>
      </c>
      <c r="J2780" s="12" t="s">
        <v>33</v>
      </c>
      <c r="K2780" s="12" t="s">
        <v>34</v>
      </c>
      <c r="L2780" s="13">
        <v>36.380000000000003</v>
      </c>
      <c r="M2780" s="13">
        <v>25</v>
      </c>
      <c r="N2780" s="13">
        <f t="shared" si="557"/>
        <v>1.4552</v>
      </c>
      <c r="O2780" s="13">
        <v>44</v>
      </c>
      <c r="P2780" s="13" t="s">
        <v>30</v>
      </c>
      <c r="Q2780" s="13">
        <v>0</v>
      </c>
      <c r="R2780" s="70">
        <f t="shared" ref="R2780" si="626">+L2780*O2780</f>
        <v>1600.72</v>
      </c>
      <c r="S2780" s="70">
        <v>0</v>
      </c>
      <c r="T2780" s="70">
        <f>+L2780*S2780</f>
        <v>0</v>
      </c>
      <c r="U2780" s="70">
        <f>+R2780-T2780</f>
        <v>1600.72</v>
      </c>
      <c r="V2780" s="70">
        <f>+U2780*1</f>
        <v>1600.72</v>
      </c>
      <c r="W2780" s="70">
        <f>+U2780-V2780</f>
        <v>0</v>
      </c>
      <c r="X2780" s="70">
        <v>0</v>
      </c>
      <c r="Y2780" s="14">
        <f t="shared" si="618"/>
        <v>0</v>
      </c>
      <c r="Z2780" s="11" t="s">
        <v>26</v>
      </c>
      <c r="AA2780" s="12" t="s">
        <v>31</v>
      </c>
    </row>
    <row r="2781" spans="1:27" x14ac:dyDescent="0.25">
      <c r="A2781" s="10">
        <v>45698</v>
      </c>
      <c r="B2781" s="69">
        <v>6.5949074074074021E-2</v>
      </c>
      <c r="C2781" s="11" t="s">
        <v>5157</v>
      </c>
      <c r="D2781" s="11">
        <v>17317</v>
      </c>
      <c r="E2781" s="11" t="s">
        <v>435</v>
      </c>
      <c r="F2781" s="11" t="s">
        <v>26</v>
      </c>
      <c r="G2781" s="11">
        <v>2776</v>
      </c>
      <c r="H2781" s="12" t="s">
        <v>41</v>
      </c>
      <c r="I2781" s="12" t="s">
        <v>55</v>
      </c>
      <c r="J2781" s="12" t="s">
        <v>566</v>
      </c>
      <c r="K2781" s="12" t="s">
        <v>550</v>
      </c>
      <c r="L2781" s="13">
        <v>43.24</v>
      </c>
      <c r="M2781" s="13">
        <v>25</v>
      </c>
      <c r="N2781" s="13">
        <f t="shared" si="557"/>
        <v>1.7296</v>
      </c>
      <c r="O2781" s="13">
        <v>25</v>
      </c>
      <c r="P2781" s="13"/>
      <c r="Q2781" s="13">
        <v>0</v>
      </c>
      <c r="R2781" s="70">
        <f>L2781*O2781</f>
        <v>1081</v>
      </c>
      <c r="S2781" s="70">
        <v>0</v>
      </c>
      <c r="T2781" s="70">
        <f>L2781*S2781</f>
        <v>0</v>
      </c>
      <c r="U2781" s="70">
        <f>R2781-T2781</f>
        <v>1081</v>
      </c>
      <c r="V2781" s="70">
        <f>U2781*0</f>
        <v>0</v>
      </c>
      <c r="W2781" s="70">
        <f>U2781-V2781</f>
        <v>1081</v>
      </c>
      <c r="X2781" s="70">
        <v>0</v>
      </c>
      <c r="Y2781" s="14">
        <f t="shared" si="618"/>
        <v>0</v>
      </c>
      <c r="Z2781" s="11" t="s">
        <v>26</v>
      </c>
      <c r="AA2781" s="12" t="s">
        <v>31</v>
      </c>
    </row>
    <row r="2782" spans="1:27" x14ac:dyDescent="0.25">
      <c r="A2782" s="10">
        <v>45698</v>
      </c>
      <c r="B2782" s="69">
        <v>1.3622685185185168E-2</v>
      </c>
      <c r="C2782" s="11" t="s">
        <v>5158</v>
      </c>
      <c r="D2782" s="11">
        <v>17318</v>
      </c>
      <c r="E2782" s="11" t="s">
        <v>75</v>
      </c>
      <c r="F2782" s="11" t="s">
        <v>26</v>
      </c>
      <c r="G2782" s="11">
        <v>42049</v>
      </c>
      <c r="H2782" s="12" t="s">
        <v>565</v>
      </c>
      <c r="I2782" s="12" t="s">
        <v>55</v>
      </c>
      <c r="J2782" s="12" t="s">
        <v>566</v>
      </c>
      <c r="K2782" s="12" t="s">
        <v>550</v>
      </c>
      <c r="L2782" s="13">
        <v>43.3</v>
      </c>
      <c r="M2782" s="13">
        <v>25</v>
      </c>
      <c r="N2782" s="13">
        <f t="shared" si="557"/>
        <v>1.732</v>
      </c>
      <c r="O2782" s="13">
        <v>25</v>
      </c>
      <c r="P2782" s="13" t="s">
        <v>30</v>
      </c>
      <c r="Q2782" s="13">
        <v>0</v>
      </c>
      <c r="R2782" s="70">
        <f t="shared" ref="R2782" si="627">L2782*O2782</f>
        <v>1082.5</v>
      </c>
      <c r="S2782" s="70">
        <v>0</v>
      </c>
      <c r="T2782" s="70">
        <f t="shared" ref="T2782" si="628">L2782*S2782</f>
        <v>0</v>
      </c>
      <c r="U2782" s="70">
        <f t="shared" ref="U2782" si="629">R2782-T2782</f>
        <v>1082.5</v>
      </c>
      <c r="V2782" s="70">
        <f>U2782*0</f>
        <v>0</v>
      </c>
      <c r="W2782" s="70">
        <f t="shared" ref="W2782" si="630">U2782-V2782</f>
        <v>1082.5</v>
      </c>
      <c r="X2782" s="70">
        <v>0</v>
      </c>
      <c r="Y2782" s="14">
        <f t="shared" si="618"/>
        <v>0</v>
      </c>
      <c r="Z2782" s="11" t="s">
        <v>26</v>
      </c>
      <c r="AA2782" s="12" t="s">
        <v>31</v>
      </c>
    </row>
    <row r="2783" spans="1:27" x14ac:dyDescent="0.25">
      <c r="A2783" s="10">
        <v>45698</v>
      </c>
      <c r="B2783" s="69">
        <v>5.8530092592592564E-2</v>
      </c>
      <c r="C2783" s="11" t="s">
        <v>5159</v>
      </c>
      <c r="D2783" s="11">
        <v>17319</v>
      </c>
      <c r="E2783" s="11" t="s">
        <v>483</v>
      </c>
      <c r="F2783" s="11" t="s">
        <v>26</v>
      </c>
      <c r="G2783" s="11">
        <v>3594</v>
      </c>
      <c r="H2783" s="12" t="s">
        <v>41</v>
      </c>
      <c r="I2783" s="12" t="s">
        <v>55</v>
      </c>
      <c r="J2783" s="12" t="s">
        <v>566</v>
      </c>
      <c r="K2783" s="12" t="s">
        <v>550</v>
      </c>
      <c r="L2783" s="13">
        <v>41.82</v>
      </c>
      <c r="M2783" s="13">
        <v>25</v>
      </c>
      <c r="N2783" s="13">
        <f t="shared" si="557"/>
        <v>1.6728000000000001</v>
      </c>
      <c r="O2783" s="13">
        <v>25</v>
      </c>
      <c r="P2783" s="13"/>
      <c r="Q2783" s="13">
        <v>0</v>
      </c>
      <c r="R2783" s="70">
        <f>L2783*O2783</f>
        <v>1045.5</v>
      </c>
      <c r="S2783" s="70">
        <v>0</v>
      </c>
      <c r="T2783" s="70">
        <f>L2783*S2783</f>
        <v>0</v>
      </c>
      <c r="U2783" s="70">
        <f>R2783-T2783</f>
        <v>1045.5</v>
      </c>
      <c r="V2783" s="70">
        <f>U2783*0</f>
        <v>0</v>
      </c>
      <c r="W2783" s="70">
        <f>U2783-V2783</f>
        <v>1045.5</v>
      </c>
      <c r="X2783" s="70">
        <v>0</v>
      </c>
      <c r="Y2783" s="14">
        <f t="shared" si="618"/>
        <v>0</v>
      </c>
      <c r="Z2783" s="11" t="s">
        <v>26</v>
      </c>
      <c r="AA2783" s="12" t="s">
        <v>31</v>
      </c>
    </row>
    <row r="2784" spans="1:27" x14ac:dyDescent="0.25">
      <c r="A2784" s="10">
        <v>45698</v>
      </c>
      <c r="B2784" s="69">
        <v>1.0034722222222348E-2</v>
      </c>
      <c r="C2784" s="11" t="s">
        <v>5160</v>
      </c>
      <c r="D2784" s="11">
        <v>17320</v>
      </c>
      <c r="E2784" s="11" t="s">
        <v>651</v>
      </c>
      <c r="F2784" s="11" t="s">
        <v>26</v>
      </c>
      <c r="G2784" s="11" t="s">
        <v>35</v>
      </c>
      <c r="H2784" s="12" t="s">
        <v>36</v>
      </c>
      <c r="I2784" s="12" t="s">
        <v>55</v>
      </c>
      <c r="J2784" s="12" t="s">
        <v>55</v>
      </c>
      <c r="K2784" s="12" t="s">
        <v>56</v>
      </c>
      <c r="L2784" s="13">
        <v>36.1</v>
      </c>
      <c r="M2784" s="13">
        <v>22</v>
      </c>
      <c r="N2784" s="13">
        <f t="shared" si="557"/>
        <v>1.6409090909090909</v>
      </c>
      <c r="O2784" s="13">
        <v>20</v>
      </c>
      <c r="P2784" s="13" t="s">
        <v>30</v>
      </c>
      <c r="Q2784" s="13">
        <v>0</v>
      </c>
      <c r="R2784" s="70">
        <f>(L2784*O2784)-Q2784</f>
        <v>722</v>
      </c>
      <c r="S2784" s="70">
        <v>0</v>
      </c>
      <c r="T2784" s="70">
        <f t="shared" ref="T2784" si="631">+L2784*S2784</f>
        <v>0</v>
      </c>
      <c r="U2784" s="70">
        <f t="shared" ref="U2784" si="632">+R2784-T2784</f>
        <v>722</v>
      </c>
      <c r="V2784" s="70">
        <f t="shared" ref="V2784" si="633">+U2784*0</f>
        <v>0</v>
      </c>
      <c r="W2784" s="70">
        <f t="shared" ref="W2784" si="634">+U2784-V2784</f>
        <v>722</v>
      </c>
      <c r="X2784" s="70">
        <v>0</v>
      </c>
      <c r="Y2784" s="14">
        <f t="shared" si="618"/>
        <v>0</v>
      </c>
      <c r="Z2784" s="11" t="s">
        <v>26</v>
      </c>
      <c r="AA2784" s="12" t="s">
        <v>31</v>
      </c>
    </row>
    <row r="2785" spans="1:27" x14ac:dyDescent="0.25">
      <c r="A2785" s="10">
        <v>45698</v>
      </c>
      <c r="B2785" s="69">
        <v>0.25008101851851838</v>
      </c>
      <c r="C2785" s="11" t="s">
        <v>5161</v>
      </c>
      <c r="D2785" s="11">
        <v>17321</v>
      </c>
      <c r="E2785" s="11" t="s">
        <v>506</v>
      </c>
      <c r="F2785" s="11" t="s">
        <v>26</v>
      </c>
      <c r="G2785" s="11">
        <v>1608</v>
      </c>
      <c r="H2785" s="12" t="s">
        <v>45</v>
      </c>
      <c r="I2785" s="12" t="s">
        <v>27</v>
      </c>
      <c r="J2785" s="12" t="s">
        <v>33</v>
      </c>
      <c r="K2785" s="12" t="s">
        <v>34</v>
      </c>
      <c r="L2785" s="13">
        <v>37.200000000000003</v>
      </c>
      <c r="M2785" s="13">
        <v>25</v>
      </c>
      <c r="N2785" s="13">
        <f t="shared" si="557"/>
        <v>1.4880000000000002</v>
      </c>
      <c r="O2785" s="13" t="s">
        <v>30</v>
      </c>
      <c r="P2785" s="13">
        <v>58</v>
      </c>
      <c r="Q2785" s="13">
        <v>0</v>
      </c>
      <c r="R2785" s="70">
        <f>M2785*P2785</f>
        <v>1450</v>
      </c>
      <c r="S2785" s="70">
        <v>0</v>
      </c>
      <c r="T2785" s="70">
        <f>M2785*S2785</f>
        <v>0</v>
      </c>
      <c r="U2785" s="70">
        <f>R2785-T2785</f>
        <v>1450</v>
      </c>
      <c r="V2785" s="70">
        <f>U2785*0</f>
        <v>0</v>
      </c>
      <c r="W2785" s="70">
        <f>U2785-V2785</f>
        <v>1450</v>
      </c>
      <c r="X2785" s="70">
        <v>0</v>
      </c>
      <c r="Y2785" s="14">
        <f t="shared" si="618"/>
        <v>0</v>
      </c>
      <c r="Z2785" s="11" t="s">
        <v>26</v>
      </c>
      <c r="AA2785" s="12" t="s">
        <v>31</v>
      </c>
    </row>
    <row r="2786" spans="1:27" x14ac:dyDescent="0.25">
      <c r="A2786" s="10">
        <v>45698</v>
      </c>
      <c r="B2786" s="69">
        <v>4.8599537037037122E-2</v>
      </c>
      <c r="C2786" s="11" t="s">
        <v>5162</v>
      </c>
      <c r="D2786" s="11">
        <v>17322</v>
      </c>
      <c r="E2786" s="11" t="s">
        <v>561</v>
      </c>
      <c r="F2786" s="11" t="s">
        <v>26</v>
      </c>
      <c r="G2786" s="11">
        <v>112771</v>
      </c>
      <c r="H2786" s="12" t="s">
        <v>4446</v>
      </c>
      <c r="I2786" s="12" t="s">
        <v>27</v>
      </c>
      <c r="J2786" s="12" t="s">
        <v>47</v>
      </c>
      <c r="K2786" s="12" t="s">
        <v>48</v>
      </c>
      <c r="L2786" s="13">
        <v>34.24</v>
      </c>
      <c r="M2786" s="13">
        <v>24</v>
      </c>
      <c r="N2786" s="13">
        <f t="shared" si="557"/>
        <v>1.4266666666666667</v>
      </c>
      <c r="O2786" s="13">
        <v>44</v>
      </c>
      <c r="P2786" s="13" t="s">
        <v>30</v>
      </c>
      <c r="Q2786" s="13">
        <v>0</v>
      </c>
      <c r="R2786" s="70">
        <f t="shared" ref="R2786" si="635">+L2786*O2786</f>
        <v>1506.5600000000002</v>
      </c>
      <c r="S2786" s="70">
        <v>0</v>
      </c>
      <c r="T2786" s="70">
        <f>+L2786*S2786</f>
        <v>0</v>
      </c>
      <c r="U2786" s="70">
        <f>+R2786-T2786</f>
        <v>1506.5600000000002</v>
      </c>
      <c r="V2786" s="70">
        <f>+U2786*1</f>
        <v>1506.5600000000002</v>
      </c>
      <c r="W2786" s="70">
        <f>+U2786-V2786</f>
        <v>0</v>
      </c>
      <c r="X2786" s="70">
        <v>0</v>
      </c>
      <c r="Y2786" s="14">
        <f t="shared" si="618"/>
        <v>0</v>
      </c>
      <c r="Z2786" s="11" t="s">
        <v>26</v>
      </c>
      <c r="AA2786" s="12" t="s">
        <v>31</v>
      </c>
    </row>
    <row r="2787" spans="1:27" x14ac:dyDescent="0.25">
      <c r="A2787" s="10">
        <v>45698</v>
      </c>
      <c r="B2787" s="69">
        <v>3.6203703703703738E-2</v>
      </c>
      <c r="C2787" s="11" t="s">
        <v>5163</v>
      </c>
      <c r="D2787" s="11">
        <v>17323</v>
      </c>
      <c r="E2787" s="11" t="s">
        <v>69</v>
      </c>
      <c r="F2787" s="11" t="s">
        <v>26</v>
      </c>
      <c r="G2787" s="11">
        <v>2115</v>
      </c>
      <c r="H2787" s="12" t="s">
        <v>70</v>
      </c>
      <c r="I2787" s="12" t="s">
        <v>27</v>
      </c>
      <c r="J2787" s="12" t="s">
        <v>33</v>
      </c>
      <c r="K2787" s="12" t="s">
        <v>34</v>
      </c>
      <c r="L2787" s="13">
        <v>38.340000000000003</v>
      </c>
      <c r="M2787" s="13">
        <v>25</v>
      </c>
      <c r="N2787" s="13">
        <f t="shared" si="557"/>
        <v>1.5336000000000001</v>
      </c>
      <c r="O2787" s="13" t="s">
        <v>30</v>
      </c>
      <c r="P2787" s="13">
        <v>60</v>
      </c>
      <c r="Q2787" s="13">
        <v>0</v>
      </c>
      <c r="R2787" s="70">
        <f>+M2787*P2787</f>
        <v>1500</v>
      </c>
      <c r="S2787" s="70">
        <v>0</v>
      </c>
      <c r="T2787" s="70">
        <f>+M2787*S2787</f>
        <v>0</v>
      </c>
      <c r="U2787" s="70">
        <f t="shared" ref="U2787:U2789" si="636">+R2787-T2787</f>
        <v>1500</v>
      </c>
      <c r="V2787" s="70">
        <f>+U2787*0</f>
        <v>0</v>
      </c>
      <c r="W2787" s="70">
        <f t="shared" ref="W2787:W2789" si="637">+U2787-V2787</f>
        <v>1500</v>
      </c>
      <c r="X2787" s="70">
        <v>0</v>
      </c>
      <c r="Y2787" s="14">
        <f t="shared" si="618"/>
        <v>0</v>
      </c>
      <c r="Z2787" s="11" t="s">
        <v>26</v>
      </c>
      <c r="AA2787" s="12" t="s">
        <v>31</v>
      </c>
    </row>
    <row r="2788" spans="1:27" x14ac:dyDescent="0.25">
      <c r="A2788" s="10">
        <v>45698</v>
      </c>
      <c r="B2788" s="69">
        <v>2.9456018518518534E-2</v>
      </c>
      <c r="C2788" s="11" t="s">
        <v>5164</v>
      </c>
      <c r="D2788" s="11">
        <v>17324</v>
      </c>
      <c r="E2788" s="11" t="s">
        <v>60</v>
      </c>
      <c r="F2788" s="11" t="s">
        <v>26</v>
      </c>
      <c r="G2788" s="11" t="s">
        <v>35</v>
      </c>
      <c r="H2788" s="12" t="s">
        <v>36</v>
      </c>
      <c r="I2788" s="12" t="s">
        <v>27</v>
      </c>
      <c r="J2788" s="12" t="s">
        <v>33</v>
      </c>
      <c r="K2788" s="12" t="s">
        <v>34</v>
      </c>
      <c r="L2788" s="13">
        <v>8.24</v>
      </c>
      <c r="M2788" s="13">
        <v>6</v>
      </c>
      <c r="N2788" s="13">
        <f t="shared" si="557"/>
        <v>1.3733333333333333</v>
      </c>
      <c r="O2788" s="13">
        <v>50</v>
      </c>
      <c r="P2788" s="13" t="s">
        <v>30</v>
      </c>
      <c r="Q2788" s="13">
        <v>0</v>
      </c>
      <c r="R2788" s="70">
        <f>(L2788*O2788)-Q2788</f>
        <v>412</v>
      </c>
      <c r="S2788" s="70">
        <v>0</v>
      </c>
      <c r="T2788" s="70">
        <f t="shared" ref="T2788" si="638">+L2788*S2788</f>
        <v>0</v>
      </c>
      <c r="U2788" s="70">
        <f t="shared" si="636"/>
        <v>412</v>
      </c>
      <c r="V2788" s="70">
        <f t="shared" ref="V2788" si="639">+U2788*0</f>
        <v>0</v>
      </c>
      <c r="W2788" s="70">
        <f t="shared" si="637"/>
        <v>412</v>
      </c>
      <c r="X2788" s="70">
        <v>0</v>
      </c>
      <c r="Y2788" s="14">
        <f t="shared" si="618"/>
        <v>0</v>
      </c>
      <c r="Z2788" s="11" t="s">
        <v>26</v>
      </c>
      <c r="AA2788" s="12" t="s">
        <v>31</v>
      </c>
    </row>
    <row r="2789" spans="1:27" x14ac:dyDescent="0.25">
      <c r="A2789" s="10">
        <v>45699</v>
      </c>
      <c r="B2789" s="69">
        <v>9.0624999999999734E-3</v>
      </c>
      <c r="C2789" s="11" t="s">
        <v>5165</v>
      </c>
      <c r="D2789" s="11">
        <v>17325</v>
      </c>
      <c r="E2789" s="11" t="s">
        <v>552</v>
      </c>
      <c r="F2789" s="11" t="s">
        <v>26</v>
      </c>
      <c r="G2789" s="11">
        <v>44162</v>
      </c>
      <c r="H2789" s="12" t="s">
        <v>4423</v>
      </c>
      <c r="I2789" s="12" t="s">
        <v>27</v>
      </c>
      <c r="J2789" s="12" t="s">
        <v>33</v>
      </c>
      <c r="K2789" s="12" t="s">
        <v>34</v>
      </c>
      <c r="L2789" s="13">
        <v>33.74</v>
      </c>
      <c r="M2789" s="13">
        <v>25</v>
      </c>
      <c r="N2789" s="13">
        <f>L2789/M2789</f>
        <v>1.3496000000000001</v>
      </c>
      <c r="O2789" s="13">
        <v>45</v>
      </c>
      <c r="P2789" s="13" t="s">
        <v>30</v>
      </c>
      <c r="Q2789" s="13">
        <v>0</v>
      </c>
      <c r="R2789" s="70">
        <f>+L2789*O2789</f>
        <v>1518.3000000000002</v>
      </c>
      <c r="S2789" s="70">
        <v>0</v>
      </c>
      <c r="T2789" s="70">
        <f>+L2789*S2789</f>
        <v>0</v>
      </c>
      <c r="U2789" s="70">
        <f t="shared" si="636"/>
        <v>1518.3000000000002</v>
      </c>
      <c r="V2789" s="70">
        <f>+U2789*1</f>
        <v>1518.3000000000002</v>
      </c>
      <c r="W2789" s="70">
        <f t="shared" si="637"/>
        <v>0</v>
      </c>
      <c r="X2789" s="70">
        <v>0</v>
      </c>
      <c r="Y2789" s="14">
        <f t="shared" si="618"/>
        <v>0</v>
      </c>
      <c r="Z2789" s="11" t="s">
        <v>26</v>
      </c>
      <c r="AA2789" s="12" t="s">
        <v>31</v>
      </c>
    </row>
    <row r="2790" spans="1:27" x14ac:dyDescent="0.25">
      <c r="A2790" s="10">
        <v>45699</v>
      </c>
      <c r="B2790" s="69">
        <v>1.3032407407407409E-2</v>
      </c>
      <c r="C2790" s="11" t="s">
        <v>5166</v>
      </c>
      <c r="D2790" s="11">
        <v>17326</v>
      </c>
      <c r="E2790" s="11" t="s">
        <v>68</v>
      </c>
      <c r="F2790" s="11" t="s">
        <v>26</v>
      </c>
      <c r="G2790" s="11">
        <v>78953</v>
      </c>
      <c r="H2790" s="12" t="s">
        <v>4448</v>
      </c>
      <c r="I2790" s="12" t="s">
        <v>27</v>
      </c>
      <c r="J2790" s="12" t="s">
        <v>47</v>
      </c>
      <c r="K2790" s="12" t="s">
        <v>48</v>
      </c>
      <c r="L2790" s="13">
        <v>37.119999999999997</v>
      </c>
      <c r="M2790" s="13">
        <v>25</v>
      </c>
      <c r="N2790" s="13">
        <f t="shared" ref="N2790:N2853" si="640">L2790/M2790</f>
        <v>1.4847999999999999</v>
      </c>
      <c r="O2790" s="13">
        <v>46.66</v>
      </c>
      <c r="P2790" s="13" t="s">
        <v>30</v>
      </c>
      <c r="Q2790" s="13">
        <v>0</v>
      </c>
      <c r="R2790" s="70">
        <f>+L2790*O2790</f>
        <v>1732.0191999999997</v>
      </c>
      <c r="S2790" s="70">
        <v>0</v>
      </c>
      <c r="T2790" s="70">
        <f>+L2790*S2790</f>
        <v>0</v>
      </c>
      <c r="U2790" s="70">
        <f>+R2790-T2790</f>
        <v>1732.0191999999997</v>
      </c>
      <c r="V2790" s="70">
        <f>+U2790*0.75</f>
        <v>1299.0143999999998</v>
      </c>
      <c r="W2790" s="70">
        <f>+U2790-V2790</f>
        <v>433.00479999999993</v>
      </c>
      <c r="X2790" s="70">
        <v>0</v>
      </c>
      <c r="Y2790" s="14">
        <f t="shared" si="618"/>
        <v>0</v>
      </c>
      <c r="Z2790" s="11" t="s">
        <v>26</v>
      </c>
      <c r="AA2790" s="12" t="s">
        <v>31</v>
      </c>
    </row>
    <row r="2791" spans="1:27" x14ac:dyDescent="0.25">
      <c r="A2791" s="10">
        <v>45699</v>
      </c>
      <c r="B2791" s="69">
        <v>1.4062499999999978E-2</v>
      </c>
      <c r="C2791" s="11" t="s">
        <v>5167</v>
      </c>
      <c r="D2791" s="11">
        <v>17327</v>
      </c>
      <c r="E2791" s="11" t="s">
        <v>431</v>
      </c>
      <c r="F2791" s="11" t="s">
        <v>26</v>
      </c>
      <c r="G2791" s="11">
        <v>146</v>
      </c>
      <c r="H2791" s="12" t="s">
        <v>6328</v>
      </c>
      <c r="I2791" s="12" t="s">
        <v>27</v>
      </c>
      <c r="J2791" s="12" t="s">
        <v>42</v>
      </c>
      <c r="K2791" s="12" t="s">
        <v>43</v>
      </c>
      <c r="L2791" s="13">
        <v>39.200000000000003</v>
      </c>
      <c r="M2791" s="13">
        <v>25</v>
      </c>
      <c r="N2791" s="13">
        <f t="shared" si="640"/>
        <v>1.5680000000000001</v>
      </c>
      <c r="O2791" s="13">
        <v>42.5</v>
      </c>
      <c r="P2791" s="13"/>
      <c r="Q2791" s="13">
        <v>0</v>
      </c>
      <c r="R2791" s="70">
        <f>L2791*O2791</f>
        <v>1666.0000000000002</v>
      </c>
      <c r="S2791" s="70">
        <v>0</v>
      </c>
      <c r="T2791" s="70">
        <f>+L2791*S2791</f>
        <v>0</v>
      </c>
      <c r="U2791" s="70">
        <f>R2791-T2791</f>
        <v>1666.0000000000002</v>
      </c>
      <c r="V2791" s="70">
        <f>U2791*0</f>
        <v>0</v>
      </c>
      <c r="W2791" s="70">
        <f>U2791-V2791</f>
        <v>1666.0000000000002</v>
      </c>
      <c r="X2791" s="70">
        <v>0</v>
      </c>
      <c r="Y2791" s="14">
        <f t="shared" si="618"/>
        <v>0</v>
      </c>
      <c r="Z2791" s="11" t="s">
        <v>26</v>
      </c>
      <c r="AA2791" s="12" t="s">
        <v>31</v>
      </c>
    </row>
    <row r="2792" spans="1:27" x14ac:dyDescent="0.25">
      <c r="A2792" s="10">
        <v>45699</v>
      </c>
      <c r="B2792" s="69">
        <v>1.4594907407407431E-2</v>
      </c>
      <c r="C2792" s="11" t="s">
        <v>5168</v>
      </c>
      <c r="D2792" s="11">
        <v>17328</v>
      </c>
      <c r="E2792" s="11" t="s">
        <v>568</v>
      </c>
      <c r="F2792" s="11" t="s">
        <v>26</v>
      </c>
      <c r="G2792" s="11">
        <v>112772</v>
      </c>
      <c r="H2792" s="12" t="s">
        <v>4446</v>
      </c>
      <c r="I2792" s="12" t="s">
        <v>27</v>
      </c>
      <c r="J2792" s="12" t="s">
        <v>33</v>
      </c>
      <c r="K2792" s="12" t="s">
        <v>34</v>
      </c>
      <c r="L2792" s="13">
        <v>36.380000000000003</v>
      </c>
      <c r="M2792" s="13">
        <v>25</v>
      </c>
      <c r="N2792" s="13">
        <f t="shared" si="640"/>
        <v>1.4552</v>
      </c>
      <c r="O2792" s="13">
        <v>44</v>
      </c>
      <c r="P2792" s="13" t="s">
        <v>30</v>
      </c>
      <c r="Q2792" s="13">
        <v>0</v>
      </c>
      <c r="R2792" s="70">
        <f t="shared" ref="R2792" si="641">+L2792*O2792</f>
        <v>1600.72</v>
      </c>
      <c r="S2792" s="70">
        <v>0</v>
      </c>
      <c r="T2792" s="70">
        <f>+L2792*S2792</f>
        <v>0</v>
      </c>
      <c r="U2792" s="70">
        <f>+R2792-T2792</f>
        <v>1600.72</v>
      </c>
      <c r="V2792" s="70">
        <f>+U2792*1</f>
        <v>1600.72</v>
      </c>
      <c r="W2792" s="70">
        <f>+U2792-V2792</f>
        <v>0</v>
      </c>
      <c r="X2792" s="70">
        <v>0</v>
      </c>
      <c r="Y2792" s="14">
        <f t="shared" si="618"/>
        <v>0</v>
      </c>
      <c r="Z2792" s="11" t="s">
        <v>26</v>
      </c>
      <c r="AA2792" s="12" t="s">
        <v>31</v>
      </c>
    </row>
    <row r="2793" spans="1:27" x14ac:dyDescent="0.25">
      <c r="A2793" s="10">
        <v>45699</v>
      </c>
      <c r="B2793" s="69">
        <v>1.4016203703703711E-2</v>
      </c>
      <c r="C2793" s="11" t="s">
        <v>5169</v>
      </c>
      <c r="D2793" s="11">
        <v>17329</v>
      </c>
      <c r="E2793" s="11" t="s">
        <v>506</v>
      </c>
      <c r="F2793" s="11" t="s">
        <v>26</v>
      </c>
      <c r="G2793" s="11">
        <v>1610</v>
      </c>
      <c r="H2793" s="12" t="s">
        <v>45</v>
      </c>
      <c r="I2793" s="12" t="s">
        <v>27</v>
      </c>
      <c r="J2793" s="12" t="s">
        <v>42</v>
      </c>
      <c r="K2793" s="12" t="s">
        <v>43</v>
      </c>
      <c r="L2793" s="13">
        <v>41.08</v>
      </c>
      <c r="M2793" s="13">
        <v>25</v>
      </c>
      <c r="N2793" s="13">
        <f t="shared" si="640"/>
        <v>1.6432</v>
      </c>
      <c r="O2793" s="13" t="s">
        <v>30</v>
      </c>
      <c r="P2793" s="13">
        <v>62</v>
      </c>
      <c r="Q2793" s="13">
        <v>0</v>
      </c>
      <c r="R2793" s="70">
        <f>M2793*P2793</f>
        <v>1550</v>
      </c>
      <c r="S2793" s="70">
        <v>0</v>
      </c>
      <c r="T2793" s="70">
        <f>M2793*S2793</f>
        <v>0</v>
      </c>
      <c r="U2793" s="70">
        <f>R2793-T2793</f>
        <v>1550</v>
      </c>
      <c r="V2793" s="70">
        <f>U2793*0</f>
        <v>0</v>
      </c>
      <c r="W2793" s="70">
        <f>U2793-V2793</f>
        <v>1550</v>
      </c>
      <c r="X2793" s="70">
        <v>0</v>
      </c>
      <c r="Y2793" s="14">
        <f t="shared" si="618"/>
        <v>0</v>
      </c>
      <c r="Z2793" s="11" t="s">
        <v>26</v>
      </c>
      <c r="AA2793" s="12" t="s">
        <v>31</v>
      </c>
    </row>
    <row r="2794" spans="1:27" x14ac:dyDescent="0.25">
      <c r="A2794" s="10">
        <v>45699</v>
      </c>
      <c r="B2794" s="69">
        <v>1.8379629629629635E-2</v>
      </c>
      <c r="C2794" s="11" t="s">
        <v>5170</v>
      </c>
      <c r="D2794" s="11">
        <v>17330</v>
      </c>
      <c r="E2794" s="11" t="s">
        <v>224</v>
      </c>
      <c r="F2794" s="11" t="s">
        <v>26</v>
      </c>
      <c r="G2794" s="11">
        <v>3211</v>
      </c>
      <c r="H2794" s="12" t="s">
        <v>4423</v>
      </c>
      <c r="I2794" s="12" t="s">
        <v>27</v>
      </c>
      <c r="J2794" s="12" t="s">
        <v>33</v>
      </c>
      <c r="K2794" s="12" t="s">
        <v>34</v>
      </c>
      <c r="L2794" s="13">
        <v>36.68</v>
      </c>
      <c r="M2794" s="13">
        <v>25</v>
      </c>
      <c r="N2794" s="13">
        <f t="shared" si="640"/>
        <v>1.4672000000000001</v>
      </c>
      <c r="O2794" s="13">
        <v>45</v>
      </c>
      <c r="P2794" s="13" t="s">
        <v>30</v>
      </c>
      <c r="Q2794" s="13">
        <v>0</v>
      </c>
      <c r="R2794" s="70">
        <f>+L2794*O2794</f>
        <v>1650.6</v>
      </c>
      <c r="S2794" s="70">
        <v>0</v>
      </c>
      <c r="T2794" s="70">
        <f>+L2794*S2794</f>
        <v>0</v>
      </c>
      <c r="U2794" s="70">
        <f t="shared" ref="U2794" si="642">+R2794-T2794</f>
        <v>1650.6</v>
      </c>
      <c r="V2794" s="70">
        <f>+U2794*1</f>
        <v>1650.6</v>
      </c>
      <c r="W2794" s="70">
        <f t="shared" ref="W2794" si="643">+U2794-V2794</f>
        <v>0</v>
      </c>
      <c r="X2794" s="70">
        <v>0</v>
      </c>
      <c r="Y2794" s="14">
        <f t="shared" si="618"/>
        <v>0</v>
      </c>
      <c r="Z2794" s="11" t="s">
        <v>26</v>
      </c>
      <c r="AA2794" s="12" t="s">
        <v>31</v>
      </c>
    </row>
    <row r="2795" spans="1:27" x14ac:dyDescent="0.25">
      <c r="A2795" s="10">
        <v>45699</v>
      </c>
      <c r="B2795" s="69">
        <v>1.7164351851851833E-2</v>
      </c>
      <c r="C2795" s="11" t="s">
        <v>5171</v>
      </c>
      <c r="D2795" s="11">
        <v>17331</v>
      </c>
      <c r="E2795" s="11" t="s">
        <v>2109</v>
      </c>
      <c r="F2795" s="11" t="s">
        <v>26</v>
      </c>
      <c r="G2795" s="11" t="s">
        <v>26</v>
      </c>
      <c r="H2795" s="12" t="s">
        <v>4422</v>
      </c>
      <c r="I2795" s="12" t="s">
        <v>27</v>
      </c>
      <c r="J2795" s="12" t="s">
        <v>42</v>
      </c>
      <c r="K2795" s="12" t="s">
        <v>43</v>
      </c>
      <c r="L2795" s="13">
        <v>45.12</v>
      </c>
      <c r="M2795" s="13">
        <v>28</v>
      </c>
      <c r="N2795" s="13">
        <f t="shared" si="640"/>
        <v>1.6114285714285714</v>
      </c>
      <c r="O2795" s="13">
        <v>83</v>
      </c>
      <c r="P2795" s="13" t="s">
        <v>30</v>
      </c>
      <c r="Q2795" s="13">
        <v>0</v>
      </c>
      <c r="R2795" s="70">
        <f>L2795*O2795</f>
        <v>3744.9599999999996</v>
      </c>
      <c r="S2795" s="70">
        <v>38</v>
      </c>
      <c r="T2795" s="70">
        <f>L2795*S2795</f>
        <v>1714.56</v>
      </c>
      <c r="U2795" s="70">
        <f>R2795-T2795</f>
        <v>2030.3999999999996</v>
      </c>
      <c r="V2795" s="70">
        <f>U2795*1</f>
        <v>2030.3999999999996</v>
      </c>
      <c r="W2795" s="70">
        <f>U2795-V2795</f>
        <v>0</v>
      </c>
      <c r="X2795" s="70">
        <f>L2795*36</f>
        <v>1624.32</v>
      </c>
      <c r="Y2795" s="71">
        <f>+T2795-X2795</f>
        <v>90.240000000000009</v>
      </c>
      <c r="Z2795" s="12" t="s">
        <v>140</v>
      </c>
      <c r="AA2795" s="12" t="s">
        <v>78</v>
      </c>
    </row>
    <row r="2796" spans="1:27" x14ac:dyDescent="0.25">
      <c r="A2796" s="10">
        <v>45699</v>
      </c>
      <c r="B2796" s="69">
        <v>1.7199074074074061E-2</v>
      </c>
      <c r="C2796" s="11" t="s">
        <v>5172</v>
      </c>
      <c r="D2796" s="11">
        <v>17332</v>
      </c>
      <c r="E2796" s="11" t="s">
        <v>5173</v>
      </c>
      <c r="F2796" s="11" t="s">
        <v>26</v>
      </c>
      <c r="G2796" s="11" t="s">
        <v>35</v>
      </c>
      <c r="H2796" s="12" t="s">
        <v>36</v>
      </c>
      <c r="I2796" s="12" t="s">
        <v>55</v>
      </c>
      <c r="J2796" s="12" t="s">
        <v>55</v>
      </c>
      <c r="K2796" s="12" t="s">
        <v>56</v>
      </c>
      <c r="L2796" s="13">
        <v>33.880000000000003</v>
      </c>
      <c r="M2796" s="13">
        <v>20</v>
      </c>
      <c r="N2796" s="13">
        <f t="shared" si="640"/>
        <v>1.6940000000000002</v>
      </c>
      <c r="O2796" s="13">
        <v>20</v>
      </c>
      <c r="P2796" s="13" t="s">
        <v>30</v>
      </c>
      <c r="Q2796" s="13">
        <v>0</v>
      </c>
      <c r="R2796" s="70">
        <f>(L2796*O2796)-Q2796</f>
        <v>677.6</v>
      </c>
      <c r="S2796" s="70">
        <v>0</v>
      </c>
      <c r="T2796" s="70">
        <f t="shared" ref="T2796" si="644">+L2796*S2796</f>
        <v>0</v>
      </c>
      <c r="U2796" s="70">
        <f t="shared" ref="U2796" si="645">+R2796-T2796</f>
        <v>677.6</v>
      </c>
      <c r="V2796" s="70">
        <f t="shared" ref="V2796" si="646">+U2796*0</f>
        <v>0</v>
      </c>
      <c r="W2796" s="70">
        <f t="shared" ref="W2796" si="647">+U2796-V2796</f>
        <v>677.6</v>
      </c>
      <c r="X2796" s="70">
        <v>0</v>
      </c>
      <c r="Y2796" s="14">
        <f t="shared" si="618"/>
        <v>0</v>
      </c>
      <c r="Z2796" s="11" t="s">
        <v>26</v>
      </c>
      <c r="AA2796" s="12" t="s">
        <v>31</v>
      </c>
    </row>
    <row r="2797" spans="1:27" x14ac:dyDescent="0.25">
      <c r="A2797" s="10">
        <v>45699</v>
      </c>
      <c r="B2797" s="69">
        <v>2.0127314814814834E-2</v>
      </c>
      <c r="C2797" s="11" t="s">
        <v>5174</v>
      </c>
      <c r="D2797" s="11">
        <v>17333</v>
      </c>
      <c r="E2797" s="11" t="s">
        <v>246</v>
      </c>
      <c r="F2797" s="11" t="s">
        <v>26</v>
      </c>
      <c r="G2797" s="11" t="s">
        <v>26</v>
      </c>
      <c r="H2797" s="12" t="s">
        <v>4422</v>
      </c>
      <c r="I2797" s="12" t="s">
        <v>27</v>
      </c>
      <c r="J2797" s="12" t="s">
        <v>42</v>
      </c>
      <c r="K2797" s="12" t="s">
        <v>43</v>
      </c>
      <c r="L2797" s="13">
        <v>43.8</v>
      </c>
      <c r="M2797" s="13">
        <v>25</v>
      </c>
      <c r="N2797" s="13">
        <f t="shared" si="640"/>
        <v>1.7519999999999998</v>
      </c>
      <c r="O2797" s="13">
        <v>83</v>
      </c>
      <c r="P2797" s="13" t="s">
        <v>30</v>
      </c>
      <c r="Q2797" s="13">
        <v>0</v>
      </c>
      <c r="R2797" s="70">
        <f>L2797*O2797</f>
        <v>3635.3999999999996</v>
      </c>
      <c r="S2797" s="70">
        <v>38</v>
      </c>
      <c r="T2797" s="70">
        <f>L2797*S2797</f>
        <v>1664.3999999999999</v>
      </c>
      <c r="U2797" s="70">
        <f>R2797-T2797</f>
        <v>1970.9999999999998</v>
      </c>
      <c r="V2797" s="70">
        <f>U2797*1</f>
        <v>1970.9999999999998</v>
      </c>
      <c r="W2797" s="70">
        <f>U2797-V2797</f>
        <v>0</v>
      </c>
      <c r="X2797" s="70">
        <f>L2797*37</f>
        <v>1620.6</v>
      </c>
      <c r="Y2797" s="71">
        <f>+T2797-X2797</f>
        <v>43.799999999999955</v>
      </c>
      <c r="Z2797" s="12" t="s">
        <v>41</v>
      </c>
      <c r="AA2797" s="12" t="s">
        <v>78</v>
      </c>
    </row>
    <row r="2798" spans="1:27" x14ac:dyDescent="0.25">
      <c r="A2798" s="10">
        <v>45699</v>
      </c>
      <c r="B2798" s="69">
        <v>1.1296296296296304E-2</v>
      </c>
      <c r="C2798" s="11" t="s">
        <v>5175</v>
      </c>
      <c r="D2798" s="11">
        <v>17334</v>
      </c>
      <c r="E2798" s="11" t="s">
        <v>44</v>
      </c>
      <c r="F2798" s="11" t="s">
        <v>26</v>
      </c>
      <c r="G2798" s="11">
        <v>1653</v>
      </c>
      <c r="H2798" s="12" t="s">
        <v>45</v>
      </c>
      <c r="I2798" s="12" t="s">
        <v>27</v>
      </c>
      <c r="J2798" s="12" t="s">
        <v>42</v>
      </c>
      <c r="K2798" s="12" t="s">
        <v>43</v>
      </c>
      <c r="L2798" s="13">
        <v>43.04</v>
      </c>
      <c r="M2798" s="13">
        <v>25</v>
      </c>
      <c r="N2798" s="13">
        <f t="shared" si="640"/>
        <v>1.7216</v>
      </c>
      <c r="O2798" s="13" t="s">
        <v>30</v>
      </c>
      <c r="P2798" s="13">
        <v>62</v>
      </c>
      <c r="Q2798" s="13">
        <v>0</v>
      </c>
      <c r="R2798" s="70">
        <f>M2798*P2798</f>
        <v>1550</v>
      </c>
      <c r="S2798" s="70">
        <v>0</v>
      </c>
      <c r="T2798" s="70">
        <f>M2798*S2798</f>
        <v>0</v>
      </c>
      <c r="U2798" s="70">
        <f>R2798-T2798</f>
        <v>1550</v>
      </c>
      <c r="V2798" s="70">
        <f>U2798*0</f>
        <v>0</v>
      </c>
      <c r="W2798" s="70">
        <f>U2798-V2798</f>
        <v>1550</v>
      </c>
      <c r="X2798" s="70">
        <v>0</v>
      </c>
      <c r="Y2798" s="14">
        <f t="shared" si="618"/>
        <v>0</v>
      </c>
      <c r="Z2798" s="11" t="s">
        <v>26</v>
      </c>
      <c r="AA2798" s="12" t="s">
        <v>31</v>
      </c>
    </row>
    <row r="2799" spans="1:27" x14ac:dyDescent="0.25">
      <c r="A2799" s="10">
        <v>45699</v>
      </c>
      <c r="B2799" s="69">
        <v>3.4189814814814756E-2</v>
      </c>
      <c r="C2799" s="11" t="s">
        <v>5176</v>
      </c>
      <c r="D2799" s="11">
        <v>17335</v>
      </c>
      <c r="E2799" s="11" t="s">
        <v>81</v>
      </c>
      <c r="F2799" s="11" t="s">
        <v>26</v>
      </c>
      <c r="G2799" s="11" t="s">
        <v>26</v>
      </c>
      <c r="H2799" s="12" t="s">
        <v>4422</v>
      </c>
      <c r="I2799" s="12" t="s">
        <v>27</v>
      </c>
      <c r="J2799" s="12" t="s">
        <v>47</v>
      </c>
      <c r="K2799" s="12" t="s">
        <v>48</v>
      </c>
      <c r="L2799" s="13">
        <v>41.92</v>
      </c>
      <c r="M2799" s="13">
        <v>28</v>
      </c>
      <c r="N2799" s="13">
        <f t="shared" si="640"/>
        <v>1.4971428571428571</v>
      </c>
      <c r="O2799" s="13">
        <v>87</v>
      </c>
      <c r="P2799" s="13" t="s">
        <v>30</v>
      </c>
      <c r="Q2799" s="13">
        <v>0</v>
      </c>
      <c r="R2799" s="70">
        <f>L2799*O2799</f>
        <v>3647.04</v>
      </c>
      <c r="S2799" s="70">
        <v>38</v>
      </c>
      <c r="T2799" s="70">
        <f>L2799*S2799</f>
        <v>1592.96</v>
      </c>
      <c r="U2799" s="70">
        <f>R2799-T2799</f>
        <v>2054.08</v>
      </c>
      <c r="V2799" s="70">
        <f>U2799*1</f>
        <v>2054.08</v>
      </c>
      <c r="W2799" s="70">
        <f>U2799-V2799</f>
        <v>0</v>
      </c>
      <c r="X2799" s="70">
        <f>L2799*36</f>
        <v>1509.1200000000001</v>
      </c>
      <c r="Y2799" s="71">
        <f>+T2799-X2799</f>
        <v>83.839999999999918</v>
      </c>
      <c r="Z2799" s="12" t="s">
        <v>141</v>
      </c>
      <c r="AA2799" s="12" t="s">
        <v>78</v>
      </c>
    </row>
    <row r="2800" spans="1:27" x14ac:dyDescent="0.25">
      <c r="A2800" s="10">
        <v>45699</v>
      </c>
      <c r="B2800" s="69">
        <v>1.2534722222222239E-2</v>
      </c>
      <c r="C2800" s="11" t="s">
        <v>5177</v>
      </c>
      <c r="D2800" s="11">
        <v>17336</v>
      </c>
      <c r="E2800" s="11" t="s">
        <v>240</v>
      </c>
      <c r="F2800" s="11" t="s">
        <v>26</v>
      </c>
      <c r="G2800" s="11" t="s">
        <v>26</v>
      </c>
      <c r="H2800" s="12" t="s">
        <v>146</v>
      </c>
      <c r="I2800" s="12" t="s">
        <v>27</v>
      </c>
      <c r="J2800" s="12" t="s">
        <v>42</v>
      </c>
      <c r="K2800" s="12" t="s">
        <v>43</v>
      </c>
      <c r="L2800" s="13">
        <v>42.22</v>
      </c>
      <c r="M2800" s="13">
        <v>25</v>
      </c>
      <c r="N2800" s="13">
        <f t="shared" si="640"/>
        <v>1.6887999999999999</v>
      </c>
      <c r="O2800" s="13">
        <v>91</v>
      </c>
      <c r="P2800" s="13" t="s">
        <v>30</v>
      </c>
      <c r="Q2800" s="13">
        <v>0</v>
      </c>
      <c r="R2800" s="70">
        <f>+L2800*O2800</f>
        <v>3842.02</v>
      </c>
      <c r="S2800" s="70">
        <v>40</v>
      </c>
      <c r="T2800" s="70">
        <f>L2800*S2800</f>
        <v>1688.8</v>
      </c>
      <c r="U2800" s="70">
        <f t="shared" ref="U2800:U2801" si="648">R2800-T2800</f>
        <v>2153.2200000000003</v>
      </c>
      <c r="V2800" s="70">
        <f>U2800*1</f>
        <v>2153.2200000000003</v>
      </c>
      <c r="W2800" s="70">
        <f t="shared" ref="W2800" si="649">U2800-V2800</f>
        <v>0</v>
      </c>
      <c r="X2800" s="70">
        <f>L2800*37</f>
        <v>1562.1399999999999</v>
      </c>
      <c r="Y2800" s="71">
        <f>+T2800-X2800</f>
        <v>126.66000000000008</v>
      </c>
      <c r="Z2800" s="12" t="s">
        <v>41</v>
      </c>
      <c r="AA2800" s="12" t="s">
        <v>79</v>
      </c>
    </row>
    <row r="2801" spans="1:27" x14ac:dyDescent="0.25">
      <c r="A2801" s="10">
        <v>45699</v>
      </c>
      <c r="B2801" s="69">
        <v>4.1770833333333313E-2</v>
      </c>
      <c r="C2801" s="11" t="s">
        <v>5178</v>
      </c>
      <c r="D2801" s="11">
        <v>17337</v>
      </c>
      <c r="E2801" s="11" t="s">
        <v>501</v>
      </c>
      <c r="F2801" s="11" t="s">
        <v>26</v>
      </c>
      <c r="G2801" s="11" t="s">
        <v>26</v>
      </c>
      <c r="H2801" s="12" t="s">
        <v>4422</v>
      </c>
      <c r="I2801" s="12" t="s">
        <v>27</v>
      </c>
      <c r="J2801" s="12" t="s">
        <v>33</v>
      </c>
      <c r="K2801" s="12" t="s">
        <v>34</v>
      </c>
      <c r="L2801" s="13">
        <v>44.52</v>
      </c>
      <c r="M2801" s="13">
        <v>30</v>
      </c>
      <c r="N2801" s="13">
        <f t="shared" si="640"/>
        <v>1.4840000000000002</v>
      </c>
      <c r="O2801" s="13">
        <v>85</v>
      </c>
      <c r="P2801" s="13" t="s">
        <v>30</v>
      </c>
      <c r="Q2801" s="13">
        <v>0</v>
      </c>
      <c r="R2801" s="70">
        <f>L2801*O2801</f>
        <v>3784.2000000000003</v>
      </c>
      <c r="S2801" s="70">
        <v>38</v>
      </c>
      <c r="T2801" s="70">
        <f>L2801*S2801</f>
        <v>1691.7600000000002</v>
      </c>
      <c r="U2801" s="70">
        <f t="shared" si="648"/>
        <v>2092.44</v>
      </c>
      <c r="V2801" s="70">
        <f>U2801*1</f>
        <v>2092.44</v>
      </c>
      <c r="W2801" s="70">
        <f>U2801-V2801</f>
        <v>0</v>
      </c>
      <c r="X2801" s="70">
        <f>L2801*36</f>
        <v>1602.72</v>
      </c>
      <c r="Y2801" s="71">
        <f>+T2801-X2801</f>
        <v>89.040000000000191</v>
      </c>
      <c r="Z2801" s="12" t="s">
        <v>141</v>
      </c>
      <c r="AA2801" s="12" t="s">
        <v>78</v>
      </c>
    </row>
    <row r="2802" spans="1:27" x14ac:dyDescent="0.25">
      <c r="A2802" s="10">
        <v>45699</v>
      </c>
      <c r="B2802" s="69">
        <v>1.6736111111111063E-2</v>
      </c>
      <c r="C2802" s="11" t="s">
        <v>5179</v>
      </c>
      <c r="D2802" s="11">
        <v>17338</v>
      </c>
      <c r="E2802" s="11" t="s">
        <v>49</v>
      </c>
      <c r="F2802" s="11" t="s">
        <v>26</v>
      </c>
      <c r="G2802" s="11">
        <v>1598</v>
      </c>
      <c r="H2802" s="12" t="s">
        <v>45</v>
      </c>
      <c r="I2802" s="12" t="s">
        <v>27</v>
      </c>
      <c r="J2802" s="12" t="s">
        <v>28</v>
      </c>
      <c r="K2802" s="12" t="s">
        <v>29</v>
      </c>
      <c r="L2802" s="13">
        <v>37.04</v>
      </c>
      <c r="M2802" s="13">
        <v>25</v>
      </c>
      <c r="N2802" s="13">
        <f t="shared" si="640"/>
        <v>1.4816</v>
      </c>
      <c r="O2802" s="13" t="s">
        <v>30</v>
      </c>
      <c r="P2802" s="13">
        <v>40</v>
      </c>
      <c r="Q2802" s="13">
        <v>0</v>
      </c>
      <c r="R2802" s="70">
        <f>M2802*P2802</f>
        <v>1000</v>
      </c>
      <c r="S2802" s="70">
        <v>0</v>
      </c>
      <c r="T2802" s="70">
        <f>M2802*S2802</f>
        <v>0</v>
      </c>
      <c r="U2802" s="70">
        <f>R2802-T2802</f>
        <v>1000</v>
      </c>
      <c r="V2802" s="70">
        <f>U2802*0</f>
        <v>0</v>
      </c>
      <c r="W2802" s="70">
        <f>U2802-V2802</f>
        <v>1000</v>
      </c>
      <c r="X2802" s="70">
        <v>0</v>
      </c>
      <c r="Y2802" s="14">
        <f t="shared" ref="Y2802" si="650">T2802-X2802</f>
        <v>0</v>
      </c>
      <c r="Z2802" s="11" t="s">
        <v>26</v>
      </c>
      <c r="AA2802" s="12" t="s">
        <v>31</v>
      </c>
    </row>
    <row r="2803" spans="1:27" x14ac:dyDescent="0.25">
      <c r="A2803" s="10">
        <v>45699</v>
      </c>
      <c r="B2803" s="69">
        <v>2.7905092592592551E-2</v>
      </c>
      <c r="C2803" s="11" t="s">
        <v>5180</v>
      </c>
      <c r="D2803" s="11">
        <v>17339</v>
      </c>
      <c r="E2803" s="11" t="s">
        <v>539</v>
      </c>
      <c r="F2803" s="11" t="s">
        <v>26</v>
      </c>
      <c r="G2803" s="11" t="s">
        <v>26</v>
      </c>
      <c r="H2803" s="12" t="s">
        <v>146</v>
      </c>
      <c r="I2803" s="12" t="s">
        <v>27</v>
      </c>
      <c r="J2803" s="12" t="s">
        <v>33</v>
      </c>
      <c r="K2803" s="12" t="s">
        <v>34</v>
      </c>
      <c r="L2803" s="13">
        <v>43.94</v>
      </c>
      <c r="M2803" s="13">
        <v>30</v>
      </c>
      <c r="N2803" s="13">
        <f t="shared" si="640"/>
        <v>1.4646666666666666</v>
      </c>
      <c r="O2803" s="13">
        <v>91</v>
      </c>
      <c r="P2803" s="13" t="s">
        <v>30</v>
      </c>
      <c r="Q2803" s="13">
        <v>0</v>
      </c>
      <c r="R2803" s="70">
        <f>+L2803*O2803</f>
        <v>3998.54</v>
      </c>
      <c r="S2803" s="70">
        <v>40</v>
      </c>
      <c r="T2803" s="70">
        <f>L2803*S2803</f>
        <v>1757.6</v>
      </c>
      <c r="U2803" s="70">
        <f t="shared" ref="U2803" si="651">R2803-T2803</f>
        <v>2240.94</v>
      </c>
      <c r="V2803" s="70">
        <f>U2803*1</f>
        <v>2240.94</v>
      </c>
      <c r="W2803" s="70">
        <f t="shared" ref="W2803" si="652">U2803-V2803</f>
        <v>0</v>
      </c>
      <c r="X2803" s="70">
        <f>L2803*37</f>
        <v>1625.78</v>
      </c>
      <c r="Y2803" s="71">
        <f>+T2803-X2803</f>
        <v>131.81999999999994</v>
      </c>
      <c r="Z2803" s="12" t="s">
        <v>41</v>
      </c>
      <c r="AA2803" s="12" t="s">
        <v>79</v>
      </c>
    </row>
    <row r="2804" spans="1:27" x14ac:dyDescent="0.25">
      <c r="A2804" s="10">
        <v>45699</v>
      </c>
      <c r="B2804" s="69">
        <v>1.2187500000000018E-2</v>
      </c>
      <c r="C2804" s="11" t="s">
        <v>5181</v>
      </c>
      <c r="D2804" s="11">
        <v>17340</v>
      </c>
      <c r="E2804" s="11" t="s">
        <v>63</v>
      </c>
      <c r="F2804" s="11" t="s">
        <v>26</v>
      </c>
      <c r="G2804" s="11" t="s">
        <v>26</v>
      </c>
      <c r="H2804" s="12" t="s">
        <v>4422</v>
      </c>
      <c r="I2804" s="12" t="s">
        <v>27</v>
      </c>
      <c r="J2804" s="12" t="s">
        <v>42</v>
      </c>
      <c r="K2804" s="12" t="s">
        <v>43</v>
      </c>
      <c r="L2804" s="13">
        <v>45.36</v>
      </c>
      <c r="M2804" s="13">
        <v>28</v>
      </c>
      <c r="N2804" s="13">
        <f t="shared" si="640"/>
        <v>1.6199999999999999</v>
      </c>
      <c r="O2804" s="13">
        <v>83</v>
      </c>
      <c r="P2804" s="13" t="s">
        <v>30</v>
      </c>
      <c r="Q2804" s="13">
        <v>0</v>
      </c>
      <c r="R2804" s="70">
        <f>L2804*O2804</f>
        <v>3764.88</v>
      </c>
      <c r="S2804" s="70">
        <v>38</v>
      </c>
      <c r="T2804" s="70">
        <f>L2804*S2804</f>
        <v>1723.68</v>
      </c>
      <c r="U2804" s="70">
        <f>R2804-T2804</f>
        <v>2041.2</v>
      </c>
      <c r="V2804" s="70">
        <f>U2804*1</f>
        <v>2041.2</v>
      </c>
      <c r="W2804" s="70">
        <f>U2804-V2804</f>
        <v>0</v>
      </c>
      <c r="X2804" s="70">
        <f>L2804*36</f>
        <v>1632.96</v>
      </c>
      <c r="Y2804" s="71">
        <f>+T2804-X2804</f>
        <v>90.720000000000027</v>
      </c>
      <c r="Z2804" s="12" t="s">
        <v>140</v>
      </c>
      <c r="AA2804" s="12" t="s">
        <v>78</v>
      </c>
    </row>
    <row r="2805" spans="1:27" x14ac:dyDescent="0.25">
      <c r="A2805" s="10">
        <v>45699</v>
      </c>
      <c r="B2805" s="69">
        <v>1.4456018518518465E-2</v>
      </c>
      <c r="C2805" s="11" t="s">
        <v>5182</v>
      </c>
      <c r="D2805" s="11">
        <v>17341</v>
      </c>
      <c r="E2805" s="11" t="s">
        <v>98</v>
      </c>
      <c r="F2805" s="11" t="s">
        <v>26</v>
      </c>
      <c r="G2805" s="11">
        <v>10722</v>
      </c>
      <c r="H2805" s="12" t="s">
        <v>140</v>
      </c>
      <c r="I2805" s="12" t="s">
        <v>27</v>
      </c>
      <c r="J2805" s="12" t="s">
        <v>42</v>
      </c>
      <c r="K2805" s="12" t="s">
        <v>43</v>
      </c>
      <c r="L2805" s="13">
        <v>44.34</v>
      </c>
      <c r="M2805" s="13">
        <v>25</v>
      </c>
      <c r="N2805" s="13">
        <f t="shared" si="640"/>
        <v>1.7736000000000001</v>
      </c>
      <c r="O2805" s="13">
        <v>35</v>
      </c>
      <c r="P2805" s="13"/>
      <c r="Q2805" s="13">
        <v>0</v>
      </c>
      <c r="R2805" s="70">
        <f>+L2805*O2805</f>
        <v>1551.9</v>
      </c>
      <c r="S2805" s="70">
        <v>0</v>
      </c>
      <c r="T2805" s="70">
        <f>+L2805*S2805</f>
        <v>0</v>
      </c>
      <c r="U2805" s="70">
        <f>+R2805-T2805</f>
        <v>1551.9</v>
      </c>
      <c r="V2805" s="70">
        <f t="shared" ref="V2805" si="653">+U2805*0</f>
        <v>0</v>
      </c>
      <c r="W2805" s="70">
        <f>+U2805-V2805</f>
        <v>1551.9</v>
      </c>
      <c r="X2805" s="70">
        <v>0</v>
      </c>
      <c r="Y2805" s="14">
        <f t="shared" ref="Y2805" si="654">T2805-X2805</f>
        <v>0</v>
      </c>
      <c r="Z2805" s="11" t="s">
        <v>26</v>
      </c>
      <c r="AA2805" s="12" t="s">
        <v>31</v>
      </c>
    </row>
    <row r="2806" spans="1:27" x14ac:dyDescent="0.25">
      <c r="A2806" s="10">
        <v>45699</v>
      </c>
      <c r="B2806" s="69">
        <v>2.96643518518519E-2</v>
      </c>
      <c r="C2806" s="11" t="s">
        <v>5183</v>
      </c>
      <c r="D2806" s="11">
        <v>17342</v>
      </c>
      <c r="E2806" s="11" t="s">
        <v>57</v>
      </c>
      <c r="F2806" s="11" t="s">
        <v>26</v>
      </c>
      <c r="G2806" s="11" t="s">
        <v>26</v>
      </c>
      <c r="H2806" s="12" t="s">
        <v>4422</v>
      </c>
      <c r="I2806" s="12" t="s">
        <v>27</v>
      </c>
      <c r="J2806" s="12" t="s">
        <v>33</v>
      </c>
      <c r="K2806" s="12" t="s">
        <v>34</v>
      </c>
      <c r="L2806" s="13">
        <v>45.54</v>
      </c>
      <c r="M2806" s="13">
        <v>31</v>
      </c>
      <c r="N2806" s="13">
        <f t="shared" si="640"/>
        <v>1.4690322580645161</v>
      </c>
      <c r="O2806" s="13">
        <v>85</v>
      </c>
      <c r="P2806" s="13" t="s">
        <v>30</v>
      </c>
      <c r="Q2806" s="13">
        <v>0</v>
      </c>
      <c r="R2806" s="70">
        <f>L2806*O2806</f>
        <v>3870.9</v>
      </c>
      <c r="S2806" s="70">
        <v>38</v>
      </c>
      <c r="T2806" s="70">
        <f>L2806*S2806</f>
        <v>1730.52</v>
      </c>
      <c r="U2806" s="70">
        <f t="shared" ref="U2806" si="655">R2806-T2806</f>
        <v>2140.38</v>
      </c>
      <c r="V2806" s="70">
        <f>U2806*1</f>
        <v>2140.38</v>
      </c>
      <c r="W2806" s="70">
        <f>U2806-V2806</f>
        <v>0</v>
      </c>
      <c r="X2806" s="70">
        <f>L2806*37</f>
        <v>1684.98</v>
      </c>
      <c r="Y2806" s="71">
        <f>+T2806-X2806</f>
        <v>45.539999999999964</v>
      </c>
      <c r="Z2806" s="12" t="s">
        <v>41</v>
      </c>
      <c r="AA2806" s="12" t="s">
        <v>78</v>
      </c>
    </row>
    <row r="2807" spans="1:27" x14ac:dyDescent="0.25">
      <c r="A2807" s="10">
        <v>45699</v>
      </c>
      <c r="B2807" s="69">
        <v>6.8877314814814794E-2</v>
      </c>
      <c r="C2807" s="11" t="s">
        <v>5184</v>
      </c>
      <c r="D2807" s="11">
        <v>17343</v>
      </c>
      <c r="E2807" s="11" t="s">
        <v>322</v>
      </c>
      <c r="F2807" s="11" t="s">
        <v>26</v>
      </c>
      <c r="G2807" s="11">
        <v>112775</v>
      </c>
      <c r="H2807" s="12" t="s">
        <v>4446</v>
      </c>
      <c r="I2807" s="12" t="s">
        <v>27</v>
      </c>
      <c r="J2807" s="12" t="s">
        <v>33</v>
      </c>
      <c r="K2807" s="12" t="s">
        <v>34</v>
      </c>
      <c r="L2807" s="13">
        <v>35.380000000000003</v>
      </c>
      <c r="M2807" s="13">
        <v>25</v>
      </c>
      <c r="N2807" s="13">
        <f t="shared" si="640"/>
        <v>1.4152</v>
      </c>
      <c r="O2807" s="13">
        <v>44</v>
      </c>
      <c r="P2807" s="13" t="s">
        <v>30</v>
      </c>
      <c r="Q2807" s="13">
        <v>0</v>
      </c>
      <c r="R2807" s="70">
        <f t="shared" ref="R2807" si="656">+L2807*O2807</f>
        <v>1556.72</v>
      </c>
      <c r="S2807" s="70">
        <v>0</v>
      </c>
      <c r="T2807" s="70">
        <f>+L2807*S2807</f>
        <v>0</v>
      </c>
      <c r="U2807" s="70">
        <f>+R2807-T2807</f>
        <v>1556.72</v>
      </c>
      <c r="V2807" s="70">
        <f>+U2807*1</f>
        <v>1556.72</v>
      </c>
      <c r="W2807" s="70">
        <f>+U2807-V2807</f>
        <v>0</v>
      </c>
      <c r="X2807" s="70">
        <v>0</v>
      </c>
      <c r="Y2807" s="14">
        <f t="shared" ref="Y2807:Y2825" si="657">T2807-X2807</f>
        <v>0</v>
      </c>
      <c r="Z2807" s="11" t="s">
        <v>26</v>
      </c>
      <c r="AA2807" s="12" t="s">
        <v>31</v>
      </c>
    </row>
    <row r="2808" spans="1:27" x14ac:dyDescent="0.25">
      <c r="A2808" s="10">
        <v>45699</v>
      </c>
      <c r="B2808" s="69">
        <v>6.6087962962962932E-3</v>
      </c>
      <c r="C2808" s="11" t="s">
        <v>5185</v>
      </c>
      <c r="D2808" s="11">
        <v>17344</v>
      </c>
      <c r="E2808" s="11" t="s">
        <v>180</v>
      </c>
      <c r="F2808" s="11" t="s">
        <v>26</v>
      </c>
      <c r="G2808" s="11" t="s">
        <v>35</v>
      </c>
      <c r="H2808" s="12" t="s">
        <v>36</v>
      </c>
      <c r="I2808" s="12" t="s">
        <v>55</v>
      </c>
      <c r="J2808" s="12" t="s">
        <v>55</v>
      </c>
      <c r="K2808" s="12" t="s">
        <v>56</v>
      </c>
      <c r="L2808" s="13">
        <v>14.5</v>
      </c>
      <c r="M2808" s="13">
        <v>9</v>
      </c>
      <c r="N2808" s="13">
        <f t="shared" si="640"/>
        <v>1.6111111111111112</v>
      </c>
      <c r="O2808" s="13">
        <v>20</v>
      </c>
      <c r="P2808" s="13" t="s">
        <v>30</v>
      </c>
      <c r="Q2808" s="13">
        <v>0</v>
      </c>
      <c r="R2808" s="70">
        <f>(L2808*O2808)-Q2808</f>
        <v>290</v>
      </c>
      <c r="S2808" s="70">
        <v>0</v>
      </c>
      <c r="T2808" s="70">
        <f t="shared" ref="T2808" si="658">+L2808*S2808</f>
        <v>0</v>
      </c>
      <c r="U2808" s="70">
        <f t="shared" ref="U2808" si="659">+R2808-T2808</f>
        <v>290</v>
      </c>
      <c r="V2808" s="70">
        <f t="shared" ref="V2808:V2811" si="660">+U2808*0</f>
        <v>0</v>
      </c>
      <c r="W2808" s="70">
        <f t="shared" ref="W2808" si="661">+U2808-V2808</f>
        <v>290</v>
      </c>
      <c r="X2808" s="70">
        <v>0</v>
      </c>
      <c r="Y2808" s="14">
        <f t="shared" si="657"/>
        <v>0</v>
      </c>
      <c r="Z2808" s="11" t="s">
        <v>26</v>
      </c>
      <c r="AA2808" s="12" t="s">
        <v>31</v>
      </c>
    </row>
    <row r="2809" spans="1:27" x14ac:dyDescent="0.25">
      <c r="A2809" s="10">
        <v>45699</v>
      </c>
      <c r="B2809" s="69">
        <v>3.7696759259259249E-2</v>
      </c>
      <c r="C2809" s="11" t="s">
        <v>5186</v>
      </c>
      <c r="D2809" s="11">
        <v>17345</v>
      </c>
      <c r="E2809" s="11" t="s">
        <v>53</v>
      </c>
      <c r="F2809" s="11" t="s">
        <v>26</v>
      </c>
      <c r="G2809" s="11">
        <v>3955</v>
      </c>
      <c r="H2809" s="12" t="s">
        <v>41</v>
      </c>
      <c r="I2809" s="12" t="s">
        <v>27</v>
      </c>
      <c r="J2809" s="12" t="s">
        <v>42</v>
      </c>
      <c r="K2809" s="12" t="s">
        <v>43</v>
      </c>
      <c r="L2809" s="13">
        <v>44.68</v>
      </c>
      <c r="M2809" s="13">
        <v>25</v>
      </c>
      <c r="N2809" s="13">
        <f t="shared" si="640"/>
        <v>1.7871999999999999</v>
      </c>
      <c r="O2809" s="13" t="s">
        <v>30</v>
      </c>
      <c r="P2809" s="13">
        <v>64</v>
      </c>
      <c r="Q2809" s="13">
        <v>0</v>
      </c>
      <c r="R2809" s="70">
        <f>M2809*P2809</f>
        <v>1600</v>
      </c>
      <c r="S2809" s="70">
        <v>0</v>
      </c>
      <c r="T2809" s="70">
        <f>M2809*S2809</f>
        <v>0</v>
      </c>
      <c r="U2809" s="70">
        <f>+R2809-T2809</f>
        <v>1600</v>
      </c>
      <c r="V2809" s="70">
        <f t="shared" si="660"/>
        <v>0</v>
      </c>
      <c r="W2809" s="70">
        <f>+U2809-V2809</f>
        <v>1600</v>
      </c>
      <c r="X2809" s="70">
        <v>0</v>
      </c>
      <c r="Y2809" s="14">
        <f t="shared" si="657"/>
        <v>0</v>
      </c>
      <c r="Z2809" s="11" t="s">
        <v>26</v>
      </c>
      <c r="AA2809" s="12" t="s">
        <v>31</v>
      </c>
    </row>
    <row r="2810" spans="1:27" x14ac:dyDescent="0.25">
      <c r="A2810" s="10">
        <v>45699</v>
      </c>
      <c r="B2810" s="69">
        <v>7.4768518518519289E-3</v>
      </c>
      <c r="C2810" s="11" t="s">
        <v>5187</v>
      </c>
      <c r="D2810" s="11">
        <v>17346</v>
      </c>
      <c r="E2810" s="11" t="s">
        <v>651</v>
      </c>
      <c r="F2810" s="11" t="s">
        <v>26</v>
      </c>
      <c r="G2810" s="11" t="s">
        <v>35</v>
      </c>
      <c r="H2810" s="12" t="s">
        <v>36</v>
      </c>
      <c r="I2810" s="12" t="s">
        <v>55</v>
      </c>
      <c r="J2810" s="12" t="s">
        <v>55</v>
      </c>
      <c r="K2810" s="12" t="s">
        <v>56</v>
      </c>
      <c r="L2810" s="13">
        <v>34.520000000000003</v>
      </c>
      <c r="M2810" s="13">
        <v>23</v>
      </c>
      <c r="N2810" s="13">
        <f t="shared" si="640"/>
        <v>1.5008695652173913</v>
      </c>
      <c r="O2810" s="13">
        <v>20</v>
      </c>
      <c r="P2810" s="13" t="s">
        <v>30</v>
      </c>
      <c r="Q2810" s="13">
        <v>0</v>
      </c>
      <c r="R2810" s="70">
        <f>(L2810*O2810)-Q2810</f>
        <v>690.40000000000009</v>
      </c>
      <c r="S2810" s="70">
        <v>0</v>
      </c>
      <c r="T2810" s="70">
        <f t="shared" ref="T2810" si="662">+L2810*S2810</f>
        <v>0</v>
      </c>
      <c r="U2810" s="70">
        <f t="shared" ref="U2810" si="663">+R2810-T2810</f>
        <v>690.40000000000009</v>
      </c>
      <c r="V2810" s="70">
        <f t="shared" si="660"/>
        <v>0</v>
      </c>
      <c r="W2810" s="70">
        <f t="shared" ref="W2810" si="664">+U2810-V2810</f>
        <v>690.40000000000009</v>
      </c>
      <c r="X2810" s="70">
        <v>0</v>
      </c>
      <c r="Y2810" s="14">
        <f t="shared" si="657"/>
        <v>0</v>
      </c>
      <c r="Z2810" s="11" t="s">
        <v>26</v>
      </c>
      <c r="AA2810" s="12" t="s">
        <v>31</v>
      </c>
    </row>
    <row r="2811" spans="1:27" x14ac:dyDescent="0.25">
      <c r="A2811" s="10">
        <v>45699</v>
      </c>
      <c r="B2811" s="69">
        <v>9.5717592592592604E-2</v>
      </c>
      <c r="C2811" s="11" t="s">
        <v>5188</v>
      </c>
      <c r="D2811" s="11">
        <v>17347</v>
      </c>
      <c r="E2811" s="11" t="s">
        <v>570</v>
      </c>
      <c r="F2811" s="11" t="s">
        <v>26</v>
      </c>
      <c r="G2811" s="11">
        <v>10751</v>
      </c>
      <c r="H2811" s="12" t="s">
        <v>140</v>
      </c>
      <c r="I2811" s="12" t="s">
        <v>27</v>
      </c>
      <c r="J2811" s="12" t="s">
        <v>33</v>
      </c>
      <c r="K2811" s="12" t="s">
        <v>34</v>
      </c>
      <c r="L2811" s="13">
        <v>41.82</v>
      </c>
      <c r="M2811" s="13">
        <v>28</v>
      </c>
      <c r="N2811" s="13">
        <f t="shared" si="640"/>
        <v>1.4935714285714285</v>
      </c>
      <c r="O2811" s="13">
        <v>40</v>
      </c>
      <c r="P2811" s="13"/>
      <c r="Q2811" s="13">
        <v>0</v>
      </c>
      <c r="R2811" s="70">
        <f>+L2811*O2811</f>
        <v>1672.8</v>
      </c>
      <c r="S2811" s="70">
        <v>0</v>
      </c>
      <c r="T2811" s="70">
        <f>+L2811*S2811</f>
        <v>0</v>
      </c>
      <c r="U2811" s="70">
        <f>+R2811-T2811</f>
        <v>1672.8</v>
      </c>
      <c r="V2811" s="70">
        <f t="shared" si="660"/>
        <v>0</v>
      </c>
      <c r="W2811" s="70">
        <f>+U2811-V2811</f>
        <v>1672.8</v>
      </c>
      <c r="X2811" s="70">
        <v>0</v>
      </c>
      <c r="Y2811" s="14">
        <f t="shared" si="657"/>
        <v>0</v>
      </c>
      <c r="Z2811" s="11" t="s">
        <v>26</v>
      </c>
      <c r="AA2811" s="12" t="s">
        <v>31</v>
      </c>
    </row>
    <row r="2812" spans="1:27" x14ac:dyDescent="0.25">
      <c r="A2812" s="10">
        <v>45699</v>
      </c>
      <c r="B2812" s="69">
        <v>0.11379629629629628</v>
      </c>
      <c r="C2812" s="11" t="s">
        <v>5189</v>
      </c>
      <c r="D2812" s="11">
        <v>17348</v>
      </c>
      <c r="E2812" s="11" t="s">
        <v>50</v>
      </c>
      <c r="F2812" s="11" t="s">
        <v>26</v>
      </c>
      <c r="G2812" s="11">
        <v>945</v>
      </c>
      <c r="H2812" s="12" t="s">
        <v>163</v>
      </c>
      <c r="I2812" s="12" t="s">
        <v>27</v>
      </c>
      <c r="J2812" s="12" t="s">
        <v>47</v>
      </c>
      <c r="K2812" s="12" t="s">
        <v>48</v>
      </c>
      <c r="L2812" s="13">
        <v>38.74</v>
      </c>
      <c r="M2812" s="13">
        <v>25</v>
      </c>
      <c r="N2812" s="13">
        <f t="shared" si="640"/>
        <v>1.5496000000000001</v>
      </c>
      <c r="O2812" s="13" t="s">
        <v>30</v>
      </c>
      <c r="P2812" s="13">
        <v>60</v>
      </c>
      <c r="Q2812" s="13">
        <v>0</v>
      </c>
      <c r="R2812" s="70">
        <f>M2812*P2812</f>
        <v>1500</v>
      </c>
      <c r="S2812" s="70">
        <v>0</v>
      </c>
      <c r="T2812" s="70">
        <f>M2812*S2812</f>
        <v>0</v>
      </c>
      <c r="U2812" s="70">
        <f>R2812-T2812</f>
        <v>1500</v>
      </c>
      <c r="V2812" s="70">
        <f>U2812*0</f>
        <v>0</v>
      </c>
      <c r="W2812" s="70">
        <f>U2812-V2812</f>
        <v>1500</v>
      </c>
      <c r="X2812" s="70">
        <v>0</v>
      </c>
      <c r="Y2812" s="14">
        <f t="shared" si="657"/>
        <v>0</v>
      </c>
      <c r="Z2812" s="11" t="s">
        <v>26</v>
      </c>
      <c r="AA2812" s="12" t="s">
        <v>31</v>
      </c>
    </row>
    <row r="2813" spans="1:27" x14ac:dyDescent="0.25">
      <c r="A2813" s="10">
        <v>45699</v>
      </c>
      <c r="B2813" s="69">
        <v>6.921296296296342E-3</v>
      </c>
      <c r="C2813" s="11" t="s">
        <v>5190</v>
      </c>
      <c r="D2813" s="11">
        <v>17349</v>
      </c>
      <c r="E2813" s="11" t="s">
        <v>486</v>
      </c>
      <c r="F2813" s="11" t="s">
        <v>26</v>
      </c>
      <c r="G2813" s="11">
        <v>78003</v>
      </c>
      <c r="H2813" s="12" t="s">
        <v>4448</v>
      </c>
      <c r="I2813" s="12" t="s">
        <v>27</v>
      </c>
      <c r="J2813" s="12" t="s">
        <v>42</v>
      </c>
      <c r="K2813" s="12" t="s">
        <v>43</v>
      </c>
      <c r="L2813" s="13">
        <v>45.98</v>
      </c>
      <c r="M2813" s="13">
        <v>28</v>
      </c>
      <c r="N2813" s="13">
        <f t="shared" si="640"/>
        <v>1.6421428571428571</v>
      </c>
      <c r="O2813" s="13">
        <v>42.5</v>
      </c>
      <c r="P2813" s="13"/>
      <c r="Q2813" s="13">
        <v>0</v>
      </c>
      <c r="R2813" s="70">
        <f>+L2813*O2813</f>
        <v>1954.1499999999999</v>
      </c>
      <c r="S2813" s="70">
        <v>0</v>
      </c>
      <c r="T2813" s="70">
        <f>+L2813*S2813</f>
        <v>0</v>
      </c>
      <c r="U2813" s="70">
        <f>+R2813-T2813</f>
        <v>1954.1499999999999</v>
      </c>
      <c r="V2813" s="70">
        <f>+U2813*0.75</f>
        <v>1465.6125</v>
      </c>
      <c r="W2813" s="70">
        <f>+U2813-V2813</f>
        <v>488.53749999999991</v>
      </c>
      <c r="X2813" s="70">
        <v>0</v>
      </c>
      <c r="Y2813" s="14">
        <f t="shared" si="657"/>
        <v>0</v>
      </c>
      <c r="Z2813" s="11" t="s">
        <v>26</v>
      </c>
      <c r="AA2813" s="12" t="s">
        <v>31</v>
      </c>
    </row>
    <row r="2814" spans="1:27" x14ac:dyDescent="0.25">
      <c r="A2814" s="10">
        <v>45699</v>
      </c>
      <c r="B2814" s="69">
        <v>8.3784722222222219E-2</v>
      </c>
      <c r="C2814" s="11" t="s">
        <v>5191</v>
      </c>
      <c r="D2814" s="11">
        <v>17350</v>
      </c>
      <c r="E2814" s="11" t="s">
        <v>1200</v>
      </c>
      <c r="F2814" s="11" t="s">
        <v>26</v>
      </c>
      <c r="G2814" s="11">
        <v>2961</v>
      </c>
      <c r="H2814" s="12" t="s">
        <v>163</v>
      </c>
      <c r="I2814" s="12" t="s">
        <v>55</v>
      </c>
      <c r="J2814" s="12" t="s">
        <v>566</v>
      </c>
      <c r="K2814" s="12" t="s">
        <v>550</v>
      </c>
      <c r="L2814" s="13">
        <v>42.94</v>
      </c>
      <c r="M2814" s="13">
        <v>25</v>
      </c>
      <c r="N2814" s="13">
        <f t="shared" si="640"/>
        <v>1.7176</v>
      </c>
      <c r="O2814" s="13">
        <v>25</v>
      </c>
      <c r="P2814" s="13"/>
      <c r="Q2814" s="13">
        <v>0</v>
      </c>
      <c r="R2814" s="70">
        <f>L2814*O2814</f>
        <v>1073.5</v>
      </c>
      <c r="S2814" s="70">
        <v>0</v>
      </c>
      <c r="T2814" s="70">
        <f>L2814*S2814</f>
        <v>0</v>
      </c>
      <c r="U2814" s="70">
        <f>R2814-T2814</f>
        <v>1073.5</v>
      </c>
      <c r="V2814" s="70">
        <f>U2814*0</f>
        <v>0</v>
      </c>
      <c r="W2814" s="70">
        <f>U2814-V2814</f>
        <v>1073.5</v>
      </c>
      <c r="X2814" s="70">
        <v>0</v>
      </c>
      <c r="Y2814" s="14">
        <f t="shared" si="657"/>
        <v>0</v>
      </c>
      <c r="Z2814" s="11" t="s">
        <v>26</v>
      </c>
      <c r="AA2814" s="12" t="s">
        <v>31</v>
      </c>
    </row>
    <row r="2815" spans="1:27" x14ac:dyDescent="0.25">
      <c r="A2815" s="10">
        <v>45699</v>
      </c>
      <c r="B2815" s="69">
        <v>1.7476851851851827E-2</v>
      </c>
      <c r="C2815" s="11" t="s">
        <v>5192</v>
      </c>
      <c r="D2815" s="11">
        <v>17351</v>
      </c>
      <c r="E2815" s="11" t="s">
        <v>230</v>
      </c>
      <c r="F2815" s="11" t="s">
        <v>26</v>
      </c>
      <c r="G2815" s="11">
        <v>26205</v>
      </c>
      <c r="H2815" s="12" t="s">
        <v>565</v>
      </c>
      <c r="I2815" s="12" t="s">
        <v>55</v>
      </c>
      <c r="J2815" s="12" t="s">
        <v>566</v>
      </c>
      <c r="K2815" s="12" t="s">
        <v>550</v>
      </c>
      <c r="L2815" s="13">
        <v>44.44</v>
      </c>
      <c r="M2815" s="13">
        <v>25</v>
      </c>
      <c r="N2815" s="13">
        <f t="shared" si="640"/>
        <v>1.7775999999999998</v>
      </c>
      <c r="O2815" s="13">
        <v>25</v>
      </c>
      <c r="P2815" s="13" t="s">
        <v>30</v>
      </c>
      <c r="Q2815" s="13">
        <v>0</v>
      </c>
      <c r="R2815" s="70">
        <f t="shared" ref="R2815" si="665">L2815*O2815</f>
        <v>1111</v>
      </c>
      <c r="S2815" s="70">
        <v>0</v>
      </c>
      <c r="T2815" s="70">
        <f t="shared" ref="T2815" si="666">L2815*S2815</f>
        <v>0</v>
      </c>
      <c r="U2815" s="70">
        <f t="shared" ref="U2815" si="667">R2815-T2815</f>
        <v>1111</v>
      </c>
      <c r="V2815" s="70">
        <f>U2815*0</f>
        <v>0</v>
      </c>
      <c r="W2815" s="70">
        <f t="shared" ref="W2815" si="668">U2815-V2815</f>
        <v>1111</v>
      </c>
      <c r="X2815" s="70">
        <v>0</v>
      </c>
      <c r="Y2815" s="14">
        <f t="shared" si="657"/>
        <v>0</v>
      </c>
      <c r="Z2815" s="11" t="s">
        <v>26</v>
      </c>
      <c r="AA2815" s="12" t="s">
        <v>31</v>
      </c>
    </row>
    <row r="2816" spans="1:27" x14ac:dyDescent="0.25">
      <c r="A2816" s="10">
        <v>45699</v>
      </c>
      <c r="B2816" s="69">
        <v>2.2986111111111096E-2</v>
      </c>
      <c r="C2816" s="11" t="s">
        <v>5193</v>
      </c>
      <c r="D2816" s="11">
        <v>17352</v>
      </c>
      <c r="E2816" s="11" t="s">
        <v>5194</v>
      </c>
      <c r="F2816" s="11" t="s">
        <v>26</v>
      </c>
      <c r="G2816" s="11">
        <v>78001</v>
      </c>
      <c r="H2816" s="12" t="s">
        <v>4448</v>
      </c>
      <c r="I2816" s="12" t="s">
        <v>27</v>
      </c>
      <c r="J2816" s="12" t="s">
        <v>42</v>
      </c>
      <c r="K2816" s="12" t="s">
        <v>43</v>
      </c>
      <c r="L2816" s="13">
        <v>45.46</v>
      </c>
      <c r="M2816" s="13">
        <v>28</v>
      </c>
      <c r="N2816" s="13">
        <f t="shared" si="640"/>
        <v>1.6235714285714287</v>
      </c>
      <c r="O2816" s="13">
        <v>42.5</v>
      </c>
      <c r="P2816" s="13"/>
      <c r="Q2816" s="13">
        <v>0</v>
      </c>
      <c r="R2816" s="70">
        <f>+L2816*O2816</f>
        <v>1932.05</v>
      </c>
      <c r="S2816" s="70">
        <v>0</v>
      </c>
      <c r="T2816" s="70">
        <f>+L2816*S2816</f>
        <v>0</v>
      </c>
      <c r="U2816" s="70">
        <f>+R2816-T2816</f>
        <v>1932.05</v>
      </c>
      <c r="V2816" s="70">
        <f>+U2816*0.75</f>
        <v>1449.0374999999999</v>
      </c>
      <c r="W2816" s="70">
        <f>+U2816-V2816</f>
        <v>483.01250000000005</v>
      </c>
      <c r="X2816" s="70">
        <v>0</v>
      </c>
      <c r="Y2816" s="14">
        <f t="shared" si="657"/>
        <v>0</v>
      </c>
      <c r="Z2816" s="11" t="s">
        <v>26</v>
      </c>
      <c r="AA2816" s="12" t="s">
        <v>31</v>
      </c>
    </row>
    <row r="2817" spans="1:27" x14ac:dyDescent="0.25">
      <c r="A2817" s="10">
        <v>45699</v>
      </c>
      <c r="B2817" s="69">
        <v>8.113425925925899E-3</v>
      </c>
      <c r="C2817" s="11" t="s">
        <v>5195</v>
      </c>
      <c r="D2817" s="11">
        <v>17353</v>
      </c>
      <c r="E2817" s="11" t="s">
        <v>113</v>
      </c>
      <c r="F2817" s="11" t="s">
        <v>26</v>
      </c>
      <c r="G2817" s="11">
        <v>693</v>
      </c>
      <c r="H2817" s="12" t="s">
        <v>6328</v>
      </c>
      <c r="I2817" s="12" t="s">
        <v>27</v>
      </c>
      <c r="J2817" s="12" t="s">
        <v>42</v>
      </c>
      <c r="K2817" s="12" t="s">
        <v>43</v>
      </c>
      <c r="L2817" s="13">
        <v>31.72</v>
      </c>
      <c r="M2817" s="13">
        <v>20</v>
      </c>
      <c r="N2817" s="13">
        <f t="shared" si="640"/>
        <v>1.5859999999999999</v>
      </c>
      <c r="O2817" s="13">
        <v>42.5</v>
      </c>
      <c r="P2817" s="13"/>
      <c r="Q2817" s="13">
        <v>0</v>
      </c>
      <c r="R2817" s="70">
        <f>L2817*O2817</f>
        <v>1348.1</v>
      </c>
      <c r="S2817" s="70">
        <v>0</v>
      </c>
      <c r="T2817" s="70">
        <f>+L2817*S2817</f>
        <v>0</v>
      </c>
      <c r="U2817" s="70">
        <f>R2817-T2817</f>
        <v>1348.1</v>
      </c>
      <c r="V2817" s="70">
        <f>U2817*0</f>
        <v>0</v>
      </c>
      <c r="W2817" s="70">
        <f>U2817-V2817</f>
        <v>1348.1</v>
      </c>
      <c r="X2817" s="70"/>
      <c r="Y2817" s="14">
        <f t="shared" si="657"/>
        <v>0</v>
      </c>
      <c r="Z2817" s="11" t="s">
        <v>26</v>
      </c>
      <c r="AA2817" s="12" t="s">
        <v>31</v>
      </c>
    </row>
    <row r="2818" spans="1:27" x14ac:dyDescent="0.25">
      <c r="A2818" s="10">
        <v>45699</v>
      </c>
      <c r="B2818" s="69">
        <v>0.11731481481481482</v>
      </c>
      <c r="C2818" s="11" t="s">
        <v>5196</v>
      </c>
      <c r="D2818" s="11">
        <v>17354</v>
      </c>
      <c r="E2818" s="11" t="s">
        <v>496</v>
      </c>
      <c r="F2818" s="11" t="s">
        <v>26</v>
      </c>
      <c r="G2818" s="11">
        <v>78954</v>
      </c>
      <c r="H2818" s="12" t="s">
        <v>4448</v>
      </c>
      <c r="I2818" s="12" t="s">
        <v>27</v>
      </c>
      <c r="J2818" s="12" t="s">
        <v>33</v>
      </c>
      <c r="K2818" s="12" t="s">
        <v>34</v>
      </c>
      <c r="L2818" s="13">
        <v>38.18</v>
      </c>
      <c r="M2818" s="13">
        <v>25</v>
      </c>
      <c r="N2818" s="13">
        <f t="shared" si="640"/>
        <v>1.5271999999999999</v>
      </c>
      <c r="O2818" s="13">
        <v>45.33</v>
      </c>
      <c r="P2818" s="13" t="s">
        <v>30</v>
      </c>
      <c r="Q2818" s="13">
        <v>0</v>
      </c>
      <c r="R2818" s="70">
        <f>+L2818*O2818</f>
        <v>1730.6994</v>
      </c>
      <c r="S2818" s="70">
        <v>0</v>
      </c>
      <c r="T2818" s="70">
        <f>+L2818*S2818</f>
        <v>0</v>
      </c>
      <c r="U2818" s="70">
        <f>+R2818-T2818</f>
        <v>1730.6994</v>
      </c>
      <c r="V2818" s="70">
        <f>+U2818*0.75</f>
        <v>1298.0245500000001</v>
      </c>
      <c r="W2818" s="70">
        <f>+U2818-V2818</f>
        <v>432.67484999999988</v>
      </c>
      <c r="X2818" s="70">
        <v>0</v>
      </c>
      <c r="Y2818" s="14">
        <f t="shared" si="657"/>
        <v>0</v>
      </c>
      <c r="Z2818" s="11" t="s">
        <v>26</v>
      </c>
      <c r="AA2818" s="12" t="s">
        <v>31</v>
      </c>
    </row>
    <row r="2819" spans="1:27" x14ac:dyDescent="0.25">
      <c r="A2819" s="10">
        <v>45699</v>
      </c>
      <c r="B2819" s="69">
        <v>2.7881944444444473E-2</v>
      </c>
      <c r="C2819" s="11" t="s">
        <v>5197</v>
      </c>
      <c r="D2819" s="11">
        <v>17355</v>
      </c>
      <c r="E2819" s="11" t="s">
        <v>60</v>
      </c>
      <c r="F2819" s="11" t="s">
        <v>26</v>
      </c>
      <c r="G2819" s="11" t="s">
        <v>35</v>
      </c>
      <c r="H2819" s="12" t="s">
        <v>36</v>
      </c>
      <c r="I2819" s="12" t="s">
        <v>27</v>
      </c>
      <c r="J2819" s="12" t="s">
        <v>33</v>
      </c>
      <c r="K2819" s="12" t="s">
        <v>34</v>
      </c>
      <c r="L2819" s="13">
        <v>8.24</v>
      </c>
      <c r="M2819" s="13">
        <v>5</v>
      </c>
      <c r="N2819" s="13">
        <f t="shared" si="640"/>
        <v>1.6480000000000001</v>
      </c>
      <c r="O2819" s="13">
        <v>50</v>
      </c>
      <c r="P2819" s="13" t="s">
        <v>30</v>
      </c>
      <c r="Q2819" s="13">
        <v>0</v>
      </c>
      <c r="R2819" s="70">
        <f>(L2819*O2819)-Q2819</f>
        <v>412</v>
      </c>
      <c r="S2819" s="70">
        <v>0</v>
      </c>
      <c r="T2819" s="70">
        <f t="shared" ref="T2819:T2820" si="669">+L2819*S2819</f>
        <v>0</v>
      </c>
      <c r="U2819" s="70">
        <f t="shared" ref="U2819:U2820" si="670">+R2819-T2819</f>
        <v>412</v>
      </c>
      <c r="V2819" s="70">
        <f t="shared" ref="V2819:V2820" si="671">+U2819*0</f>
        <v>0</v>
      </c>
      <c r="W2819" s="70">
        <f t="shared" ref="W2819:W2820" si="672">+U2819-V2819</f>
        <v>412</v>
      </c>
      <c r="X2819" s="70">
        <v>0</v>
      </c>
      <c r="Y2819" s="14">
        <f t="shared" si="657"/>
        <v>0</v>
      </c>
      <c r="Z2819" s="11" t="s">
        <v>26</v>
      </c>
      <c r="AA2819" s="12" t="s">
        <v>31</v>
      </c>
    </row>
    <row r="2820" spans="1:27" x14ac:dyDescent="0.25">
      <c r="A2820" s="10">
        <v>45699</v>
      </c>
      <c r="B2820" s="69">
        <v>8.9236111111110628E-3</v>
      </c>
      <c r="C2820" s="11" t="s">
        <v>5198</v>
      </c>
      <c r="D2820" s="11">
        <v>17356</v>
      </c>
      <c r="E2820" s="11" t="s">
        <v>5173</v>
      </c>
      <c r="F2820" s="11" t="s">
        <v>26</v>
      </c>
      <c r="G2820" s="11" t="s">
        <v>35</v>
      </c>
      <c r="H2820" s="12" t="s">
        <v>36</v>
      </c>
      <c r="I2820" s="12" t="s">
        <v>55</v>
      </c>
      <c r="J2820" s="12" t="s">
        <v>55</v>
      </c>
      <c r="K2820" s="12" t="s">
        <v>56</v>
      </c>
      <c r="L2820" s="13">
        <v>30.92</v>
      </c>
      <c r="M2820" s="13">
        <v>20</v>
      </c>
      <c r="N2820" s="13">
        <f t="shared" si="640"/>
        <v>1.546</v>
      </c>
      <c r="O2820" s="13">
        <v>20</v>
      </c>
      <c r="P2820" s="13" t="s">
        <v>30</v>
      </c>
      <c r="Q2820" s="13">
        <v>0</v>
      </c>
      <c r="R2820" s="70">
        <f>(L2820*O2820)-Q2820</f>
        <v>618.40000000000009</v>
      </c>
      <c r="S2820" s="70">
        <v>0</v>
      </c>
      <c r="T2820" s="70">
        <f t="shared" si="669"/>
        <v>0</v>
      </c>
      <c r="U2820" s="70">
        <f t="shared" si="670"/>
        <v>618.40000000000009</v>
      </c>
      <c r="V2820" s="70">
        <f t="shared" si="671"/>
        <v>0</v>
      </c>
      <c r="W2820" s="70">
        <f t="shared" si="672"/>
        <v>618.40000000000009</v>
      </c>
      <c r="X2820" s="70">
        <v>0</v>
      </c>
      <c r="Y2820" s="14">
        <f t="shared" si="657"/>
        <v>0</v>
      </c>
      <c r="Z2820" s="11" t="s">
        <v>26</v>
      </c>
      <c r="AA2820" s="12" t="s">
        <v>31</v>
      </c>
    </row>
    <row r="2821" spans="1:27" x14ac:dyDescent="0.25">
      <c r="A2821" s="10">
        <v>45699</v>
      </c>
      <c r="B2821" s="69">
        <v>0.11822916666666672</v>
      </c>
      <c r="C2821" s="11" t="s">
        <v>5199</v>
      </c>
      <c r="D2821" s="11">
        <v>17357</v>
      </c>
      <c r="E2821" s="11" t="s">
        <v>567</v>
      </c>
      <c r="F2821" s="11" t="s">
        <v>26</v>
      </c>
      <c r="G2821" s="11">
        <v>112773</v>
      </c>
      <c r="H2821" s="12" t="s">
        <v>4446</v>
      </c>
      <c r="I2821" s="12" t="s">
        <v>27</v>
      </c>
      <c r="J2821" s="12" t="s">
        <v>33</v>
      </c>
      <c r="K2821" s="12" t="s">
        <v>34</v>
      </c>
      <c r="L2821" s="13">
        <v>34.659999999999997</v>
      </c>
      <c r="M2821" s="13">
        <v>25</v>
      </c>
      <c r="N2821" s="13">
        <f t="shared" si="640"/>
        <v>1.3863999999999999</v>
      </c>
      <c r="O2821" s="13">
        <v>44</v>
      </c>
      <c r="P2821" s="13" t="s">
        <v>30</v>
      </c>
      <c r="Q2821" s="13">
        <v>0</v>
      </c>
      <c r="R2821" s="70">
        <f t="shared" ref="R2821" si="673">+L2821*O2821</f>
        <v>1525.04</v>
      </c>
      <c r="S2821" s="70">
        <v>0</v>
      </c>
      <c r="T2821" s="70">
        <f>+L2821*S2821</f>
        <v>0</v>
      </c>
      <c r="U2821" s="70">
        <f>+R2821-T2821</f>
        <v>1525.04</v>
      </c>
      <c r="V2821" s="70">
        <f>+U2821*1</f>
        <v>1525.04</v>
      </c>
      <c r="W2821" s="70">
        <f>+U2821-V2821</f>
        <v>0</v>
      </c>
      <c r="X2821" s="70">
        <v>0</v>
      </c>
      <c r="Y2821" s="14">
        <f t="shared" si="657"/>
        <v>0</v>
      </c>
      <c r="Z2821" s="11" t="s">
        <v>26</v>
      </c>
      <c r="AA2821" s="12" t="s">
        <v>31</v>
      </c>
    </row>
    <row r="2822" spans="1:27" x14ac:dyDescent="0.25">
      <c r="A2822" s="10">
        <v>45699</v>
      </c>
      <c r="B2822" s="69">
        <v>9.5254629629629717E-3</v>
      </c>
      <c r="C2822" s="11" t="s">
        <v>5200</v>
      </c>
      <c r="D2822" s="11">
        <v>17358</v>
      </c>
      <c r="E2822" s="11" t="s">
        <v>81</v>
      </c>
      <c r="F2822" s="11" t="s">
        <v>26</v>
      </c>
      <c r="G2822" s="11">
        <v>1212</v>
      </c>
      <c r="H2822" s="12" t="s">
        <v>141</v>
      </c>
      <c r="I2822" s="12" t="s">
        <v>37</v>
      </c>
      <c r="J2822" s="12" t="s">
        <v>85</v>
      </c>
      <c r="K2822" s="12" t="s">
        <v>86</v>
      </c>
      <c r="L2822" s="13">
        <v>37.159999999999997</v>
      </c>
      <c r="M2822" s="13">
        <v>22</v>
      </c>
      <c r="N2822" s="13">
        <f t="shared" si="640"/>
        <v>1.689090909090909</v>
      </c>
      <c r="O2822" s="13">
        <v>29</v>
      </c>
      <c r="P2822" s="13" t="s">
        <v>30</v>
      </c>
      <c r="Q2822" s="13">
        <v>0</v>
      </c>
      <c r="R2822" s="70">
        <f>L2822*O2822</f>
        <v>1077.6399999999999</v>
      </c>
      <c r="S2822" s="70">
        <v>0</v>
      </c>
      <c r="T2822" s="70">
        <f>L2822*S2822</f>
        <v>0</v>
      </c>
      <c r="U2822" s="70">
        <f>R2822-T2822</f>
        <v>1077.6399999999999</v>
      </c>
      <c r="V2822" s="70">
        <f>U2822*0</f>
        <v>0</v>
      </c>
      <c r="W2822" s="70">
        <f>U2822-V2822</f>
        <v>1077.6399999999999</v>
      </c>
      <c r="X2822" s="70">
        <v>0</v>
      </c>
      <c r="Y2822" s="14">
        <f t="shared" si="657"/>
        <v>0</v>
      </c>
      <c r="Z2822" s="11" t="s">
        <v>26</v>
      </c>
      <c r="AA2822" s="12" t="s">
        <v>31</v>
      </c>
    </row>
    <row r="2823" spans="1:27" x14ac:dyDescent="0.25">
      <c r="A2823" s="10">
        <v>45699</v>
      </c>
      <c r="B2823" s="69">
        <v>8.553240740740764E-3</v>
      </c>
      <c r="C2823" s="11" t="s">
        <v>5201</v>
      </c>
      <c r="D2823" s="11">
        <v>17359</v>
      </c>
      <c r="E2823" s="11" t="s">
        <v>658</v>
      </c>
      <c r="F2823" s="11" t="s">
        <v>26</v>
      </c>
      <c r="G2823" s="11">
        <v>867</v>
      </c>
      <c r="H2823" s="12" t="s">
        <v>141</v>
      </c>
      <c r="I2823" s="12" t="s">
        <v>37</v>
      </c>
      <c r="J2823" s="12" t="s">
        <v>85</v>
      </c>
      <c r="K2823" s="12" t="s">
        <v>86</v>
      </c>
      <c r="L2823" s="13">
        <v>37.9</v>
      </c>
      <c r="M2823" s="13">
        <v>22</v>
      </c>
      <c r="N2823" s="13">
        <f t="shared" si="640"/>
        <v>1.7227272727272727</v>
      </c>
      <c r="O2823" s="13">
        <v>29</v>
      </c>
      <c r="P2823" s="13" t="s">
        <v>30</v>
      </c>
      <c r="Q2823" s="13">
        <v>0</v>
      </c>
      <c r="R2823" s="70">
        <f>L2823*O2823</f>
        <v>1099.0999999999999</v>
      </c>
      <c r="S2823" s="70">
        <v>0</v>
      </c>
      <c r="T2823" s="70">
        <f>L2823*S2823</f>
        <v>0</v>
      </c>
      <c r="U2823" s="70">
        <f>R2823-T2823</f>
        <v>1099.0999999999999</v>
      </c>
      <c r="V2823" s="70">
        <f>U2823*0</f>
        <v>0</v>
      </c>
      <c r="W2823" s="70">
        <f>U2823-V2823</f>
        <v>1099.0999999999999</v>
      </c>
      <c r="X2823" s="70">
        <v>0</v>
      </c>
      <c r="Y2823" s="14">
        <f t="shared" si="657"/>
        <v>0</v>
      </c>
      <c r="Z2823" s="11" t="s">
        <v>26</v>
      </c>
      <c r="AA2823" s="12" t="s">
        <v>31</v>
      </c>
    </row>
    <row r="2824" spans="1:27" x14ac:dyDescent="0.25">
      <c r="A2824" s="10">
        <v>45699</v>
      </c>
      <c r="B2824" s="69">
        <v>1.9618055555555514E-2</v>
      </c>
      <c r="C2824" s="11" t="s">
        <v>5202</v>
      </c>
      <c r="D2824" s="11">
        <v>17360</v>
      </c>
      <c r="E2824" s="11" t="s">
        <v>501</v>
      </c>
      <c r="F2824" s="11" t="s">
        <v>26</v>
      </c>
      <c r="G2824" s="11">
        <v>820</v>
      </c>
      <c r="H2824" s="12" t="s">
        <v>141</v>
      </c>
      <c r="I2824" s="12" t="s">
        <v>37</v>
      </c>
      <c r="J2824" s="12" t="s">
        <v>85</v>
      </c>
      <c r="K2824" s="12" t="s">
        <v>86</v>
      </c>
      <c r="L2824" s="13">
        <v>38.9</v>
      </c>
      <c r="M2824" s="13">
        <v>25</v>
      </c>
      <c r="N2824" s="13">
        <f t="shared" si="640"/>
        <v>1.556</v>
      </c>
      <c r="O2824" s="13">
        <v>29</v>
      </c>
      <c r="P2824" s="13" t="s">
        <v>30</v>
      </c>
      <c r="Q2824" s="13">
        <v>0</v>
      </c>
      <c r="R2824" s="70">
        <f>L2824*O2824</f>
        <v>1128.0999999999999</v>
      </c>
      <c r="S2824" s="70">
        <v>0</v>
      </c>
      <c r="T2824" s="70">
        <f>L2824*S2824</f>
        <v>0</v>
      </c>
      <c r="U2824" s="70">
        <f>R2824-T2824</f>
        <v>1128.0999999999999</v>
      </c>
      <c r="V2824" s="70">
        <f>U2824*0</f>
        <v>0</v>
      </c>
      <c r="W2824" s="70">
        <f>U2824-V2824</f>
        <v>1128.0999999999999</v>
      </c>
      <c r="X2824" s="70">
        <v>0</v>
      </c>
      <c r="Y2824" s="14">
        <f t="shared" si="657"/>
        <v>0</v>
      </c>
      <c r="Z2824" s="11" t="s">
        <v>26</v>
      </c>
      <c r="AA2824" s="12" t="s">
        <v>31</v>
      </c>
    </row>
    <row r="2825" spans="1:27" x14ac:dyDescent="0.25">
      <c r="A2825" s="10">
        <v>45699</v>
      </c>
      <c r="B2825" s="69">
        <v>8.2893518518518505E-2</v>
      </c>
      <c r="C2825" s="11" t="s">
        <v>5203</v>
      </c>
      <c r="D2825" s="11">
        <v>17362</v>
      </c>
      <c r="E2825" s="11" t="s">
        <v>80</v>
      </c>
      <c r="F2825" s="11" t="s">
        <v>26</v>
      </c>
      <c r="G2825" s="11">
        <v>10681</v>
      </c>
      <c r="H2825" s="12" t="s">
        <v>140</v>
      </c>
      <c r="I2825" s="12" t="s">
        <v>27</v>
      </c>
      <c r="J2825" s="12" t="s">
        <v>47</v>
      </c>
      <c r="K2825" s="12" t="s">
        <v>48</v>
      </c>
      <c r="L2825" s="13">
        <v>42.56</v>
      </c>
      <c r="M2825" s="13">
        <v>29</v>
      </c>
      <c r="N2825" s="13">
        <f t="shared" si="640"/>
        <v>1.4675862068965517</v>
      </c>
      <c r="O2825" s="13">
        <v>40</v>
      </c>
      <c r="P2825" s="13"/>
      <c r="Q2825" s="13">
        <v>0</v>
      </c>
      <c r="R2825" s="70">
        <f>+L2825*O2825</f>
        <v>1702.4</v>
      </c>
      <c r="S2825" s="70">
        <v>0</v>
      </c>
      <c r="T2825" s="70">
        <f>+L2825*S2825</f>
        <v>0</v>
      </c>
      <c r="U2825" s="70">
        <f>+R2825-T2825</f>
        <v>1702.4</v>
      </c>
      <c r="V2825" s="70">
        <f t="shared" ref="V2825" si="674">+U2825*0</f>
        <v>0</v>
      </c>
      <c r="W2825" s="70">
        <f>+U2825-V2825</f>
        <v>1702.4</v>
      </c>
      <c r="X2825" s="70">
        <v>0</v>
      </c>
      <c r="Y2825" s="14">
        <f t="shared" si="657"/>
        <v>0</v>
      </c>
      <c r="Z2825" s="11" t="s">
        <v>26</v>
      </c>
      <c r="AA2825" s="12" t="s">
        <v>31</v>
      </c>
    </row>
    <row r="2826" spans="1:27" x14ac:dyDescent="0.25">
      <c r="A2826" s="10">
        <v>45699</v>
      </c>
      <c r="B2826" s="69">
        <v>1.5069444444444469E-2</v>
      </c>
      <c r="C2826" s="11" t="s">
        <v>5204</v>
      </c>
      <c r="D2826" s="11">
        <v>17363</v>
      </c>
      <c r="E2826" s="11" t="s">
        <v>431</v>
      </c>
      <c r="F2826" s="11" t="s">
        <v>26</v>
      </c>
      <c r="G2826" s="11" t="s">
        <v>26</v>
      </c>
      <c r="H2826" s="12" t="s">
        <v>4422</v>
      </c>
      <c r="I2826" s="12" t="s">
        <v>27</v>
      </c>
      <c r="J2826" s="12" t="s">
        <v>42</v>
      </c>
      <c r="K2826" s="12" t="s">
        <v>43</v>
      </c>
      <c r="L2826" s="13">
        <v>41.88</v>
      </c>
      <c r="M2826" s="13">
        <v>25</v>
      </c>
      <c r="N2826" s="13">
        <f t="shared" si="640"/>
        <v>1.6752</v>
      </c>
      <c r="O2826" s="13">
        <v>83</v>
      </c>
      <c r="P2826" s="13" t="s">
        <v>30</v>
      </c>
      <c r="Q2826" s="13">
        <v>0</v>
      </c>
      <c r="R2826" s="70">
        <f>L2826*O2826</f>
        <v>3476.0400000000004</v>
      </c>
      <c r="S2826" s="70">
        <v>38</v>
      </c>
      <c r="T2826" s="70">
        <f>L2826*S2826</f>
        <v>1591.44</v>
      </c>
      <c r="U2826" s="70">
        <f>R2826-T2826</f>
        <v>1884.6000000000004</v>
      </c>
      <c r="V2826" s="70">
        <f>U2826*1</f>
        <v>1884.6000000000004</v>
      </c>
      <c r="W2826" s="70">
        <f>U2826-V2826</f>
        <v>0</v>
      </c>
      <c r="X2826" s="70">
        <f>L2826*36</f>
        <v>1507.68</v>
      </c>
      <c r="Y2826" s="71">
        <f t="shared" ref="Y2826:Y2827" si="675">+T2826-X2826</f>
        <v>83.759999999999991</v>
      </c>
      <c r="Z2826" s="12" t="s">
        <v>6328</v>
      </c>
      <c r="AA2826" s="12" t="s">
        <v>78</v>
      </c>
    </row>
    <row r="2827" spans="1:27" x14ac:dyDescent="0.25">
      <c r="A2827" s="10">
        <v>45699</v>
      </c>
      <c r="B2827" s="69">
        <v>7.5532407407407465E-2</v>
      </c>
      <c r="C2827" s="11" t="s">
        <v>5205</v>
      </c>
      <c r="D2827" s="11">
        <v>17364</v>
      </c>
      <c r="E2827" s="11" t="s">
        <v>240</v>
      </c>
      <c r="F2827" s="11" t="s">
        <v>26</v>
      </c>
      <c r="G2827" s="11" t="s">
        <v>26</v>
      </c>
      <c r="H2827" s="12" t="s">
        <v>4422</v>
      </c>
      <c r="I2827" s="12" t="s">
        <v>27</v>
      </c>
      <c r="J2827" s="12" t="s">
        <v>33</v>
      </c>
      <c r="K2827" s="12" t="s">
        <v>34</v>
      </c>
      <c r="L2827" s="13">
        <v>42.12</v>
      </c>
      <c r="M2827" s="13">
        <v>29</v>
      </c>
      <c r="N2827" s="13">
        <f t="shared" si="640"/>
        <v>1.4524137931034482</v>
      </c>
      <c r="O2827" s="13">
        <v>85</v>
      </c>
      <c r="P2827" s="13" t="s">
        <v>30</v>
      </c>
      <c r="Q2827" s="13">
        <v>0</v>
      </c>
      <c r="R2827" s="70">
        <f>L2827*O2827</f>
        <v>3580.2</v>
      </c>
      <c r="S2827" s="70">
        <v>38</v>
      </c>
      <c r="T2827" s="70">
        <f>L2827*S2827</f>
        <v>1600.56</v>
      </c>
      <c r="U2827" s="70">
        <f t="shared" ref="U2827" si="676">R2827-T2827</f>
        <v>1979.6399999999999</v>
      </c>
      <c r="V2827" s="70">
        <f>U2827*1</f>
        <v>1979.6399999999999</v>
      </c>
      <c r="W2827" s="70">
        <f>U2827-V2827</f>
        <v>0</v>
      </c>
      <c r="X2827" s="70">
        <f>L2827*37</f>
        <v>1558.4399999999998</v>
      </c>
      <c r="Y2827" s="71">
        <f t="shared" si="675"/>
        <v>42.120000000000118</v>
      </c>
      <c r="Z2827" s="12" t="s">
        <v>41</v>
      </c>
      <c r="AA2827" s="12" t="s">
        <v>78</v>
      </c>
    </row>
    <row r="2828" spans="1:27" x14ac:dyDescent="0.25">
      <c r="A2828" s="10">
        <v>45699</v>
      </c>
      <c r="B2828" s="69">
        <v>1.6076388888888904E-2</v>
      </c>
      <c r="C2828" s="11" t="s">
        <v>5206</v>
      </c>
      <c r="D2828" s="11">
        <v>17365</v>
      </c>
      <c r="E2828" s="11" t="s">
        <v>483</v>
      </c>
      <c r="F2828" s="11" t="s">
        <v>26</v>
      </c>
      <c r="G2828" s="11">
        <v>3597</v>
      </c>
      <c r="H2828" s="12" t="s">
        <v>41</v>
      </c>
      <c r="I2828" s="12" t="s">
        <v>55</v>
      </c>
      <c r="J2828" s="12" t="s">
        <v>55</v>
      </c>
      <c r="K2828" s="12" t="s">
        <v>56</v>
      </c>
      <c r="L2828" s="13">
        <v>37.479999999999997</v>
      </c>
      <c r="M2828" s="13">
        <v>22</v>
      </c>
      <c r="N2828" s="13">
        <f t="shared" si="640"/>
        <v>1.7036363636363634</v>
      </c>
      <c r="O2828" s="13" t="s">
        <v>30</v>
      </c>
      <c r="P2828" s="13">
        <v>24</v>
      </c>
      <c r="Q2828" s="13">
        <v>0</v>
      </c>
      <c r="R2828" s="70">
        <f>+M2828*P2828</f>
        <v>528</v>
      </c>
      <c r="S2828" s="70">
        <v>0</v>
      </c>
      <c r="T2828" s="70">
        <f>+M2828*S2828</f>
        <v>0</v>
      </c>
      <c r="U2828" s="70">
        <f t="shared" ref="U2828:U2830" si="677">+R2828-T2828</f>
        <v>528</v>
      </c>
      <c r="V2828" s="70">
        <f>+U2828*0</f>
        <v>0</v>
      </c>
      <c r="W2828" s="70">
        <f t="shared" ref="W2828:W2830" si="678">+U2828-V2828</f>
        <v>528</v>
      </c>
      <c r="X2828" s="70">
        <v>0</v>
      </c>
      <c r="Y2828" s="14">
        <f t="shared" ref="Y2828" si="679">T2828-X2828</f>
        <v>0</v>
      </c>
      <c r="Z2828" s="11" t="s">
        <v>26</v>
      </c>
      <c r="AA2828" s="12" t="s">
        <v>31</v>
      </c>
    </row>
    <row r="2829" spans="1:27" x14ac:dyDescent="0.25">
      <c r="A2829" s="10">
        <v>45699</v>
      </c>
      <c r="B2829" s="69">
        <v>7.8356481481481888E-3</v>
      </c>
      <c r="C2829" s="11" t="s">
        <v>5207</v>
      </c>
      <c r="D2829" s="11">
        <v>17366</v>
      </c>
      <c r="E2829" s="11" t="s">
        <v>60</v>
      </c>
      <c r="F2829" s="11" t="s">
        <v>26</v>
      </c>
      <c r="G2829" s="11" t="s">
        <v>35</v>
      </c>
      <c r="H2829" s="12" t="s">
        <v>36</v>
      </c>
      <c r="I2829" s="12" t="s">
        <v>27</v>
      </c>
      <c r="J2829" s="12" t="s">
        <v>42</v>
      </c>
      <c r="K2829" s="12" t="s">
        <v>43</v>
      </c>
      <c r="L2829" s="13">
        <v>8.32</v>
      </c>
      <c r="M2829" s="13">
        <v>5</v>
      </c>
      <c r="N2829" s="13">
        <f t="shared" si="640"/>
        <v>1.6640000000000001</v>
      </c>
      <c r="O2829" s="13">
        <v>45</v>
      </c>
      <c r="P2829" s="13" t="s">
        <v>30</v>
      </c>
      <c r="Q2829" s="13">
        <v>0</v>
      </c>
      <c r="R2829" s="70">
        <f>(L2829*O2829)-Q2829</f>
        <v>374.40000000000003</v>
      </c>
      <c r="S2829" s="70">
        <v>0</v>
      </c>
      <c r="T2829" s="70">
        <f t="shared" ref="T2829:T2830" si="680">+L2829*S2829</f>
        <v>0</v>
      </c>
      <c r="U2829" s="70">
        <f t="shared" si="677"/>
        <v>374.40000000000003</v>
      </c>
      <c r="V2829" s="70">
        <f>+U2829*0</f>
        <v>0</v>
      </c>
      <c r="W2829" s="70">
        <f t="shared" si="678"/>
        <v>374.40000000000003</v>
      </c>
      <c r="X2829" s="70">
        <v>0</v>
      </c>
      <c r="Y2829" s="14">
        <f>T2829-X2829</f>
        <v>0</v>
      </c>
      <c r="Z2829" s="11" t="s">
        <v>26</v>
      </c>
      <c r="AA2829" s="12" t="s">
        <v>31</v>
      </c>
    </row>
    <row r="2830" spans="1:27" x14ac:dyDescent="0.25">
      <c r="A2830" s="10">
        <v>45699</v>
      </c>
      <c r="B2830" s="69">
        <v>8.0787037037036713E-3</v>
      </c>
      <c r="C2830" s="11" t="s">
        <v>5208</v>
      </c>
      <c r="D2830" s="11">
        <v>17367</v>
      </c>
      <c r="E2830" s="11" t="s">
        <v>5209</v>
      </c>
      <c r="F2830" s="11" t="s">
        <v>26</v>
      </c>
      <c r="G2830" s="11" t="s">
        <v>35</v>
      </c>
      <c r="H2830" s="12" t="s">
        <v>36</v>
      </c>
      <c r="I2830" s="12" t="s">
        <v>37</v>
      </c>
      <c r="J2830" s="12" t="s">
        <v>85</v>
      </c>
      <c r="K2830" s="12" t="s">
        <v>86</v>
      </c>
      <c r="L2830" s="13">
        <v>15.5</v>
      </c>
      <c r="M2830" s="13">
        <v>9</v>
      </c>
      <c r="N2830" s="13">
        <f t="shared" si="640"/>
        <v>1.7222222222222223</v>
      </c>
      <c r="O2830" s="13">
        <v>37</v>
      </c>
      <c r="P2830" s="13" t="s">
        <v>30</v>
      </c>
      <c r="Q2830" s="13">
        <v>0</v>
      </c>
      <c r="R2830" s="70">
        <f>(L2830*O2830)-Q2830</f>
        <v>573.5</v>
      </c>
      <c r="S2830" s="70">
        <v>0</v>
      </c>
      <c r="T2830" s="70">
        <f t="shared" si="680"/>
        <v>0</v>
      </c>
      <c r="U2830" s="70">
        <f t="shared" si="677"/>
        <v>573.5</v>
      </c>
      <c r="V2830" s="70">
        <f>+U2830*0</f>
        <v>0</v>
      </c>
      <c r="W2830" s="70">
        <f t="shared" si="678"/>
        <v>573.5</v>
      </c>
      <c r="X2830" s="70">
        <v>0</v>
      </c>
      <c r="Y2830" s="14">
        <f t="shared" ref="Y2830:Y2855" si="681">T2830-X2830</f>
        <v>0</v>
      </c>
      <c r="Z2830" s="11" t="s">
        <v>26</v>
      </c>
      <c r="AA2830" s="12" t="s">
        <v>31</v>
      </c>
    </row>
    <row r="2831" spans="1:27" x14ac:dyDescent="0.25">
      <c r="A2831" s="10">
        <v>45699</v>
      </c>
      <c r="B2831" s="69">
        <v>1.2986111111111143E-2</v>
      </c>
      <c r="C2831" s="11" t="s">
        <v>5210</v>
      </c>
      <c r="D2831" s="11">
        <v>17368</v>
      </c>
      <c r="E2831" s="11" t="s">
        <v>230</v>
      </c>
      <c r="F2831" s="11" t="s">
        <v>26</v>
      </c>
      <c r="G2831" s="11">
        <v>26206</v>
      </c>
      <c r="H2831" s="12" t="s">
        <v>565</v>
      </c>
      <c r="I2831" s="12" t="s">
        <v>55</v>
      </c>
      <c r="J2831" s="12" t="s">
        <v>566</v>
      </c>
      <c r="K2831" s="12" t="s">
        <v>550</v>
      </c>
      <c r="L2831" s="13">
        <v>43.3</v>
      </c>
      <c r="M2831" s="13">
        <v>25</v>
      </c>
      <c r="N2831" s="13">
        <f t="shared" si="640"/>
        <v>1.732</v>
      </c>
      <c r="O2831" s="13">
        <v>25</v>
      </c>
      <c r="P2831" s="13" t="s">
        <v>30</v>
      </c>
      <c r="Q2831" s="13">
        <v>0</v>
      </c>
      <c r="R2831" s="70">
        <f t="shared" ref="R2831" si="682">L2831*O2831</f>
        <v>1082.5</v>
      </c>
      <c r="S2831" s="70">
        <v>0</v>
      </c>
      <c r="T2831" s="70">
        <f t="shared" ref="T2831" si="683">L2831*S2831</f>
        <v>0</v>
      </c>
      <c r="U2831" s="70">
        <f t="shared" ref="U2831" si="684">R2831-T2831</f>
        <v>1082.5</v>
      </c>
      <c r="V2831" s="70">
        <f>U2831*0</f>
        <v>0</v>
      </c>
      <c r="W2831" s="70">
        <f t="shared" ref="W2831" si="685">U2831-V2831</f>
        <v>1082.5</v>
      </c>
      <c r="X2831" s="70">
        <v>0</v>
      </c>
      <c r="Y2831" s="14">
        <f t="shared" si="681"/>
        <v>0</v>
      </c>
      <c r="Z2831" s="11" t="s">
        <v>26</v>
      </c>
      <c r="AA2831" s="12" t="s">
        <v>31</v>
      </c>
    </row>
    <row r="2832" spans="1:27" x14ac:dyDescent="0.25">
      <c r="A2832" s="10">
        <v>45699</v>
      </c>
      <c r="B2832" s="69">
        <v>0.10111111111111121</v>
      </c>
      <c r="C2832" s="11" t="s">
        <v>5211</v>
      </c>
      <c r="D2832" s="11">
        <v>17369</v>
      </c>
      <c r="E2832" s="11" t="s">
        <v>63</v>
      </c>
      <c r="F2832" s="11" t="s">
        <v>26</v>
      </c>
      <c r="G2832" s="11">
        <v>10188</v>
      </c>
      <c r="H2832" s="12" t="s">
        <v>140</v>
      </c>
      <c r="I2832" s="12" t="s">
        <v>27</v>
      </c>
      <c r="J2832" s="12" t="s">
        <v>33</v>
      </c>
      <c r="K2832" s="12" t="s">
        <v>34</v>
      </c>
      <c r="L2832" s="13">
        <v>41.48</v>
      </c>
      <c r="M2832" s="13">
        <v>28</v>
      </c>
      <c r="N2832" s="13">
        <f t="shared" si="640"/>
        <v>1.4814285714285713</v>
      </c>
      <c r="O2832" s="13">
        <v>40</v>
      </c>
      <c r="P2832" s="13"/>
      <c r="Q2832" s="13">
        <v>0</v>
      </c>
      <c r="R2832" s="70">
        <f>+L2832*O2832</f>
        <v>1659.1999999999998</v>
      </c>
      <c r="S2832" s="70">
        <v>0</v>
      </c>
      <c r="T2832" s="70">
        <f>+L2832*S2832</f>
        <v>0</v>
      </c>
      <c r="U2832" s="70">
        <f>+R2832-T2832</f>
        <v>1659.1999999999998</v>
      </c>
      <c r="V2832" s="70">
        <f t="shared" ref="V2832" si="686">+U2832*0</f>
        <v>0</v>
      </c>
      <c r="W2832" s="70">
        <f>+U2832-V2832</f>
        <v>1659.1999999999998</v>
      </c>
      <c r="X2832" s="70">
        <v>0</v>
      </c>
      <c r="Y2832" s="14">
        <f t="shared" si="681"/>
        <v>0</v>
      </c>
      <c r="Z2832" s="11" t="s">
        <v>26</v>
      </c>
      <c r="AA2832" s="12" t="s">
        <v>31</v>
      </c>
    </row>
    <row r="2833" spans="1:27" x14ac:dyDescent="0.25">
      <c r="A2833" s="10">
        <v>45699</v>
      </c>
      <c r="B2833" s="69">
        <v>1.1180555555555527E-2</v>
      </c>
      <c r="C2833" s="11" t="s">
        <v>5212</v>
      </c>
      <c r="D2833" s="11">
        <v>17370</v>
      </c>
      <c r="E2833" s="11" t="s">
        <v>67</v>
      </c>
      <c r="F2833" s="11" t="s">
        <v>26</v>
      </c>
      <c r="G2833" s="11">
        <v>1639</v>
      </c>
      <c r="H2833" s="12" t="s">
        <v>66</v>
      </c>
      <c r="I2833" s="12" t="s">
        <v>37</v>
      </c>
      <c r="J2833" s="12" t="s">
        <v>1909</v>
      </c>
      <c r="K2833" s="12" t="s">
        <v>82</v>
      </c>
      <c r="L2833" s="13">
        <v>38.76</v>
      </c>
      <c r="M2833" s="13">
        <v>25</v>
      </c>
      <c r="N2833" s="13">
        <f t="shared" si="640"/>
        <v>1.5504</v>
      </c>
      <c r="O2833" s="13" t="s">
        <v>30</v>
      </c>
      <c r="P2833" s="13">
        <v>54</v>
      </c>
      <c r="Q2833" s="13">
        <v>0</v>
      </c>
      <c r="R2833" s="70">
        <f>M2833*P2833</f>
        <v>1350</v>
      </c>
      <c r="S2833" s="70">
        <v>0</v>
      </c>
      <c r="T2833" s="70">
        <f>M2833*S2833</f>
        <v>0</v>
      </c>
      <c r="U2833" s="70">
        <f t="shared" ref="U2833" si="687">R2833-T2833</f>
        <v>1350</v>
      </c>
      <c r="V2833" s="70">
        <f>U2833*1</f>
        <v>1350</v>
      </c>
      <c r="W2833" s="70">
        <f>U2833-V2833</f>
        <v>0</v>
      </c>
      <c r="X2833" s="70">
        <v>0</v>
      </c>
      <c r="Y2833" s="14">
        <f t="shared" si="681"/>
        <v>0</v>
      </c>
      <c r="Z2833" s="11" t="s">
        <v>26</v>
      </c>
      <c r="AA2833" s="12" t="s">
        <v>31</v>
      </c>
    </row>
    <row r="2834" spans="1:27" x14ac:dyDescent="0.25">
      <c r="A2834" s="10">
        <v>45699</v>
      </c>
      <c r="B2834" s="69">
        <v>1.4652777777777737E-2</v>
      </c>
      <c r="C2834" s="11" t="s">
        <v>5213</v>
      </c>
      <c r="D2834" s="11">
        <v>17372</v>
      </c>
      <c r="E2834" s="11" t="s">
        <v>69</v>
      </c>
      <c r="F2834" s="11" t="s">
        <v>26</v>
      </c>
      <c r="G2834" s="11">
        <v>2116</v>
      </c>
      <c r="H2834" s="12" t="s">
        <v>70</v>
      </c>
      <c r="I2834" s="12" t="s">
        <v>27</v>
      </c>
      <c r="J2834" s="12" t="s">
        <v>42</v>
      </c>
      <c r="K2834" s="12" t="s">
        <v>43</v>
      </c>
      <c r="L2834" s="13">
        <v>44.04</v>
      </c>
      <c r="M2834" s="13">
        <v>25</v>
      </c>
      <c r="N2834" s="13">
        <f t="shared" si="640"/>
        <v>1.7616000000000001</v>
      </c>
      <c r="O2834" s="13" t="s">
        <v>30</v>
      </c>
      <c r="P2834" s="13">
        <v>64</v>
      </c>
      <c r="Q2834" s="13">
        <v>0</v>
      </c>
      <c r="R2834" s="70">
        <f>+M2834*P2834</f>
        <v>1600</v>
      </c>
      <c r="S2834" s="70">
        <v>0</v>
      </c>
      <c r="T2834" s="70">
        <f>+M2834*S2834</f>
        <v>0</v>
      </c>
      <c r="U2834" s="70">
        <f t="shared" ref="U2834" si="688">+R2834-T2834</f>
        <v>1600</v>
      </c>
      <c r="V2834" s="70">
        <f t="shared" ref="V2834" si="689">+U2834*0</f>
        <v>0</v>
      </c>
      <c r="W2834" s="70">
        <f t="shared" ref="W2834" si="690">+U2834-V2834</f>
        <v>1600</v>
      </c>
      <c r="X2834" s="70">
        <v>0</v>
      </c>
      <c r="Y2834" s="14">
        <f t="shared" si="681"/>
        <v>0</v>
      </c>
      <c r="Z2834" s="11" t="s">
        <v>26</v>
      </c>
      <c r="AA2834" s="12" t="s">
        <v>31</v>
      </c>
    </row>
    <row r="2835" spans="1:27" x14ac:dyDescent="0.25">
      <c r="A2835" s="10">
        <v>45699</v>
      </c>
      <c r="B2835" s="69">
        <v>1.997685185185194E-2</v>
      </c>
      <c r="C2835" s="11" t="s">
        <v>5214</v>
      </c>
      <c r="D2835" s="11">
        <v>17373</v>
      </c>
      <c r="E2835" s="11" t="s">
        <v>50</v>
      </c>
      <c r="F2835" s="11" t="s">
        <v>26</v>
      </c>
      <c r="G2835" s="11">
        <v>946</v>
      </c>
      <c r="H2835" s="12" t="s">
        <v>163</v>
      </c>
      <c r="I2835" s="12" t="s">
        <v>55</v>
      </c>
      <c r="J2835" s="12" t="s">
        <v>566</v>
      </c>
      <c r="K2835" s="12" t="s">
        <v>550</v>
      </c>
      <c r="L2835" s="13">
        <v>41.94</v>
      </c>
      <c r="M2835" s="13">
        <v>25</v>
      </c>
      <c r="N2835" s="13">
        <f t="shared" si="640"/>
        <v>1.6776</v>
      </c>
      <c r="O2835" s="13">
        <v>25</v>
      </c>
      <c r="P2835" s="13"/>
      <c r="Q2835" s="13">
        <v>0</v>
      </c>
      <c r="R2835" s="70">
        <f>L2835*O2835</f>
        <v>1048.5</v>
      </c>
      <c r="S2835" s="70">
        <v>0</v>
      </c>
      <c r="T2835" s="70">
        <f>L2835*S2835</f>
        <v>0</v>
      </c>
      <c r="U2835" s="70">
        <f>R2835-T2835</f>
        <v>1048.5</v>
      </c>
      <c r="V2835" s="70">
        <f>U2835*0</f>
        <v>0</v>
      </c>
      <c r="W2835" s="70">
        <f>U2835-V2835</f>
        <v>1048.5</v>
      </c>
      <c r="X2835" s="70">
        <v>0</v>
      </c>
      <c r="Y2835" s="14">
        <f t="shared" si="681"/>
        <v>0</v>
      </c>
      <c r="Z2835" s="11" t="s">
        <v>26</v>
      </c>
      <c r="AA2835" s="12" t="s">
        <v>31</v>
      </c>
    </row>
    <row r="2836" spans="1:27" x14ac:dyDescent="0.25">
      <c r="A2836" s="10">
        <v>45699</v>
      </c>
      <c r="B2836" s="69">
        <v>4.4097222222221344E-3</v>
      </c>
      <c r="C2836" s="11" t="s">
        <v>5215</v>
      </c>
      <c r="D2836" s="11">
        <v>17374</v>
      </c>
      <c r="E2836" s="11" t="s">
        <v>60</v>
      </c>
      <c r="F2836" s="11" t="s">
        <v>26</v>
      </c>
      <c r="G2836" s="11" t="s">
        <v>35</v>
      </c>
      <c r="H2836" s="12" t="s">
        <v>36</v>
      </c>
      <c r="I2836" s="12" t="s">
        <v>27</v>
      </c>
      <c r="J2836" s="12" t="s">
        <v>42</v>
      </c>
      <c r="K2836" s="12" t="s">
        <v>43</v>
      </c>
      <c r="L2836" s="13">
        <v>8.86</v>
      </c>
      <c r="M2836" s="13">
        <v>5</v>
      </c>
      <c r="N2836" s="13">
        <f t="shared" si="640"/>
        <v>1.7719999999999998</v>
      </c>
      <c r="O2836" s="13">
        <v>45</v>
      </c>
      <c r="P2836" s="13" t="s">
        <v>30</v>
      </c>
      <c r="Q2836" s="13">
        <v>0</v>
      </c>
      <c r="R2836" s="70">
        <f>(L2836*O2836)-Q2836</f>
        <v>398.7</v>
      </c>
      <c r="S2836" s="70">
        <v>0</v>
      </c>
      <c r="T2836" s="70">
        <f t="shared" ref="T2836" si="691">+L2836*S2836</f>
        <v>0</v>
      </c>
      <c r="U2836" s="70">
        <f t="shared" ref="U2836" si="692">+R2836-T2836</f>
        <v>398.7</v>
      </c>
      <c r="V2836" s="70">
        <f>+U2836*0</f>
        <v>0</v>
      </c>
      <c r="W2836" s="70">
        <f t="shared" ref="W2836" si="693">+U2836-V2836</f>
        <v>398.7</v>
      </c>
      <c r="X2836" s="70">
        <v>0</v>
      </c>
      <c r="Y2836" s="14">
        <f t="shared" si="681"/>
        <v>0</v>
      </c>
      <c r="Z2836" s="11" t="s">
        <v>26</v>
      </c>
      <c r="AA2836" s="12" t="s">
        <v>31</v>
      </c>
    </row>
    <row r="2837" spans="1:27" x14ac:dyDescent="0.25">
      <c r="A2837" s="10">
        <v>45699</v>
      </c>
      <c r="B2837" s="69">
        <v>8.506944444444553E-3</v>
      </c>
      <c r="C2837" s="11" t="s">
        <v>5216</v>
      </c>
      <c r="D2837" s="11">
        <v>17375</v>
      </c>
      <c r="E2837" s="11" t="s">
        <v>605</v>
      </c>
      <c r="F2837" s="11" t="s">
        <v>26</v>
      </c>
      <c r="G2837" s="11">
        <v>1065</v>
      </c>
      <c r="H2837" s="12" t="s">
        <v>141</v>
      </c>
      <c r="I2837" s="12" t="s">
        <v>27</v>
      </c>
      <c r="J2837" s="12" t="s">
        <v>42</v>
      </c>
      <c r="K2837" s="12" t="s">
        <v>43</v>
      </c>
      <c r="L2837" s="13">
        <v>45.48</v>
      </c>
      <c r="M2837" s="13">
        <v>28</v>
      </c>
      <c r="N2837" s="13">
        <f t="shared" si="640"/>
        <v>1.6242857142857141</v>
      </c>
      <c r="O2837" s="13">
        <v>40</v>
      </c>
      <c r="P2837" s="13" t="s">
        <v>30</v>
      </c>
      <c r="Q2837" s="13">
        <v>0</v>
      </c>
      <c r="R2837" s="70">
        <f>L2837*O2837</f>
        <v>1819.1999999999998</v>
      </c>
      <c r="S2837" s="70">
        <v>0</v>
      </c>
      <c r="T2837" s="70">
        <f>L2837*S2837</f>
        <v>0</v>
      </c>
      <c r="U2837" s="70">
        <f>R2837-T2837</f>
        <v>1819.1999999999998</v>
      </c>
      <c r="V2837" s="70">
        <f>U2837*0</f>
        <v>0</v>
      </c>
      <c r="W2837" s="70">
        <f>U2837-V2837</f>
        <v>1819.1999999999998</v>
      </c>
      <c r="X2837" s="70">
        <v>0</v>
      </c>
      <c r="Y2837" s="14">
        <f t="shared" si="681"/>
        <v>0</v>
      </c>
      <c r="Z2837" s="11" t="s">
        <v>26</v>
      </c>
      <c r="AA2837" s="12" t="s">
        <v>31</v>
      </c>
    </row>
    <row r="2838" spans="1:27" x14ac:dyDescent="0.25">
      <c r="A2838" s="10">
        <v>45699</v>
      </c>
      <c r="B2838" s="69">
        <v>0.12079861111111118</v>
      </c>
      <c r="C2838" s="11" t="s">
        <v>5217</v>
      </c>
      <c r="D2838" s="11">
        <v>17376</v>
      </c>
      <c r="E2838" s="11" t="s">
        <v>435</v>
      </c>
      <c r="F2838" s="11" t="s">
        <v>26</v>
      </c>
      <c r="G2838" s="11" t="s">
        <v>26</v>
      </c>
      <c r="H2838" s="12" t="s">
        <v>4422</v>
      </c>
      <c r="I2838" s="12" t="s">
        <v>27</v>
      </c>
      <c r="J2838" s="12" t="s">
        <v>47</v>
      </c>
      <c r="K2838" s="12" t="s">
        <v>48</v>
      </c>
      <c r="L2838" s="13">
        <v>40.58</v>
      </c>
      <c r="M2838" s="13">
        <v>28</v>
      </c>
      <c r="N2838" s="13">
        <f t="shared" si="640"/>
        <v>1.4492857142857143</v>
      </c>
      <c r="O2838" s="13">
        <v>87</v>
      </c>
      <c r="P2838" s="13" t="s">
        <v>30</v>
      </c>
      <c r="Q2838" s="13">
        <v>0</v>
      </c>
      <c r="R2838" s="70">
        <f>L2838*O2838</f>
        <v>3530.46</v>
      </c>
      <c r="S2838" s="70">
        <v>38</v>
      </c>
      <c r="T2838" s="70">
        <f>L2838*S2838</f>
        <v>1542.04</v>
      </c>
      <c r="U2838" s="70">
        <f>R2838-T2838</f>
        <v>1988.42</v>
      </c>
      <c r="V2838" s="70">
        <f>U2838*1</f>
        <v>1988.42</v>
      </c>
      <c r="W2838" s="70">
        <f>U2838-V2838</f>
        <v>0</v>
      </c>
      <c r="X2838" s="70">
        <f>L2838*37</f>
        <v>1501.46</v>
      </c>
      <c r="Y2838" s="71">
        <f>+T2838-X2838</f>
        <v>40.579999999999927</v>
      </c>
      <c r="Z2838" s="12" t="s">
        <v>41</v>
      </c>
      <c r="AA2838" s="12" t="s">
        <v>78</v>
      </c>
    </row>
    <row r="2839" spans="1:27" x14ac:dyDescent="0.25">
      <c r="A2839" s="10">
        <v>45699</v>
      </c>
      <c r="B2839" s="69">
        <v>0.28217592592592594</v>
      </c>
      <c r="C2839" s="11" t="s">
        <v>5218</v>
      </c>
      <c r="D2839" s="11">
        <v>17379</v>
      </c>
      <c r="E2839" s="11" t="s">
        <v>5219</v>
      </c>
      <c r="F2839" s="11" t="s">
        <v>26</v>
      </c>
      <c r="G2839" s="11">
        <v>56916</v>
      </c>
      <c r="H2839" s="12" t="s">
        <v>4423</v>
      </c>
      <c r="I2839" s="12" t="s">
        <v>27</v>
      </c>
      <c r="J2839" s="12" t="s">
        <v>33</v>
      </c>
      <c r="K2839" s="12" t="s">
        <v>34</v>
      </c>
      <c r="L2839" s="13">
        <v>34.68</v>
      </c>
      <c r="M2839" s="13">
        <v>25</v>
      </c>
      <c r="N2839" s="13">
        <f t="shared" si="640"/>
        <v>1.3872</v>
      </c>
      <c r="O2839" s="13">
        <v>45</v>
      </c>
      <c r="P2839" s="13" t="s">
        <v>30</v>
      </c>
      <c r="Q2839" s="13">
        <v>0</v>
      </c>
      <c r="R2839" s="70">
        <f>+L2839*O2839</f>
        <v>1560.6</v>
      </c>
      <c r="S2839" s="70">
        <v>0</v>
      </c>
      <c r="T2839" s="70">
        <f>+L2839*S2839</f>
        <v>0</v>
      </c>
      <c r="U2839" s="70">
        <f t="shared" ref="U2839" si="694">+R2839-T2839</f>
        <v>1560.6</v>
      </c>
      <c r="V2839" s="70">
        <f>+U2839*1</f>
        <v>1560.6</v>
      </c>
      <c r="W2839" s="70">
        <f t="shared" ref="W2839" si="695">+U2839-V2839</f>
        <v>0</v>
      </c>
      <c r="X2839" s="70">
        <v>0</v>
      </c>
      <c r="Y2839" s="14">
        <f t="shared" si="681"/>
        <v>0</v>
      </c>
      <c r="Z2839" s="11" t="s">
        <v>26</v>
      </c>
      <c r="AA2839" s="12" t="s">
        <v>31</v>
      </c>
    </row>
    <row r="2840" spans="1:27" x14ac:dyDescent="0.25">
      <c r="A2840" s="10">
        <v>45699</v>
      </c>
      <c r="B2840" s="69">
        <v>8.6458333333332416E-3</v>
      </c>
      <c r="C2840" s="11" t="s">
        <v>5220</v>
      </c>
      <c r="D2840" s="11">
        <v>17378</v>
      </c>
      <c r="E2840" s="11" t="s">
        <v>75</v>
      </c>
      <c r="F2840" s="11" t="s">
        <v>26</v>
      </c>
      <c r="G2840" s="11">
        <v>42050</v>
      </c>
      <c r="H2840" s="12" t="s">
        <v>565</v>
      </c>
      <c r="I2840" s="12" t="s">
        <v>55</v>
      </c>
      <c r="J2840" s="12" t="s">
        <v>566</v>
      </c>
      <c r="K2840" s="12" t="s">
        <v>550</v>
      </c>
      <c r="L2840" s="13">
        <v>43.08</v>
      </c>
      <c r="M2840" s="13">
        <v>25</v>
      </c>
      <c r="N2840" s="13">
        <f t="shared" si="640"/>
        <v>1.7231999999999998</v>
      </c>
      <c r="O2840" s="13">
        <v>25</v>
      </c>
      <c r="P2840" s="13" t="s">
        <v>30</v>
      </c>
      <c r="Q2840" s="13">
        <v>0</v>
      </c>
      <c r="R2840" s="70">
        <f t="shared" ref="R2840" si="696">L2840*O2840</f>
        <v>1077</v>
      </c>
      <c r="S2840" s="70">
        <v>0</v>
      </c>
      <c r="T2840" s="70">
        <f t="shared" ref="T2840" si="697">L2840*S2840</f>
        <v>0</v>
      </c>
      <c r="U2840" s="70">
        <f t="shared" ref="U2840" si="698">R2840-T2840</f>
        <v>1077</v>
      </c>
      <c r="V2840" s="70">
        <f>U2840*0</f>
        <v>0</v>
      </c>
      <c r="W2840" s="70">
        <f t="shared" ref="W2840" si="699">U2840-V2840</f>
        <v>1077</v>
      </c>
      <c r="X2840" s="70">
        <v>0</v>
      </c>
      <c r="Y2840" s="14">
        <f t="shared" si="681"/>
        <v>0</v>
      </c>
      <c r="Z2840" s="11" t="s">
        <v>26</v>
      </c>
      <c r="AA2840" s="12" t="s">
        <v>31</v>
      </c>
    </row>
    <row r="2841" spans="1:27" x14ac:dyDescent="0.25">
      <c r="A2841" s="10">
        <v>45699</v>
      </c>
      <c r="B2841" s="69">
        <v>8.1712962962963154E-3</v>
      </c>
      <c r="C2841" s="11" t="s">
        <v>5221</v>
      </c>
      <c r="D2841" s="11">
        <v>17380</v>
      </c>
      <c r="E2841" s="11" t="s">
        <v>1200</v>
      </c>
      <c r="F2841" s="11" t="s">
        <v>26</v>
      </c>
      <c r="G2841" s="11">
        <v>2962</v>
      </c>
      <c r="H2841" s="12" t="s">
        <v>163</v>
      </c>
      <c r="I2841" s="12" t="s">
        <v>55</v>
      </c>
      <c r="J2841" s="12" t="s">
        <v>566</v>
      </c>
      <c r="K2841" s="12" t="s">
        <v>550</v>
      </c>
      <c r="L2841" s="13">
        <v>40.98</v>
      </c>
      <c r="M2841" s="13">
        <v>25</v>
      </c>
      <c r="N2841" s="13">
        <f t="shared" si="640"/>
        <v>1.6391999999999998</v>
      </c>
      <c r="O2841" s="13">
        <v>25</v>
      </c>
      <c r="P2841" s="13"/>
      <c r="Q2841" s="13">
        <v>0</v>
      </c>
      <c r="R2841" s="70">
        <f>L2841*O2841</f>
        <v>1024.5</v>
      </c>
      <c r="S2841" s="70">
        <v>0</v>
      </c>
      <c r="T2841" s="70">
        <f>L2841*S2841</f>
        <v>0</v>
      </c>
      <c r="U2841" s="70">
        <f>R2841-T2841</f>
        <v>1024.5</v>
      </c>
      <c r="V2841" s="70">
        <f>U2841*0</f>
        <v>0</v>
      </c>
      <c r="W2841" s="70">
        <f>U2841-V2841</f>
        <v>1024.5</v>
      </c>
      <c r="X2841" s="70">
        <v>0</v>
      </c>
      <c r="Y2841" s="14">
        <f t="shared" si="681"/>
        <v>0</v>
      </c>
      <c r="Z2841" s="11" t="s">
        <v>26</v>
      </c>
      <c r="AA2841" s="12" t="s">
        <v>31</v>
      </c>
    </row>
    <row r="2842" spans="1:27" x14ac:dyDescent="0.25">
      <c r="A2842" s="10">
        <v>45699</v>
      </c>
      <c r="B2842" s="69">
        <v>1.5879629629629632E-2</v>
      </c>
      <c r="C2842" s="11" t="s">
        <v>5222</v>
      </c>
      <c r="D2842" s="11">
        <v>17381</v>
      </c>
      <c r="E2842" s="11" t="s">
        <v>113</v>
      </c>
      <c r="F2842" s="11" t="s">
        <v>26</v>
      </c>
      <c r="G2842" s="11">
        <v>690</v>
      </c>
      <c r="H2842" s="12" t="s">
        <v>6328</v>
      </c>
      <c r="I2842" s="12" t="s">
        <v>27</v>
      </c>
      <c r="J2842" s="12" t="s">
        <v>42</v>
      </c>
      <c r="K2842" s="12" t="s">
        <v>43</v>
      </c>
      <c r="L2842" s="13">
        <v>31.66</v>
      </c>
      <c r="M2842" s="13">
        <v>20</v>
      </c>
      <c r="N2842" s="13">
        <f t="shared" si="640"/>
        <v>1.583</v>
      </c>
      <c r="O2842" s="13">
        <v>42.5</v>
      </c>
      <c r="P2842" s="13"/>
      <c r="Q2842" s="13">
        <v>0</v>
      </c>
      <c r="R2842" s="70">
        <f>L2842*O2842</f>
        <v>1345.55</v>
      </c>
      <c r="S2842" s="70">
        <v>0</v>
      </c>
      <c r="T2842" s="70">
        <f>+L2842*S2842</f>
        <v>0</v>
      </c>
      <c r="U2842" s="70">
        <f>R2842-T2842</f>
        <v>1345.55</v>
      </c>
      <c r="V2842" s="70">
        <f>U2842*0</f>
        <v>0</v>
      </c>
      <c r="W2842" s="70">
        <f>U2842-V2842</f>
        <v>1345.55</v>
      </c>
      <c r="X2842" s="70"/>
      <c r="Y2842" s="14">
        <f t="shared" si="681"/>
        <v>0</v>
      </c>
      <c r="Z2842" s="11" t="s">
        <v>26</v>
      </c>
      <c r="AA2842" s="12" t="s">
        <v>31</v>
      </c>
    </row>
    <row r="2843" spans="1:27" x14ac:dyDescent="0.25">
      <c r="A2843" s="10">
        <v>45699</v>
      </c>
      <c r="B2843" s="69">
        <v>4.7870370370370341E-2</v>
      </c>
      <c r="C2843" s="11" t="s">
        <v>5223</v>
      </c>
      <c r="D2843" s="11">
        <v>17382</v>
      </c>
      <c r="E2843" s="11" t="s">
        <v>552</v>
      </c>
      <c r="F2843" s="11" t="s">
        <v>26</v>
      </c>
      <c r="G2843" s="11">
        <v>44164</v>
      </c>
      <c r="H2843" s="12" t="s">
        <v>4423</v>
      </c>
      <c r="I2843" s="12" t="s">
        <v>27</v>
      </c>
      <c r="J2843" s="12" t="s">
        <v>42</v>
      </c>
      <c r="K2843" s="12" t="s">
        <v>43</v>
      </c>
      <c r="L2843" s="13">
        <v>37.020000000000003</v>
      </c>
      <c r="M2843" s="13">
        <v>25</v>
      </c>
      <c r="N2843" s="13">
        <f t="shared" si="640"/>
        <v>1.4808000000000001</v>
      </c>
      <c r="O2843" s="13">
        <v>42</v>
      </c>
      <c r="P2843" s="13" t="s">
        <v>30</v>
      </c>
      <c r="Q2843" s="13">
        <v>0</v>
      </c>
      <c r="R2843" s="70">
        <f t="shared" ref="R2843" si="700">+L2843*O2843</f>
        <v>1554.8400000000001</v>
      </c>
      <c r="S2843" s="70">
        <v>0</v>
      </c>
      <c r="T2843" s="70">
        <f t="shared" ref="T2843:T2845" si="701">+L2843*S2843</f>
        <v>0</v>
      </c>
      <c r="U2843" s="70">
        <f t="shared" ref="U2843:U2845" si="702">+R2843-T2843</f>
        <v>1554.8400000000001</v>
      </c>
      <c r="V2843" s="70">
        <f>+U2843*1</f>
        <v>1554.8400000000001</v>
      </c>
      <c r="W2843" s="70">
        <f t="shared" ref="W2843:W2845" si="703">+U2843-V2843</f>
        <v>0</v>
      </c>
      <c r="X2843" s="70">
        <v>0</v>
      </c>
      <c r="Y2843" s="14">
        <f t="shared" si="681"/>
        <v>0</v>
      </c>
      <c r="Z2843" s="11" t="s">
        <v>26</v>
      </c>
      <c r="AA2843" s="12" t="s">
        <v>31</v>
      </c>
    </row>
    <row r="2844" spans="1:27" x14ac:dyDescent="0.25">
      <c r="A2844" s="10">
        <v>45699</v>
      </c>
      <c r="B2844" s="69">
        <v>7.9745370370369884E-3</v>
      </c>
      <c r="C2844" s="11" t="s">
        <v>5224</v>
      </c>
      <c r="D2844" s="11">
        <v>17383</v>
      </c>
      <c r="E2844" s="11" t="s">
        <v>5173</v>
      </c>
      <c r="F2844" s="11" t="s">
        <v>26</v>
      </c>
      <c r="G2844" s="11" t="s">
        <v>35</v>
      </c>
      <c r="H2844" s="12" t="s">
        <v>36</v>
      </c>
      <c r="I2844" s="12" t="s">
        <v>55</v>
      </c>
      <c r="J2844" s="12" t="s">
        <v>55</v>
      </c>
      <c r="K2844" s="12" t="s">
        <v>56</v>
      </c>
      <c r="L2844" s="13">
        <v>26.88</v>
      </c>
      <c r="M2844" s="13">
        <v>20</v>
      </c>
      <c r="N2844" s="13">
        <f t="shared" si="640"/>
        <v>1.3439999999999999</v>
      </c>
      <c r="O2844" s="13">
        <v>20</v>
      </c>
      <c r="P2844" s="13" t="s">
        <v>30</v>
      </c>
      <c r="Q2844" s="13">
        <v>0</v>
      </c>
      <c r="R2844" s="70">
        <f>(L2844*O2844)-Q2844</f>
        <v>537.6</v>
      </c>
      <c r="S2844" s="70">
        <v>0</v>
      </c>
      <c r="T2844" s="70">
        <f t="shared" si="701"/>
        <v>0</v>
      </c>
      <c r="U2844" s="70">
        <f t="shared" si="702"/>
        <v>537.6</v>
      </c>
      <c r="V2844" s="70">
        <f t="shared" ref="V2844:V2845" si="704">+U2844*0</f>
        <v>0</v>
      </c>
      <c r="W2844" s="70">
        <f t="shared" si="703"/>
        <v>537.6</v>
      </c>
      <c r="X2844" s="70">
        <v>0</v>
      </c>
      <c r="Y2844" s="14">
        <f t="shared" si="681"/>
        <v>0</v>
      </c>
      <c r="Z2844" s="11" t="s">
        <v>26</v>
      </c>
      <c r="AA2844" s="12" t="s">
        <v>31</v>
      </c>
    </row>
    <row r="2845" spans="1:27" x14ac:dyDescent="0.25">
      <c r="A2845" s="10">
        <v>45699</v>
      </c>
      <c r="B2845" s="69">
        <v>4.2245370370369573E-3</v>
      </c>
      <c r="C2845" s="11" t="s">
        <v>5225</v>
      </c>
      <c r="D2845" s="11">
        <v>17384</v>
      </c>
      <c r="E2845" s="11" t="s">
        <v>203</v>
      </c>
      <c r="F2845" s="11" t="s">
        <v>26</v>
      </c>
      <c r="G2845" s="11" t="s">
        <v>35</v>
      </c>
      <c r="H2845" s="12" t="s">
        <v>36</v>
      </c>
      <c r="I2845" s="12" t="s">
        <v>55</v>
      </c>
      <c r="J2845" s="12" t="s">
        <v>55</v>
      </c>
      <c r="K2845" s="12" t="s">
        <v>56</v>
      </c>
      <c r="L2845" s="13">
        <v>12.8</v>
      </c>
      <c r="M2845" s="13">
        <v>8</v>
      </c>
      <c r="N2845" s="13">
        <f t="shared" si="640"/>
        <v>1.6</v>
      </c>
      <c r="O2845" s="13">
        <v>20</v>
      </c>
      <c r="P2845" s="13" t="s">
        <v>30</v>
      </c>
      <c r="Q2845" s="13">
        <v>0</v>
      </c>
      <c r="R2845" s="70">
        <f>(L2845*O2845)-Q2845</f>
        <v>256</v>
      </c>
      <c r="S2845" s="70">
        <v>0</v>
      </c>
      <c r="T2845" s="70">
        <f t="shared" si="701"/>
        <v>0</v>
      </c>
      <c r="U2845" s="70">
        <f t="shared" si="702"/>
        <v>256</v>
      </c>
      <c r="V2845" s="70">
        <f t="shared" si="704"/>
        <v>0</v>
      </c>
      <c r="W2845" s="70">
        <f t="shared" si="703"/>
        <v>256</v>
      </c>
      <c r="X2845" s="70">
        <v>0</v>
      </c>
      <c r="Y2845" s="14">
        <f t="shared" si="681"/>
        <v>0</v>
      </c>
      <c r="Z2845" s="11" t="s">
        <v>26</v>
      </c>
      <c r="AA2845" s="12" t="s">
        <v>31</v>
      </c>
    </row>
    <row r="2846" spans="1:27" x14ac:dyDescent="0.25">
      <c r="A2846" s="10">
        <v>45699</v>
      </c>
      <c r="B2846" s="69">
        <v>8.6921296296296191E-3</v>
      </c>
      <c r="C2846" s="11" t="s">
        <v>5226</v>
      </c>
      <c r="D2846" s="11">
        <v>17385</v>
      </c>
      <c r="E2846" s="11" t="s">
        <v>431</v>
      </c>
      <c r="F2846" s="11" t="s">
        <v>26</v>
      </c>
      <c r="G2846" s="11">
        <v>148</v>
      </c>
      <c r="H2846" s="12" t="s">
        <v>6328</v>
      </c>
      <c r="I2846" s="12" t="s">
        <v>27</v>
      </c>
      <c r="J2846" s="12" t="s">
        <v>42</v>
      </c>
      <c r="K2846" s="12" t="s">
        <v>43</v>
      </c>
      <c r="L2846" s="13">
        <v>39.159999999999997</v>
      </c>
      <c r="M2846" s="13">
        <v>25</v>
      </c>
      <c r="N2846" s="13">
        <f t="shared" si="640"/>
        <v>1.5663999999999998</v>
      </c>
      <c r="O2846" s="13">
        <v>42.5</v>
      </c>
      <c r="P2846" s="13"/>
      <c r="Q2846" s="13">
        <v>0</v>
      </c>
      <c r="R2846" s="70">
        <f>L2846*O2846</f>
        <v>1664.3</v>
      </c>
      <c r="S2846" s="70">
        <v>0</v>
      </c>
      <c r="T2846" s="70">
        <f>+L2846*S2846</f>
        <v>0</v>
      </c>
      <c r="U2846" s="70">
        <f>R2846-T2846</f>
        <v>1664.3</v>
      </c>
      <c r="V2846" s="70">
        <f>U2846*0</f>
        <v>0</v>
      </c>
      <c r="W2846" s="70">
        <f>U2846-V2846</f>
        <v>1664.3</v>
      </c>
      <c r="X2846" s="70"/>
      <c r="Y2846" s="14">
        <f t="shared" si="681"/>
        <v>0</v>
      </c>
      <c r="Z2846" s="11" t="s">
        <v>26</v>
      </c>
      <c r="AA2846" s="12" t="s">
        <v>31</v>
      </c>
    </row>
    <row r="2847" spans="1:27" x14ac:dyDescent="0.25">
      <c r="A2847" s="10">
        <v>45699</v>
      </c>
      <c r="B2847" s="69">
        <v>1.0555555555555651E-2</v>
      </c>
      <c r="C2847" s="11" t="s">
        <v>5227</v>
      </c>
      <c r="D2847" s="11">
        <v>17386</v>
      </c>
      <c r="E2847" s="11" t="s">
        <v>5209</v>
      </c>
      <c r="F2847" s="11" t="s">
        <v>26</v>
      </c>
      <c r="G2847" s="11" t="s">
        <v>35</v>
      </c>
      <c r="H2847" s="12" t="s">
        <v>36</v>
      </c>
      <c r="I2847" s="12" t="s">
        <v>37</v>
      </c>
      <c r="J2847" s="12" t="s">
        <v>85</v>
      </c>
      <c r="K2847" s="12" t="s">
        <v>86</v>
      </c>
      <c r="L2847" s="13">
        <v>18.04</v>
      </c>
      <c r="M2847" s="13">
        <v>11</v>
      </c>
      <c r="N2847" s="13">
        <f t="shared" si="640"/>
        <v>1.64</v>
      </c>
      <c r="O2847" s="13">
        <v>37</v>
      </c>
      <c r="P2847" s="13" t="s">
        <v>30</v>
      </c>
      <c r="Q2847" s="13">
        <v>0</v>
      </c>
      <c r="R2847" s="70">
        <f>(L2847*O2847)-Q2847</f>
        <v>667.48</v>
      </c>
      <c r="S2847" s="70">
        <v>0</v>
      </c>
      <c r="T2847" s="70">
        <f t="shared" ref="T2847" si="705">+L2847*S2847</f>
        <v>0</v>
      </c>
      <c r="U2847" s="70">
        <f t="shared" ref="U2847" si="706">+R2847-T2847</f>
        <v>667.48</v>
      </c>
      <c r="V2847" s="70">
        <f>+U2847*0</f>
        <v>0</v>
      </c>
      <c r="W2847" s="70">
        <f t="shared" ref="W2847" si="707">+U2847-V2847</f>
        <v>667.48</v>
      </c>
      <c r="X2847" s="70">
        <v>0</v>
      </c>
      <c r="Y2847" s="14">
        <f t="shared" si="681"/>
        <v>0</v>
      </c>
      <c r="Z2847" s="11" t="s">
        <v>26</v>
      </c>
      <c r="AA2847" s="12" t="s">
        <v>31</v>
      </c>
    </row>
    <row r="2848" spans="1:27" x14ac:dyDescent="0.25">
      <c r="A2848" s="10">
        <v>45699</v>
      </c>
      <c r="B2848" s="69">
        <v>0.11660879629629628</v>
      </c>
      <c r="C2848" s="11" t="s">
        <v>5228</v>
      </c>
      <c r="D2848" s="11">
        <v>17387</v>
      </c>
      <c r="E2848" s="11" t="s">
        <v>509</v>
      </c>
      <c r="F2848" s="11" t="s">
        <v>26</v>
      </c>
      <c r="G2848" s="11">
        <v>1314</v>
      </c>
      <c r="H2848" s="12" t="s">
        <v>141</v>
      </c>
      <c r="I2848" s="12" t="s">
        <v>27</v>
      </c>
      <c r="J2848" s="12" t="s">
        <v>33</v>
      </c>
      <c r="K2848" s="12" t="s">
        <v>34</v>
      </c>
      <c r="L2848" s="13">
        <v>43.72</v>
      </c>
      <c r="M2848" s="13">
        <v>30</v>
      </c>
      <c r="N2848" s="13">
        <f t="shared" si="640"/>
        <v>1.4573333333333334</v>
      </c>
      <c r="O2848" s="13">
        <v>40</v>
      </c>
      <c r="P2848" s="13" t="s">
        <v>30</v>
      </c>
      <c r="Q2848" s="13">
        <v>0</v>
      </c>
      <c r="R2848" s="70">
        <f>L2848*O2848</f>
        <v>1748.8</v>
      </c>
      <c r="S2848" s="70">
        <v>0</v>
      </c>
      <c r="T2848" s="70">
        <f>L2848*S2848</f>
        <v>0</v>
      </c>
      <c r="U2848" s="70">
        <f>R2848-T2848</f>
        <v>1748.8</v>
      </c>
      <c r="V2848" s="70">
        <f>U2848*0</f>
        <v>0</v>
      </c>
      <c r="W2848" s="70">
        <f>U2848-V2848</f>
        <v>1748.8</v>
      </c>
      <c r="X2848" s="70">
        <v>0</v>
      </c>
      <c r="Y2848" s="14">
        <f t="shared" si="681"/>
        <v>0</v>
      </c>
      <c r="Z2848" s="11" t="s">
        <v>26</v>
      </c>
      <c r="AA2848" s="12" t="s">
        <v>31</v>
      </c>
    </row>
    <row r="2849" spans="1:27" x14ac:dyDescent="0.25">
      <c r="A2849" s="10">
        <v>45699</v>
      </c>
      <c r="B2849" s="69">
        <v>7.5462962962963287E-3</v>
      </c>
      <c r="C2849" s="11" t="s">
        <v>5229</v>
      </c>
      <c r="D2849" s="11">
        <v>17388</v>
      </c>
      <c r="E2849" s="11" t="s">
        <v>230</v>
      </c>
      <c r="F2849" s="11" t="s">
        <v>26</v>
      </c>
      <c r="G2849" s="11">
        <v>26207</v>
      </c>
      <c r="H2849" s="12" t="s">
        <v>565</v>
      </c>
      <c r="I2849" s="12" t="s">
        <v>55</v>
      </c>
      <c r="J2849" s="12" t="s">
        <v>566</v>
      </c>
      <c r="K2849" s="12" t="s">
        <v>550</v>
      </c>
      <c r="L2849" s="13">
        <v>42.62</v>
      </c>
      <c r="M2849" s="13">
        <v>25</v>
      </c>
      <c r="N2849" s="13">
        <f t="shared" si="640"/>
        <v>1.7047999999999999</v>
      </c>
      <c r="O2849" s="13">
        <v>25</v>
      </c>
      <c r="P2849" s="13" t="s">
        <v>30</v>
      </c>
      <c r="Q2849" s="13">
        <v>0</v>
      </c>
      <c r="R2849" s="70">
        <f t="shared" ref="R2849" si="708">L2849*O2849</f>
        <v>1065.5</v>
      </c>
      <c r="S2849" s="70">
        <v>0</v>
      </c>
      <c r="T2849" s="70">
        <f t="shared" ref="T2849" si="709">L2849*S2849</f>
        <v>0</v>
      </c>
      <c r="U2849" s="70">
        <f t="shared" ref="U2849" si="710">R2849-T2849</f>
        <v>1065.5</v>
      </c>
      <c r="V2849" s="70">
        <f>U2849*0</f>
        <v>0</v>
      </c>
      <c r="W2849" s="70">
        <f t="shared" ref="W2849" si="711">U2849-V2849</f>
        <v>1065.5</v>
      </c>
      <c r="X2849" s="70">
        <v>0</v>
      </c>
      <c r="Y2849" s="14">
        <f t="shared" si="681"/>
        <v>0</v>
      </c>
      <c r="Z2849" s="11" t="s">
        <v>26</v>
      </c>
      <c r="AA2849" s="12" t="s">
        <v>31</v>
      </c>
    </row>
    <row r="2850" spans="1:27" x14ac:dyDescent="0.25">
      <c r="A2850" s="10">
        <v>45699</v>
      </c>
      <c r="B2850" s="69">
        <v>1.3125000000000053E-2</v>
      </c>
      <c r="C2850" s="11" t="s">
        <v>5230</v>
      </c>
      <c r="D2850" s="11">
        <v>17389</v>
      </c>
      <c r="E2850" s="11" t="s">
        <v>57</v>
      </c>
      <c r="F2850" s="11" t="s">
        <v>26</v>
      </c>
      <c r="G2850" s="11">
        <v>3301</v>
      </c>
      <c r="H2850" s="12" t="s">
        <v>41</v>
      </c>
      <c r="I2850" s="12" t="s">
        <v>55</v>
      </c>
      <c r="J2850" s="12" t="s">
        <v>566</v>
      </c>
      <c r="K2850" s="12" t="s">
        <v>550</v>
      </c>
      <c r="L2850" s="13">
        <v>40.36</v>
      </c>
      <c r="M2850" s="13">
        <v>25</v>
      </c>
      <c r="N2850" s="13">
        <f t="shared" si="640"/>
        <v>1.6144000000000001</v>
      </c>
      <c r="O2850" s="13">
        <v>25</v>
      </c>
      <c r="P2850" s="13"/>
      <c r="Q2850" s="13">
        <v>0</v>
      </c>
      <c r="R2850" s="70">
        <f>L2850*O2850</f>
        <v>1009</v>
      </c>
      <c r="S2850" s="70">
        <v>0</v>
      </c>
      <c r="T2850" s="70">
        <f>L2850*S2850</f>
        <v>0</v>
      </c>
      <c r="U2850" s="70">
        <f>R2850-T2850</f>
        <v>1009</v>
      </c>
      <c r="V2850" s="70">
        <f>U2850*0</f>
        <v>0</v>
      </c>
      <c r="W2850" s="70">
        <f>U2850-V2850</f>
        <v>1009</v>
      </c>
      <c r="X2850" s="70">
        <v>0</v>
      </c>
      <c r="Y2850" s="14">
        <f t="shared" si="681"/>
        <v>0</v>
      </c>
      <c r="Z2850" s="11" t="s">
        <v>26</v>
      </c>
      <c r="AA2850" s="12" t="s">
        <v>31</v>
      </c>
    </row>
    <row r="2851" spans="1:27" x14ac:dyDescent="0.25">
      <c r="A2851" s="10">
        <v>45699</v>
      </c>
      <c r="B2851" s="69">
        <v>1.3993055555555522E-2</v>
      </c>
      <c r="C2851" s="11" t="s">
        <v>5231</v>
      </c>
      <c r="D2851" s="11">
        <v>17390</v>
      </c>
      <c r="E2851" s="11" t="s">
        <v>53</v>
      </c>
      <c r="F2851" s="11" t="s">
        <v>26</v>
      </c>
      <c r="G2851" s="11">
        <v>3956</v>
      </c>
      <c r="H2851" s="12" t="s">
        <v>41</v>
      </c>
      <c r="I2851" s="12" t="s">
        <v>27</v>
      </c>
      <c r="J2851" s="12" t="s">
        <v>42</v>
      </c>
      <c r="K2851" s="12" t="s">
        <v>43</v>
      </c>
      <c r="L2851" s="13">
        <v>42.02</v>
      </c>
      <c r="M2851" s="13">
        <v>25</v>
      </c>
      <c r="N2851" s="13">
        <f t="shared" si="640"/>
        <v>1.6808000000000001</v>
      </c>
      <c r="O2851" s="13" t="s">
        <v>30</v>
      </c>
      <c r="P2851" s="13">
        <v>64</v>
      </c>
      <c r="Q2851" s="13">
        <v>0</v>
      </c>
      <c r="R2851" s="70">
        <f>M2851*P2851</f>
        <v>1600</v>
      </c>
      <c r="S2851" s="70">
        <v>0</v>
      </c>
      <c r="T2851" s="70">
        <f>M2851*S2851</f>
        <v>0</v>
      </c>
      <c r="U2851" s="70">
        <f>+R2851-T2851</f>
        <v>1600</v>
      </c>
      <c r="V2851" s="70">
        <f t="shared" ref="V2851:V2855" si="712">+U2851*0</f>
        <v>0</v>
      </c>
      <c r="W2851" s="70">
        <f>+U2851-V2851</f>
        <v>1600</v>
      </c>
      <c r="X2851" s="70">
        <v>0</v>
      </c>
      <c r="Y2851" s="14">
        <f t="shared" si="681"/>
        <v>0</v>
      </c>
      <c r="Z2851" s="11" t="s">
        <v>26</v>
      </c>
      <c r="AA2851" s="12" t="s">
        <v>31</v>
      </c>
    </row>
    <row r="2852" spans="1:27" x14ac:dyDescent="0.25">
      <c r="A2852" s="10">
        <v>45699</v>
      </c>
      <c r="B2852" s="69">
        <v>1.3819444444444495E-2</v>
      </c>
      <c r="C2852" s="11" t="s">
        <v>5232</v>
      </c>
      <c r="D2852" s="11">
        <v>17391</v>
      </c>
      <c r="E2852" s="11" t="s">
        <v>180</v>
      </c>
      <c r="F2852" s="11" t="s">
        <v>26</v>
      </c>
      <c r="G2852" s="11" t="s">
        <v>35</v>
      </c>
      <c r="H2852" s="12" t="s">
        <v>36</v>
      </c>
      <c r="I2852" s="12" t="s">
        <v>55</v>
      </c>
      <c r="J2852" s="12" t="s">
        <v>55</v>
      </c>
      <c r="K2852" s="12" t="s">
        <v>56</v>
      </c>
      <c r="L2852" s="13">
        <v>14.3</v>
      </c>
      <c r="M2852" s="13">
        <v>9</v>
      </c>
      <c r="N2852" s="13">
        <f t="shared" si="640"/>
        <v>1.588888888888889</v>
      </c>
      <c r="O2852" s="13">
        <v>20</v>
      </c>
      <c r="P2852" s="13" t="s">
        <v>30</v>
      </c>
      <c r="Q2852" s="13">
        <v>0</v>
      </c>
      <c r="R2852" s="70">
        <f>(L2852*O2852)-Q2852</f>
        <v>286</v>
      </c>
      <c r="S2852" s="70">
        <v>0</v>
      </c>
      <c r="T2852" s="70">
        <f t="shared" ref="T2852:T2853" si="713">+L2852*S2852</f>
        <v>0</v>
      </c>
      <c r="U2852" s="70">
        <f t="shared" ref="U2852:U2853" si="714">+R2852-T2852</f>
        <v>286</v>
      </c>
      <c r="V2852" s="70">
        <f t="shared" si="712"/>
        <v>0</v>
      </c>
      <c r="W2852" s="70">
        <f t="shared" ref="W2852:W2853" si="715">+U2852-V2852</f>
        <v>286</v>
      </c>
      <c r="X2852" s="70">
        <v>0</v>
      </c>
      <c r="Y2852" s="14">
        <f t="shared" si="681"/>
        <v>0</v>
      </c>
      <c r="Z2852" s="11" t="s">
        <v>26</v>
      </c>
      <c r="AA2852" s="12" t="s">
        <v>31</v>
      </c>
    </row>
    <row r="2853" spans="1:27" x14ac:dyDescent="0.25">
      <c r="A2853" s="10">
        <v>45699</v>
      </c>
      <c r="B2853" s="69">
        <v>7.9282407407408328E-3</v>
      </c>
      <c r="C2853" s="11" t="s">
        <v>5233</v>
      </c>
      <c r="D2853" s="11">
        <v>17392</v>
      </c>
      <c r="E2853" s="11" t="s">
        <v>203</v>
      </c>
      <c r="F2853" s="11" t="s">
        <v>26</v>
      </c>
      <c r="G2853" s="11" t="s">
        <v>35</v>
      </c>
      <c r="H2853" s="12" t="s">
        <v>36</v>
      </c>
      <c r="I2853" s="12" t="s">
        <v>55</v>
      </c>
      <c r="J2853" s="12" t="s">
        <v>55</v>
      </c>
      <c r="K2853" s="12" t="s">
        <v>56</v>
      </c>
      <c r="L2853" s="13">
        <v>12.08</v>
      </c>
      <c r="M2853" s="13">
        <v>7</v>
      </c>
      <c r="N2853" s="13">
        <f t="shared" si="640"/>
        <v>1.7257142857142858</v>
      </c>
      <c r="O2853" s="13">
        <v>20</v>
      </c>
      <c r="P2853" s="13" t="s">
        <v>30</v>
      </c>
      <c r="Q2853" s="13">
        <v>0</v>
      </c>
      <c r="R2853" s="70">
        <f>(L2853*O2853)-Q2853</f>
        <v>241.6</v>
      </c>
      <c r="S2853" s="70">
        <v>0</v>
      </c>
      <c r="T2853" s="70">
        <f t="shared" si="713"/>
        <v>0</v>
      </c>
      <c r="U2853" s="70">
        <f t="shared" si="714"/>
        <v>241.6</v>
      </c>
      <c r="V2853" s="70">
        <f t="shared" si="712"/>
        <v>0</v>
      </c>
      <c r="W2853" s="70">
        <f t="shared" si="715"/>
        <v>241.6</v>
      </c>
      <c r="X2853" s="70">
        <v>0</v>
      </c>
      <c r="Y2853" s="14">
        <f t="shared" si="681"/>
        <v>0</v>
      </c>
      <c r="Z2853" s="11" t="s">
        <v>26</v>
      </c>
      <c r="AA2853" s="12" t="s">
        <v>31</v>
      </c>
    </row>
    <row r="2854" spans="1:27" x14ac:dyDescent="0.25">
      <c r="A2854" s="10">
        <v>45699</v>
      </c>
      <c r="B2854" s="69">
        <v>1.0671296296296262E-2</v>
      </c>
      <c r="C2854" s="11" t="s">
        <v>5234</v>
      </c>
      <c r="D2854" s="11">
        <v>17393</v>
      </c>
      <c r="E2854" s="11" t="s">
        <v>63</v>
      </c>
      <c r="F2854" s="11" t="s">
        <v>26</v>
      </c>
      <c r="G2854" s="11">
        <v>10189</v>
      </c>
      <c r="H2854" s="12" t="s">
        <v>140</v>
      </c>
      <c r="I2854" s="12" t="s">
        <v>27</v>
      </c>
      <c r="J2854" s="12" t="s">
        <v>42</v>
      </c>
      <c r="K2854" s="12" t="s">
        <v>43</v>
      </c>
      <c r="L2854" s="13">
        <v>44.46</v>
      </c>
      <c r="M2854" s="13">
        <v>25</v>
      </c>
      <c r="N2854" s="13">
        <f t="shared" ref="N2854:N2865" si="716">L2854/M2854</f>
        <v>1.7784</v>
      </c>
      <c r="O2854" s="13">
        <v>35</v>
      </c>
      <c r="P2854" s="13"/>
      <c r="Q2854" s="13">
        <v>0</v>
      </c>
      <c r="R2854" s="70">
        <f>+L2854*O2854</f>
        <v>1556.1000000000001</v>
      </c>
      <c r="S2854" s="70">
        <v>0</v>
      </c>
      <c r="T2854" s="70">
        <f>+L2854*S2854</f>
        <v>0</v>
      </c>
      <c r="U2854" s="70">
        <f>+R2854-T2854</f>
        <v>1556.1000000000001</v>
      </c>
      <c r="V2854" s="70">
        <f t="shared" si="712"/>
        <v>0</v>
      </c>
      <c r="W2854" s="70">
        <f>+U2854-V2854</f>
        <v>1556.1000000000001</v>
      </c>
      <c r="X2854" s="70">
        <v>0</v>
      </c>
      <c r="Y2854" s="14">
        <f t="shared" si="681"/>
        <v>0</v>
      </c>
      <c r="Z2854" s="11" t="s">
        <v>26</v>
      </c>
      <c r="AA2854" s="12" t="s">
        <v>31</v>
      </c>
    </row>
    <row r="2855" spans="1:27" x14ac:dyDescent="0.25">
      <c r="A2855" s="10">
        <v>45699</v>
      </c>
      <c r="B2855" s="69">
        <v>0.13450231481481478</v>
      </c>
      <c r="C2855" s="11" t="s">
        <v>5235</v>
      </c>
      <c r="D2855" s="11">
        <v>17394</v>
      </c>
      <c r="E2855" s="11" t="s">
        <v>570</v>
      </c>
      <c r="F2855" s="11" t="s">
        <v>26</v>
      </c>
      <c r="G2855" s="11">
        <v>10752</v>
      </c>
      <c r="H2855" s="12" t="s">
        <v>140</v>
      </c>
      <c r="I2855" s="12" t="s">
        <v>27</v>
      </c>
      <c r="J2855" s="12" t="s">
        <v>33</v>
      </c>
      <c r="K2855" s="12" t="s">
        <v>34</v>
      </c>
      <c r="L2855" s="13">
        <v>41.48</v>
      </c>
      <c r="M2855" s="13">
        <v>28</v>
      </c>
      <c r="N2855" s="13">
        <f t="shared" si="716"/>
        <v>1.4814285714285713</v>
      </c>
      <c r="O2855" s="13">
        <v>40</v>
      </c>
      <c r="P2855" s="13"/>
      <c r="Q2855" s="13">
        <v>0</v>
      </c>
      <c r="R2855" s="70">
        <f>+L2855*O2855</f>
        <v>1659.1999999999998</v>
      </c>
      <c r="S2855" s="70">
        <v>0</v>
      </c>
      <c r="T2855" s="70">
        <f>+L2855*S2855</f>
        <v>0</v>
      </c>
      <c r="U2855" s="70">
        <f>+R2855-T2855</f>
        <v>1659.1999999999998</v>
      </c>
      <c r="V2855" s="70">
        <f t="shared" si="712"/>
        <v>0</v>
      </c>
      <c r="W2855" s="70">
        <f>+U2855-V2855</f>
        <v>1659.1999999999998</v>
      </c>
      <c r="X2855" s="70">
        <v>0</v>
      </c>
      <c r="Y2855" s="14">
        <f t="shared" si="681"/>
        <v>0</v>
      </c>
      <c r="Z2855" s="11" t="s">
        <v>26</v>
      </c>
      <c r="AA2855" s="12" t="s">
        <v>31</v>
      </c>
    </row>
    <row r="2856" spans="1:27" x14ac:dyDescent="0.25">
      <c r="A2856" s="10">
        <v>45699</v>
      </c>
      <c r="B2856" s="69">
        <v>6.523148148148139E-2</v>
      </c>
      <c r="C2856" s="11" t="s">
        <v>5236</v>
      </c>
      <c r="D2856" s="11">
        <v>17395</v>
      </c>
      <c r="E2856" s="11" t="s">
        <v>240</v>
      </c>
      <c r="F2856" s="11" t="s">
        <v>26</v>
      </c>
      <c r="G2856" s="11" t="s">
        <v>26</v>
      </c>
      <c r="H2856" s="12" t="s">
        <v>146</v>
      </c>
      <c r="I2856" s="12" t="s">
        <v>27</v>
      </c>
      <c r="J2856" s="12" t="s">
        <v>47</v>
      </c>
      <c r="K2856" s="12" t="s">
        <v>48</v>
      </c>
      <c r="L2856" s="13">
        <v>41.76</v>
      </c>
      <c r="M2856" s="13">
        <v>28</v>
      </c>
      <c r="N2856" s="13">
        <f t="shared" si="716"/>
        <v>1.4914285714285713</v>
      </c>
      <c r="O2856" s="13">
        <v>91</v>
      </c>
      <c r="P2856" s="13" t="s">
        <v>30</v>
      </c>
      <c r="Q2856" s="13">
        <v>0</v>
      </c>
      <c r="R2856" s="70">
        <f>+L2856*O2856</f>
        <v>3800.16</v>
      </c>
      <c r="S2856" s="70">
        <v>40</v>
      </c>
      <c r="T2856" s="70">
        <f>L2856*S2856</f>
        <v>1670.3999999999999</v>
      </c>
      <c r="U2856" s="70">
        <f t="shared" ref="U2856" si="717">R2856-T2856</f>
        <v>2129.7600000000002</v>
      </c>
      <c r="V2856" s="70">
        <f>U2856*1</f>
        <v>2129.7600000000002</v>
      </c>
      <c r="W2856" s="70">
        <f t="shared" ref="W2856" si="718">U2856-V2856</f>
        <v>0</v>
      </c>
      <c r="X2856" s="70">
        <f>L2856*37</f>
        <v>1545.12</v>
      </c>
      <c r="Y2856" s="71">
        <f>+T2856-X2856</f>
        <v>125.27999999999997</v>
      </c>
      <c r="Z2856" s="12" t="s">
        <v>41</v>
      </c>
      <c r="AA2856" s="12" t="s">
        <v>79</v>
      </c>
    </row>
    <row r="2857" spans="1:27" x14ac:dyDescent="0.25">
      <c r="A2857" s="10">
        <v>45699</v>
      </c>
      <c r="B2857" s="69">
        <v>0.11466435185185186</v>
      </c>
      <c r="C2857" s="11" t="s">
        <v>5237</v>
      </c>
      <c r="D2857" s="11">
        <v>17396</v>
      </c>
      <c r="E2857" s="11" t="s">
        <v>506</v>
      </c>
      <c r="F2857" s="11" t="s">
        <v>26</v>
      </c>
      <c r="G2857" s="11">
        <v>1612</v>
      </c>
      <c r="H2857" s="12" t="s">
        <v>45</v>
      </c>
      <c r="I2857" s="12" t="s">
        <v>27</v>
      </c>
      <c r="J2857" s="12" t="s">
        <v>33</v>
      </c>
      <c r="K2857" s="12" t="s">
        <v>34</v>
      </c>
      <c r="L2857" s="13">
        <v>38.68</v>
      </c>
      <c r="M2857" s="13">
        <v>25</v>
      </c>
      <c r="N2857" s="13">
        <f t="shared" si="716"/>
        <v>1.5471999999999999</v>
      </c>
      <c r="O2857" s="13" t="s">
        <v>30</v>
      </c>
      <c r="P2857" s="13">
        <v>58</v>
      </c>
      <c r="Q2857" s="13">
        <v>0</v>
      </c>
      <c r="R2857" s="70">
        <f>M2857*P2857</f>
        <v>1450</v>
      </c>
      <c r="S2857" s="70">
        <v>0</v>
      </c>
      <c r="T2857" s="70">
        <f>M2857*S2857</f>
        <v>0</v>
      </c>
      <c r="U2857" s="70">
        <f>R2857-T2857</f>
        <v>1450</v>
      </c>
      <c r="V2857" s="70">
        <f>U2857*0</f>
        <v>0</v>
      </c>
      <c r="W2857" s="70">
        <f>U2857-V2857</f>
        <v>1450</v>
      </c>
      <c r="X2857" s="70">
        <v>0</v>
      </c>
      <c r="Y2857" s="14">
        <f t="shared" ref="Y2857:Y2868" si="719">T2857-X2857</f>
        <v>0</v>
      </c>
      <c r="Z2857" s="11" t="s">
        <v>26</v>
      </c>
      <c r="AA2857" s="12" t="s">
        <v>31</v>
      </c>
    </row>
    <row r="2858" spans="1:27" x14ac:dyDescent="0.25">
      <c r="A2858" s="10">
        <v>45699</v>
      </c>
      <c r="B2858" s="69">
        <v>0.1049189814814816</v>
      </c>
      <c r="C2858" s="11" t="s">
        <v>5238</v>
      </c>
      <c r="D2858" s="11">
        <v>17397</v>
      </c>
      <c r="E2858" s="11" t="s">
        <v>81</v>
      </c>
      <c r="F2858" s="11" t="s">
        <v>26</v>
      </c>
      <c r="G2858" s="11">
        <v>1213</v>
      </c>
      <c r="H2858" s="12" t="s">
        <v>141</v>
      </c>
      <c r="I2858" s="12" t="s">
        <v>27</v>
      </c>
      <c r="J2858" s="12" t="s">
        <v>42</v>
      </c>
      <c r="K2858" s="12" t="s">
        <v>43</v>
      </c>
      <c r="L2858" s="13">
        <v>43.54</v>
      </c>
      <c r="M2858" s="13">
        <v>25</v>
      </c>
      <c r="N2858" s="13">
        <f t="shared" si="716"/>
        <v>1.7416</v>
      </c>
      <c r="O2858" s="13">
        <v>40</v>
      </c>
      <c r="P2858" s="13" t="s">
        <v>30</v>
      </c>
      <c r="Q2858" s="13">
        <v>0</v>
      </c>
      <c r="R2858" s="70">
        <f>L2858*O2858</f>
        <v>1741.6</v>
      </c>
      <c r="S2858" s="70">
        <v>0</v>
      </c>
      <c r="T2858" s="70">
        <f>L2858*S2858</f>
        <v>0</v>
      </c>
      <c r="U2858" s="70">
        <f>R2858-T2858</f>
        <v>1741.6</v>
      </c>
      <c r="V2858" s="70">
        <f>U2858*0</f>
        <v>0</v>
      </c>
      <c r="W2858" s="70">
        <f>U2858-V2858</f>
        <v>1741.6</v>
      </c>
      <c r="X2858" s="70">
        <v>0</v>
      </c>
      <c r="Y2858" s="14">
        <f t="shared" si="719"/>
        <v>0</v>
      </c>
      <c r="Z2858" s="11" t="s">
        <v>26</v>
      </c>
      <c r="AA2858" s="12" t="s">
        <v>31</v>
      </c>
    </row>
    <row r="2859" spans="1:27" x14ac:dyDescent="0.25">
      <c r="A2859" s="10">
        <v>45699</v>
      </c>
      <c r="B2859" s="69">
        <v>6.4525462962963021E-2</v>
      </c>
      <c r="C2859" s="11" t="s">
        <v>5239</v>
      </c>
      <c r="D2859" s="11">
        <v>17398</v>
      </c>
      <c r="E2859" s="11" t="s">
        <v>5240</v>
      </c>
      <c r="F2859" s="11" t="s">
        <v>26</v>
      </c>
      <c r="G2859" s="11">
        <v>112785</v>
      </c>
      <c r="H2859" s="12" t="s">
        <v>4446</v>
      </c>
      <c r="I2859" s="12" t="s">
        <v>27</v>
      </c>
      <c r="J2859" s="12" t="s">
        <v>42</v>
      </c>
      <c r="K2859" s="12" t="s">
        <v>43</v>
      </c>
      <c r="L2859" s="13">
        <v>39.94</v>
      </c>
      <c r="M2859" s="13">
        <v>25</v>
      </c>
      <c r="N2859" s="13">
        <f t="shared" si="716"/>
        <v>1.5975999999999999</v>
      </c>
      <c r="O2859" s="13">
        <v>42</v>
      </c>
      <c r="P2859" s="13" t="s">
        <v>30</v>
      </c>
      <c r="Q2859" s="13">
        <v>0</v>
      </c>
      <c r="R2859" s="70">
        <f t="shared" ref="R2859" si="720">+L2859*O2859</f>
        <v>1677.48</v>
      </c>
      <c r="S2859" s="70">
        <v>0</v>
      </c>
      <c r="T2859" s="70">
        <f>+L2859*S2859</f>
        <v>0</v>
      </c>
      <c r="U2859" s="70">
        <f t="shared" ref="U2859:U2860" si="721">+R2859-T2859</f>
        <v>1677.48</v>
      </c>
      <c r="V2859" s="70">
        <f>+U2859*1</f>
        <v>1677.48</v>
      </c>
      <c r="W2859" s="70">
        <f t="shared" ref="W2859:W2860" si="722">+U2859-V2859</f>
        <v>0</v>
      </c>
      <c r="X2859" s="70">
        <v>0</v>
      </c>
      <c r="Y2859" s="14">
        <f t="shared" si="719"/>
        <v>0</v>
      </c>
      <c r="Z2859" s="11" t="s">
        <v>26</v>
      </c>
      <c r="AA2859" s="12" t="s">
        <v>31</v>
      </c>
    </row>
    <row r="2860" spans="1:27" x14ac:dyDescent="0.25">
      <c r="A2860" s="10">
        <v>45699</v>
      </c>
      <c r="B2860" s="69">
        <v>0.11546296296296299</v>
      </c>
      <c r="C2860" s="11" t="s">
        <v>5241</v>
      </c>
      <c r="D2860" s="11">
        <v>17399</v>
      </c>
      <c r="E2860" s="11" t="s">
        <v>5242</v>
      </c>
      <c r="F2860" s="11" t="s">
        <v>26</v>
      </c>
      <c r="G2860" s="11">
        <v>2117</v>
      </c>
      <c r="H2860" s="12" t="s">
        <v>70</v>
      </c>
      <c r="I2860" s="12" t="s">
        <v>27</v>
      </c>
      <c r="J2860" s="12" t="s">
        <v>47</v>
      </c>
      <c r="K2860" s="12" t="s">
        <v>48</v>
      </c>
      <c r="L2860" s="13">
        <v>38.4</v>
      </c>
      <c r="M2860" s="13">
        <v>25</v>
      </c>
      <c r="N2860" s="13">
        <f t="shared" si="716"/>
        <v>1.536</v>
      </c>
      <c r="O2860" s="13" t="s">
        <v>30</v>
      </c>
      <c r="P2860" s="13">
        <v>60</v>
      </c>
      <c r="Q2860" s="13">
        <v>0</v>
      </c>
      <c r="R2860" s="70">
        <f>+M2860*P2860</f>
        <v>1500</v>
      </c>
      <c r="S2860" s="70">
        <v>0</v>
      </c>
      <c r="T2860" s="70">
        <f>+M2860*S2860</f>
        <v>0</v>
      </c>
      <c r="U2860" s="70">
        <f t="shared" si="721"/>
        <v>1500</v>
      </c>
      <c r="V2860" s="70">
        <f>+U2860*0</f>
        <v>0</v>
      </c>
      <c r="W2860" s="70">
        <f t="shared" si="722"/>
        <v>1500</v>
      </c>
      <c r="X2860" s="70">
        <v>0</v>
      </c>
      <c r="Y2860" s="14">
        <f t="shared" si="719"/>
        <v>0</v>
      </c>
      <c r="Z2860" s="11" t="s">
        <v>26</v>
      </c>
      <c r="AA2860" s="12" t="s">
        <v>31</v>
      </c>
    </row>
    <row r="2861" spans="1:27" x14ac:dyDescent="0.25">
      <c r="A2861" s="10">
        <v>45699</v>
      </c>
      <c r="B2861" s="69">
        <v>7.2094907407407538E-2</v>
      </c>
      <c r="C2861" s="11" t="s">
        <v>5243</v>
      </c>
      <c r="D2861" s="11">
        <v>17400</v>
      </c>
      <c r="E2861" s="11" t="s">
        <v>5244</v>
      </c>
      <c r="F2861" s="11" t="s">
        <v>26</v>
      </c>
      <c r="G2861" s="11">
        <v>3266</v>
      </c>
      <c r="H2861" s="12" t="s">
        <v>41</v>
      </c>
      <c r="I2861" s="12" t="s">
        <v>27</v>
      </c>
      <c r="J2861" s="12" t="s">
        <v>42</v>
      </c>
      <c r="K2861" s="12" t="s">
        <v>43</v>
      </c>
      <c r="L2861" s="13">
        <v>41.54</v>
      </c>
      <c r="M2861" s="13">
        <v>25</v>
      </c>
      <c r="N2861" s="13">
        <f t="shared" si="716"/>
        <v>1.6616</v>
      </c>
      <c r="O2861" s="13" t="s">
        <v>30</v>
      </c>
      <c r="P2861" s="13">
        <v>64</v>
      </c>
      <c r="Q2861" s="13">
        <v>0</v>
      </c>
      <c r="R2861" s="70">
        <f>M2861*P2861</f>
        <v>1600</v>
      </c>
      <c r="S2861" s="70">
        <v>0</v>
      </c>
      <c r="T2861" s="70">
        <f>M2861*S2861</f>
        <v>0</v>
      </c>
      <c r="U2861" s="70">
        <f>+R2861-T2861</f>
        <v>1600</v>
      </c>
      <c r="V2861" s="70">
        <f t="shared" ref="V2861:V2862" si="723">+U2861*0</f>
        <v>0</v>
      </c>
      <c r="W2861" s="70">
        <f>+U2861-V2861</f>
        <v>1600</v>
      </c>
      <c r="X2861" s="70">
        <v>0</v>
      </c>
      <c r="Y2861" s="14">
        <f t="shared" si="719"/>
        <v>0</v>
      </c>
      <c r="Z2861" s="11" t="s">
        <v>26</v>
      </c>
      <c r="AA2861" s="12" t="s">
        <v>31</v>
      </c>
    </row>
    <row r="2862" spans="1:27" x14ac:dyDescent="0.25">
      <c r="A2862" s="10">
        <v>45699</v>
      </c>
      <c r="B2862" s="69">
        <v>0.13675925925925925</v>
      </c>
      <c r="C2862" s="11" t="s">
        <v>5245</v>
      </c>
      <c r="D2862" s="11">
        <v>17401</v>
      </c>
      <c r="E2862" s="11" t="s">
        <v>556</v>
      </c>
      <c r="F2862" s="11" t="s">
        <v>26</v>
      </c>
      <c r="G2862" s="11">
        <v>10682</v>
      </c>
      <c r="H2862" s="12" t="s">
        <v>140</v>
      </c>
      <c r="I2862" s="12" t="s">
        <v>27</v>
      </c>
      <c r="J2862" s="12" t="s">
        <v>33</v>
      </c>
      <c r="K2862" s="12" t="s">
        <v>34</v>
      </c>
      <c r="L2862" s="13">
        <v>39.76</v>
      </c>
      <c r="M2862" s="13">
        <v>25</v>
      </c>
      <c r="N2862" s="13">
        <f t="shared" si="716"/>
        <v>1.5903999999999998</v>
      </c>
      <c r="O2862" s="13">
        <v>40</v>
      </c>
      <c r="P2862" s="13"/>
      <c r="Q2862" s="13">
        <v>0</v>
      </c>
      <c r="R2862" s="70">
        <f>+L2862*O2862</f>
        <v>1590.3999999999999</v>
      </c>
      <c r="S2862" s="70">
        <v>0</v>
      </c>
      <c r="T2862" s="70">
        <f>+L2862*S2862</f>
        <v>0</v>
      </c>
      <c r="U2862" s="70">
        <f>+R2862-T2862</f>
        <v>1590.3999999999999</v>
      </c>
      <c r="V2862" s="70">
        <f t="shared" si="723"/>
        <v>0</v>
      </c>
      <c r="W2862" s="70">
        <f>+U2862-V2862</f>
        <v>1590.3999999999999</v>
      </c>
      <c r="X2862" s="70">
        <v>0</v>
      </c>
      <c r="Y2862" s="14">
        <f t="shared" si="719"/>
        <v>0</v>
      </c>
      <c r="Z2862" s="11" t="s">
        <v>26</v>
      </c>
      <c r="AA2862" s="12" t="s">
        <v>31</v>
      </c>
    </row>
    <row r="2863" spans="1:27" x14ac:dyDescent="0.25">
      <c r="A2863" s="10">
        <v>45699</v>
      </c>
      <c r="B2863" s="69">
        <v>8.3564814814814703E-2</v>
      </c>
      <c r="C2863" s="11" t="s">
        <v>5246</v>
      </c>
      <c r="D2863" s="11">
        <v>17402</v>
      </c>
      <c r="E2863" s="11" t="s">
        <v>2064</v>
      </c>
      <c r="F2863" s="11" t="s">
        <v>26</v>
      </c>
      <c r="G2863" s="11">
        <v>40651</v>
      </c>
      <c r="H2863" s="12" t="s">
        <v>565</v>
      </c>
      <c r="I2863" s="12" t="s">
        <v>55</v>
      </c>
      <c r="J2863" s="12" t="s">
        <v>566</v>
      </c>
      <c r="K2863" s="12" t="s">
        <v>550</v>
      </c>
      <c r="L2863" s="13">
        <v>43.5</v>
      </c>
      <c r="M2863" s="13">
        <v>25</v>
      </c>
      <c r="N2863" s="13">
        <f t="shared" si="716"/>
        <v>1.74</v>
      </c>
      <c r="O2863" s="13">
        <v>25</v>
      </c>
      <c r="P2863" s="13" t="s">
        <v>30</v>
      </c>
      <c r="Q2863" s="13">
        <v>0</v>
      </c>
      <c r="R2863" s="70">
        <f t="shared" ref="R2863" si="724">L2863*O2863</f>
        <v>1087.5</v>
      </c>
      <c r="S2863" s="70">
        <v>0</v>
      </c>
      <c r="T2863" s="70">
        <f t="shared" ref="T2863" si="725">L2863*S2863</f>
        <v>0</v>
      </c>
      <c r="U2863" s="70">
        <f t="shared" ref="U2863" si="726">R2863-T2863</f>
        <v>1087.5</v>
      </c>
      <c r="V2863" s="70">
        <f t="shared" ref="V2863:V2868" si="727">U2863*0</f>
        <v>0</v>
      </c>
      <c r="W2863" s="70">
        <f t="shared" ref="W2863:W2870" si="728">U2863-V2863</f>
        <v>1087.5</v>
      </c>
      <c r="X2863" s="70">
        <v>0</v>
      </c>
      <c r="Y2863" s="14">
        <f t="shared" si="719"/>
        <v>0</v>
      </c>
      <c r="Z2863" s="11" t="s">
        <v>26</v>
      </c>
      <c r="AA2863" s="12" t="s">
        <v>31</v>
      </c>
    </row>
    <row r="2864" spans="1:27" x14ac:dyDescent="0.25">
      <c r="A2864" s="10">
        <v>45699</v>
      </c>
      <c r="B2864" s="69">
        <v>7.2453703703703853E-2</v>
      </c>
      <c r="C2864" s="11" t="s">
        <v>5247</v>
      </c>
      <c r="D2864" s="11">
        <v>17403</v>
      </c>
      <c r="E2864" s="11" t="s">
        <v>562</v>
      </c>
      <c r="F2864" s="11" t="s">
        <v>26</v>
      </c>
      <c r="G2864" s="11">
        <v>947</v>
      </c>
      <c r="H2864" s="12" t="s">
        <v>163</v>
      </c>
      <c r="I2864" s="12" t="s">
        <v>27</v>
      </c>
      <c r="J2864" s="12" t="s">
        <v>42</v>
      </c>
      <c r="K2864" s="12" t="s">
        <v>43</v>
      </c>
      <c r="L2864" s="13">
        <v>43.08</v>
      </c>
      <c r="M2864" s="13">
        <v>25</v>
      </c>
      <c r="N2864" s="13">
        <f t="shared" si="716"/>
        <v>1.7231999999999998</v>
      </c>
      <c r="O2864" s="13" t="s">
        <v>30</v>
      </c>
      <c r="P2864" s="13">
        <v>64</v>
      </c>
      <c r="Q2864" s="13">
        <v>0</v>
      </c>
      <c r="R2864" s="70">
        <f>M2864*P2864</f>
        <v>1600</v>
      </c>
      <c r="S2864" s="70">
        <v>0</v>
      </c>
      <c r="T2864" s="70">
        <f>M2864*S2864</f>
        <v>0</v>
      </c>
      <c r="U2864" s="70">
        <f>R2864-T2864</f>
        <v>1600</v>
      </c>
      <c r="V2864" s="70">
        <f t="shared" si="727"/>
        <v>0</v>
      </c>
      <c r="W2864" s="70">
        <f t="shared" si="728"/>
        <v>1600</v>
      </c>
      <c r="X2864" s="70">
        <v>0</v>
      </c>
      <c r="Y2864" s="14">
        <f t="shared" si="719"/>
        <v>0</v>
      </c>
      <c r="Z2864" s="11" t="s">
        <v>26</v>
      </c>
      <c r="AA2864" s="12" t="s">
        <v>31</v>
      </c>
    </row>
    <row r="2865" spans="1:27" x14ac:dyDescent="0.25">
      <c r="A2865" s="10">
        <v>45699</v>
      </c>
      <c r="B2865" s="69">
        <v>7.7881944444444517E-2</v>
      </c>
      <c r="C2865" s="11" t="s">
        <v>5248</v>
      </c>
      <c r="D2865" s="11">
        <v>17404</v>
      </c>
      <c r="E2865" s="11" t="s">
        <v>2066</v>
      </c>
      <c r="F2865" s="11" t="s">
        <v>26</v>
      </c>
      <c r="G2865" s="11">
        <v>2963</v>
      </c>
      <c r="H2865" s="12" t="s">
        <v>163</v>
      </c>
      <c r="I2865" s="12" t="s">
        <v>27</v>
      </c>
      <c r="J2865" s="12" t="s">
        <v>33</v>
      </c>
      <c r="K2865" s="12" t="s">
        <v>34</v>
      </c>
      <c r="L2865" s="13">
        <v>37.44</v>
      </c>
      <c r="M2865" s="13">
        <v>25</v>
      </c>
      <c r="N2865" s="13">
        <f t="shared" si="716"/>
        <v>1.4975999999999998</v>
      </c>
      <c r="O2865" s="13" t="s">
        <v>30</v>
      </c>
      <c r="P2865" s="13">
        <v>60</v>
      </c>
      <c r="Q2865" s="13">
        <v>0</v>
      </c>
      <c r="R2865" s="70">
        <f>M2865*P2865</f>
        <v>1500</v>
      </c>
      <c r="S2865" s="70">
        <v>0</v>
      </c>
      <c r="T2865" s="70">
        <f>M2865*S2865</f>
        <v>0</v>
      </c>
      <c r="U2865" s="70">
        <f>R2865-T2865</f>
        <v>1500</v>
      </c>
      <c r="V2865" s="70">
        <f t="shared" si="727"/>
        <v>0</v>
      </c>
      <c r="W2865" s="70">
        <f t="shared" si="728"/>
        <v>1500</v>
      </c>
      <c r="X2865" s="70">
        <v>0</v>
      </c>
      <c r="Y2865" s="14">
        <f t="shared" si="719"/>
        <v>0</v>
      </c>
      <c r="Z2865" s="11" t="s">
        <v>26</v>
      </c>
      <c r="AA2865" s="12" t="s">
        <v>31</v>
      </c>
    </row>
    <row r="2866" spans="1:27" x14ac:dyDescent="0.25">
      <c r="A2866" s="10">
        <v>45700</v>
      </c>
      <c r="B2866" s="11" t="s">
        <v>388</v>
      </c>
      <c r="C2866" s="11" t="s">
        <v>5249</v>
      </c>
      <c r="D2866" s="11">
        <v>17405</v>
      </c>
      <c r="E2866" s="11" t="s">
        <v>32</v>
      </c>
      <c r="F2866" s="11" t="s">
        <v>26</v>
      </c>
      <c r="G2866" s="11">
        <v>1601</v>
      </c>
      <c r="H2866" s="12" t="s">
        <v>45</v>
      </c>
      <c r="I2866" s="12" t="s">
        <v>27</v>
      </c>
      <c r="J2866" s="12" t="s">
        <v>33</v>
      </c>
      <c r="K2866" s="12" t="s">
        <v>34</v>
      </c>
      <c r="L2866" s="13">
        <v>38.979999999999997</v>
      </c>
      <c r="M2866" s="13">
        <v>25</v>
      </c>
      <c r="N2866" s="13">
        <f>L2866/M2866</f>
        <v>1.5591999999999999</v>
      </c>
      <c r="O2866" s="13" t="s">
        <v>30</v>
      </c>
      <c r="P2866" s="13">
        <v>58</v>
      </c>
      <c r="Q2866" s="13">
        <v>0</v>
      </c>
      <c r="R2866" s="70">
        <f>M2866*P2866</f>
        <v>1450</v>
      </c>
      <c r="S2866" s="70">
        <v>0</v>
      </c>
      <c r="T2866" s="70">
        <f>M2866*S2866</f>
        <v>0</v>
      </c>
      <c r="U2866" s="70">
        <f>R2866-T2866</f>
        <v>1450</v>
      </c>
      <c r="V2866" s="70">
        <f t="shared" si="727"/>
        <v>0</v>
      </c>
      <c r="W2866" s="70">
        <f t="shared" si="728"/>
        <v>1450</v>
      </c>
      <c r="X2866" s="70">
        <v>0</v>
      </c>
      <c r="Y2866" s="14">
        <f t="shared" si="719"/>
        <v>0</v>
      </c>
      <c r="Z2866" s="11" t="s">
        <v>26</v>
      </c>
      <c r="AA2866" s="12" t="s">
        <v>31</v>
      </c>
    </row>
    <row r="2867" spans="1:27" x14ac:dyDescent="0.25">
      <c r="A2867" s="10">
        <v>45700</v>
      </c>
      <c r="B2867" s="11" t="s">
        <v>5250</v>
      </c>
      <c r="C2867" s="11" t="s">
        <v>5251</v>
      </c>
      <c r="D2867" s="11">
        <v>17406</v>
      </c>
      <c r="E2867" s="11" t="s">
        <v>184</v>
      </c>
      <c r="F2867" s="11" t="s">
        <v>26</v>
      </c>
      <c r="G2867" s="11">
        <v>1011</v>
      </c>
      <c r="H2867" s="12" t="s">
        <v>141</v>
      </c>
      <c r="I2867" s="12" t="s">
        <v>27</v>
      </c>
      <c r="J2867" s="12" t="s">
        <v>42</v>
      </c>
      <c r="K2867" s="12" t="s">
        <v>43</v>
      </c>
      <c r="L2867" s="13">
        <v>43.14</v>
      </c>
      <c r="M2867" s="13">
        <v>25</v>
      </c>
      <c r="N2867" s="13">
        <f t="shared" ref="N2867:N2930" si="729">L2867/M2867</f>
        <v>1.7256</v>
      </c>
      <c r="O2867" s="13">
        <v>40</v>
      </c>
      <c r="P2867" s="13" t="s">
        <v>30</v>
      </c>
      <c r="Q2867" s="13">
        <v>0</v>
      </c>
      <c r="R2867" s="70">
        <f>L2867*O2867</f>
        <v>1725.6</v>
      </c>
      <c r="S2867" s="70">
        <v>0</v>
      </c>
      <c r="T2867" s="70">
        <f t="shared" ref="T2867:T2872" si="730">L2867*S2867</f>
        <v>0</v>
      </c>
      <c r="U2867" s="70">
        <f>R2867-T2867</f>
        <v>1725.6</v>
      </c>
      <c r="V2867" s="70">
        <f t="shared" si="727"/>
        <v>0</v>
      </c>
      <c r="W2867" s="70">
        <f t="shared" si="728"/>
        <v>1725.6</v>
      </c>
      <c r="X2867" s="70">
        <v>0</v>
      </c>
      <c r="Y2867" s="14">
        <f t="shared" si="719"/>
        <v>0</v>
      </c>
      <c r="Z2867" s="11" t="s">
        <v>26</v>
      </c>
      <c r="AA2867" s="12" t="s">
        <v>31</v>
      </c>
    </row>
    <row r="2868" spans="1:27" x14ac:dyDescent="0.25">
      <c r="A2868" s="10">
        <v>45700</v>
      </c>
      <c r="B2868" s="11" t="s">
        <v>3990</v>
      </c>
      <c r="C2868" s="11" t="s">
        <v>5252</v>
      </c>
      <c r="D2868" s="11">
        <v>17407</v>
      </c>
      <c r="E2868" s="11" t="s">
        <v>574</v>
      </c>
      <c r="F2868" s="11" t="s">
        <v>26</v>
      </c>
      <c r="G2868" s="11">
        <v>1159</v>
      </c>
      <c r="H2868" s="12" t="s">
        <v>141</v>
      </c>
      <c r="I2868" s="12" t="s">
        <v>27</v>
      </c>
      <c r="J2868" s="12" t="s">
        <v>33</v>
      </c>
      <c r="K2868" s="12" t="s">
        <v>34</v>
      </c>
      <c r="L2868" s="13">
        <v>41.52</v>
      </c>
      <c r="M2868" s="13">
        <v>28</v>
      </c>
      <c r="N2868" s="13">
        <f t="shared" si="729"/>
        <v>1.4828571428571429</v>
      </c>
      <c r="O2868" s="13">
        <v>40</v>
      </c>
      <c r="P2868" s="13" t="s">
        <v>30</v>
      </c>
      <c r="Q2868" s="13">
        <v>0</v>
      </c>
      <c r="R2868" s="70">
        <f>L2868*O2868</f>
        <v>1660.8000000000002</v>
      </c>
      <c r="S2868" s="70">
        <v>0</v>
      </c>
      <c r="T2868" s="70">
        <f t="shared" si="730"/>
        <v>0</v>
      </c>
      <c r="U2868" s="70">
        <f>R2868-T2868</f>
        <v>1660.8000000000002</v>
      </c>
      <c r="V2868" s="70">
        <f t="shared" si="727"/>
        <v>0</v>
      </c>
      <c r="W2868" s="70">
        <f t="shared" si="728"/>
        <v>1660.8000000000002</v>
      </c>
      <c r="X2868" s="70">
        <v>0</v>
      </c>
      <c r="Y2868" s="14">
        <f t="shared" si="719"/>
        <v>0</v>
      </c>
      <c r="Z2868" s="11" t="s">
        <v>26</v>
      </c>
      <c r="AA2868" s="12" t="s">
        <v>31</v>
      </c>
    </row>
    <row r="2869" spans="1:27" x14ac:dyDescent="0.25">
      <c r="A2869" s="10">
        <v>45700</v>
      </c>
      <c r="B2869" s="11" t="s">
        <v>5253</v>
      </c>
      <c r="C2869" s="11" t="s">
        <v>5254</v>
      </c>
      <c r="D2869" s="11">
        <v>17408</v>
      </c>
      <c r="E2869" s="11" t="s">
        <v>483</v>
      </c>
      <c r="F2869" s="11" t="s">
        <v>26</v>
      </c>
      <c r="G2869" s="11" t="s">
        <v>26</v>
      </c>
      <c r="H2869" s="12" t="s">
        <v>4422</v>
      </c>
      <c r="I2869" s="12" t="s">
        <v>27</v>
      </c>
      <c r="J2869" s="12" t="s">
        <v>33</v>
      </c>
      <c r="K2869" s="12" t="s">
        <v>34</v>
      </c>
      <c r="L2869" s="13">
        <v>44.12</v>
      </c>
      <c r="M2869" s="13">
        <v>30</v>
      </c>
      <c r="N2869" s="13">
        <f t="shared" si="729"/>
        <v>1.4706666666666666</v>
      </c>
      <c r="O2869" s="13">
        <v>85</v>
      </c>
      <c r="P2869" s="13" t="s">
        <v>30</v>
      </c>
      <c r="Q2869" s="13">
        <v>0</v>
      </c>
      <c r="R2869" s="70">
        <f>L2869*O2869</f>
        <v>3750.2</v>
      </c>
      <c r="S2869" s="70">
        <v>38</v>
      </c>
      <c r="T2869" s="70">
        <f t="shared" si="730"/>
        <v>1676.56</v>
      </c>
      <c r="U2869" s="70">
        <f t="shared" ref="U2869:U2870" si="731">R2869-T2869</f>
        <v>2073.64</v>
      </c>
      <c r="V2869" s="70">
        <f>U2869*1</f>
        <v>2073.64</v>
      </c>
      <c r="W2869" s="70">
        <f t="shared" si="728"/>
        <v>0</v>
      </c>
      <c r="X2869" s="70">
        <f>L2869*37</f>
        <v>1632.4399999999998</v>
      </c>
      <c r="Y2869" s="71">
        <f>+T2869-X2869</f>
        <v>44.120000000000118</v>
      </c>
      <c r="Z2869" s="12" t="s">
        <v>41</v>
      </c>
      <c r="AA2869" s="12" t="s">
        <v>78</v>
      </c>
    </row>
    <row r="2870" spans="1:27" x14ac:dyDescent="0.25">
      <c r="A2870" s="10">
        <v>45700</v>
      </c>
      <c r="B2870" s="11" t="s">
        <v>635</v>
      </c>
      <c r="C2870" s="11" t="s">
        <v>5255</v>
      </c>
      <c r="D2870" s="11">
        <v>17409</v>
      </c>
      <c r="E2870" s="11" t="s">
        <v>539</v>
      </c>
      <c r="F2870" s="11" t="s">
        <v>26</v>
      </c>
      <c r="G2870" s="11" t="s">
        <v>26</v>
      </c>
      <c r="H2870" s="12" t="s">
        <v>146</v>
      </c>
      <c r="I2870" s="12" t="s">
        <v>27</v>
      </c>
      <c r="J2870" s="12" t="s">
        <v>47</v>
      </c>
      <c r="K2870" s="12" t="s">
        <v>48</v>
      </c>
      <c r="L2870" s="13">
        <v>44.16</v>
      </c>
      <c r="M2870" s="13">
        <v>30</v>
      </c>
      <c r="N2870" s="13">
        <f t="shared" si="729"/>
        <v>1.472</v>
      </c>
      <c r="O2870" s="13">
        <v>91</v>
      </c>
      <c r="P2870" s="13" t="s">
        <v>30</v>
      </c>
      <c r="Q2870" s="13">
        <v>0</v>
      </c>
      <c r="R2870" s="70">
        <f>+L2870*O2870</f>
        <v>4018.5599999999995</v>
      </c>
      <c r="S2870" s="70">
        <v>40</v>
      </c>
      <c r="T2870" s="70">
        <f t="shared" si="730"/>
        <v>1766.3999999999999</v>
      </c>
      <c r="U2870" s="70">
        <f t="shared" si="731"/>
        <v>2252.16</v>
      </c>
      <c r="V2870" s="70">
        <f>U2870*1</f>
        <v>2252.16</v>
      </c>
      <c r="W2870" s="70">
        <f t="shared" si="728"/>
        <v>0</v>
      </c>
      <c r="X2870" s="70">
        <f>L2870*37</f>
        <v>1633.9199999999998</v>
      </c>
      <c r="Y2870" s="71">
        <f>+T2870-X2870</f>
        <v>132.48000000000002</v>
      </c>
      <c r="Z2870" s="12" t="s">
        <v>41</v>
      </c>
      <c r="AA2870" s="12" t="s">
        <v>79</v>
      </c>
    </row>
    <row r="2871" spans="1:27" x14ac:dyDescent="0.25">
      <c r="A2871" s="10">
        <v>45700</v>
      </c>
      <c r="B2871" s="11" t="s">
        <v>5256</v>
      </c>
      <c r="C2871" s="11" t="s">
        <v>5257</v>
      </c>
      <c r="D2871" s="11">
        <v>17410</v>
      </c>
      <c r="E2871" s="11" t="s">
        <v>57</v>
      </c>
      <c r="F2871" s="11" t="s">
        <v>26</v>
      </c>
      <c r="G2871" s="11">
        <v>3302</v>
      </c>
      <c r="H2871" s="12" t="s">
        <v>41</v>
      </c>
      <c r="I2871" s="12" t="s">
        <v>55</v>
      </c>
      <c r="J2871" s="12" t="s">
        <v>566</v>
      </c>
      <c r="K2871" s="12" t="s">
        <v>550</v>
      </c>
      <c r="L2871" s="13">
        <v>40.700000000000003</v>
      </c>
      <c r="M2871" s="13">
        <v>25</v>
      </c>
      <c r="N2871" s="13">
        <f t="shared" si="729"/>
        <v>1.6280000000000001</v>
      </c>
      <c r="O2871" s="13">
        <v>25</v>
      </c>
      <c r="P2871" s="13"/>
      <c r="Q2871" s="13">
        <v>0</v>
      </c>
      <c r="R2871" s="70">
        <f>L2871*O2871</f>
        <v>1017.5000000000001</v>
      </c>
      <c r="S2871" s="70">
        <v>0</v>
      </c>
      <c r="T2871" s="70">
        <f t="shared" si="730"/>
        <v>0</v>
      </c>
      <c r="U2871" s="70">
        <f>R2871-T2871</f>
        <v>1017.5000000000001</v>
      </c>
      <c r="V2871" s="70">
        <f>U2871*0</f>
        <v>0</v>
      </c>
      <c r="W2871" s="70">
        <f>U2871-V2871</f>
        <v>1017.5000000000001</v>
      </c>
      <c r="X2871" s="70">
        <v>0</v>
      </c>
      <c r="Y2871" s="14">
        <f t="shared" ref="Y2871" si="732">T2871-X2871</f>
        <v>0</v>
      </c>
      <c r="Z2871" s="11" t="s">
        <v>26</v>
      </c>
      <c r="AA2871" s="12" t="s">
        <v>31</v>
      </c>
    </row>
    <row r="2872" spans="1:27" x14ac:dyDescent="0.25">
      <c r="A2872" s="10">
        <v>45700</v>
      </c>
      <c r="B2872" s="11" t="s">
        <v>5258</v>
      </c>
      <c r="C2872" s="11" t="s">
        <v>5259</v>
      </c>
      <c r="D2872" s="11">
        <v>17411</v>
      </c>
      <c r="E2872" s="11" t="s">
        <v>246</v>
      </c>
      <c r="F2872" s="11" t="s">
        <v>26</v>
      </c>
      <c r="G2872" s="11" t="s">
        <v>26</v>
      </c>
      <c r="H2872" s="12" t="s">
        <v>4422</v>
      </c>
      <c r="I2872" s="12" t="s">
        <v>27</v>
      </c>
      <c r="J2872" s="12" t="s">
        <v>42</v>
      </c>
      <c r="K2872" s="12" t="s">
        <v>43</v>
      </c>
      <c r="L2872" s="13">
        <v>46.44</v>
      </c>
      <c r="M2872" s="13">
        <v>29</v>
      </c>
      <c r="N2872" s="13">
        <f t="shared" si="729"/>
        <v>1.6013793103448275</v>
      </c>
      <c r="O2872" s="13">
        <v>83</v>
      </c>
      <c r="P2872" s="13" t="s">
        <v>30</v>
      </c>
      <c r="Q2872" s="13">
        <v>0</v>
      </c>
      <c r="R2872" s="70">
        <f>L2872*O2872</f>
        <v>3854.52</v>
      </c>
      <c r="S2872" s="70">
        <v>38</v>
      </c>
      <c r="T2872" s="70">
        <f t="shared" si="730"/>
        <v>1764.7199999999998</v>
      </c>
      <c r="U2872" s="70">
        <f>R2872-T2872</f>
        <v>2089.8000000000002</v>
      </c>
      <c r="V2872" s="70">
        <f>U2872*1</f>
        <v>2089.8000000000002</v>
      </c>
      <c r="W2872" s="70">
        <f>U2872-V2872</f>
        <v>0</v>
      </c>
      <c r="X2872" s="70">
        <f>L2872*37</f>
        <v>1718.28</v>
      </c>
      <c r="Y2872" s="71">
        <f>+T2872-X2872</f>
        <v>46.439999999999827</v>
      </c>
      <c r="Z2872" s="12" t="s">
        <v>41</v>
      </c>
      <c r="AA2872" s="12" t="s">
        <v>78</v>
      </c>
    </row>
    <row r="2873" spans="1:27" x14ac:dyDescent="0.25">
      <c r="A2873" s="10">
        <v>45700</v>
      </c>
      <c r="B2873" s="11" t="s">
        <v>5260</v>
      </c>
      <c r="C2873" s="11" t="s">
        <v>5261</v>
      </c>
      <c r="D2873" s="11">
        <v>17412</v>
      </c>
      <c r="E2873" s="11" t="s">
        <v>568</v>
      </c>
      <c r="F2873" s="11" t="s">
        <v>26</v>
      </c>
      <c r="G2873" s="11">
        <v>112779</v>
      </c>
      <c r="H2873" s="12" t="s">
        <v>4446</v>
      </c>
      <c r="I2873" s="12" t="s">
        <v>27</v>
      </c>
      <c r="J2873" s="12" t="s">
        <v>33</v>
      </c>
      <c r="K2873" s="12" t="s">
        <v>34</v>
      </c>
      <c r="L2873" s="13">
        <v>35.64</v>
      </c>
      <c r="M2873" s="13">
        <v>25</v>
      </c>
      <c r="N2873" s="13">
        <f t="shared" si="729"/>
        <v>1.4256</v>
      </c>
      <c r="O2873" s="13">
        <v>44</v>
      </c>
      <c r="P2873" s="13" t="s">
        <v>30</v>
      </c>
      <c r="Q2873" s="13">
        <v>0</v>
      </c>
      <c r="R2873" s="70">
        <f t="shared" ref="R2873" si="733">+L2873*O2873</f>
        <v>1568.16</v>
      </c>
      <c r="S2873" s="70">
        <v>0</v>
      </c>
      <c r="T2873" s="70">
        <f>+L2873*S2873</f>
        <v>0</v>
      </c>
      <c r="U2873" s="70">
        <f>+R2873-T2873</f>
        <v>1568.16</v>
      </c>
      <c r="V2873" s="70">
        <f>+U2873*1</f>
        <v>1568.16</v>
      </c>
      <c r="W2873" s="70">
        <f>+U2873-V2873</f>
        <v>0</v>
      </c>
      <c r="X2873" s="70">
        <v>0</v>
      </c>
      <c r="Y2873" s="14">
        <f t="shared" ref="Y2873" si="734">T2873-X2873</f>
        <v>0</v>
      </c>
      <c r="Z2873" s="11" t="s">
        <v>26</v>
      </c>
      <c r="AA2873" s="12" t="s">
        <v>31</v>
      </c>
    </row>
    <row r="2874" spans="1:27" x14ac:dyDescent="0.25">
      <c r="A2874" s="10">
        <v>45700</v>
      </c>
      <c r="B2874" s="11" t="s">
        <v>5262</v>
      </c>
      <c r="C2874" s="11" t="s">
        <v>5263</v>
      </c>
      <c r="D2874" s="11">
        <v>17413</v>
      </c>
      <c r="E2874" s="11" t="s">
        <v>435</v>
      </c>
      <c r="F2874" s="11" t="s">
        <v>26</v>
      </c>
      <c r="G2874" s="11" t="s">
        <v>26</v>
      </c>
      <c r="H2874" s="12" t="s">
        <v>4422</v>
      </c>
      <c r="I2874" s="12" t="s">
        <v>27</v>
      </c>
      <c r="J2874" s="12" t="s">
        <v>42</v>
      </c>
      <c r="K2874" s="12" t="s">
        <v>43</v>
      </c>
      <c r="L2874" s="13">
        <v>43.78</v>
      </c>
      <c r="M2874" s="13">
        <v>25</v>
      </c>
      <c r="N2874" s="13">
        <f t="shared" si="729"/>
        <v>1.7512000000000001</v>
      </c>
      <c r="O2874" s="13">
        <v>83</v>
      </c>
      <c r="P2874" s="13" t="s">
        <v>30</v>
      </c>
      <c r="Q2874" s="13">
        <v>0</v>
      </c>
      <c r="R2874" s="70">
        <f>L2874*O2874</f>
        <v>3633.7400000000002</v>
      </c>
      <c r="S2874" s="70">
        <v>38</v>
      </c>
      <c r="T2874" s="70">
        <f>L2874*S2874</f>
        <v>1663.64</v>
      </c>
      <c r="U2874" s="70">
        <f>R2874-T2874</f>
        <v>1970.1000000000001</v>
      </c>
      <c r="V2874" s="70">
        <f>U2874*1</f>
        <v>1970.1000000000001</v>
      </c>
      <c r="W2874" s="70">
        <f>U2874-V2874</f>
        <v>0</v>
      </c>
      <c r="X2874" s="70">
        <f>L2874*37</f>
        <v>1619.8600000000001</v>
      </c>
      <c r="Y2874" s="71">
        <f>+T2874-X2874</f>
        <v>43.779999999999973</v>
      </c>
      <c r="Z2874" s="12" t="s">
        <v>41</v>
      </c>
      <c r="AA2874" s="12" t="s">
        <v>78</v>
      </c>
    </row>
    <row r="2875" spans="1:27" x14ac:dyDescent="0.25">
      <c r="A2875" s="10">
        <v>45700</v>
      </c>
      <c r="B2875" s="11" t="s">
        <v>195</v>
      </c>
      <c r="C2875" s="11" t="s">
        <v>5264</v>
      </c>
      <c r="D2875" s="11">
        <v>17414</v>
      </c>
      <c r="E2875" s="11" t="s">
        <v>2109</v>
      </c>
      <c r="F2875" s="11" t="s">
        <v>26</v>
      </c>
      <c r="G2875" s="11">
        <v>10623</v>
      </c>
      <c r="H2875" s="12" t="s">
        <v>140</v>
      </c>
      <c r="I2875" s="12" t="s">
        <v>27</v>
      </c>
      <c r="J2875" s="12" t="s">
        <v>42</v>
      </c>
      <c r="K2875" s="12" t="s">
        <v>43</v>
      </c>
      <c r="L2875" s="13">
        <v>43.72</v>
      </c>
      <c r="M2875" s="13">
        <v>25</v>
      </c>
      <c r="N2875" s="13">
        <f t="shared" si="729"/>
        <v>1.7487999999999999</v>
      </c>
      <c r="O2875" s="13">
        <v>35</v>
      </c>
      <c r="P2875" s="13"/>
      <c r="Q2875" s="13">
        <v>0</v>
      </c>
      <c r="R2875" s="70">
        <f>+L2875*O2875</f>
        <v>1530.2</v>
      </c>
      <c r="S2875" s="70">
        <v>0</v>
      </c>
      <c r="T2875" s="70">
        <f>+L2875*S2875</f>
        <v>0</v>
      </c>
      <c r="U2875" s="70">
        <f>+R2875-T2875</f>
        <v>1530.2</v>
      </c>
      <c r="V2875" s="70">
        <f t="shared" ref="V2875" si="735">+U2875*0</f>
        <v>0</v>
      </c>
      <c r="W2875" s="70">
        <f>+U2875-V2875</f>
        <v>1530.2</v>
      </c>
      <c r="X2875" s="70">
        <v>0</v>
      </c>
      <c r="Y2875" s="14">
        <f t="shared" ref="Y2875" si="736">T2875-X2875</f>
        <v>0</v>
      </c>
      <c r="Z2875" s="11" t="s">
        <v>26</v>
      </c>
      <c r="AA2875" s="12" t="s">
        <v>31</v>
      </c>
    </row>
    <row r="2876" spans="1:27" x14ac:dyDescent="0.25">
      <c r="A2876" s="10">
        <v>45700</v>
      </c>
      <c r="B2876" s="11" t="s">
        <v>380</v>
      </c>
      <c r="C2876" s="11" t="s">
        <v>5265</v>
      </c>
      <c r="D2876" s="11">
        <v>17415</v>
      </c>
      <c r="E2876" s="11" t="s">
        <v>61</v>
      </c>
      <c r="F2876" s="11" t="s">
        <v>26</v>
      </c>
      <c r="G2876" s="11" t="s">
        <v>35</v>
      </c>
      <c r="H2876" s="12" t="s">
        <v>36</v>
      </c>
      <c r="I2876" s="12" t="s">
        <v>27</v>
      </c>
      <c r="J2876" s="12" t="s">
        <v>42</v>
      </c>
      <c r="K2876" s="12" t="s">
        <v>43</v>
      </c>
      <c r="L2876" s="13">
        <v>10.220000000000001</v>
      </c>
      <c r="M2876" s="13">
        <v>6</v>
      </c>
      <c r="N2876" s="13">
        <f t="shared" si="729"/>
        <v>1.7033333333333334</v>
      </c>
      <c r="O2876" s="13">
        <v>45</v>
      </c>
      <c r="P2876" s="13" t="s">
        <v>30</v>
      </c>
      <c r="Q2876" s="13">
        <v>0</v>
      </c>
      <c r="R2876" s="70">
        <f>(L2876*O2876)-Q2876</f>
        <v>459.90000000000003</v>
      </c>
      <c r="S2876" s="70">
        <v>0</v>
      </c>
      <c r="T2876" s="70">
        <f t="shared" ref="T2876:T2877" si="737">+L2876*S2876</f>
        <v>0</v>
      </c>
      <c r="U2876" s="70">
        <f t="shared" ref="U2876:U2877" si="738">+R2876-T2876</f>
        <v>459.90000000000003</v>
      </c>
      <c r="V2876" s="70">
        <f>+U2876*0</f>
        <v>0</v>
      </c>
      <c r="W2876" s="70">
        <f t="shared" ref="W2876:W2877" si="739">+U2876-V2876</f>
        <v>459.90000000000003</v>
      </c>
      <c r="X2876" s="70">
        <v>0</v>
      </c>
      <c r="Y2876" s="14">
        <f>T2876-X2876</f>
        <v>0</v>
      </c>
      <c r="Z2876" s="11" t="s">
        <v>26</v>
      </c>
      <c r="AA2876" s="12" t="s">
        <v>31</v>
      </c>
    </row>
    <row r="2877" spans="1:27" x14ac:dyDescent="0.25">
      <c r="A2877" s="10">
        <v>45700</v>
      </c>
      <c r="B2877" s="11" t="s">
        <v>4186</v>
      </c>
      <c r="C2877" s="11" t="s">
        <v>5266</v>
      </c>
      <c r="D2877" s="11">
        <v>17416</v>
      </c>
      <c r="E2877" s="11" t="s">
        <v>440</v>
      </c>
      <c r="F2877" s="11" t="s">
        <v>26</v>
      </c>
      <c r="G2877" s="11" t="s">
        <v>35</v>
      </c>
      <c r="H2877" s="12" t="s">
        <v>36</v>
      </c>
      <c r="I2877" s="12" t="s">
        <v>55</v>
      </c>
      <c r="J2877" s="12" t="s">
        <v>55</v>
      </c>
      <c r="K2877" s="12" t="s">
        <v>56</v>
      </c>
      <c r="L2877" s="13">
        <v>35.92</v>
      </c>
      <c r="M2877" s="13">
        <v>25</v>
      </c>
      <c r="N2877" s="13">
        <f t="shared" si="729"/>
        <v>1.4368000000000001</v>
      </c>
      <c r="O2877" s="13">
        <v>20</v>
      </c>
      <c r="P2877" s="13" t="s">
        <v>30</v>
      </c>
      <c r="Q2877" s="13">
        <v>0</v>
      </c>
      <c r="R2877" s="70">
        <f>(L2877*O2877)-Q2877</f>
        <v>718.40000000000009</v>
      </c>
      <c r="S2877" s="70">
        <v>0</v>
      </c>
      <c r="T2877" s="70">
        <f t="shared" si="737"/>
        <v>0</v>
      </c>
      <c r="U2877" s="70">
        <f t="shared" si="738"/>
        <v>718.40000000000009</v>
      </c>
      <c r="V2877" s="70">
        <f t="shared" ref="V2877" si="740">+U2877*0</f>
        <v>0</v>
      </c>
      <c r="W2877" s="70">
        <f t="shared" si="739"/>
        <v>718.40000000000009</v>
      </c>
      <c r="X2877" s="70">
        <v>0</v>
      </c>
      <c r="Y2877" s="14">
        <f t="shared" ref="Y2877:Y2916" si="741">T2877-X2877</f>
        <v>0</v>
      </c>
      <c r="Z2877" s="11" t="s">
        <v>26</v>
      </c>
      <c r="AA2877" s="12" t="s">
        <v>31</v>
      </c>
    </row>
    <row r="2878" spans="1:27" x14ac:dyDescent="0.25">
      <c r="A2878" s="10">
        <v>45700</v>
      </c>
      <c r="B2878" s="11" t="s">
        <v>5267</v>
      </c>
      <c r="C2878" s="11" t="s">
        <v>5268</v>
      </c>
      <c r="D2878" s="11">
        <v>17417</v>
      </c>
      <c r="E2878" s="11" t="s">
        <v>81</v>
      </c>
      <c r="F2878" s="11" t="s">
        <v>26</v>
      </c>
      <c r="G2878" s="11">
        <v>1214</v>
      </c>
      <c r="H2878" s="12" t="s">
        <v>141</v>
      </c>
      <c r="I2878" s="12" t="s">
        <v>27</v>
      </c>
      <c r="J2878" s="12" t="s">
        <v>33</v>
      </c>
      <c r="K2878" s="12" t="s">
        <v>34</v>
      </c>
      <c r="L2878" s="13">
        <v>40.5</v>
      </c>
      <c r="M2878" s="13">
        <v>28</v>
      </c>
      <c r="N2878" s="13">
        <f t="shared" si="729"/>
        <v>1.4464285714285714</v>
      </c>
      <c r="O2878" s="13">
        <v>40</v>
      </c>
      <c r="P2878" s="13" t="s">
        <v>30</v>
      </c>
      <c r="Q2878" s="13">
        <v>0</v>
      </c>
      <c r="R2878" s="70">
        <f>L2878*O2878</f>
        <v>1620</v>
      </c>
      <c r="S2878" s="70">
        <v>0</v>
      </c>
      <c r="T2878" s="70">
        <f>L2878*S2878</f>
        <v>0</v>
      </c>
      <c r="U2878" s="70">
        <f>R2878-T2878</f>
        <v>1620</v>
      </c>
      <c r="V2878" s="70">
        <f>U2878*0</f>
        <v>0</v>
      </c>
      <c r="W2878" s="70">
        <f>U2878-V2878</f>
        <v>1620</v>
      </c>
      <c r="X2878" s="70">
        <v>0</v>
      </c>
      <c r="Y2878" s="14">
        <f t="shared" si="741"/>
        <v>0</v>
      </c>
      <c r="Z2878" s="11" t="s">
        <v>26</v>
      </c>
      <c r="AA2878" s="12" t="s">
        <v>31</v>
      </c>
    </row>
    <row r="2879" spans="1:27" x14ac:dyDescent="0.25">
      <c r="A2879" s="10">
        <v>45700</v>
      </c>
      <c r="B2879" s="11" t="s">
        <v>5269</v>
      </c>
      <c r="C2879" s="11" t="s">
        <v>5270</v>
      </c>
      <c r="D2879" s="11">
        <v>17418</v>
      </c>
      <c r="E2879" s="11" t="s">
        <v>40</v>
      </c>
      <c r="F2879" s="11" t="s">
        <v>26</v>
      </c>
      <c r="G2879" s="11">
        <v>3267</v>
      </c>
      <c r="H2879" s="12" t="s">
        <v>41</v>
      </c>
      <c r="I2879" s="12" t="s">
        <v>55</v>
      </c>
      <c r="J2879" s="12" t="s">
        <v>55</v>
      </c>
      <c r="K2879" s="12" t="s">
        <v>56</v>
      </c>
      <c r="L2879" s="13">
        <v>38.18</v>
      </c>
      <c r="M2879" s="13">
        <v>22</v>
      </c>
      <c r="N2879" s="13">
        <f t="shared" si="729"/>
        <v>1.7354545454545454</v>
      </c>
      <c r="O2879" s="13" t="s">
        <v>30</v>
      </c>
      <c r="P2879" s="13">
        <v>24</v>
      </c>
      <c r="Q2879" s="13">
        <v>0</v>
      </c>
      <c r="R2879" s="70">
        <f>+M2879*P2879</f>
        <v>528</v>
      </c>
      <c r="S2879" s="70">
        <v>0</v>
      </c>
      <c r="T2879" s="70">
        <f>+M2879*S2879</f>
        <v>0</v>
      </c>
      <c r="U2879" s="70">
        <f t="shared" ref="U2879" si="742">+R2879-T2879</f>
        <v>528</v>
      </c>
      <c r="V2879" s="70">
        <f>+U2879*0</f>
        <v>0</v>
      </c>
      <c r="W2879" s="70">
        <f t="shared" ref="W2879" si="743">+U2879-V2879</f>
        <v>528</v>
      </c>
      <c r="X2879" s="70">
        <v>0</v>
      </c>
      <c r="Y2879" s="14">
        <f t="shared" si="741"/>
        <v>0</v>
      </c>
      <c r="Z2879" s="11" t="s">
        <v>26</v>
      </c>
      <c r="AA2879" s="12" t="s">
        <v>31</v>
      </c>
    </row>
    <row r="2880" spans="1:27" x14ac:dyDescent="0.25">
      <c r="A2880" s="10">
        <v>45700</v>
      </c>
      <c r="B2880" s="11" t="s">
        <v>5271</v>
      </c>
      <c r="C2880" s="11" t="s">
        <v>5272</v>
      </c>
      <c r="D2880" s="11">
        <v>17419</v>
      </c>
      <c r="E2880" s="11" t="s">
        <v>496</v>
      </c>
      <c r="F2880" s="11" t="s">
        <v>26</v>
      </c>
      <c r="G2880" s="11">
        <v>78955</v>
      </c>
      <c r="H2880" s="12" t="s">
        <v>4448</v>
      </c>
      <c r="I2880" s="12" t="s">
        <v>27</v>
      </c>
      <c r="J2880" s="12" t="s">
        <v>47</v>
      </c>
      <c r="K2880" s="12" t="s">
        <v>48</v>
      </c>
      <c r="L2880" s="13">
        <v>38.700000000000003</v>
      </c>
      <c r="M2880" s="13">
        <v>25</v>
      </c>
      <c r="N2880" s="13">
        <f t="shared" si="729"/>
        <v>1.548</v>
      </c>
      <c r="O2880" s="13">
        <v>46.66</v>
      </c>
      <c r="P2880" s="13" t="s">
        <v>30</v>
      </c>
      <c r="Q2880" s="13">
        <v>0</v>
      </c>
      <c r="R2880" s="70">
        <f>+L2880*O2880</f>
        <v>1805.742</v>
      </c>
      <c r="S2880" s="70">
        <v>0</v>
      </c>
      <c r="T2880" s="70">
        <f>+L2880*S2880</f>
        <v>0</v>
      </c>
      <c r="U2880" s="70">
        <f>+R2880-T2880</f>
        <v>1805.742</v>
      </c>
      <c r="V2880" s="70">
        <f>+U2880*0.75</f>
        <v>1354.3064999999999</v>
      </c>
      <c r="W2880" s="70">
        <f>+U2880-V2880</f>
        <v>451.43550000000005</v>
      </c>
      <c r="X2880" s="70">
        <v>0</v>
      </c>
      <c r="Y2880" s="14">
        <f t="shared" si="741"/>
        <v>0</v>
      </c>
      <c r="Z2880" s="11" t="s">
        <v>26</v>
      </c>
      <c r="AA2880" s="12" t="s">
        <v>31</v>
      </c>
    </row>
    <row r="2881" spans="1:27" x14ac:dyDescent="0.25">
      <c r="A2881" s="10">
        <v>45700</v>
      </c>
      <c r="B2881" s="11" t="s">
        <v>5273</v>
      </c>
      <c r="C2881" s="11" t="s">
        <v>5274</v>
      </c>
      <c r="D2881" s="11">
        <v>17420</v>
      </c>
      <c r="E2881" s="11" t="s">
        <v>230</v>
      </c>
      <c r="F2881" s="11" t="s">
        <v>26</v>
      </c>
      <c r="G2881" s="11">
        <v>26208</v>
      </c>
      <c r="H2881" s="12" t="s">
        <v>565</v>
      </c>
      <c r="I2881" s="12" t="s">
        <v>55</v>
      </c>
      <c r="J2881" s="12" t="s">
        <v>566</v>
      </c>
      <c r="K2881" s="12" t="s">
        <v>550</v>
      </c>
      <c r="L2881" s="13">
        <v>41.5</v>
      </c>
      <c r="M2881" s="13">
        <v>25</v>
      </c>
      <c r="N2881" s="13">
        <f t="shared" si="729"/>
        <v>1.66</v>
      </c>
      <c r="O2881" s="13">
        <v>25</v>
      </c>
      <c r="P2881" s="13" t="s">
        <v>30</v>
      </c>
      <c r="Q2881" s="13">
        <v>0</v>
      </c>
      <c r="R2881" s="70">
        <f t="shared" ref="R2881" si="744">L2881*O2881</f>
        <v>1037.5</v>
      </c>
      <c r="S2881" s="70">
        <v>0</v>
      </c>
      <c r="T2881" s="70">
        <f t="shared" ref="T2881" si="745">L2881*S2881</f>
        <v>0</v>
      </c>
      <c r="U2881" s="70">
        <f t="shared" ref="U2881" si="746">R2881-T2881</f>
        <v>1037.5</v>
      </c>
      <c r="V2881" s="70">
        <f>U2881*0</f>
        <v>0</v>
      </c>
      <c r="W2881" s="70">
        <f t="shared" ref="W2881" si="747">U2881-V2881</f>
        <v>1037.5</v>
      </c>
      <c r="X2881" s="70">
        <v>0</v>
      </c>
      <c r="Y2881" s="14">
        <f t="shared" si="741"/>
        <v>0</v>
      </c>
      <c r="Z2881" s="11" t="s">
        <v>26</v>
      </c>
      <c r="AA2881" s="12" t="s">
        <v>31</v>
      </c>
    </row>
    <row r="2882" spans="1:27" x14ac:dyDescent="0.25">
      <c r="A2882" s="10">
        <v>45700</v>
      </c>
      <c r="B2882" s="11" t="s">
        <v>5275</v>
      </c>
      <c r="C2882" s="11" t="s">
        <v>5276</v>
      </c>
      <c r="D2882" s="11">
        <v>17421</v>
      </c>
      <c r="E2882" s="11" t="s">
        <v>1200</v>
      </c>
      <c r="F2882" s="11" t="s">
        <v>26</v>
      </c>
      <c r="G2882" s="11">
        <v>2964</v>
      </c>
      <c r="H2882" s="12" t="s">
        <v>163</v>
      </c>
      <c r="I2882" s="12" t="s">
        <v>55</v>
      </c>
      <c r="J2882" s="12" t="s">
        <v>566</v>
      </c>
      <c r="K2882" s="12" t="s">
        <v>550</v>
      </c>
      <c r="L2882" s="13">
        <v>42.36</v>
      </c>
      <c r="M2882" s="13">
        <v>25</v>
      </c>
      <c r="N2882" s="13">
        <f t="shared" si="729"/>
        <v>1.6943999999999999</v>
      </c>
      <c r="O2882" s="13">
        <v>25</v>
      </c>
      <c r="P2882" s="13"/>
      <c r="Q2882" s="13">
        <v>0</v>
      </c>
      <c r="R2882" s="70">
        <f>L2882*O2882</f>
        <v>1059</v>
      </c>
      <c r="S2882" s="70">
        <v>0</v>
      </c>
      <c r="T2882" s="70">
        <f>L2882*S2882</f>
        <v>0</v>
      </c>
      <c r="U2882" s="70">
        <f>R2882-T2882</f>
        <v>1059</v>
      </c>
      <c r="V2882" s="70">
        <f>U2882*0</f>
        <v>0</v>
      </c>
      <c r="W2882" s="70">
        <f>U2882-V2882</f>
        <v>1059</v>
      </c>
      <c r="X2882" s="70">
        <v>0</v>
      </c>
      <c r="Y2882" s="14">
        <f t="shared" si="741"/>
        <v>0</v>
      </c>
      <c r="Z2882" s="11" t="s">
        <v>26</v>
      </c>
      <c r="AA2882" s="12" t="s">
        <v>31</v>
      </c>
    </row>
    <row r="2883" spans="1:27" x14ac:dyDescent="0.25">
      <c r="A2883" s="10">
        <v>45700</v>
      </c>
      <c r="B2883" s="11" t="s">
        <v>5277</v>
      </c>
      <c r="C2883" s="11" t="s">
        <v>5278</v>
      </c>
      <c r="D2883" s="11">
        <v>17422</v>
      </c>
      <c r="E2883" s="11" t="s">
        <v>63</v>
      </c>
      <c r="F2883" s="11" t="s">
        <v>26</v>
      </c>
      <c r="G2883" s="11">
        <v>10190</v>
      </c>
      <c r="H2883" s="12" t="s">
        <v>140</v>
      </c>
      <c r="I2883" s="12" t="s">
        <v>27</v>
      </c>
      <c r="J2883" s="12" t="s">
        <v>42</v>
      </c>
      <c r="K2883" s="12" t="s">
        <v>43</v>
      </c>
      <c r="L2883" s="13">
        <v>41.46</v>
      </c>
      <c r="M2883" s="13">
        <v>25</v>
      </c>
      <c r="N2883" s="13">
        <f t="shared" si="729"/>
        <v>1.6584000000000001</v>
      </c>
      <c r="O2883" s="13">
        <v>35</v>
      </c>
      <c r="P2883" s="13"/>
      <c r="Q2883" s="13">
        <v>0</v>
      </c>
      <c r="R2883" s="70">
        <f>+L2883*O2883</f>
        <v>1451.1000000000001</v>
      </c>
      <c r="S2883" s="70">
        <v>0</v>
      </c>
      <c r="T2883" s="70">
        <f>+L2883*S2883</f>
        <v>0</v>
      </c>
      <c r="U2883" s="70">
        <f>+R2883-T2883</f>
        <v>1451.1000000000001</v>
      </c>
      <c r="V2883" s="70">
        <f t="shared" ref="V2883" si="748">+U2883*0</f>
        <v>0</v>
      </c>
      <c r="W2883" s="70">
        <f>+U2883-V2883</f>
        <v>1451.1000000000001</v>
      </c>
      <c r="X2883" s="70">
        <v>0</v>
      </c>
      <c r="Y2883" s="14">
        <f t="shared" si="741"/>
        <v>0</v>
      </c>
      <c r="Z2883" s="11" t="s">
        <v>26</v>
      </c>
      <c r="AA2883" s="12" t="s">
        <v>31</v>
      </c>
    </row>
    <row r="2884" spans="1:27" x14ac:dyDescent="0.25">
      <c r="A2884" s="10">
        <v>45700</v>
      </c>
      <c r="B2884" s="11" t="s">
        <v>5279</v>
      </c>
      <c r="C2884" s="11" t="s">
        <v>5280</v>
      </c>
      <c r="D2884" s="11">
        <v>17423</v>
      </c>
      <c r="E2884" s="11" t="s">
        <v>240</v>
      </c>
      <c r="F2884" s="11" t="s">
        <v>26</v>
      </c>
      <c r="G2884" s="11">
        <v>3001</v>
      </c>
      <c r="H2884" s="12" t="s">
        <v>41</v>
      </c>
      <c r="I2884" s="12" t="s">
        <v>55</v>
      </c>
      <c r="J2884" s="12" t="s">
        <v>55</v>
      </c>
      <c r="K2884" s="12" t="s">
        <v>56</v>
      </c>
      <c r="L2884" s="13">
        <v>37.6</v>
      </c>
      <c r="M2884" s="13">
        <v>22</v>
      </c>
      <c r="N2884" s="13">
        <f t="shared" si="729"/>
        <v>1.7090909090909092</v>
      </c>
      <c r="O2884" s="13" t="s">
        <v>30</v>
      </c>
      <c r="P2884" s="13">
        <v>24</v>
      </c>
      <c r="Q2884" s="13">
        <v>0</v>
      </c>
      <c r="R2884" s="70">
        <f>+M2884*P2884</f>
        <v>528</v>
      </c>
      <c r="S2884" s="70">
        <v>0</v>
      </c>
      <c r="T2884" s="70">
        <f>+M2884*S2884</f>
        <v>0</v>
      </c>
      <c r="U2884" s="70">
        <f t="shared" ref="U2884:U2885" si="749">+R2884-T2884</f>
        <v>528</v>
      </c>
      <c r="V2884" s="70">
        <f>+U2884*0</f>
        <v>0</v>
      </c>
      <c r="W2884" s="70">
        <f t="shared" ref="W2884:W2885" si="750">+U2884-V2884</f>
        <v>528</v>
      </c>
      <c r="X2884" s="70">
        <v>0</v>
      </c>
      <c r="Y2884" s="14">
        <f t="shared" si="741"/>
        <v>0</v>
      </c>
      <c r="Z2884" s="11" t="s">
        <v>26</v>
      </c>
      <c r="AA2884" s="12" t="s">
        <v>31</v>
      </c>
    </row>
    <row r="2885" spans="1:27" x14ac:dyDescent="0.25">
      <c r="A2885" s="10">
        <v>45700</v>
      </c>
      <c r="B2885" s="11" t="s">
        <v>5281</v>
      </c>
      <c r="C2885" s="11" t="s">
        <v>5282</v>
      </c>
      <c r="D2885" s="11">
        <v>17424</v>
      </c>
      <c r="E2885" s="11" t="s">
        <v>483</v>
      </c>
      <c r="F2885" s="11" t="s">
        <v>26</v>
      </c>
      <c r="G2885" s="11">
        <v>3598</v>
      </c>
      <c r="H2885" s="12" t="s">
        <v>41</v>
      </c>
      <c r="I2885" s="12" t="s">
        <v>55</v>
      </c>
      <c r="J2885" s="12" t="s">
        <v>55</v>
      </c>
      <c r="K2885" s="12" t="s">
        <v>56</v>
      </c>
      <c r="L2885" s="13">
        <v>38.72</v>
      </c>
      <c r="M2885" s="13">
        <v>22</v>
      </c>
      <c r="N2885" s="13">
        <f t="shared" si="729"/>
        <v>1.76</v>
      </c>
      <c r="O2885" s="13" t="s">
        <v>30</v>
      </c>
      <c r="P2885" s="13">
        <v>24</v>
      </c>
      <c r="Q2885" s="13">
        <v>0</v>
      </c>
      <c r="R2885" s="70">
        <f>+M2885*P2885</f>
        <v>528</v>
      </c>
      <c r="S2885" s="70">
        <v>0</v>
      </c>
      <c r="T2885" s="70">
        <f>+M2885*S2885</f>
        <v>0</v>
      </c>
      <c r="U2885" s="70">
        <f t="shared" si="749"/>
        <v>528</v>
      </c>
      <c r="V2885" s="70">
        <f>+U2885*0</f>
        <v>0</v>
      </c>
      <c r="W2885" s="70">
        <f t="shared" si="750"/>
        <v>528</v>
      </c>
      <c r="X2885" s="70">
        <v>0</v>
      </c>
      <c r="Y2885" s="14">
        <f t="shared" si="741"/>
        <v>0</v>
      </c>
      <c r="Z2885" s="11" t="s">
        <v>26</v>
      </c>
      <c r="AA2885" s="12" t="s">
        <v>31</v>
      </c>
    </row>
    <row r="2886" spans="1:27" x14ac:dyDescent="0.25">
      <c r="A2886" s="10">
        <v>45700</v>
      </c>
      <c r="B2886" s="11" t="s">
        <v>1101</v>
      </c>
      <c r="C2886" s="11" t="s">
        <v>5283</v>
      </c>
      <c r="D2886" s="11">
        <v>17425</v>
      </c>
      <c r="E2886" s="11" t="s">
        <v>461</v>
      </c>
      <c r="F2886" s="11" t="s">
        <v>26</v>
      </c>
      <c r="G2886" s="11">
        <v>130</v>
      </c>
      <c r="H2886" s="12" t="s">
        <v>4444</v>
      </c>
      <c r="I2886" s="12" t="s">
        <v>37</v>
      </c>
      <c r="J2886" s="12" t="s">
        <v>85</v>
      </c>
      <c r="K2886" s="12" t="s">
        <v>86</v>
      </c>
      <c r="L2886" s="13">
        <v>31.76</v>
      </c>
      <c r="M2886" s="13">
        <v>20</v>
      </c>
      <c r="N2886" s="13">
        <f t="shared" si="729"/>
        <v>1.5880000000000001</v>
      </c>
      <c r="O2886" s="13">
        <v>30</v>
      </c>
      <c r="P2886" s="13" t="s">
        <v>30</v>
      </c>
      <c r="Q2886" s="13">
        <v>0</v>
      </c>
      <c r="R2886" s="70">
        <f>L2886*O2886</f>
        <v>952.80000000000007</v>
      </c>
      <c r="S2886" s="70">
        <v>0</v>
      </c>
      <c r="T2886" s="70">
        <f>L2886*S2886</f>
        <v>0</v>
      </c>
      <c r="U2886" s="70">
        <f>R2886-T2886</f>
        <v>952.80000000000007</v>
      </c>
      <c r="V2886" s="70">
        <f>U2886*0</f>
        <v>0</v>
      </c>
      <c r="W2886" s="70">
        <f>U2886-V2886</f>
        <v>952.80000000000007</v>
      </c>
      <c r="X2886" s="70">
        <v>0</v>
      </c>
      <c r="Y2886" s="14">
        <f t="shared" si="741"/>
        <v>0</v>
      </c>
      <c r="Z2886" s="11" t="s">
        <v>26</v>
      </c>
      <c r="AA2886" s="12" t="s">
        <v>31</v>
      </c>
    </row>
    <row r="2887" spans="1:27" x14ac:dyDescent="0.25">
      <c r="A2887" s="10">
        <v>45700</v>
      </c>
      <c r="B2887" s="11" t="s">
        <v>5284</v>
      </c>
      <c r="C2887" s="11" t="s">
        <v>5285</v>
      </c>
      <c r="D2887" s="11">
        <v>17426</v>
      </c>
      <c r="E2887" s="11" t="s">
        <v>544</v>
      </c>
      <c r="F2887" s="11" t="s">
        <v>26</v>
      </c>
      <c r="G2887" s="11">
        <v>70194</v>
      </c>
      <c r="H2887" s="12" t="s">
        <v>4448</v>
      </c>
      <c r="I2887" s="12" t="s">
        <v>27</v>
      </c>
      <c r="J2887" s="12" t="s">
        <v>42</v>
      </c>
      <c r="K2887" s="12" t="s">
        <v>43</v>
      </c>
      <c r="L2887" s="13">
        <v>44.42</v>
      </c>
      <c r="M2887" s="13">
        <v>25</v>
      </c>
      <c r="N2887" s="13">
        <f t="shared" si="729"/>
        <v>1.7768000000000002</v>
      </c>
      <c r="O2887" s="13">
        <v>42.5</v>
      </c>
      <c r="P2887" s="13"/>
      <c r="Q2887" s="13">
        <v>0</v>
      </c>
      <c r="R2887" s="70">
        <f>+L2887*O2887</f>
        <v>1887.8500000000001</v>
      </c>
      <c r="S2887" s="70">
        <v>0</v>
      </c>
      <c r="T2887" s="70">
        <f>+L2887*S2887</f>
        <v>0</v>
      </c>
      <c r="U2887" s="70">
        <f>+R2887-T2887</f>
        <v>1887.8500000000001</v>
      </c>
      <c r="V2887" s="70">
        <f>+U2887*0.75</f>
        <v>1415.8875</v>
      </c>
      <c r="W2887" s="70">
        <f>+U2887-V2887</f>
        <v>471.96250000000009</v>
      </c>
      <c r="X2887" s="70">
        <v>0</v>
      </c>
      <c r="Y2887" s="14">
        <f t="shared" si="741"/>
        <v>0</v>
      </c>
      <c r="Z2887" s="11" t="s">
        <v>26</v>
      </c>
      <c r="AA2887" s="12" t="s">
        <v>31</v>
      </c>
    </row>
    <row r="2888" spans="1:27" x14ac:dyDescent="0.25">
      <c r="A2888" s="10">
        <v>45700</v>
      </c>
      <c r="B2888" s="11" t="s">
        <v>660</v>
      </c>
      <c r="C2888" s="11" t="s">
        <v>5286</v>
      </c>
      <c r="D2888" s="11">
        <v>17427</v>
      </c>
      <c r="E2888" s="11" t="s">
        <v>4595</v>
      </c>
      <c r="F2888" s="11" t="s">
        <v>26</v>
      </c>
      <c r="G2888" s="11">
        <v>78351</v>
      </c>
      <c r="H2888" s="12" t="s">
        <v>4448</v>
      </c>
      <c r="I2888" s="12" t="s">
        <v>27</v>
      </c>
      <c r="J2888" s="12" t="s">
        <v>42</v>
      </c>
      <c r="K2888" s="12" t="s">
        <v>43</v>
      </c>
      <c r="L2888" s="13">
        <v>44.1</v>
      </c>
      <c r="M2888" s="13">
        <v>25</v>
      </c>
      <c r="N2888" s="13">
        <f t="shared" si="729"/>
        <v>1.764</v>
      </c>
      <c r="O2888" s="13">
        <v>42.5</v>
      </c>
      <c r="P2888" s="13"/>
      <c r="Q2888" s="13">
        <v>0</v>
      </c>
      <c r="R2888" s="70">
        <f>+L2888*O2888</f>
        <v>1874.25</v>
      </c>
      <c r="S2888" s="70">
        <v>0</v>
      </c>
      <c r="T2888" s="70">
        <f>+L2888*S2888</f>
        <v>0</v>
      </c>
      <c r="U2888" s="70">
        <f>+R2888-T2888</f>
        <v>1874.25</v>
      </c>
      <c r="V2888" s="70">
        <f>+U2888*0.75</f>
        <v>1405.6875</v>
      </c>
      <c r="W2888" s="70">
        <f>+U2888-V2888</f>
        <v>468.5625</v>
      </c>
      <c r="X2888" s="70">
        <v>0</v>
      </c>
      <c r="Y2888" s="14">
        <f t="shared" si="741"/>
        <v>0</v>
      </c>
      <c r="Z2888" s="11" t="s">
        <v>26</v>
      </c>
      <c r="AA2888" s="12" t="s">
        <v>31</v>
      </c>
    </row>
    <row r="2889" spans="1:27" x14ac:dyDescent="0.25">
      <c r="A2889" s="10">
        <v>45700</v>
      </c>
      <c r="B2889" s="11" t="s">
        <v>5287</v>
      </c>
      <c r="C2889" s="11" t="s">
        <v>5288</v>
      </c>
      <c r="D2889" s="11">
        <v>17428</v>
      </c>
      <c r="E2889" s="11" t="s">
        <v>203</v>
      </c>
      <c r="F2889" s="11" t="s">
        <v>26</v>
      </c>
      <c r="G2889" s="11" t="s">
        <v>35</v>
      </c>
      <c r="H2889" s="12" t="s">
        <v>36</v>
      </c>
      <c r="I2889" s="12" t="s">
        <v>55</v>
      </c>
      <c r="J2889" s="12" t="s">
        <v>55</v>
      </c>
      <c r="K2889" s="12" t="s">
        <v>56</v>
      </c>
      <c r="L2889" s="13">
        <v>12.26</v>
      </c>
      <c r="M2889" s="13">
        <v>7</v>
      </c>
      <c r="N2889" s="13">
        <f t="shared" si="729"/>
        <v>1.7514285714285713</v>
      </c>
      <c r="O2889" s="13">
        <v>20</v>
      </c>
      <c r="P2889" s="13" t="s">
        <v>30</v>
      </c>
      <c r="Q2889" s="13">
        <v>0</v>
      </c>
      <c r="R2889" s="70">
        <f>(L2889*O2889)-Q2889</f>
        <v>245.2</v>
      </c>
      <c r="S2889" s="70">
        <v>0</v>
      </c>
      <c r="T2889" s="70">
        <f t="shared" ref="T2889" si="751">+L2889*S2889</f>
        <v>0</v>
      </c>
      <c r="U2889" s="70">
        <f t="shared" ref="U2889" si="752">+R2889-T2889</f>
        <v>245.2</v>
      </c>
      <c r="V2889" s="70">
        <f t="shared" ref="V2889" si="753">+U2889*0</f>
        <v>0</v>
      </c>
      <c r="W2889" s="70">
        <f t="shared" ref="W2889" si="754">+U2889-V2889</f>
        <v>245.2</v>
      </c>
      <c r="X2889" s="70">
        <v>0</v>
      </c>
      <c r="Y2889" s="14">
        <f t="shared" si="741"/>
        <v>0</v>
      </c>
      <c r="Z2889" s="11" t="s">
        <v>26</v>
      </c>
      <c r="AA2889" s="12" t="s">
        <v>31</v>
      </c>
    </row>
    <row r="2890" spans="1:27" x14ac:dyDescent="0.25">
      <c r="A2890" s="10">
        <v>45700</v>
      </c>
      <c r="B2890" s="11" t="s">
        <v>5289</v>
      </c>
      <c r="C2890" s="11" t="s">
        <v>5290</v>
      </c>
      <c r="D2890" s="11">
        <v>17429</v>
      </c>
      <c r="E2890" s="11" t="s">
        <v>501</v>
      </c>
      <c r="F2890" s="11" t="s">
        <v>26</v>
      </c>
      <c r="G2890" s="11">
        <v>821</v>
      </c>
      <c r="H2890" s="12" t="s">
        <v>141</v>
      </c>
      <c r="I2890" s="12" t="s">
        <v>27</v>
      </c>
      <c r="J2890" s="12" t="s">
        <v>33</v>
      </c>
      <c r="K2890" s="12" t="s">
        <v>34</v>
      </c>
      <c r="L2890" s="13">
        <v>43.4</v>
      </c>
      <c r="M2890" s="13">
        <v>30</v>
      </c>
      <c r="N2890" s="13">
        <f t="shared" si="729"/>
        <v>1.4466666666666665</v>
      </c>
      <c r="O2890" s="13">
        <v>40</v>
      </c>
      <c r="P2890" s="13" t="s">
        <v>30</v>
      </c>
      <c r="Q2890" s="13">
        <v>0</v>
      </c>
      <c r="R2890" s="70">
        <f>L2890*O2890</f>
        <v>1736</v>
      </c>
      <c r="S2890" s="70">
        <v>0</v>
      </c>
      <c r="T2890" s="70">
        <f>L2890*S2890</f>
        <v>0</v>
      </c>
      <c r="U2890" s="70">
        <f>R2890-T2890</f>
        <v>1736</v>
      </c>
      <c r="V2890" s="70">
        <f>U2890*0</f>
        <v>0</v>
      </c>
      <c r="W2890" s="70">
        <f>U2890-V2890</f>
        <v>1736</v>
      </c>
      <c r="X2890" s="70">
        <v>0</v>
      </c>
      <c r="Y2890" s="14">
        <f t="shared" si="741"/>
        <v>0</v>
      </c>
      <c r="Z2890" s="11" t="s">
        <v>26</v>
      </c>
      <c r="AA2890" s="12" t="s">
        <v>31</v>
      </c>
    </row>
    <row r="2891" spans="1:27" x14ac:dyDescent="0.25">
      <c r="A2891" s="10">
        <v>45700</v>
      </c>
      <c r="B2891" s="11" t="s">
        <v>5291</v>
      </c>
      <c r="C2891" s="11" t="s">
        <v>5292</v>
      </c>
      <c r="D2891" s="11">
        <v>17430</v>
      </c>
      <c r="E2891" s="11" t="s">
        <v>54</v>
      </c>
      <c r="F2891" s="11" t="s">
        <v>26</v>
      </c>
      <c r="G2891" s="11">
        <v>112786</v>
      </c>
      <c r="H2891" s="12" t="s">
        <v>4446</v>
      </c>
      <c r="I2891" s="12" t="s">
        <v>27</v>
      </c>
      <c r="J2891" s="12" t="s">
        <v>42</v>
      </c>
      <c r="K2891" s="12" t="s">
        <v>43</v>
      </c>
      <c r="L2891" s="13">
        <v>37.020000000000003</v>
      </c>
      <c r="M2891" s="13">
        <v>25</v>
      </c>
      <c r="N2891" s="13">
        <f t="shared" si="729"/>
        <v>1.4808000000000001</v>
      </c>
      <c r="O2891" s="13">
        <v>42</v>
      </c>
      <c r="P2891" s="13" t="s">
        <v>30</v>
      </c>
      <c r="Q2891" s="13">
        <v>0</v>
      </c>
      <c r="R2891" s="70">
        <f t="shared" ref="R2891" si="755">+L2891*O2891</f>
        <v>1554.8400000000001</v>
      </c>
      <c r="S2891" s="70">
        <v>0</v>
      </c>
      <c r="T2891" s="70">
        <f>+L2891*S2891</f>
        <v>0</v>
      </c>
      <c r="U2891" s="70">
        <f t="shared" ref="U2891" si="756">+R2891-T2891</f>
        <v>1554.8400000000001</v>
      </c>
      <c r="V2891" s="70">
        <f>+U2891*1</f>
        <v>1554.8400000000001</v>
      </c>
      <c r="W2891" s="70">
        <f t="shared" ref="W2891" si="757">+U2891-V2891</f>
        <v>0</v>
      </c>
      <c r="X2891" s="70">
        <v>0</v>
      </c>
      <c r="Y2891" s="14">
        <f t="shared" si="741"/>
        <v>0</v>
      </c>
      <c r="Z2891" s="11" t="s">
        <v>26</v>
      </c>
      <c r="AA2891" s="12" t="s">
        <v>31</v>
      </c>
    </row>
    <row r="2892" spans="1:27" x14ac:dyDescent="0.25">
      <c r="A2892" s="10">
        <v>45700</v>
      </c>
      <c r="B2892" s="11" t="s">
        <v>1136</v>
      </c>
      <c r="C2892" s="11" t="s">
        <v>5293</v>
      </c>
      <c r="D2892" s="11">
        <v>17431</v>
      </c>
      <c r="E2892" s="11" t="s">
        <v>49</v>
      </c>
      <c r="F2892" s="11" t="s">
        <v>26</v>
      </c>
      <c r="G2892" s="11">
        <v>1599</v>
      </c>
      <c r="H2892" s="12" t="s">
        <v>45</v>
      </c>
      <c r="I2892" s="12" t="s">
        <v>27</v>
      </c>
      <c r="J2892" s="12" t="s">
        <v>42</v>
      </c>
      <c r="K2892" s="12" t="s">
        <v>43</v>
      </c>
      <c r="L2892" s="13">
        <v>43.28</v>
      </c>
      <c r="M2892" s="13">
        <v>25</v>
      </c>
      <c r="N2892" s="13">
        <f t="shared" si="729"/>
        <v>1.7312000000000001</v>
      </c>
      <c r="O2892" s="13" t="s">
        <v>30</v>
      </c>
      <c r="P2892" s="13">
        <v>62</v>
      </c>
      <c r="Q2892" s="13">
        <v>0</v>
      </c>
      <c r="R2892" s="70">
        <f>M2892*P2892</f>
        <v>1550</v>
      </c>
      <c r="S2892" s="70">
        <v>0</v>
      </c>
      <c r="T2892" s="70">
        <f>M2892*S2892</f>
        <v>0</v>
      </c>
      <c r="U2892" s="70">
        <f>R2892-T2892</f>
        <v>1550</v>
      </c>
      <c r="V2892" s="70">
        <f>U2892*0</f>
        <v>0</v>
      </c>
      <c r="W2892" s="70">
        <f>U2892-V2892</f>
        <v>1550</v>
      </c>
      <c r="X2892" s="70">
        <v>0</v>
      </c>
      <c r="Y2892" s="14">
        <f t="shared" si="741"/>
        <v>0</v>
      </c>
      <c r="Z2892" s="11" t="s">
        <v>26</v>
      </c>
      <c r="AA2892" s="12" t="s">
        <v>31</v>
      </c>
    </row>
    <row r="2893" spans="1:27" x14ac:dyDescent="0.25">
      <c r="A2893" s="10">
        <v>45700</v>
      </c>
      <c r="B2893" s="11" t="s">
        <v>428</v>
      </c>
      <c r="C2893" s="11" t="s">
        <v>5294</v>
      </c>
      <c r="D2893" s="11">
        <v>17432</v>
      </c>
      <c r="E2893" s="11" t="s">
        <v>44</v>
      </c>
      <c r="F2893" s="11" t="s">
        <v>26</v>
      </c>
      <c r="G2893" s="11">
        <v>1657</v>
      </c>
      <c r="H2893" s="12" t="s">
        <v>45</v>
      </c>
      <c r="I2893" s="12" t="s">
        <v>27</v>
      </c>
      <c r="J2893" s="12" t="s">
        <v>42</v>
      </c>
      <c r="K2893" s="12" t="s">
        <v>43</v>
      </c>
      <c r="L2893" s="13">
        <v>42.86</v>
      </c>
      <c r="M2893" s="13">
        <v>25</v>
      </c>
      <c r="N2893" s="13">
        <f t="shared" si="729"/>
        <v>1.7143999999999999</v>
      </c>
      <c r="O2893" s="13" t="s">
        <v>30</v>
      </c>
      <c r="P2893" s="13">
        <v>62</v>
      </c>
      <c r="Q2893" s="13">
        <v>0</v>
      </c>
      <c r="R2893" s="70">
        <f>M2893*P2893</f>
        <v>1550</v>
      </c>
      <c r="S2893" s="70">
        <v>0</v>
      </c>
      <c r="T2893" s="70">
        <f>M2893*S2893</f>
        <v>0</v>
      </c>
      <c r="U2893" s="70">
        <f>R2893-T2893</f>
        <v>1550</v>
      </c>
      <c r="V2893" s="70">
        <f>U2893*0</f>
        <v>0</v>
      </c>
      <c r="W2893" s="70">
        <f>U2893-V2893</f>
        <v>1550</v>
      </c>
      <c r="X2893" s="70">
        <v>0</v>
      </c>
      <c r="Y2893" s="14">
        <f t="shared" si="741"/>
        <v>0</v>
      </c>
      <c r="Z2893" s="11" t="s">
        <v>26</v>
      </c>
      <c r="AA2893" s="12" t="s">
        <v>31</v>
      </c>
    </row>
    <row r="2894" spans="1:27" x14ac:dyDescent="0.25">
      <c r="A2894" s="10">
        <v>45700</v>
      </c>
      <c r="B2894" s="11" t="s">
        <v>280</v>
      </c>
      <c r="C2894" s="11" t="s">
        <v>5295</v>
      </c>
      <c r="D2894" s="11">
        <v>17433</v>
      </c>
      <c r="E2894" s="11" t="s">
        <v>658</v>
      </c>
      <c r="F2894" s="11" t="s">
        <v>26</v>
      </c>
      <c r="G2894" s="11">
        <v>868</v>
      </c>
      <c r="H2894" s="12" t="s">
        <v>141</v>
      </c>
      <c r="I2894" s="12" t="s">
        <v>37</v>
      </c>
      <c r="J2894" s="12" t="s">
        <v>85</v>
      </c>
      <c r="K2894" s="12" t="s">
        <v>86</v>
      </c>
      <c r="L2894" s="13">
        <v>37.9</v>
      </c>
      <c r="M2894" s="13">
        <v>25</v>
      </c>
      <c r="N2894" s="13">
        <f t="shared" si="729"/>
        <v>1.516</v>
      </c>
      <c r="O2894" s="13">
        <v>29</v>
      </c>
      <c r="P2894" s="13" t="s">
        <v>30</v>
      </c>
      <c r="Q2894" s="13">
        <v>0</v>
      </c>
      <c r="R2894" s="70">
        <f>L2894*O2894</f>
        <v>1099.0999999999999</v>
      </c>
      <c r="S2894" s="70">
        <v>0</v>
      </c>
      <c r="T2894" s="70">
        <f>L2894*S2894</f>
        <v>0</v>
      </c>
      <c r="U2894" s="70">
        <f>R2894-T2894</f>
        <v>1099.0999999999999</v>
      </c>
      <c r="V2894" s="70">
        <f>U2894*0</f>
        <v>0</v>
      </c>
      <c r="W2894" s="70">
        <f>U2894-V2894</f>
        <v>1099.0999999999999</v>
      </c>
      <c r="X2894" s="70">
        <v>0</v>
      </c>
      <c r="Y2894" s="14">
        <f t="shared" si="741"/>
        <v>0</v>
      </c>
      <c r="Z2894" s="11" t="s">
        <v>26</v>
      </c>
      <c r="AA2894" s="12" t="s">
        <v>31</v>
      </c>
    </row>
    <row r="2895" spans="1:27" x14ac:dyDescent="0.25">
      <c r="A2895" s="10">
        <v>45700</v>
      </c>
      <c r="B2895" s="11" t="s">
        <v>5296</v>
      </c>
      <c r="C2895" s="11" t="s">
        <v>5297</v>
      </c>
      <c r="D2895" s="11">
        <v>17434</v>
      </c>
      <c r="E2895" s="11" t="s">
        <v>322</v>
      </c>
      <c r="F2895" s="11" t="s">
        <v>26</v>
      </c>
      <c r="G2895" s="11">
        <v>112781</v>
      </c>
      <c r="H2895" s="12" t="s">
        <v>4446</v>
      </c>
      <c r="I2895" s="12" t="s">
        <v>27</v>
      </c>
      <c r="J2895" s="12" t="s">
        <v>33</v>
      </c>
      <c r="K2895" s="12" t="s">
        <v>34</v>
      </c>
      <c r="L2895" s="13">
        <v>35.979999999999997</v>
      </c>
      <c r="M2895" s="13">
        <v>25</v>
      </c>
      <c r="N2895" s="13">
        <f t="shared" si="729"/>
        <v>1.4391999999999998</v>
      </c>
      <c r="O2895" s="13">
        <v>44</v>
      </c>
      <c r="P2895" s="13" t="s">
        <v>30</v>
      </c>
      <c r="Q2895" s="13">
        <v>0</v>
      </c>
      <c r="R2895" s="70">
        <f t="shared" ref="R2895" si="758">+L2895*O2895</f>
        <v>1583.12</v>
      </c>
      <c r="S2895" s="70">
        <v>0</v>
      </c>
      <c r="T2895" s="70">
        <f>+L2895*S2895</f>
        <v>0</v>
      </c>
      <c r="U2895" s="70">
        <f>+R2895-T2895</f>
        <v>1583.12</v>
      </c>
      <c r="V2895" s="70">
        <f>+U2895*1</f>
        <v>1583.12</v>
      </c>
      <c r="W2895" s="70">
        <f>+U2895-V2895</f>
        <v>0</v>
      </c>
      <c r="X2895" s="70">
        <v>0</v>
      </c>
      <c r="Y2895" s="14">
        <f t="shared" si="741"/>
        <v>0</v>
      </c>
      <c r="Z2895" s="11" t="s">
        <v>26</v>
      </c>
      <c r="AA2895" s="12" t="s">
        <v>31</v>
      </c>
    </row>
    <row r="2896" spans="1:27" x14ac:dyDescent="0.25">
      <c r="A2896" s="10">
        <v>45700</v>
      </c>
      <c r="B2896" s="11" t="s">
        <v>424</v>
      </c>
      <c r="C2896" s="11" t="s">
        <v>5298</v>
      </c>
      <c r="D2896" s="11">
        <v>17435</v>
      </c>
      <c r="E2896" s="11" t="s">
        <v>509</v>
      </c>
      <c r="F2896" s="11" t="s">
        <v>26</v>
      </c>
      <c r="G2896" s="11">
        <v>1315</v>
      </c>
      <c r="H2896" s="12" t="s">
        <v>141</v>
      </c>
      <c r="I2896" s="12" t="s">
        <v>37</v>
      </c>
      <c r="J2896" s="12" t="s">
        <v>85</v>
      </c>
      <c r="K2896" s="12" t="s">
        <v>86</v>
      </c>
      <c r="L2896" s="13">
        <v>38.479999999999997</v>
      </c>
      <c r="M2896" s="13">
        <v>25</v>
      </c>
      <c r="N2896" s="13">
        <f t="shared" si="729"/>
        <v>1.5391999999999999</v>
      </c>
      <c r="O2896" s="13">
        <v>29</v>
      </c>
      <c r="P2896" s="13" t="s">
        <v>30</v>
      </c>
      <c r="Q2896" s="13">
        <v>0</v>
      </c>
      <c r="R2896" s="70">
        <f>L2896*O2896</f>
        <v>1115.9199999999998</v>
      </c>
      <c r="S2896" s="70">
        <v>0</v>
      </c>
      <c r="T2896" s="70">
        <f>L2896*S2896</f>
        <v>0</v>
      </c>
      <c r="U2896" s="70">
        <f>R2896-T2896</f>
        <v>1115.9199999999998</v>
      </c>
      <c r="V2896" s="70">
        <f>U2896*0</f>
        <v>0</v>
      </c>
      <c r="W2896" s="70">
        <f>U2896-V2896</f>
        <v>1115.9199999999998</v>
      </c>
      <c r="X2896" s="70">
        <v>0</v>
      </c>
      <c r="Y2896" s="14">
        <f t="shared" si="741"/>
        <v>0</v>
      </c>
      <c r="Z2896" s="11" t="s">
        <v>26</v>
      </c>
      <c r="AA2896" s="12" t="s">
        <v>31</v>
      </c>
    </row>
    <row r="2897" spans="1:27" x14ac:dyDescent="0.25">
      <c r="A2897" s="10">
        <v>45700</v>
      </c>
      <c r="B2897" s="11" t="s">
        <v>5299</v>
      </c>
      <c r="C2897" s="11" t="s">
        <v>5300</v>
      </c>
      <c r="D2897" s="11">
        <v>17436</v>
      </c>
      <c r="E2897" s="11" t="s">
        <v>2109</v>
      </c>
      <c r="F2897" s="11" t="s">
        <v>26</v>
      </c>
      <c r="G2897" s="11">
        <v>10624</v>
      </c>
      <c r="H2897" s="12" t="s">
        <v>140</v>
      </c>
      <c r="I2897" s="12" t="s">
        <v>27</v>
      </c>
      <c r="J2897" s="12" t="s">
        <v>42</v>
      </c>
      <c r="K2897" s="12" t="s">
        <v>43</v>
      </c>
      <c r="L2897" s="13">
        <v>41.8</v>
      </c>
      <c r="M2897" s="13">
        <v>25</v>
      </c>
      <c r="N2897" s="13">
        <f t="shared" si="729"/>
        <v>1.6719999999999999</v>
      </c>
      <c r="O2897" s="13">
        <v>35</v>
      </c>
      <c r="P2897" s="13"/>
      <c r="Q2897" s="13">
        <v>0</v>
      </c>
      <c r="R2897" s="70">
        <f>+L2897*O2897</f>
        <v>1463</v>
      </c>
      <c r="S2897" s="70">
        <v>0</v>
      </c>
      <c r="T2897" s="70">
        <f>+L2897*S2897</f>
        <v>0</v>
      </c>
      <c r="U2897" s="70">
        <f>+R2897-T2897</f>
        <v>1463</v>
      </c>
      <c r="V2897" s="70">
        <f t="shared" ref="V2897" si="759">+U2897*0</f>
        <v>0</v>
      </c>
      <c r="W2897" s="70">
        <f>+U2897-V2897</f>
        <v>1463</v>
      </c>
      <c r="X2897" s="70">
        <v>0</v>
      </c>
      <c r="Y2897" s="14">
        <f t="shared" si="741"/>
        <v>0</v>
      </c>
      <c r="Z2897" s="11" t="s">
        <v>26</v>
      </c>
      <c r="AA2897" s="12" t="s">
        <v>31</v>
      </c>
    </row>
    <row r="2898" spans="1:27" x14ac:dyDescent="0.25">
      <c r="A2898" s="10">
        <v>45700</v>
      </c>
      <c r="B2898" s="11" t="s">
        <v>5301</v>
      </c>
      <c r="C2898" s="11" t="s">
        <v>5302</v>
      </c>
      <c r="D2898" s="11">
        <v>17437</v>
      </c>
      <c r="E2898" s="11" t="s">
        <v>605</v>
      </c>
      <c r="F2898" s="11" t="s">
        <v>26</v>
      </c>
      <c r="G2898" s="11">
        <v>1066</v>
      </c>
      <c r="H2898" s="12" t="s">
        <v>141</v>
      </c>
      <c r="I2898" s="12" t="s">
        <v>27</v>
      </c>
      <c r="J2898" s="12" t="s">
        <v>47</v>
      </c>
      <c r="K2898" s="12" t="s">
        <v>48</v>
      </c>
      <c r="L2898" s="13">
        <v>39.54</v>
      </c>
      <c r="M2898" s="13">
        <v>27</v>
      </c>
      <c r="N2898" s="13">
        <f t="shared" si="729"/>
        <v>1.4644444444444444</v>
      </c>
      <c r="O2898" s="13">
        <v>40</v>
      </c>
      <c r="P2898" s="13" t="s">
        <v>30</v>
      </c>
      <c r="Q2898" s="13">
        <v>0</v>
      </c>
      <c r="R2898" s="70">
        <f>L2898*O2898</f>
        <v>1581.6</v>
      </c>
      <c r="S2898" s="70">
        <v>0</v>
      </c>
      <c r="T2898" s="70">
        <f>L2898*S2898</f>
        <v>0</v>
      </c>
      <c r="U2898" s="70">
        <f>R2898-T2898</f>
        <v>1581.6</v>
      </c>
      <c r="V2898" s="70">
        <f>U2898*0</f>
        <v>0</v>
      </c>
      <c r="W2898" s="70">
        <f>U2898-V2898</f>
        <v>1581.6</v>
      </c>
      <c r="X2898" s="70">
        <v>0</v>
      </c>
      <c r="Y2898" s="14">
        <f t="shared" si="741"/>
        <v>0</v>
      </c>
      <c r="Z2898" s="11" t="s">
        <v>26</v>
      </c>
      <c r="AA2898" s="12" t="s">
        <v>31</v>
      </c>
    </row>
    <row r="2899" spans="1:27" x14ac:dyDescent="0.25">
      <c r="A2899" s="10">
        <v>45700</v>
      </c>
      <c r="B2899" s="11" t="s">
        <v>310</v>
      </c>
      <c r="C2899" s="11" t="s">
        <v>5303</v>
      </c>
      <c r="D2899" s="11">
        <v>17438</v>
      </c>
      <c r="E2899" s="11" t="s">
        <v>230</v>
      </c>
      <c r="F2899" s="11" t="s">
        <v>26</v>
      </c>
      <c r="G2899" s="11">
        <v>26209</v>
      </c>
      <c r="H2899" s="12" t="s">
        <v>565</v>
      </c>
      <c r="I2899" s="12" t="s">
        <v>55</v>
      </c>
      <c r="J2899" s="12" t="s">
        <v>566</v>
      </c>
      <c r="K2899" s="12" t="s">
        <v>550</v>
      </c>
      <c r="L2899" s="13">
        <v>40.68</v>
      </c>
      <c r="M2899" s="13">
        <v>25</v>
      </c>
      <c r="N2899" s="13">
        <f t="shared" si="729"/>
        <v>1.6272</v>
      </c>
      <c r="O2899" s="13">
        <v>25</v>
      </c>
      <c r="P2899" s="13" t="s">
        <v>30</v>
      </c>
      <c r="Q2899" s="13">
        <v>0</v>
      </c>
      <c r="R2899" s="70">
        <f t="shared" ref="R2899" si="760">L2899*O2899</f>
        <v>1017</v>
      </c>
      <c r="S2899" s="70">
        <v>0</v>
      </c>
      <c r="T2899" s="70">
        <f t="shared" ref="T2899" si="761">L2899*S2899</f>
        <v>0</v>
      </c>
      <c r="U2899" s="70">
        <f t="shared" ref="U2899" si="762">R2899-T2899</f>
        <v>1017</v>
      </c>
      <c r="V2899" s="70">
        <f>U2899*0</f>
        <v>0</v>
      </c>
      <c r="W2899" s="70">
        <f t="shared" ref="W2899" si="763">U2899-V2899</f>
        <v>1017</v>
      </c>
      <c r="X2899" s="70">
        <v>0</v>
      </c>
      <c r="Y2899" s="14">
        <f t="shared" si="741"/>
        <v>0</v>
      </c>
      <c r="Z2899" s="11" t="s">
        <v>26</v>
      </c>
      <c r="AA2899" s="12" t="s">
        <v>31</v>
      </c>
    </row>
    <row r="2900" spans="1:27" x14ac:dyDescent="0.25">
      <c r="A2900" s="10">
        <v>45700</v>
      </c>
      <c r="B2900" s="11" t="s">
        <v>693</v>
      </c>
      <c r="C2900" s="11" t="s">
        <v>5304</v>
      </c>
      <c r="D2900" s="11">
        <v>17439</v>
      </c>
      <c r="E2900" s="11" t="s">
        <v>461</v>
      </c>
      <c r="F2900" s="11" t="s">
        <v>26</v>
      </c>
      <c r="G2900" s="11">
        <v>41</v>
      </c>
      <c r="H2900" s="12" t="s">
        <v>4444</v>
      </c>
      <c r="I2900" s="12" t="s">
        <v>37</v>
      </c>
      <c r="J2900" s="12" t="s">
        <v>85</v>
      </c>
      <c r="K2900" s="12" t="s">
        <v>86</v>
      </c>
      <c r="L2900" s="13">
        <v>30.98</v>
      </c>
      <c r="M2900" s="13">
        <v>19</v>
      </c>
      <c r="N2900" s="13">
        <f t="shared" si="729"/>
        <v>1.6305263157894736</v>
      </c>
      <c r="O2900" s="13">
        <v>30</v>
      </c>
      <c r="P2900" s="13" t="s">
        <v>30</v>
      </c>
      <c r="Q2900" s="13">
        <v>0</v>
      </c>
      <c r="R2900" s="70">
        <f>L2900*O2900</f>
        <v>929.4</v>
      </c>
      <c r="S2900" s="70">
        <v>0</v>
      </c>
      <c r="T2900" s="70">
        <f>L2900*S2900</f>
        <v>0</v>
      </c>
      <c r="U2900" s="70">
        <f>R2900-T2900</f>
        <v>929.4</v>
      </c>
      <c r="V2900" s="70">
        <f>U2900*0</f>
        <v>0</v>
      </c>
      <c r="W2900" s="70">
        <f>U2900-V2900</f>
        <v>929.4</v>
      </c>
      <c r="X2900" s="70">
        <v>0</v>
      </c>
      <c r="Y2900" s="14">
        <f t="shared" si="741"/>
        <v>0</v>
      </c>
      <c r="Z2900" s="11" t="s">
        <v>26</v>
      </c>
      <c r="AA2900" s="12" t="s">
        <v>31</v>
      </c>
    </row>
    <row r="2901" spans="1:27" x14ac:dyDescent="0.25">
      <c r="A2901" s="10">
        <v>45700</v>
      </c>
      <c r="B2901" s="11" t="s">
        <v>5305</v>
      </c>
      <c r="C2901" s="11" t="s">
        <v>5306</v>
      </c>
      <c r="D2901" s="11">
        <v>17440</v>
      </c>
      <c r="E2901" s="11" t="s">
        <v>68</v>
      </c>
      <c r="F2901" s="11" t="s">
        <v>26</v>
      </c>
      <c r="G2901" s="11">
        <v>78952</v>
      </c>
      <c r="H2901" s="12" t="s">
        <v>4448</v>
      </c>
      <c r="I2901" s="12" t="s">
        <v>27</v>
      </c>
      <c r="J2901" s="12" t="s">
        <v>33</v>
      </c>
      <c r="K2901" s="12" t="s">
        <v>34</v>
      </c>
      <c r="L2901" s="13">
        <v>42.38</v>
      </c>
      <c r="M2901" s="13">
        <v>29</v>
      </c>
      <c r="N2901" s="13">
        <f t="shared" si="729"/>
        <v>1.4613793103448276</v>
      </c>
      <c r="O2901" s="13">
        <v>45.33</v>
      </c>
      <c r="P2901" s="13" t="s">
        <v>30</v>
      </c>
      <c r="Q2901" s="13">
        <v>0</v>
      </c>
      <c r="R2901" s="70">
        <f>+L2901*O2901</f>
        <v>1921.0853999999999</v>
      </c>
      <c r="S2901" s="70">
        <v>0</v>
      </c>
      <c r="T2901" s="70">
        <f>+L2901*S2901</f>
        <v>0</v>
      </c>
      <c r="U2901" s="70">
        <f>+R2901-T2901</f>
        <v>1921.0853999999999</v>
      </c>
      <c r="V2901" s="70">
        <f>+U2901*0.75</f>
        <v>1440.81405</v>
      </c>
      <c r="W2901" s="70">
        <f>+U2901-V2901</f>
        <v>480.27134999999998</v>
      </c>
      <c r="X2901" s="70">
        <v>0</v>
      </c>
      <c r="Y2901" s="14">
        <f t="shared" si="741"/>
        <v>0</v>
      </c>
      <c r="Z2901" s="11" t="s">
        <v>26</v>
      </c>
      <c r="AA2901" s="12" t="s">
        <v>31</v>
      </c>
    </row>
    <row r="2902" spans="1:27" x14ac:dyDescent="0.25">
      <c r="A2902" s="10">
        <v>45700</v>
      </c>
      <c r="B2902" s="11" t="s">
        <v>2909</v>
      </c>
      <c r="C2902" s="11" t="s">
        <v>5307</v>
      </c>
      <c r="D2902" s="11">
        <v>17441</v>
      </c>
      <c r="E2902" s="11" t="s">
        <v>5032</v>
      </c>
      <c r="F2902" s="11" t="s">
        <v>26</v>
      </c>
      <c r="G2902" s="11">
        <v>10802</v>
      </c>
      <c r="H2902" s="12" t="s">
        <v>140</v>
      </c>
      <c r="I2902" s="12" t="s">
        <v>27</v>
      </c>
      <c r="J2902" s="12" t="s">
        <v>42</v>
      </c>
      <c r="K2902" s="12" t="s">
        <v>43</v>
      </c>
      <c r="L2902" s="13">
        <v>43</v>
      </c>
      <c r="M2902" s="13">
        <v>25</v>
      </c>
      <c r="N2902" s="13">
        <f t="shared" si="729"/>
        <v>1.72</v>
      </c>
      <c r="O2902" s="13">
        <v>35</v>
      </c>
      <c r="P2902" s="13"/>
      <c r="Q2902" s="13">
        <v>0</v>
      </c>
      <c r="R2902" s="70">
        <f>+L2902*O2902</f>
        <v>1505</v>
      </c>
      <c r="S2902" s="70">
        <v>0</v>
      </c>
      <c r="T2902" s="70">
        <f>+L2902*S2902</f>
        <v>0</v>
      </c>
      <c r="U2902" s="70">
        <f>+R2902-T2902</f>
        <v>1505</v>
      </c>
      <c r="V2902" s="70">
        <f t="shared" ref="V2902" si="764">+U2902*0</f>
        <v>0</v>
      </c>
      <c r="W2902" s="70">
        <f>+U2902-V2902</f>
        <v>1505</v>
      </c>
      <c r="X2902" s="70">
        <v>0</v>
      </c>
      <c r="Y2902" s="14">
        <f t="shared" si="741"/>
        <v>0</v>
      </c>
      <c r="Z2902" s="11" t="s">
        <v>26</v>
      </c>
      <c r="AA2902" s="12" t="s">
        <v>31</v>
      </c>
    </row>
    <row r="2903" spans="1:27" x14ac:dyDescent="0.25">
      <c r="A2903" s="10">
        <v>45700</v>
      </c>
      <c r="B2903" s="11" t="s">
        <v>5308</v>
      </c>
      <c r="C2903" s="11" t="s">
        <v>5309</v>
      </c>
      <c r="D2903" s="11">
        <v>17442</v>
      </c>
      <c r="E2903" s="11" t="s">
        <v>67</v>
      </c>
      <c r="F2903" s="11" t="s">
        <v>26</v>
      </c>
      <c r="G2903" s="11">
        <v>1640</v>
      </c>
      <c r="H2903" s="12" t="s">
        <v>66</v>
      </c>
      <c r="I2903" s="12" t="s">
        <v>37</v>
      </c>
      <c r="J2903" s="12" t="s">
        <v>1909</v>
      </c>
      <c r="K2903" s="12" t="s">
        <v>82</v>
      </c>
      <c r="L2903" s="13">
        <v>38</v>
      </c>
      <c r="M2903" s="13">
        <v>25</v>
      </c>
      <c r="N2903" s="13">
        <f t="shared" si="729"/>
        <v>1.52</v>
      </c>
      <c r="O2903" s="13" t="s">
        <v>30</v>
      </c>
      <c r="P2903" s="13">
        <v>54</v>
      </c>
      <c r="Q2903" s="13">
        <v>0</v>
      </c>
      <c r="R2903" s="70">
        <f>M2903*P2903</f>
        <v>1350</v>
      </c>
      <c r="S2903" s="70">
        <v>0</v>
      </c>
      <c r="T2903" s="70">
        <f>M2903*S2903</f>
        <v>0</v>
      </c>
      <c r="U2903" s="70">
        <f t="shared" ref="U2903" si="765">R2903-T2903</f>
        <v>1350</v>
      </c>
      <c r="V2903" s="70">
        <f>U2903*1</f>
        <v>1350</v>
      </c>
      <c r="W2903" s="70">
        <f>U2903-V2903</f>
        <v>0</v>
      </c>
      <c r="X2903" s="70">
        <v>0</v>
      </c>
      <c r="Y2903" s="14">
        <f t="shared" si="741"/>
        <v>0</v>
      </c>
      <c r="Z2903" s="11" t="s">
        <v>26</v>
      </c>
      <c r="AA2903" s="12" t="s">
        <v>31</v>
      </c>
    </row>
    <row r="2904" spans="1:27" x14ac:dyDescent="0.25">
      <c r="A2904" s="10">
        <v>45700</v>
      </c>
      <c r="B2904" s="11" t="s">
        <v>5310</v>
      </c>
      <c r="C2904" s="11" t="s">
        <v>5311</v>
      </c>
      <c r="D2904" s="11">
        <v>17443</v>
      </c>
      <c r="E2904" s="11" t="s">
        <v>203</v>
      </c>
      <c r="F2904" s="11" t="s">
        <v>26</v>
      </c>
      <c r="G2904" s="11" t="s">
        <v>35</v>
      </c>
      <c r="H2904" s="12" t="s">
        <v>36</v>
      </c>
      <c r="I2904" s="12" t="s">
        <v>55</v>
      </c>
      <c r="J2904" s="12" t="s">
        <v>55</v>
      </c>
      <c r="K2904" s="12" t="s">
        <v>56</v>
      </c>
      <c r="L2904" s="13">
        <v>12.4</v>
      </c>
      <c r="M2904" s="13">
        <v>7</v>
      </c>
      <c r="N2904" s="13">
        <f t="shared" si="729"/>
        <v>1.7714285714285716</v>
      </c>
      <c r="O2904" s="13">
        <v>20</v>
      </c>
      <c r="P2904" s="13" t="s">
        <v>30</v>
      </c>
      <c r="Q2904" s="13">
        <v>0</v>
      </c>
      <c r="R2904" s="70">
        <f>(L2904*O2904)-Q2904</f>
        <v>248</v>
      </c>
      <c r="S2904" s="70">
        <v>0</v>
      </c>
      <c r="T2904" s="70">
        <f t="shared" ref="T2904" si="766">+L2904*S2904</f>
        <v>0</v>
      </c>
      <c r="U2904" s="70">
        <f t="shared" ref="U2904:U2905" si="767">+R2904-T2904</f>
        <v>248</v>
      </c>
      <c r="V2904" s="70">
        <f t="shared" ref="V2904:V2905" si="768">+U2904*0</f>
        <v>0</v>
      </c>
      <c r="W2904" s="70">
        <f t="shared" ref="W2904:W2905" si="769">+U2904-V2904</f>
        <v>248</v>
      </c>
      <c r="X2904" s="70">
        <v>0</v>
      </c>
      <c r="Y2904" s="14">
        <f t="shared" si="741"/>
        <v>0</v>
      </c>
      <c r="Z2904" s="11" t="s">
        <v>26</v>
      </c>
      <c r="AA2904" s="12" t="s">
        <v>31</v>
      </c>
    </row>
    <row r="2905" spans="1:27" x14ac:dyDescent="0.25">
      <c r="A2905" s="10">
        <v>45700</v>
      </c>
      <c r="B2905" s="11" t="s">
        <v>733</v>
      </c>
      <c r="C2905" s="11" t="s">
        <v>5312</v>
      </c>
      <c r="D2905" s="11">
        <v>17444</v>
      </c>
      <c r="E2905" s="11" t="s">
        <v>69</v>
      </c>
      <c r="F2905" s="11" t="s">
        <v>26</v>
      </c>
      <c r="G2905" s="11">
        <v>2118</v>
      </c>
      <c r="H2905" s="12" t="s">
        <v>70</v>
      </c>
      <c r="I2905" s="12" t="s">
        <v>27</v>
      </c>
      <c r="J2905" s="12" t="s">
        <v>42</v>
      </c>
      <c r="K2905" s="12" t="s">
        <v>43</v>
      </c>
      <c r="L2905" s="13">
        <v>41.88</v>
      </c>
      <c r="M2905" s="13">
        <v>25</v>
      </c>
      <c r="N2905" s="13">
        <f t="shared" si="729"/>
        <v>1.6752</v>
      </c>
      <c r="O2905" s="13" t="s">
        <v>30</v>
      </c>
      <c r="P2905" s="13">
        <v>64</v>
      </c>
      <c r="Q2905" s="13">
        <v>0</v>
      </c>
      <c r="R2905" s="70">
        <f>+M2905*P2905</f>
        <v>1600</v>
      </c>
      <c r="S2905" s="70">
        <v>0</v>
      </c>
      <c r="T2905" s="70">
        <f>+M2905*S2905</f>
        <v>0</v>
      </c>
      <c r="U2905" s="70">
        <f t="shared" si="767"/>
        <v>1600</v>
      </c>
      <c r="V2905" s="70">
        <f t="shared" si="768"/>
        <v>0</v>
      </c>
      <c r="W2905" s="70">
        <f t="shared" si="769"/>
        <v>1600</v>
      </c>
      <c r="X2905" s="70">
        <v>0</v>
      </c>
      <c r="Y2905" s="14">
        <f t="shared" si="741"/>
        <v>0</v>
      </c>
      <c r="Z2905" s="11" t="s">
        <v>26</v>
      </c>
      <c r="AA2905" s="12" t="s">
        <v>31</v>
      </c>
    </row>
    <row r="2906" spans="1:27" x14ac:dyDescent="0.25">
      <c r="A2906" s="10">
        <v>45700</v>
      </c>
      <c r="B2906" s="11" t="s">
        <v>5313</v>
      </c>
      <c r="C2906" s="11" t="s">
        <v>5314</v>
      </c>
      <c r="D2906" s="11">
        <v>17445</v>
      </c>
      <c r="E2906" s="11" t="s">
        <v>50</v>
      </c>
      <c r="F2906" s="11" t="s">
        <v>26</v>
      </c>
      <c r="G2906" s="11">
        <v>948</v>
      </c>
      <c r="H2906" s="12" t="s">
        <v>163</v>
      </c>
      <c r="I2906" s="12" t="s">
        <v>27</v>
      </c>
      <c r="J2906" s="12" t="s">
        <v>33</v>
      </c>
      <c r="K2906" s="12" t="s">
        <v>34</v>
      </c>
      <c r="L2906" s="13">
        <v>35.340000000000003</v>
      </c>
      <c r="M2906" s="13">
        <v>25</v>
      </c>
      <c r="N2906" s="13">
        <f t="shared" si="729"/>
        <v>1.4136000000000002</v>
      </c>
      <c r="O2906" s="13" t="s">
        <v>30</v>
      </c>
      <c r="P2906" s="13">
        <v>60</v>
      </c>
      <c r="Q2906" s="13">
        <v>0</v>
      </c>
      <c r="R2906" s="70">
        <f>M2906*P2906</f>
        <v>1500</v>
      </c>
      <c r="S2906" s="70">
        <v>0</v>
      </c>
      <c r="T2906" s="70">
        <f>M2906*S2906</f>
        <v>0</v>
      </c>
      <c r="U2906" s="70">
        <f>R2906-T2906</f>
        <v>1500</v>
      </c>
      <c r="V2906" s="70">
        <f>U2906*0</f>
        <v>0</v>
      </c>
      <c r="W2906" s="70">
        <f>U2906-V2906</f>
        <v>1500</v>
      </c>
      <c r="X2906" s="70">
        <v>0</v>
      </c>
      <c r="Y2906" s="14">
        <f t="shared" si="741"/>
        <v>0</v>
      </c>
      <c r="Z2906" s="11" t="s">
        <v>26</v>
      </c>
      <c r="AA2906" s="12" t="s">
        <v>31</v>
      </c>
    </row>
    <row r="2907" spans="1:27" x14ac:dyDescent="0.25">
      <c r="A2907" s="10">
        <v>45700</v>
      </c>
      <c r="B2907" s="11" t="s">
        <v>5273</v>
      </c>
      <c r="C2907" s="11" t="s">
        <v>5315</v>
      </c>
      <c r="D2907" s="11">
        <v>17446</v>
      </c>
      <c r="E2907" s="11" t="s">
        <v>74</v>
      </c>
      <c r="F2907" s="11" t="s">
        <v>26</v>
      </c>
      <c r="G2907" s="11">
        <v>1329</v>
      </c>
      <c r="H2907" s="12" t="s">
        <v>70</v>
      </c>
      <c r="I2907" s="12" t="s">
        <v>27</v>
      </c>
      <c r="J2907" s="12" t="s">
        <v>28</v>
      </c>
      <c r="K2907" s="12" t="s">
        <v>29</v>
      </c>
      <c r="L2907" s="13">
        <v>39.18</v>
      </c>
      <c r="M2907" s="13">
        <v>25</v>
      </c>
      <c r="N2907" s="13">
        <f t="shared" si="729"/>
        <v>1.5671999999999999</v>
      </c>
      <c r="O2907" s="13" t="s">
        <v>30</v>
      </c>
      <c r="P2907" s="13">
        <v>40.5</v>
      </c>
      <c r="Q2907" s="13">
        <v>0</v>
      </c>
      <c r="R2907" s="70">
        <f>+M2907*P2907</f>
        <v>1012.5</v>
      </c>
      <c r="S2907" s="70">
        <v>0</v>
      </c>
      <c r="T2907" s="70">
        <f>+M2907*S2907</f>
        <v>0</v>
      </c>
      <c r="U2907" s="70">
        <f t="shared" ref="U2907:U2909" si="770">+R2907-T2907</f>
        <v>1012.5</v>
      </c>
      <c r="V2907" s="70">
        <f t="shared" ref="V2907" si="771">+U2907*0</f>
        <v>0</v>
      </c>
      <c r="W2907" s="70">
        <f t="shared" ref="W2907:W2909" si="772">+U2907-V2907</f>
        <v>1012.5</v>
      </c>
      <c r="X2907" s="70">
        <v>0</v>
      </c>
      <c r="Y2907" s="14">
        <f t="shared" si="741"/>
        <v>0</v>
      </c>
      <c r="Z2907" s="11" t="s">
        <v>26</v>
      </c>
      <c r="AA2907" s="12" t="s">
        <v>31</v>
      </c>
    </row>
    <row r="2908" spans="1:27" x14ac:dyDescent="0.25">
      <c r="A2908" s="10">
        <v>45700</v>
      </c>
      <c r="B2908" s="11" t="s">
        <v>5316</v>
      </c>
      <c r="C2908" s="11" t="s">
        <v>5317</v>
      </c>
      <c r="D2908" s="11">
        <v>17447</v>
      </c>
      <c r="E2908" s="11" t="s">
        <v>224</v>
      </c>
      <c r="F2908" s="11" t="s">
        <v>26</v>
      </c>
      <c r="G2908" s="11">
        <v>3213</v>
      </c>
      <c r="H2908" s="12" t="s">
        <v>4423</v>
      </c>
      <c r="I2908" s="12" t="s">
        <v>27</v>
      </c>
      <c r="J2908" s="12" t="s">
        <v>33</v>
      </c>
      <c r="K2908" s="12" t="s">
        <v>34</v>
      </c>
      <c r="L2908" s="13">
        <v>35.659999999999997</v>
      </c>
      <c r="M2908" s="13">
        <v>25</v>
      </c>
      <c r="N2908" s="13">
        <f t="shared" si="729"/>
        <v>1.4263999999999999</v>
      </c>
      <c r="O2908" s="13">
        <v>45</v>
      </c>
      <c r="P2908" s="13" t="s">
        <v>30</v>
      </c>
      <c r="Q2908" s="13">
        <v>0</v>
      </c>
      <c r="R2908" s="70">
        <f>+L2908*O2908</f>
        <v>1604.6999999999998</v>
      </c>
      <c r="S2908" s="70">
        <v>0</v>
      </c>
      <c r="T2908" s="70">
        <f>+L2908*S2908</f>
        <v>0</v>
      </c>
      <c r="U2908" s="70">
        <f t="shared" si="770"/>
        <v>1604.6999999999998</v>
      </c>
      <c r="V2908" s="70">
        <f>+U2908*1</f>
        <v>1604.6999999999998</v>
      </c>
      <c r="W2908" s="70">
        <f t="shared" si="772"/>
        <v>0</v>
      </c>
      <c r="X2908" s="70">
        <v>0</v>
      </c>
      <c r="Y2908" s="14">
        <f t="shared" si="741"/>
        <v>0</v>
      </c>
      <c r="Z2908" s="11" t="s">
        <v>26</v>
      </c>
      <c r="AA2908" s="12" t="s">
        <v>31</v>
      </c>
    </row>
    <row r="2909" spans="1:27" x14ac:dyDescent="0.25">
      <c r="A2909" s="10">
        <v>45700</v>
      </c>
      <c r="B2909" s="11" t="s">
        <v>5318</v>
      </c>
      <c r="C2909" s="11" t="s">
        <v>5319</v>
      </c>
      <c r="D2909" s="11">
        <v>17448</v>
      </c>
      <c r="E2909" s="11" t="s">
        <v>91</v>
      </c>
      <c r="F2909" s="11" t="s">
        <v>26</v>
      </c>
      <c r="G2909" s="11">
        <v>2470</v>
      </c>
      <c r="H2909" s="12" t="s">
        <v>41</v>
      </c>
      <c r="I2909" s="12" t="s">
        <v>27</v>
      </c>
      <c r="J2909" s="12" t="s">
        <v>33</v>
      </c>
      <c r="K2909" s="12" t="s">
        <v>34</v>
      </c>
      <c r="L2909" s="13">
        <v>34.479999999999997</v>
      </c>
      <c r="M2909" s="13">
        <v>23</v>
      </c>
      <c r="N2909" s="13">
        <f t="shared" si="729"/>
        <v>1.4991304347826087</v>
      </c>
      <c r="O2909" s="13" t="s">
        <v>30</v>
      </c>
      <c r="P2909" s="13">
        <v>60</v>
      </c>
      <c r="Q2909" s="13">
        <v>0</v>
      </c>
      <c r="R2909" s="70">
        <f>M2909*P2909</f>
        <v>1380</v>
      </c>
      <c r="S2909" s="70">
        <v>0</v>
      </c>
      <c r="T2909" s="70">
        <f>M2909*S2909</f>
        <v>0</v>
      </c>
      <c r="U2909" s="70">
        <f t="shared" si="770"/>
        <v>1380</v>
      </c>
      <c r="V2909" s="70">
        <f>+U2909*0</f>
        <v>0</v>
      </c>
      <c r="W2909" s="70">
        <f t="shared" si="772"/>
        <v>1380</v>
      </c>
      <c r="X2909" s="70">
        <v>0</v>
      </c>
      <c r="Y2909" s="14">
        <f t="shared" si="741"/>
        <v>0</v>
      </c>
      <c r="Z2909" s="11" t="s">
        <v>26</v>
      </c>
      <c r="AA2909" s="12" t="s">
        <v>31</v>
      </c>
    </row>
    <row r="2910" spans="1:27" x14ac:dyDescent="0.25">
      <c r="A2910" s="10">
        <v>45700</v>
      </c>
      <c r="B2910" s="11" t="s">
        <v>5320</v>
      </c>
      <c r="C2910" s="11" t="s">
        <v>5321</v>
      </c>
      <c r="D2910" s="11">
        <v>17449</v>
      </c>
      <c r="E2910" s="11" t="s">
        <v>63</v>
      </c>
      <c r="F2910" s="11" t="s">
        <v>26</v>
      </c>
      <c r="G2910" s="11">
        <v>10191</v>
      </c>
      <c r="H2910" s="12" t="s">
        <v>140</v>
      </c>
      <c r="I2910" s="12" t="s">
        <v>27</v>
      </c>
      <c r="J2910" s="12" t="s">
        <v>42</v>
      </c>
      <c r="K2910" s="12" t="s">
        <v>43</v>
      </c>
      <c r="L2910" s="13">
        <v>44.08</v>
      </c>
      <c r="M2910" s="13">
        <v>25</v>
      </c>
      <c r="N2910" s="13">
        <f t="shared" si="729"/>
        <v>1.7631999999999999</v>
      </c>
      <c r="O2910" s="13">
        <v>35</v>
      </c>
      <c r="P2910" s="13"/>
      <c r="Q2910" s="13">
        <v>0</v>
      </c>
      <c r="R2910" s="70">
        <f>+L2910*O2910</f>
        <v>1542.8</v>
      </c>
      <c r="S2910" s="70">
        <v>0</v>
      </c>
      <c r="T2910" s="70">
        <f>+L2910*S2910</f>
        <v>0</v>
      </c>
      <c r="U2910" s="70">
        <f>+R2910-T2910</f>
        <v>1542.8</v>
      </c>
      <c r="V2910" s="70">
        <f t="shared" ref="V2910" si="773">+U2910*0</f>
        <v>0</v>
      </c>
      <c r="W2910" s="70">
        <f>+U2910-V2910</f>
        <v>1542.8</v>
      </c>
      <c r="X2910" s="70">
        <v>0</v>
      </c>
      <c r="Y2910" s="14">
        <f t="shared" si="741"/>
        <v>0</v>
      </c>
      <c r="Z2910" s="11" t="s">
        <v>26</v>
      </c>
      <c r="AA2910" s="12" t="s">
        <v>31</v>
      </c>
    </row>
    <row r="2911" spans="1:27" x14ac:dyDescent="0.25">
      <c r="A2911" s="10">
        <v>45700</v>
      </c>
      <c r="B2911" s="11" t="s">
        <v>5273</v>
      </c>
      <c r="C2911" s="11" t="s">
        <v>5322</v>
      </c>
      <c r="D2911" s="11">
        <v>17450</v>
      </c>
      <c r="E2911" s="11" t="s">
        <v>4595</v>
      </c>
      <c r="F2911" s="11" t="s">
        <v>26</v>
      </c>
      <c r="G2911" s="11">
        <v>78352</v>
      </c>
      <c r="H2911" s="12" t="s">
        <v>4448</v>
      </c>
      <c r="I2911" s="12" t="s">
        <v>55</v>
      </c>
      <c r="J2911" s="12" t="s">
        <v>55</v>
      </c>
      <c r="K2911" s="12" t="s">
        <v>56</v>
      </c>
      <c r="L2911" s="13">
        <v>38.46</v>
      </c>
      <c r="M2911" s="13">
        <v>25</v>
      </c>
      <c r="N2911" s="13">
        <f t="shared" si="729"/>
        <v>1.5384</v>
      </c>
      <c r="O2911" s="13">
        <v>15</v>
      </c>
      <c r="P2911" s="13" t="s">
        <v>30</v>
      </c>
      <c r="Q2911" s="13">
        <v>0</v>
      </c>
      <c r="R2911" s="70">
        <f>+L2911*O2911</f>
        <v>576.9</v>
      </c>
      <c r="S2911" s="70">
        <v>0</v>
      </c>
      <c r="T2911" s="70">
        <f>+L2911*S2911</f>
        <v>0</v>
      </c>
      <c r="U2911" s="70">
        <f>+R2911-T2911</f>
        <v>576.9</v>
      </c>
      <c r="V2911" s="70">
        <f>+U2911*0.75</f>
        <v>432.67499999999995</v>
      </c>
      <c r="W2911" s="70">
        <f>+U2911-V2911</f>
        <v>144.22500000000002</v>
      </c>
      <c r="X2911" s="70">
        <v>0</v>
      </c>
      <c r="Y2911" s="14">
        <f t="shared" si="741"/>
        <v>0</v>
      </c>
      <c r="Z2911" s="11" t="s">
        <v>26</v>
      </c>
      <c r="AA2911" s="12" t="s">
        <v>31</v>
      </c>
    </row>
    <row r="2912" spans="1:27" x14ac:dyDescent="0.25">
      <c r="A2912" s="10">
        <v>45700</v>
      </c>
      <c r="B2912" s="11" t="s">
        <v>5323</v>
      </c>
      <c r="C2912" s="11" t="s">
        <v>5324</v>
      </c>
      <c r="D2912" s="11">
        <v>17451</v>
      </c>
      <c r="E2912" s="11" t="s">
        <v>53</v>
      </c>
      <c r="F2912" s="11" t="s">
        <v>26</v>
      </c>
      <c r="G2912" s="11">
        <v>3957</v>
      </c>
      <c r="H2912" s="12" t="s">
        <v>41</v>
      </c>
      <c r="I2912" s="12" t="s">
        <v>27</v>
      </c>
      <c r="J2912" s="12" t="s">
        <v>33</v>
      </c>
      <c r="K2912" s="12" t="s">
        <v>34</v>
      </c>
      <c r="L2912" s="13">
        <v>36.28</v>
      </c>
      <c r="M2912" s="13">
        <v>25</v>
      </c>
      <c r="N2912" s="13">
        <f t="shared" si="729"/>
        <v>1.4512</v>
      </c>
      <c r="O2912" s="13" t="s">
        <v>30</v>
      </c>
      <c r="P2912" s="13">
        <v>60</v>
      </c>
      <c r="Q2912" s="13">
        <v>0</v>
      </c>
      <c r="R2912" s="70">
        <f>M2912*P2912</f>
        <v>1500</v>
      </c>
      <c r="S2912" s="70">
        <v>0</v>
      </c>
      <c r="T2912" s="70">
        <f>M2912*S2912</f>
        <v>0</v>
      </c>
      <c r="U2912" s="70">
        <f t="shared" ref="U2912:U2913" si="774">+R2912-T2912</f>
        <v>1500</v>
      </c>
      <c r="V2912" s="70">
        <f>+U2912*0</f>
        <v>0</v>
      </c>
      <c r="W2912" s="70">
        <f t="shared" ref="W2912:W2913" si="775">+U2912-V2912</f>
        <v>1500</v>
      </c>
      <c r="X2912" s="70">
        <v>0</v>
      </c>
      <c r="Y2912" s="14">
        <f t="shared" si="741"/>
        <v>0</v>
      </c>
      <c r="Z2912" s="11" t="s">
        <v>26</v>
      </c>
      <c r="AA2912" s="12" t="s">
        <v>31</v>
      </c>
    </row>
    <row r="2913" spans="1:27" x14ac:dyDescent="0.25">
      <c r="A2913" s="10">
        <v>45700</v>
      </c>
      <c r="B2913" s="11" t="s">
        <v>5325</v>
      </c>
      <c r="C2913" s="11" t="s">
        <v>5326</v>
      </c>
      <c r="D2913" s="11">
        <v>17452</v>
      </c>
      <c r="E2913" s="11" t="s">
        <v>589</v>
      </c>
      <c r="F2913" s="11" t="s">
        <v>26</v>
      </c>
      <c r="G2913" s="11">
        <v>56917</v>
      </c>
      <c r="H2913" s="12" t="s">
        <v>4423</v>
      </c>
      <c r="I2913" s="12" t="s">
        <v>27</v>
      </c>
      <c r="J2913" s="12" t="s">
        <v>33</v>
      </c>
      <c r="K2913" s="12" t="s">
        <v>34</v>
      </c>
      <c r="L2913" s="13">
        <v>36.94</v>
      </c>
      <c r="M2913" s="13">
        <v>25</v>
      </c>
      <c r="N2913" s="13">
        <f t="shared" si="729"/>
        <v>1.4775999999999998</v>
      </c>
      <c r="O2913" s="13">
        <v>45</v>
      </c>
      <c r="P2913" s="13" t="s">
        <v>30</v>
      </c>
      <c r="Q2913" s="13">
        <v>0</v>
      </c>
      <c r="R2913" s="70">
        <f>+L2913*O2913</f>
        <v>1662.3</v>
      </c>
      <c r="S2913" s="70">
        <v>0</v>
      </c>
      <c r="T2913" s="70">
        <f>+L2913*S2913</f>
        <v>0</v>
      </c>
      <c r="U2913" s="70">
        <f t="shared" si="774"/>
        <v>1662.3</v>
      </c>
      <c r="V2913" s="70">
        <f>+U2913*1</f>
        <v>1662.3</v>
      </c>
      <c r="W2913" s="70">
        <f t="shared" si="775"/>
        <v>0</v>
      </c>
      <c r="X2913" s="70">
        <v>0</v>
      </c>
      <c r="Y2913" s="14">
        <f t="shared" si="741"/>
        <v>0</v>
      </c>
      <c r="Z2913" s="11" t="s">
        <v>26</v>
      </c>
      <c r="AA2913" s="12" t="s">
        <v>31</v>
      </c>
    </row>
    <row r="2914" spans="1:27" x14ac:dyDescent="0.25">
      <c r="A2914" s="10">
        <v>45700</v>
      </c>
      <c r="B2914" s="11" t="s">
        <v>1368</v>
      </c>
      <c r="C2914" s="11" t="s">
        <v>5327</v>
      </c>
      <c r="D2914" s="11">
        <v>17453</v>
      </c>
      <c r="E2914" s="11" t="s">
        <v>489</v>
      </c>
      <c r="F2914" s="11" t="s">
        <v>26</v>
      </c>
      <c r="G2914" s="11">
        <v>77496</v>
      </c>
      <c r="H2914" s="12" t="s">
        <v>4448</v>
      </c>
      <c r="I2914" s="12" t="s">
        <v>55</v>
      </c>
      <c r="J2914" s="12" t="s">
        <v>55</v>
      </c>
      <c r="K2914" s="12" t="s">
        <v>56</v>
      </c>
      <c r="L2914" s="13">
        <v>38.619999999999997</v>
      </c>
      <c r="M2914" s="13">
        <v>25</v>
      </c>
      <c r="N2914" s="13">
        <f t="shared" si="729"/>
        <v>1.5448</v>
      </c>
      <c r="O2914" s="13">
        <v>15</v>
      </c>
      <c r="P2914" s="13" t="s">
        <v>30</v>
      </c>
      <c r="Q2914" s="13">
        <v>0</v>
      </c>
      <c r="R2914" s="70">
        <f>+L2914*O2914</f>
        <v>579.29999999999995</v>
      </c>
      <c r="S2914" s="70">
        <v>0</v>
      </c>
      <c r="T2914" s="70">
        <f>+L2914*S2914</f>
        <v>0</v>
      </c>
      <c r="U2914" s="70">
        <f>+R2914-T2914</f>
        <v>579.29999999999995</v>
      </c>
      <c r="V2914" s="70">
        <f>+U2914*0.75</f>
        <v>434.47499999999997</v>
      </c>
      <c r="W2914" s="70">
        <f>+U2914-V2914</f>
        <v>144.82499999999999</v>
      </c>
      <c r="X2914" s="70">
        <v>0</v>
      </c>
      <c r="Y2914" s="14">
        <f t="shared" si="741"/>
        <v>0</v>
      </c>
      <c r="Z2914" s="11" t="s">
        <v>26</v>
      </c>
      <c r="AA2914" s="12" t="s">
        <v>31</v>
      </c>
    </row>
    <row r="2915" spans="1:27" x14ac:dyDescent="0.25">
      <c r="A2915" s="10">
        <v>45700</v>
      </c>
      <c r="B2915" s="11" t="s">
        <v>302</v>
      </c>
      <c r="C2915" s="11" t="s">
        <v>5328</v>
      </c>
      <c r="D2915" s="11">
        <v>17454</v>
      </c>
      <c r="E2915" s="11" t="s">
        <v>203</v>
      </c>
      <c r="F2915" s="11" t="s">
        <v>26</v>
      </c>
      <c r="G2915" s="11" t="s">
        <v>35</v>
      </c>
      <c r="H2915" s="12" t="s">
        <v>36</v>
      </c>
      <c r="I2915" s="12" t="s">
        <v>55</v>
      </c>
      <c r="J2915" s="12" t="s">
        <v>55</v>
      </c>
      <c r="K2915" s="12" t="s">
        <v>56</v>
      </c>
      <c r="L2915" s="13">
        <v>12.46</v>
      </c>
      <c r="M2915" s="13">
        <v>7</v>
      </c>
      <c r="N2915" s="13">
        <f t="shared" si="729"/>
        <v>1.78</v>
      </c>
      <c r="O2915" s="13">
        <v>20</v>
      </c>
      <c r="P2915" s="13" t="s">
        <v>30</v>
      </c>
      <c r="Q2915" s="13">
        <v>0</v>
      </c>
      <c r="R2915" s="70">
        <f>(L2915*O2915)-Q2915</f>
        <v>249.20000000000002</v>
      </c>
      <c r="S2915" s="70">
        <v>0</v>
      </c>
      <c r="T2915" s="70">
        <f t="shared" ref="T2915" si="776">+L2915*S2915</f>
        <v>0</v>
      </c>
      <c r="U2915" s="70">
        <f t="shared" ref="U2915" si="777">+R2915-T2915</f>
        <v>249.20000000000002</v>
      </c>
      <c r="V2915" s="70">
        <f t="shared" ref="V2915:V2916" si="778">+U2915*0</f>
        <v>0</v>
      </c>
      <c r="W2915" s="70">
        <f t="shared" ref="W2915" si="779">+U2915-V2915</f>
        <v>249.20000000000002</v>
      </c>
      <c r="X2915" s="70">
        <v>0</v>
      </c>
      <c r="Y2915" s="14">
        <f t="shared" si="741"/>
        <v>0</v>
      </c>
      <c r="Z2915" s="11" t="s">
        <v>26</v>
      </c>
      <c r="AA2915" s="12" t="s">
        <v>31</v>
      </c>
    </row>
    <row r="2916" spans="1:27" x14ac:dyDescent="0.25">
      <c r="A2916" s="10">
        <v>45700</v>
      </c>
      <c r="B2916" s="11" t="s">
        <v>5329</v>
      </c>
      <c r="C2916" s="11" t="s">
        <v>5330</v>
      </c>
      <c r="D2916" s="11">
        <v>17455</v>
      </c>
      <c r="E2916" s="11" t="s">
        <v>80</v>
      </c>
      <c r="F2916" s="11" t="s">
        <v>26</v>
      </c>
      <c r="G2916" s="11">
        <v>10683</v>
      </c>
      <c r="H2916" s="12" t="s">
        <v>140</v>
      </c>
      <c r="I2916" s="12" t="s">
        <v>27</v>
      </c>
      <c r="J2916" s="12" t="s">
        <v>33</v>
      </c>
      <c r="K2916" s="12" t="s">
        <v>34</v>
      </c>
      <c r="L2916" s="13">
        <v>40.6</v>
      </c>
      <c r="M2916" s="13">
        <v>28</v>
      </c>
      <c r="N2916" s="13">
        <f t="shared" si="729"/>
        <v>1.45</v>
      </c>
      <c r="O2916" s="13">
        <v>40</v>
      </c>
      <c r="P2916" s="13"/>
      <c r="Q2916" s="13">
        <v>0</v>
      </c>
      <c r="R2916" s="70">
        <f>+L2916*O2916</f>
        <v>1624</v>
      </c>
      <c r="S2916" s="70">
        <v>0</v>
      </c>
      <c r="T2916" s="70">
        <f>+L2916*S2916</f>
        <v>0</v>
      </c>
      <c r="U2916" s="70">
        <f>+R2916-T2916</f>
        <v>1624</v>
      </c>
      <c r="V2916" s="70">
        <f t="shared" si="778"/>
        <v>0</v>
      </c>
      <c r="W2916" s="70">
        <f>+U2916-V2916</f>
        <v>1624</v>
      </c>
      <c r="X2916" s="70">
        <v>0</v>
      </c>
      <c r="Y2916" s="14">
        <f t="shared" si="741"/>
        <v>0</v>
      </c>
      <c r="Z2916" s="11" t="s">
        <v>26</v>
      </c>
      <c r="AA2916" s="12" t="s">
        <v>31</v>
      </c>
    </row>
    <row r="2917" spans="1:27" x14ac:dyDescent="0.25">
      <c r="A2917" s="10">
        <v>45700</v>
      </c>
      <c r="B2917" s="11" t="s">
        <v>5331</v>
      </c>
      <c r="C2917" s="11" t="s">
        <v>5332</v>
      </c>
      <c r="D2917" s="11">
        <v>17456</v>
      </c>
      <c r="E2917" s="11" t="s">
        <v>570</v>
      </c>
      <c r="F2917" s="11" t="s">
        <v>26</v>
      </c>
      <c r="G2917" s="11" t="s">
        <v>26</v>
      </c>
      <c r="H2917" s="12" t="s">
        <v>4422</v>
      </c>
      <c r="I2917" s="12" t="s">
        <v>27</v>
      </c>
      <c r="J2917" s="12" t="s">
        <v>47</v>
      </c>
      <c r="K2917" s="12" t="s">
        <v>48</v>
      </c>
      <c r="L2917" s="13">
        <v>40.86</v>
      </c>
      <c r="M2917" s="13">
        <v>28</v>
      </c>
      <c r="N2917" s="13">
        <f t="shared" si="729"/>
        <v>1.4592857142857143</v>
      </c>
      <c r="O2917" s="13">
        <v>87</v>
      </c>
      <c r="P2917" s="13" t="s">
        <v>30</v>
      </c>
      <c r="Q2917" s="13">
        <v>0</v>
      </c>
      <c r="R2917" s="70">
        <f>L2917*O2917</f>
        <v>3554.82</v>
      </c>
      <c r="S2917" s="70">
        <v>38</v>
      </c>
      <c r="T2917" s="70">
        <f>L2917*S2917</f>
        <v>1552.68</v>
      </c>
      <c r="U2917" s="70">
        <f>R2917-T2917</f>
        <v>2002.14</v>
      </c>
      <c r="V2917" s="70">
        <f>U2917*1</f>
        <v>2002.14</v>
      </c>
      <c r="W2917" s="70">
        <f>U2917-V2917</f>
        <v>0</v>
      </c>
      <c r="X2917" s="70">
        <f>L2917*36</f>
        <v>1470.96</v>
      </c>
      <c r="Y2917" s="71">
        <f>+T2917-X2917</f>
        <v>81.720000000000027</v>
      </c>
      <c r="Z2917" s="12" t="s">
        <v>140</v>
      </c>
      <c r="AA2917" s="12" t="s">
        <v>78</v>
      </c>
    </row>
    <row r="2918" spans="1:27" x14ac:dyDescent="0.25">
      <c r="A2918" s="10">
        <v>45700</v>
      </c>
      <c r="B2918" s="11" t="s">
        <v>5333</v>
      </c>
      <c r="C2918" s="11" t="s">
        <v>5334</v>
      </c>
      <c r="D2918" s="11">
        <v>17457</v>
      </c>
      <c r="E2918" s="11" t="s">
        <v>435</v>
      </c>
      <c r="F2918" s="11" t="s">
        <v>26</v>
      </c>
      <c r="G2918" s="11">
        <v>2779</v>
      </c>
      <c r="H2918" s="12" t="s">
        <v>41</v>
      </c>
      <c r="I2918" s="12" t="s">
        <v>55</v>
      </c>
      <c r="J2918" s="12" t="s">
        <v>55</v>
      </c>
      <c r="K2918" s="12" t="s">
        <v>56</v>
      </c>
      <c r="L2918" s="13">
        <v>39.659999999999997</v>
      </c>
      <c r="M2918" s="13">
        <v>24</v>
      </c>
      <c r="N2918" s="13">
        <f t="shared" si="729"/>
        <v>1.6524999999999999</v>
      </c>
      <c r="O2918" s="13" t="s">
        <v>30</v>
      </c>
      <c r="P2918" s="13">
        <v>24</v>
      </c>
      <c r="Q2918" s="13">
        <v>0</v>
      </c>
      <c r="R2918" s="70">
        <f>+M2918*P2918</f>
        <v>576</v>
      </c>
      <c r="S2918" s="70">
        <v>0</v>
      </c>
      <c r="T2918" s="70">
        <f>+M2918*S2918</f>
        <v>0</v>
      </c>
      <c r="U2918" s="70">
        <f t="shared" ref="U2918:U2919" si="780">+R2918-T2918</f>
        <v>576</v>
      </c>
      <c r="V2918" s="70">
        <f>+U2918*0</f>
        <v>0</v>
      </c>
      <c r="W2918" s="70">
        <f t="shared" ref="W2918:W2919" si="781">+U2918-V2918</f>
        <v>576</v>
      </c>
      <c r="X2918" s="70">
        <v>0</v>
      </c>
      <c r="Y2918" s="14">
        <f t="shared" ref="Y2918:Y2921" si="782">T2918-X2918</f>
        <v>0</v>
      </c>
      <c r="Z2918" s="11" t="s">
        <v>26</v>
      </c>
      <c r="AA2918" s="12" t="s">
        <v>31</v>
      </c>
    </row>
    <row r="2919" spans="1:27" x14ac:dyDescent="0.25">
      <c r="A2919" s="10">
        <v>45700</v>
      </c>
      <c r="B2919" s="11" t="s">
        <v>5335</v>
      </c>
      <c r="C2919" s="11" t="s">
        <v>5336</v>
      </c>
      <c r="D2919" s="11">
        <v>17458</v>
      </c>
      <c r="E2919" s="11" t="s">
        <v>40</v>
      </c>
      <c r="F2919" s="11" t="s">
        <v>26</v>
      </c>
      <c r="G2919" s="11">
        <v>3268</v>
      </c>
      <c r="H2919" s="12" t="s">
        <v>41</v>
      </c>
      <c r="I2919" s="12" t="s">
        <v>55</v>
      </c>
      <c r="J2919" s="12" t="s">
        <v>55</v>
      </c>
      <c r="K2919" s="12" t="s">
        <v>56</v>
      </c>
      <c r="L2919" s="13">
        <v>38.159999999999997</v>
      </c>
      <c r="M2919" s="13">
        <v>23</v>
      </c>
      <c r="N2919" s="13">
        <f t="shared" si="729"/>
        <v>1.6591304347826086</v>
      </c>
      <c r="O2919" s="13" t="s">
        <v>30</v>
      </c>
      <c r="P2919" s="13">
        <v>24</v>
      </c>
      <c r="Q2919" s="13">
        <v>0</v>
      </c>
      <c r="R2919" s="70">
        <f>+M2919*P2919</f>
        <v>552</v>
      </c>
      <c r="S2919" s="70">
        <v>0</v>
      </c>
      <c r="T2919" s="70">
        <f>+M2919*S2919</f>
        <v>0</v>
      </c>
      <c r="U2919" s="70">
        <f t="shared" si="780"/>
        <v>552</v>
      </c>
      <c r="V2919" s="70">
        <f>+U2919*0</f>
        <v>0</v>
      </c>
      <c r="W2919" s="70">
        <f t="shared" si="781"/>
        <v>552</v>
      </c>
      <c r="X2919" s="70">
        <v>0</v>
      </c>
      <c r="Y2919" s="14">
        <f t="shared" si="782"/>
        <v>0</v>
      </c>
      <c r="Z2919" s="11" t="s">
        <v>26</v>
      </c>
      <c r="AA2919" s="12" t="s">
        <v>31</v>
      </c>
    </row>
    <row r="2920" spans="1:27" x14ac:dyDescent="0.25">
      <c r="A2920" s="10">
        <v>45700</v>
      </c>
      <c r="B2920" s="11" t="s">
        <v>5337</v>
      </c>
      <c r="C2920" s="11" t="s">
        <v>5338</v>
      </c>
      <c r="D2920" s="11">
        <v>17459</v>
      </c>
      <c r="E2920" s="11" t="s">
        <v>75</v>
      </c>
      <c r="F2920" s="11" t="s">
        <v>26</v>
      </c>
      <c r="G2920" s="11">
        <v>40652</v>
      </c>
      <c r="H2920" s="12" t="s">
        <v>565</v>
      </c>
      <c r="I2920" s="12" t="s">
        <v>55</v>
      </c>
      <c r="J2920" s="12" t="s">
        <v>55</v>
      </c>
      <c r="K2920" s="12" t="s">
        <v>56</v>
      </c>
      <c r="L2920" s="13">
        <v>41.62</v>
      </c>
      <c r="M2920" s="13">
        <v>25</v>
      </c>
      <c r="N2920" s="13">
        <f t="shared" si="729"/>
        <v>1.6647999999999998</v>
      </c>
      <c r="O2920" s="13"/>
      <c r="P2920" s="13">
        <v>24</v>
      </c>
      <c r="Q2920" s="13">
        <v>0</v>
      </c>
      <c r="R2920" s="70">
        <f>M2920*P2920</f>
        <v>600</v>
      </c>
      <c r="S2920" s="70">
        <v>0</v>
      </c>
      <c r="T2920" s="70">
        <f>M2920*S2920</f>
        <v>0</v>
      </c>
      <c r="U2920" s="70">
        <f t="shared" ref="U2920" si="783">R2920-T2920</f>
        <v>600</v>
      </c>
      <c r="V2920" s="70">
        <f>U2920*0</f>
        <v>0</v>
      </c>
      <c r="W2920" s="70">
        <f>+U2920-V2920</f>
        <v>600</v>
      </c>
      <c r="X2920" s="70">
        <v>0</v>
      </c>
      <c r="Y2920" s="14">
        <f t="shared" si="782"/>
        <v>0</v>
      </c>
      <c r="Z2920" s="11" t="s">
        <v>26</v>
      </c>
      <c r="AA2920" s="12" t="s">
        <v>31</v>
      </c>
    </row>
    <row r="2921" spans="1:27" x14ac:dyDescent="0.25">
      <c r="A2921" s="10">
        <v>45700</v>
      </c>
      <c r="B2921" s="11" t="s">
        <v>5339</v>
      </c>
      <c r="C2921" s="11" t="s">
        <v>5340</v>
      </c>
      <c r="D2921" s="11">
        <v>17460</v>
      </c>
      <c r="E2921" s="11" t="s">
        <v>205</v>
      </c>
      <c r="F2921" s="11" t="s">
        <v>26</v>
      </c>
      <c r="G2921" s="11" t="s">
        <v>35</v>
      </c>
      <c r="H2921" s="12" t="s">
        <v>36</v>
      </c>
      <c r="I2921" s="12" t="s">
        <v>55</v>
      </c>
      <c r="J2921" s="12" t="s">
        <v>55</v>
      </c>
      <c r="K2921" s="12" t="s">
        <v>56</v>
      </c>
      <c r="L2921" s="13">
        <v>9.68</v>
      </c>
      <c r="M2921" s="13">
        <v>6</v>
      </c>
      <c r="N2921" s="13">
        <f t="shared" si="729"/>
        <v>1.6133333333333333</v>
      </c>
      <c r="O2921" s="13">
        <v>20</v>
      </c>
      <c r="P2921" s="13" t="s">
        <v>30</v>
      </c>
      <c r="Q2921" s="13">
        <v>0</v>
      </c>
      <c r="R2921" s="70">
        <f>(L2921*O2921)-Q2921</f>
        <v>193.6</v>
      </c>
      <c r="S2921" s="70">
        <v>0</v>
      </c>
      <c r="T2921" s="70">
        <f t="shared" ref="T2921:T2922" si="784">+L2921*S2921</f>
        <v>0</v>
      </c>
      <c r="U2921" s="70">
        <f t="shared" ref="U2921:U2922" si="785">+R2921-T2921</f>
        <v>193.6</v>
      </c>
      <c r="V2921" s="70">
        <f t="shared" ref="V2921" si="786">+U2921*0</f>
        <v>0</v>
      </c>
      <c r="W2921" s="70">
        <f t="shared" ref="W2921:W2922" si="787">+U2921-V2921</f>
        <v>193.6</v>
      </c>
      <c r="X2921" s="70">
        <v>0</v>
      </c>
      <c r="Y2921" s="14">
        <f t="shared" si="782"/>
        <v>0</v>
      </c>
      <c r="Z2921" s="11" t="s">
        <v>26</v>
      </c>
      <c r="AA2921" s="12" t="s">
        <v>31</v>
      </c>
    </row>
    <row r="2922" spans="1:27" x14ac:dyDescent="0.25">
      <c r="A2922" s="10">
        <v>45700</v>
      </c>
      <c r="B2922" s="11" t="s">
        <v>5341</v>
      </c>
      <c r="C2922" s="11" t="s">
        <v>5342</v>
      </c>
      <c r="D2922" s="11">
        <v>17461</v>
      </c>
      <c r="E2922" s="11" t="s">
        <v>60</v>
      </c>
      <c r="F2922" s="11" t="s">
        <v>26</v>
      </c>
      <c r="G2922" s="11" t="s">
        <v>35</v>
      </c>
      <c r="H2922" s="12" t="s">
        <v>36</v>
      </c>
      <c r="I2922" s="12" t="s">
        <v>27</v>
      </c>
      <c r="J2922" s="12" t="s">
        <v>42</v>
      </c>
      <c r="K2922" s="12" t="s">
        <v>43</v>
      </c>
      <c r="L2922" s="13">
        <v>5.94</v>
      </c>
      <c r="M2922" s="13">
        <v>4</v>
      </c>
      <c r="N2922" s="13">
        <f t="shared" si="729"/>
        <v>1.4850000000000001</v>
      </c>
      <c r="O2922" s="13">
        <v>45</v>
      </c>
      <c r="P2922" s="13" t="s">
        <v>30</v>
      </c>
      <c r="Q2922" s="13">
        <v>0</v>
      </c>
      <c r="R2922" s="70">
        <f>(L2922*O2922)-Q2922</f>
        <v>267.3</v>
      </c>
      <c r="S2922" s="70">
        <v>0</v>
      </c>
      <c r="T2922" s="70">
        <f t="shared" si="784"/>
        <v>0</v>
      </c>
      <c r="U2922" s="70">
        <f t="shared" si="785"/>
        <v>267.3</v>
      </c>
      <c r="V2922" s="70">
        <f>+U2922*0</f>
        <v>0</v>
      </c>
      <c r="W2922" s="70">
        <f t="shared" si="787"/>
        <v>267.3</v>
      </c>
      <c r="X2922" s="70">
        <v>0</v>
      </c>
      <c r="Y2922" s="14">
        <f>T2922-X2922</f>
        <v>0</v>
      </c>
      <c r="Z2922" s="11" t="s">
        <v>26</v>
      </c>
      <c r="AA2922" s="12" t="s">
        <v>31</v>
      </c>
    </row>
    <row r="2923" spans="1:27" x14ac:dyDescent="0.25">
      <c r="A2923" s="10">
        <v>45700</v>
      </c>
      <c r="B2923" s="11" t="s">
        <v>5343</v>
      </c>
      <c r="C2923" s="11" t="s">
        <v>5344</v>
      </c>
      <c r="D2923" s="11">
        <v>17462</v>
      </c>
      <c r="E2923" s="11" t="s">
        <v>57</v>
      </c>
      <c r="F2923" s="11" t="s">
        <v>26</v>
      </c>
      <c r="G2923" s="11" t="s">
        <v>26</v>
      </c>
      <c r="H2923" s="12" t="s">
        <v>146</v>
      </c>
      <c r="I2923" s="12" t="s">
        <v>27</v>
      </c>
      <c r="J2923" s="12" t="s">
        <v>33</v>
      </c>
      <c r="K2923" s="12" t="s">
        <v>34</v>
      </c>
      <c r="L2923" s="13">
        <v>44.3</v>
      </c>
      <c r="M2923" s="13">
        <v>30</v>
      </c>
      <c r="N2923" s="13">
        <f t="shared" si="729"/>
        <v>1.4766666666666666</v>
      </c>
      <c r="O2923" s="13">
        <v>91</v>
      </c>
      <c r="P2923" s="13" t="s">
        <v>30</v>
      </c>
      <c r="Q2923" s="13">
        <v>0</v>
      </c>
      <c r="R2923" s="70">
        <f>+L2923*O2923</f>
        <v>4031.2999999999997</v>
      </c>
      <c r="S2923" s="70">
        <v>40</v>
      </c>
      <c r="T2923" s="70">
        <f>L2923*S2923</f>
        <v>1772</v>
      </c>
      <c r="U2923" s="70">
        <f t="shared" ref="U2923" si="788">R2923-T2923</f>
        <v>2259.2999999999997</v>
      </c>
      <c r="V2923" s="70">
        <f>U2923*1</f>
        <v>2259.2999999999997</v>
      </c>
      <c r="W2923" s="70">
        <f t="shared" ref="W2923" si="789">U2923-V2923</f>
        <v>0</v>
      </c>
      <c r="X2923" s="70">
        <f>L2923*37</f>
        <v>1639.1</v>
      </c>
      <c r="Y2923" s="71">
        <f>+T2923-X2923</f>
        <v>132.90000000000009</v>
      </c>
      <c r="Z2923" s="12" t="s">
        <v>41</v>
      </c>
      <c r="AA2923" s="12" t="s">
        <v>79</v>
      </c>
    </row>
    <row r="2924" spans="1:27" x14ac:dyDescent="0.25">
      <c r="A2924" s="10">
        <v>45700</v>
      </c>
      <c r="B2924" s="11" t="s">
        <v>5345</v>
      </c>
      <c r="C2924" s="11" t="s">
        <v>5346</v>
      </c>
      <c r="D2924" s="11">
        <v>17463</v>
      </c>
      <c r="E2924" s="11" t="s">
        <v>2109</v>
      </c>
      <c r="F2924" s="11" t="s">
        <v>26</v>
      </c>
      <c r="G2924" s="11">
        <v>10625</v>
      </c>
      <c r="H2924" s="12" t="s">
        <v>140</v>
      </c>
      <c r="I2924" s="12" t="s">
        <v>27</v>
      </c>
      <c r="J2924" s="12" t="s">
        <v>42</v>
      </c>
      <c r="K2924" s="12" t="s">
        <v>43</v>
      </c>
      <c r="L2924" s="13">
        <v>42.92</v>
      </c>
      <c r="M2924" s="13">
        <v>25</v>
      </c>
      <c r="N2924" s="13">
        <f t="shared" si="729"/>
        <v>1.7168000000000001</v>
      </c>
      <c r="O2924" s="13">
        <v>35</v>
      </c>
      <c r="P2924" s="13"/>
      <c r="Q2924" s="13">
        <v>0</v>
      </c>
      <c r="R2924" s="70">
        <f>+L2924*O2924</f>
        <v>1502.2</v>
      </c>
      <c r="S2924" s="70">
        <v>0</v>
      </c>
      <c r="T2924" s="70">
        <f>+L2924*S2924</f>
        <v>0</v>
      </c>
      <c r="U2924" s="70">
        <f>+R2924-T2924</f>
        <v>1502.2</v>
      </c>
      <c r="V2924" s="70">
        <f t="shared" ref="V2924:V2926" si="790">+U2924*0</f>
        <v>0</v>
      </c>
      <c r="W2924" s="70">
        <f>+U2924-V2924</f>
        <v>1502.2</v>
      </c>
      <c r="X2924" s="70">
        <v>0</v>
      </c>
      <c r="Y2924" s="14">
        <f t="shared" ref="Y2924:Y2926" si="791">T2924-X2924</f>
        <v>0</v>
      </c>
      <c r="Z2924" s="11" t="s">
        <v>26</v>
      </c>
      <c r="AA2924" s="12" t="s">
        <v>31</v>
      </c>
    </row>
    <row r="2925" spans="1:27" x14ac:dyDescent="0.25">
      <c r="A2925" s="10">
        <v>45700</v>
      </c>
      <c r="B2925" s="11" t="s">
        <v>5347</v>
      </c>
      <c r="C2925" s="11" t="s">
        <v>5348</v>
      </c>
      <c r="D2925" s="11">
        <v>17464</v>
      </c>
      <c r="E2925" s="11" t="s">
        <v>5349</v>
      </c>
      <c r="F2925" s="11" t="s">
        <v>26</v>
      </c>
      <c r="G2925" s="11" t="s">
        <v>35</v>
      </c>
      <c r="H2925" s="12" t="s">
        <v>36</v>
      </c>
      <c r="I2925" s="12" t="s">
        <v>27</v>
      </c>
      <c r="J2925" s="12" t="s">
        <v>33</v>
      </c>
      <c r="K2925" s="12" t="s">
        <v>34</v>
      </c>
      <c r="L2925" s="13">
        <v>20.46</v>
      </c>
      <c r="M2925" s="13">
        <v>14</v>
      </c>
      <c r="N2925" s="13">
        <f t="shared" si="729"/>
        <v>1.4614285714285715</v>
      </c>
      <c r="O2925" s="13">
        <v>50</v>
      </c>
      <c r="P2925" s="13" t="s">
        <v>30</v>
      </c>
      <c r="Q2925" s="13">
        <v>0</v>
      </c>
      <c r="R2925" s="70">
        <f>(L2925*O2925)-Q2925</f>
        <v>1023</v>
      </c>
      <c r="S2925" s="70">
        <v>0</v>
      </c>
      <c r="T2925" s="70">
        <f t="shared" ref="T2925:T2927" si="792">+L2925*S2925</f>
        <v>0</v>
      </c>
      <c r="U2925" s="70">
        <f t="shared" ref="U2925:U2927" si="793">+R2925-T2925</f>
        <v>1023</v>
      </c>
      <c r="V2925" s="70">
        <f t="shared" si="790"/>
        <v>0</v>
      </c>
      <c r="W2925" s="70">
        <f t="shared" ref="W2925:W2927" si="794">+U2925-V2925</f>
        <v>1023</v>
      </c>
      <c r="X2925" s="70">
        <v>0</v>
      </c>
      <c r="Y2925" s="14">
        <f t="shared" si="791"/>
        <v>0</v>
      </c>
      <c r="Z2925" s="11" t="s">
        <v>26</v>
      </c>
      <c r="AA2925" s="12" t="s">
        <v>31</v>
      </c>
    </row>
    <row r="2926" spans="1:27" x14ac:dyDescent="0.25">
      <c r="A2926" s="10">
        <v>45700</v>
      </c>
      <c r="B2926" s="11" t="s">
        <v>5350</v>
      </c>
      <c r="C2926" s="11" t="s">
        <v>5351</v>
      </c>
      <c r="D2926" s="11">
        <v>17465</v>
      </c>
      <c r="E2926" s="11" t="s">
        <v>203</v>
      </c>
      <c r="F2926" s="11" t="s">
        <v>26</v>
      </c>
      <c r="G2926" s="11" t="s">
        <v>35</v>
      </c>
      <c r="H2926" s="12" t="s">
        <v>36</v>
      </c>
      <c r="I2926" s="12" t="s">
        <v>55</v>
      </c>
      <c r="J2926" s="12" t="s">
        <v>55</v>
      </c>
      <c r="K2926" s="12" t="s">
        <v>56</v>
      </c>
      <c r="L2926" s="13">
        <v>11.76</v>
      </c>
      <c r="M2926" s="13">
        <v>7</v>
      </c>
      <c r="N2926" s="13">
        <f t="shared" si="729"/>
        <v>1.68</v>
      </c>
      <c r="O2926" s="13">
        <v>20</v>
      </c>
      <c r="P2926" s="13" t="s">
        <v>30</v>
      </c>
      <c r="Q2926" s="13">
        <v>0</v>
      </c>
      <c r="R2926" s="70">
        <f>(L2926*O2926)-Q2926</f>
        <v>235.2</v>
      </c>
      <c r="S2926" s="70">
        <v>0</v>
      </c>
      <c r="T2926" s="70">
        <f t="shared" si="792"/>
        <v>0</v>
      </c>
      <c r="U2926" s="70">
        <f t="shared" si="793"/>
        <v>235.2</v>
      </c>
      <c r="V2926" s="70">
        <f t="shared" si="790"/>
        <v>0</v>
      </c>
      <c r="W2926" s="70">
        <f t="shared" si="794"/>
        <v>235.2</v>
      </c>
      <c r="X2926" s="70">
        <v>0</v>
      </c>
      <c r="Y2926" s="14">
        <f t="shared" si="791"/>
        <v>0</v>
      </c>
      <c r="Z2926" s="11" t="s">
        <v>26</v>
      </c>
      <c r="AA2926" s="12" t="s">
        <v>31</v>
      </c>
    </row>
    <row r="2927" spans="1:27" x14ac:dyDescent="0.25">
      <c r="A2927" s="10">
        <v>45700</v>
      </c>
      <c r="B2927" s="11" t="s">
        <v>5352</v>
      </c>
      <c r="C2927" s="11" t="s">
        <v>5353</v>
      </c>
      <c r="D2927" s="11">
        <v>17466</v>
      </c>
      <c r="E2927" s="11" t="s">
        <v>61</v>
      </c>
      <c r="F2927" s="11" t="s">
        <v>26</v>
      </c>
      <c r="G2927" s="11" t="s">
        <v>35</v>
      </c>
      <c r="H2927" s="12" t="s">
        <v>36</v>
      </c>
      <c r="I2927" s="12" t="s">
        <v>27</v>
      </c>
      <c r="J2927" s="12" t="s">
        <v>42</v>
      </c>
      <c r="K2927" s="12" t="s">
        <v>43</v>
      </c>
      <c r="L2927" s="13">
        <v>6.72</v>
      </c>
      <c r="M2927" s="13">
        <v>4</v>
      </c>
      <c r="N2927" s="13">
        <f t="shared" si="729"/>
        <v>1.68</v>
      </c>
      <c r="O2927" s="13">
        <v>45</v>
      </c>
      <c r="P2927" s="13" t="s">
        <v>30</v>
      </c>
      <c r="Q2927" s="13">
        <v>0</v>
      </c>
      <c r="R2927" s="70">
        <f>(L2927*O2927)-Q2927</f>
        <v>302.39999999999998</v>
      </c>
      <c r="S2927" s="70">
        <v>0</v>
      </c>
      <c r="T2927" s="70">
        <f t="shared" si="792"/>
        <v>0</v>
      </c>
      <c r="U2927" s="70">
        <f t="shared" si="793"/>
        <v>302.39999999999998</v>
      </c>
      <c r="V2927" s="70">
        <f>+U2927*0</f>
        <v>0</v>
      </c>
      <c r="W2927" s="70">
        <f t="shared" si="794"/>
        <v>302.39999999999998</v>
      </c>
      <c r="X2927" s="70">
        <v>0</v>
      </c>
      <c r="Y2927" s="14">
        <f>T2927-X2927</f>
        <v>0</v>
      </c>
      <c r="Z2927" s="11" t="s">
        <v>26</v>
      </c>
      <c r="AA2927" s="12" t="s">
        <v>31</v>
      </c>
    </row>
    <row r="2928" spans="1:27" x14ac:dyDescent="0.25">
      <c r="A2928" s="10">
        <v>45700</v>
      </c>
      <c r="B2928" s="11" t="s">
        <v>5354</v>
      </c>
      <c r="C2928" s="11" t="s">
        <v>5355</v>
      </c>
      <c r="D2928" s="11">
        <v>17467</v>
      </c>
      <c r="E2928" s="11" t="s">
        <v>505</v>
      </c>
      <c r="F2928" s="11" t="s">
        <v>26</v>
      </c>
      <c r="G2928" s="11">
        <v>1262</v>
      </c>
      <c r="H2928" s="12" t="s">
        <v>141</v>
      </c>
      <c r="I2928" s="12" t="s">
        <v>55</v>
      </c>
      <c r="J2928" s="12" t="s">
        <v>55</v>
      </c>
      <c r="K2928" s="12" t="s">
        <v>56</v>
      </c>
      <c r="L2928" s="13">
        <v>39.24</v>
      </c>
      <c r="M2928" s="13">
        <v>24</v>
      </c>
      <c r="N2928" s="13">
        <f t="shared" si="729"/>
        <v>1.635</v>
      </c>
      <c r="O2928" s="13">
        <v>15</v>
      </c>
      <c r="P2928" s="13" t="s">
        <v>30</v>
      </c>
      <c r="Q2928" s="13">
        <v>0</v>
      </c>
      <c r="R2928" s="70">
        <f>L2928*O2928</f>
        <v>588.6</v>
      </c>
      <c r="S2928" s="70">
        <v>0</v>
      </c>
      <c r="T2928" s="70">
        <f>L2928*S2928</f>
        <v>0</v>
      </c>
      <c r="U2928" s="70">
        <f>R2928-T2928</f>
        <v>588.6</v>
      </c>
      <c r="V2928" s="70">
        <f>U2928*0</f>
        <v>0</v>
      </c>
      <c r="W2928" s="70">
        <f>U2928-V2928</f>
        <v>588.6</v>
      </c>
      <c r="X2928" s="70">
        <v>0</v>
      </c>
      <c r="Y2928" s="14">
        <f t="shared" ref="Y2928" si="795">T2928-X2928</f>
        <v>0</v>
      </c>
      <c r="Z2928" s="11" t="s">
        <v>26</v>
      </c>
      <c r="AA2928" s="12" t="s">
        <v>31</v>
      </c>
    </row>
    <row r="2929" spans="1:27" x14ac:dyDescent="0.25">
      <c r="A2929" s="10">
        <v>45700</v>
      </c>
      <c r="B2929" s="11" t="s">
        <v>5356</v>
      </c>
      <c r="C2929" s="11" t="s">
        <v>5357</v>
      </c>
      <c r="D2929" s="11">
        <v>17468</v>
      </c>
      <c r="E2929" s="11" t="s">
        <v>240</v>
      </c>
      <c r="F2929" s="11" t="s">
        <v>26</v>
      </c>
      <c r="G2929" s="11" t="s">
        <v>26</v>
      </c>
      <c r="H2929" s="12" t="s">
        <v>146</v>
      </c>
      <c r="I2929" s="12" t="s">
        <v>27</v>
      </c>
      <c r="J2929" s="12" t="s">
        <v>47</v>
      </c>
      <c r="K2929" s="12" t="s">
        <v>48</v>
      </c>
      <c r="L2929" s="13">
        <v>40.18</v>
      </c>
      <c r="M2929" s="13">
        <v>28</v>
      </c>
      <c r="N2929" s="13">
        <f t="shared" si="729"/>
        <v>1.4350000000000001</v>
      </c>
      <c r="O2929" s="13">
        <v>91</v>
      </c>
      <c r="P2929" s="13" t="s">
        <v>30</v>
      </c>
      <c r="Q2929" s="13">
        <v>0</v>
      </c>
      <c r="R2929" s="70">
        <f>+L2929*O2929</f>
        <v>3656.38</v>
      </c>
      <c r="S2929" s="70">
        <v>40</v>
      </c>
      <c r="T2929" s="70">
        <f>L2929*S2929</f>
        <v>1607.2</v>
      </c>
      <c r="U2929" s="70">
        <f t="shared" ref="U2929" si="796">R2929-T2929</f>
        <v>2049.1800000000003</v>
      </c>
      <c r="V2929" s="70">
        <f>U2929*1</f>
        <v>2049.1800000000003</v>
      </c>
      <c r="W2929" s="70">
        <f t="shared" ref="W2929" si="797">U2929-V2929</f>
        <v>0</v>
      </c>
      <c r="X2929" s="70">
        <f>L2929*37</f>
        <v>1486.66</v>
      </c>
      <c r="Y2929" s="71">
        <f>+T2929-X2929</f>
        <v>120.53999999999996</v>
      </c>
      <c r="Z2929" s="12" t="s">
        <v>41</v>
      </c>
      <c r="AA2929" s="12" t="s">
        <v>79</v>
      </c>
    </row>
    <row r="2930" spans="1:27" x14ac:dyDescent="0.25">
      <c r="A2930" s="10">
        <v>45700</v>
      </c>
      <c r="B2930" s="11" t="s">
        <v>5358</v>
      </c>
      <c r="C2930" s="11" t="s">
        <v>5359</v>
      </c>
      <c r="D2930" s="11">
        <v>17469</v>
      </c>
      <c r="E2930" s="11" t="s">
        <v>4323</v>
      </c>
      <c r="F2930" s="11" t="s">
        <v>26</v>
      </c>
      <c r="G2930" s="11">
        <v>2959</v>
      </c>
      <c r="H2930" s="12" t="s">
        <v>4442</v>
      </c>
      <c r="I2930" s="12" t="s">
        <v>27</v>
      </c>
      <c r="J2930" s="12" t="s">
        <v>33</v>
      </c>
      <c r="K2930" s="12" t="s">
        <v>34</v>
      </c>
      <c r="L2930" s="13">
        <v>39.979999999999997</v>
      </c>
      <c r="M2930" s="13">
        <v>27</v>
      </c>
      <c r="N2930" s="13">
        <f t="shared" si="729"/>
        <v>1.4807407407407407</v>
      </c>
      <c r="O2930" s="13">
        <v>42</v>
      </c>
      <c r="P2930" s="13" t="s">
        <v>30</v>
      </c>
      <c r="Q2930" s="13">
        <v>0</v>
      </c>
      <c r="R2930" s="70">
        <f>L2930*O2930</f>
        <v>1679.1599999999999</v>
      </c>
      <c r="S2930" s="70">
        <v>0</v>
      </c>
      <c r="T2930" s="70">
        <f>L2930*S2930</f>
        <v>0</v>
      </c>
      <c r="U2930" s="70">
        <f>R2930-T2930</f>
        <v>1679.1599999999999</v>
      </c>
      <c r="V2930" s="70">
        <f>U2930*1</f>
        <v>1679.1599999999999</v>
      </c>
      <c r="W2930" s="70">
        <f>U2930-V2930</f>
        <v>0</v>
      </c>
      <c r="X2930" s="70">
        <v>0</v>
      </c>
      <c r="Y2930" s="71">
        <f>T2930-X2930</f>
        <v>0</v>
      </c>
      <c r="Z2930" s="11" t="s">
        <v>26</v>
      </c>
      <c r="AA2930" s="12" t="s">
        <v>31</v>
      </c>
    </row>
    <row r="2931" spans="1:27" x14ac:dyDescent="0.25">
      <c r="A2931" s="10">
        <v>45700</v>
      </c>
      <c r="B2931" s="11" t="s">
        <v>4334</v>
      </c>
      <c r="C2931" s="11" t="s">
        <v>5360</v>
      </c>
      <c r="D2931" s="11">
        <v>17470</v>
      </c>
      <c r="E2931" s="11" t="s">
        <v>184</v>
      </c>
      <c r="F2931" s="11" t="s">
        <v>26</v>
      </c>
      <c r="G2931" s="11">
        <v>1012</v>
      </c>
      <c r="H2931" s="12" t="s">
        <v>141</v>
      </c>
      <c r="I2931" s="12" t="s">
        <v>27</v>
      </c>
      <c r="J2931" s="12" t="s">
        <v>42</v>
      </c>
      <c r="K2931" s="12" t="s">
        <v>43</v>
      </c>
      <c r="L2931" s="13">
        <v>42.94</v>
      </c>
      <c r="M2931" s="13">
        <v>25</v>
      </c>
      <c r="N2931" s="13">
        <f t="shared" ref="N2931:N2938" si="798">L2931/M2931</f>
        <v>1.7176</v>
      </c>
      <c r="O2931" s="13">
        <v>40</v>
      </c>
      <c r="P2931" s="13" t="s">
        <v>30</v>
      </c>
      <c r="Q2931" s="13">
        <v>0</v>
      </c>
      <c r="R2931" s="70">
        <f>L2931*O2931</f>
        <v>1717.6</v>
      </c>
      <c r="S2931" s="70">
        <v>0</v>
      </c>
      <c r="T2931" s="70">
        <f>L2931*S2931</f>
        <v>0</v>
      </c>
      <c r="U2931" s="70">
        <f>R2931-T2931</f>
        <v>1717.6</v>
      </c>
      <c r="V2931" s="70">
        <f>U2931*0</f>
        <v>0</v>
      </c>
      <c r="W2931" s="70">
        <f>U2931-V2931</f>
        <v>1717.6</v>
      </c>
      <c r="X2931" s="70">
        <v>0</v>
      </c>
      <c r="Y2931" s="14">
        <f t="shared" ref="Y2931" si="799">T2931-X2931</f>
        <v>0</v>
      </c>
      <c r="Z2931" s="11" t="s">
        <v>26</v>
      </c>
      <c r="AA2931" s="12" t="s">
        <v>31</v>
      </c>
    </row>
    <row r="2932" spans="1:27" x14ac:dyDescent="0.25">
      <c r="A2932" s="10">
        <v>45700</v>
      </c>
      <c r="B2932" s="11" t="s">
        <v>5361</v>
      </c>
      <c r="C2932" s="11" t="s">
        <v>5362</v>
      </c>
      <c r="D2932" s="11">
        <v>17471</v>
      </c>
      <c r="E2932" s="11" t="s">
        <v>3637</v>
      </c>
      <c r="F2932" s="11" t="s">
        <v>26</v>
      </c>
      <c r="G2932" s="11" t="s">
        <v>35</v>
      </c>
      <c r="H2932" s="12" t="s">
        <v>36</v>
      </c>
      <c r="I2932" s="12" t="s">
        <v>27</v>
      </c>
      <c r="J2932" s="12" t="s">
        <v>42</v>
      </c>
      <c r="K2932" s="12" t="s">
        <v>43</v>
      </c>
      <c r="L2932" s="13">
        <v>9.3000000000000007</v>
      </c>
      <c r="M2932" s="13">
        <v>6</v>
      </c>
      <c r="N2932" s="13">
        <f t="shared" si="798"/>
        <v>1.55</v>
      </c>
      <c r="O2932" s="13">
        <v>45</v>
      </c>
      <c r="P2932" s="13" t="s">
        <v>30</v>
      </c>
      <c r="Q2932" s="13">
        <v>0</v>
      </c>
      <c r="R2932" s="70">
        <f>(L2932*O2932)-Q2932</f>
        <v>418.50000000000006</v>
      </c>
      <c r="S2932" s="70">
        <v>0</v>
      </c>
      <c r="T2932" s="70">
        <f t="shared" ref="T2932:T2933" si="800">+L2932*S2932</f>
        <v>0</v>
      </c>
      <c r="U2932" s="70">
        <f t="shared" ref="U2932:U2934" si="801">+R2932-T2932</f>
        <v>418.50000000000006</v>
      </c>
      <c r="V2932" s="70">
        <f>+U2932*0</f>
        <v>0</v>
      </c>
      <c r="W2932" s="70">
        <f t="shared" ref="W2932:W2934" si="802">+U2932-V2932</f>
        <v>418.50000000000006</v>
      </c>
      <c r="X2932" s="70">
        <v>0</v>
      </c>
      <c r="Y2932" s="14">
        <f>T2932-X2932</f>
        <v>0</v>
      </c>
      <c r="Z2932" s="11" t="s">
        <v>26</v>
      </c>
      <c r="AA2932" s="12" t="s">
        <v>31</v>
      </c>
    </row>
    <row r="2933" spans="1:27" x14ac:dyDescent="0.25">
      <c r="A2933" s="10">
        <v>45700</v>
      </c>
      <c r="B2933" s="11" t="s">
        <v>5363</v>
      </c>
      <c r="C2933" s="11" t="s">
        <v>5364</v>
      </c>
      <c r="D2933" s="11">
        <v>17472</v>
      </c>
      <c r="E2933" s="11" t="s">
        <v>205</v>
      </c>
      <c r="F2933" s="11" t="s">
        <v>26</v>
      </c>
      <c r="G2933" s="11" t="s">
        <v>35</v>
      </c>
      <c r="H2933" s="12" t="s">
        <v>36</v>
      </c>
      <c r="I2933" s="12" t="s">
        <v>55</v>
      </c>
      <c r="J2933" s="12" t="s">
        <v>55</v>
      </c>
      <c r="K2933" s="12" t="s">
        <v>56</v>
      </c>
      <c r="L2933" s="13">
        <v>11.12</v>
      </c>
      <c r="M2933" s="13">
        <v>6</v>
      </c>
      <c r="N2933" s="13">
        <f t="shared" si="798"/>
        <v>1.8533333333333333</v>
      </c>
      <c r="O2933" s="13">
        <v>20</v>
      </c>
      <c r="P2933" s="13" t="s">
        <v>30</v>
      </c>
      <c r="Q2933" s="13">
        <v>0</v>
      </c>
      <c r="R2933" s="70">
        <f>(L2933*O2933)-Q2933</f>
        <v>222.39999999999998</v>
      </c>
      <c r="S2933" s="70">
        <v>0</v>
      </c>
      <c r="T2933" s="70">
        <f t="shared" si="800"/>
        <v>0</v>
      </c>
      <c r="U2933" s="70">
        <f t="shared" si="801"/>
        <v>222.39999999999998</v>
      </c>
      <c r="V2933" s="70">
        <f t="shared" ref="V2933" si="803">+U2933*0</f>
        <v>0</v>
      </c>
      <c r="W2933" s="70">
        <f t="shared" si="802"/>
        <v>222.39999999999998</v>
      </c>
      <c r="X2933" s="70">
        <v>0</v>
      </c>
      <c r="Y2933" s="14">
        <f t="shared" ref="Y2933:Y2939" si="804">T2933-X2933</f>
        <v>0</v>
      </c>
      <c r="Z2933" s="11" t="s">
        <v>26</v>
      </c>
      <c r="AA2933" s="12" t="s">
        <v>31</v>
      </c>
    </row>
    <row r="2934" spans="1:27" x14ac:dyDescent="0.25">
      <c r="A2934" s="10">
        <v>45700</v>
      </c>
      <c r="B2934" s="11" t="s">
        <v>5365</v>
      </c>
      <c r="C2934" s="11" t="s">
        <v>5366</v>
      </c>
      <c r="D2934" s="11">
        <v>17473</v>
      </c>
      <c r="E2934" s="11" t="s">
        <v>74</v>
      </c>
      <c r="F2934" s="11" t="s">
        <v>26</v>
      </c>
      <c r="G2934" s="11">
        <v>1330</v>
      </c>
      <c r="H2934" s="12" t="s">
        <v>70</v>
      </c>
      <c r="I2934" s="12" t="s">
        <v>27</v>
      </c>
      <c r="J2934" s="12" t="s">
        <v>33</v>
      </c>
      <c r="K2934" s="12" t="s">
        <v>34</v>
      </c>
      <c r="L2934" s="13">
        <v>38.200000000000003</v>
      </c>
      <c r="M2934" s="13">
        <v>25</v>
      </c>
      <c r="N2934" s="13">
        <f t="shared" si="798"/>
        <v>1.528</v>
      </c>
      <c r="O2934" s="13" t="s">
        <v>30</v>
      </c>
      <c r="P2934" s="13">
        <v>60</v>
      </c>
      <c r="Q2934" s="13">
        <v>0</v>
      </c>
      <c r="R2934" s="70">
        <f>+M2934*P2934</f>
        <v>1500</v>
      </c>
      <c r="S2934" s="70">
        <v>0</v>
      </c>
      <c r="T2934" s="70">
        <f>+M2934*S2934</f>
        <v>0</v>
      </c>
      <c r="U2934" s="70">
        <f t="shared" si="801"/>
        <v>1500</v>
      </c>
      <c r="V2934" s="70">
        <f>+U2934*0</f>
        <v>0</v>
      </c>
      <c r="W2934" s="70">
        <f t="shared" si="802"/>
        <v>1500</v>
      </c>
      <c r="X2934" s="70">
        <v>0</v>
      </c>
      <c r="Y2934" s="14">
        <f t="shared" si="804"/>
        <v>0</v>
      </c>
      <c r="Z2934" s="11" t="s">
        <v>26</v>
      </c>
      <c r="AA2934" s="12" t="s">
        <v>31</v>
      </c>
    </row>
    <row r="2935" spans="1:27" x14ac:dyDescent="0.25">
      <c r="A2935" s="10">
        <v>45700</v>
      </c>
      <c r="B2935" s="11" t="s">
        <v>470</v>
      </c>
      <c r="C2935" s="11" t="s">
        <v>5367</v>
      </c>
      <c r="D2935" s="11">
        <v>17474</v>
      </c>
      <c r="E2935" s="11" t="s">
        <v>5032</v>
      </c>
      <c r="F2935" s="11" t="s">
        <v>26</v>
      </c>
      <c r="G2935" s="11">
        <v>10803</v>
      </c>
      <c r="H2935" s="12" t="s">
        <v>140</v>
      </c>
      <c r="I2935" s="12" t="s">
        <v>27</v>
      </c>
      <c r="J2935" s="12" t="s">
        <v>42</v>
      </c>
      <c r="K2935" s="12" t="s">
        <v>43</v>
      </c>
      <c r="L2935" s="13">
        <v>41.46</v>
      </c>
      <c r="M2935" s="13">
        <v>25</v>
      </c>
      <c r="N2935" s="13">
        <f t="shared" si="798"/>
        <v>1.6584000000000001</v>
      </c>
      <c r="O2935" s="13">
        <v>35</v>
      </c>
      <c r="P2935" s="13"/>
      <c r="Q2935" s="13">
        <v>0</v>
      </c>
      <c r="R2935" s="70">
        <f>+L2935*O2935</f>
        <v>1451.1000000000001</v>
      </c>
      <c r="S2935" s="70">
        <v>0</v>
      </c>
      <c r="T2935" s="70">
        <f>+L2935*S2935</f>
        <v>0</v>
      </c>
      <c r="U2935" s="70">
        <f>+R2935-T2935</f>
        <v>1451.1000000000001</v>
      </c>
      <c r="V2935" s="70">
        <f t="shared" ref="V2935:V2936" si="805">+U2935*0</f>
        <v>0</v>
      </c>
      <c r="W2935" s="70">
        <f>+U2935-V2935</f>
        <v>1451.1000000000001</v>
      </c>
      <c r="X2935" s="70">
        <v>0</v>
      </c>
      <c r="Y2935" s="14">
        <f t="shared" si="804"/>
        <v>0</v>
      </c>
      <c r="Z2935" s="11" t="s">
        <v>26</v>
      </c>
      <c r="AA2935" s="12" t="s">
        <v>31</v>
      </c>
    </row>
    <row r="2936" spans="1:27" x14ac:dyDescent="0.25">
      <c r="A2936" s="10">
        <v>45700</v>
      </c>
      <c r="B2936" s="11" t="s">
        <v>2705</v>
      </c>
      <c r="C2936" s="11" t="s">
        <v>5368</v>
      </c>
      <c r="D2936" s="11">
        <v>17475</v>
      </c>
      <c r="E2936" s="11" t="s">
        <v>5369</v>
      </c>
      <c r="F2936" s="11" t="s">
        <v>26</v>
      </c>
      <c r="G2936" s="11">
        <v>10192</v>
      </c>
      <c r="H2936" s="12" t="s">
        <v>140</v>
      </c>
      <c r="I2936" s="12" t="s">
        <v>27</v>
      </c>
      <c r="J2936" s="12" t="s">
        <v>42</v>
      </c>
      <c r="K2936" s="12" t="s">
        <v>43</v>
      </c>
      <c r="L2936" s="13">
        <v>42.9</v>
      </c>
      <c r="M2936" s="13">
        <v>25</v>
      </c>
      <c r="N2936" s="13">
        <f t="shared" si="798"/>
        <v>1.716</v>
      </c>
      <c r="O2936" s="13">
        <v>35</v>
      </c>
      <c r="P2936" s="13"/>
      <c r="Q2936" s="13">
        <v>0</v>
      </c>
      <c r="R2936" s="70">
        <f>+L2936*O2936</f>
        <v>1501.5</v>
      </c>
      <c r="S2936" s="70">
        <v>0</v>
      </c>
      <c r="T2936" s="70">
        <f>+L2936*S2936</f>
        <v>0</v>
      </c>
      <c r="U2936" s="70">
        <f>+R2936-T2936</f>
        <v>1501.5</v>
      </c>
      <c r="V2936" s="70">
        <f t="shared" si="805"/>
        <v>0</v>
      </c>
      <c r="W2936" s="70">
        <f>+U2936-V2936</f>
        <v>1501.5</v>
      </c>
      <c r="X2936" s="70">
        <v>0</v>
      </c>
      <c r="Y2936" s="14">
        <f t="shared" si="804"/>
        <v>0</v>
      </c>
      <c r="Z2936" s="11" t="s">
        <v>26</v>
      </c>
      <c r="AA2936" s="12" t="s">
        <v>31</v>
      </c>
    </row>
    <row r="2937" spans="1:27" x14ac:dyDescent="0.25">
      <c r="A2937" s="10">
        <v>45700</v>
      </c>
      <c r="B2937" s="11" t="s">
        <v>5370</v>
      </c>
      <c r="C2937" s="11" t="s">
        <v>5371</v>
      </c>
      <c r="D2937" s="11">
        <v>17476</v>
      </c>
      <c r="E2937" s="11" t="s">
        <v>562</v>
      </c>
      <c r="F2937" s="11" t="s">
        <v>26</v>
      </c>
      <c r="G2937" s="11">
        <v>949</v>
      </c>
      <c r="H2937" s="12" t="s">
        <v>163</v>
      </c>
      <c r="I2937" s="12" t="s">
        <v>27</v>
      </c>
      <c r="J2937" s="12" t="s">
        <v>47</v>
      </c>
      <c r="K2937" s="12" t="s">
        <v>48</v>
      </c>
      <c r="L2937" s="13">
        <v>36.840000000000003</v>
      </c>
      <c r="M2937" s="13">
        <v>25</v>
      </c>
      <c r="N2937" s="13">
        <f t="shared" si="798"/>
        <v>1.4736000000000002</v>
      </c>
      <c r="O2937" s="13" t="s">
        <v>30</v>
      </c>
      <c r="P2937" s="13">
        <v>60</v>
      </c>
      <c r="Q2937" s="13">
        <v>0</v>
      </c>
      <c r="R2937" s="70">
        <f>M2937*P2937</f>
        <v>1500</v>
      </c>
      <c r="S2937" s="70">
        <v>0</v>
      </c>
      <c r="T2937" s="70">
        <f>M2937*S2937</f>
        <v>0</v>
      </c>
      <c r="U2937" s="70">
        <f>R2937-T2937</f>
        <v>1500</v>
      </c>
      <c r="V2937" s="70">
        <f>U2937*0</f>
        <v>0</v>
      </c>
      <c r="W2937" s="70">
        <f>U2937-V2937</f>
        <v>1500</v>
      </c>
      <c r="X2937" s="70">
        <v>0</v>
      </c>
      <c r="Y2937" s="14">
        <f t="shared" si="804"/>
        <v>0</v>
      </c>
      <c r="Z2937" s="11" t="s">
        <v>26</v>
      </c>
      <c r="AA2937" s="12" t="s">
        <v>31</v>
      </c>
    </row>
    <row r="2938" spans="1:27" x14ac:dyDescent="0.25">
      <c r="A2938" s="10">
        <v>45700</v>
      </c>
      <c r="B2938" s="11" t="s">
        <v>4014</v>
      </c>
      <c r="C2938" s="11" t="s">
        <v>5372</v>
      </c>
      <c r="D2938" s="11">
        <v>17477</v>
      </c>
      <c r="E2938" s="11" t="s">
        <v>5373</v>
      </c>
      <c r="F2938" s="11" t="s">
        <v>26</v>
      </c>
      <c r="G2938" s="11">
        <v>26210</v>
      </c>
      <c r="H2938" s="12" t="s">
        <v>565</v>
      </c>
      <c r="I2938" s="12" t="s">
        <v>27</v>
      </c>
      <c r="J2938" s="12" t="s">
        <v>33</v>
      </c>
      <c r="K2938" s="12" t="s">
        <v>34</v>
      </c>
      <c r="L2938" s="13">
        <v>42.94</v>
      </c>
      <c r="M2938" s="13">
        <v>25</v>
      </c>
      <c r="N2938" s="13">
        <f t="shared" si="798"/>
        <v>1.7176</v>
      </c>
      <c r="O2938" s="13"/>
      <c r="P2938" s="13">
        <v>60</v>
      </c>
      <c r="Q2938" s="13">
        <v>0</v>
      </c>
      <c r="R2938" s="70">
        <f>M2938*P2938</f>
        <v>1500</v>
      </c>
      <c r="S2938" s="70">
        <v>0</v>
      </c>
      <c r="T2938" s="70">
        <f>M2938*S2938</f>
        <v>0</v>
      </c>
      <c r="U2938" s="70">
        <f>R2938-T2938</f>
        <v>1500</v>
      </c>
      <c r="V2938" s="70">
        <f>U2938*0</f>
        <v>0</v>
      </c>
      <c r="W2938" s="70">
        <f>+U2938-V2938</f>
        <v>1500</v>
      </c>
      <c r="X2938" s="70">
        <v>0</v>
      </c>
      <c r="Y2938" s="14">
        <f t="shared" si="804"/>
        <v>0</v>
      </c>
      <c r="Z2938" s="11" t="s">
        <v>26</v>
      </c>
      <c r="AA2938" s="12" t="s">
        <v>31</v>
      </c>
    </row>
    <row r="2939" spans="1:27" x14ac:dyDescent="0.25">
      <c r="A2939" s="10">
        <v>45701</v>
      </c>
      <c r="B2939" s="11" t="s">
        <v>316</v>
      </c>
      <c r="C2939" s="11" t="s">
        <v>5374</v>
      </c>
      <c r="D2939" s="11">
        <v>17478</v>
      </c>
      <c r="E2939" s="11" t="s">
        <v>32</v>
      </c>
      <c r="F2939" s="11" t="s">
        <v>26</v>
      </c>
      <c r="G2939" s="11">
        <v>1613</v>
      </c>
      <c r="H2939" s="12" t="s">
        <v>45</v>
      </c>
      <c r="I2939" s="12" t="s">
        <v>27</v>
      </c>
      <c r="J2939" s="12" t="s">
        <v>42</v>
      </c>
      <c r="K2939" s="12" t="s">
        <v>43</v>
      </c>
      <c r="L2939" s="13">
        <v>44.72</v>
      </c>
      <c r="M2939" s="13">
        <v>25</v>
      </c>
      <c r="N2939" s="13">
        <f>+L2939/M2939</f>
        <v>1.7887999999999999</v>
      </c>
      <c r="O2939" s="13" t="s">
        <v>30</v>
      </c>
      <c r="P2939" s="13">
        <v>62</v>
      </c>
      <c r="Q2939" s="13">
        <v>0</v>
      </c>
      <c r="R2939" s="70">
        <f>M2939*P2939</f>
        <v>1550</v>
      </c>
      <c r="S2939" s="70">
        <v>0</v>
      </c>
      <c r="T2939" s="70">
        <f>M2939*S2939</f>
        <v>0</v>
      </c>
      <c r="U2939" s="70">
        <f>R2939-T2939</f>
        <v>1550</v>
      </c>
      <c r="V2939" s="70">
        <f>U2939*0</f>
        <v>0</v>
      </c>
      <c r="W2939" s="70">
        <f>U2939-V2939</f>
        <v>1550</v>
      </c>
      <c r="X2939" s="70">
        <v>0</v>
      </c>
      <c r="Y2939" s="14">
        <f t="shared" si="804"/>
        <v>0</v>
      </c>
      <c r="Z2939" s="11" t="s">
        <v>26</v>
      </c>
      <c r="AA2939" s="12" t="s">
        <v>31</v>
      </c>
    </row>
    <row r="2940" spans="1:27" x14ac:dyDescent="0.25">
      <c r="A2940" s="10">
        <v>45701</v>
      </c>
      <c r="B2940" s="11" t="s">
        <v>3013</v>
      </c>
      <c r="C2940" s="11" t="s">
        <v>5375</v>
      </c>
      <c r="D2940" s="11">
        <v>17479</v>
      </c>
      <c r="E2940" s="11" t="s">
        <v>431</v>
      </c>
      <c r="F2940" s="11" t="s">
        <v>26</v>
      </c>
      <c r="G2940" s="11" t="s">
        <v>26</v>
      </c>
      <c r="H2940" s="12" t="s">
        <v>4422</v>
      </c>
      <c r="I2940" s="12" t="s">
        <v>27</v>
      </c>
      <c r="J2940" s="12" t="s">
        <v>47</v>
      </c>
      <c r="K2940" s="12" t="s">
        <v>48</v>
      </c>
      <c r="L2940" s="13">
        <v>41.4</v>
      </c>
      <c r="M2940" s="13">
        <v>28</v>
      </c>
      <c r="N2940" s="13">
        <f t="shared" ref="N2940:N3003" si="806">+L2940/M2940</f>
        <v>1.4785714285714284</v>
      </c>
      <c r="O2940" s="13">
        <v>87</v>
      </c>
      <c r="P2940" s="13" t="s">
        <v>30</v>
      </c>
      <c r="Q2940" s="13">
        <v>0</v>
      </c>
      <c r="R2940" s="70">
        <f>L2940*O2940</f>
        <v>3601.7999999999997</v>
      </c>
      <c r="S2940" s="70">
        <v>38</v>
      </c>
      <c r="T2940" s="70">
        <f>L2940*S2940</f>
        <v>1573.2</v>
      </c>
      <c r="U2940" s="70">
        <f>R2940-T2940</f>
        <v>2028.5999999999997</v>
      </c>
      <c r="V2940" s="70">
        <f>U2940*1</f>
        <v>2028.5999999999997</v>
      </c>
      <c r="W2940" s="70">
        <f>U2940-V2940</f>
        <v>0</v>
      </c>
      <c r="X2940" s="70">
        <f>L2940*36</f>
        <v>1490.3999999999999</v>
      </c>
      <c r="Y2940" s="71">
        <f>+T2940-X2940</f>
        <v>82.800000000000182</v>
      </c>
      <c r="Z2940" s="12" t="s">
        <v>6328</v>
      </c>
      <c r="AA2940" s="12" t="s">
        <v>78</v>
      </c>
    </row>
    <row r="2941" spans="1:27" x14ac:dyDescent="0.25">
      <c r="A2941" s="10">
        <v>45701</v>
      </c>
      <c r="B2941" s="11" t="s">
        <v>5376</v>
      </c>
      <c r="C2941" s="11" t="s">
        <v>5377</v>
      </c>
      <c r="D2941" s="11">
        <v>17480</v>
      </c>
      <c r="E2941" s="11" t="s">
        <v>184</v>
      </c>
      <c r="F2941" s="11" t="s">
        <v>26</v>
      </c>
      <c r="G2941" s="11">
        <v>1013</v>
      </c>
      <c r="H2941" s="12" t="s">
        <v>141</v>
      </c>
      <c r="I2941" s="12" t="s">
        <v>27</v>
      </c>
      <c r="J2941" s="12" t="s">
        <v>33</v>
      </c>
      <c r="K2941" s="12" t="s">
        <v>34</v>
      </c>
      <c r="L2941" s="13">
        <v>38.96</v>
      </c>
      <c r="M2941" s="13">
        <v>25</v>
      </c>
      <c r="N2941" s="13">
        <f t="shared" si="806"/>
        <v>1.5584</v>
      </c>
      <c r="O2941" s="13">
        <v>40</v>
      </c>
      <c r="P2941" s="13" t="s">
        <v>30</v>
      </c>
      <c r="Q2941" s="13">
        <v>0</v>
      </c>
      <c r="R2941" s="70">
        <f>L2941*O2941</f>
        <v>1558.4</v>
      </c>
      <c r="S2941" s="70">
        <v>0</v>
      </c>
      <c r="T2941" s="70">
        <f>L2941*S2941</f>
        <v>0</v>
      </c>
      <c r="U2941" s="70">
        <f>R2941-T2941</f>
        <v>1558.4</v>
      </c>
      <c r="V2941" s="70">
        <f>U2941*0</f>
        <v>0</v>
      </c>
      <c r="W2941" s="70">
        <f>U2941-V2941</f>
        <v>1558.4</v>
      </c>
      <c r="X2941" s="70">
        <v>0</v>
      </c>
      <c r="Y2941" s="14">
        <f t="shared" ref="Y2941" si="807">T2941-X2941</f>
        <v>0</v>
      </c>
      <c r="Z2941" s="11" t="s">
        <v>26</v>
      </c>
      <c r="AA2941" s="12" t="s">
        <v>31</v>
      </c>
    </row>
    <row r="2942" spans="1:27" x14ac:dyDescent="0.25">
      <c r="A2942" s="10">
        <v>45701</v>
      </c>
      <c r="B2942" s="11" t="s">
        <v>5378</v>
      </c>
      <c r="C2942" s="11" t="s">
        <v>5379</v>
      </c>
      <c r="D2942" s="11">
        <v>17481</v>
      </c>
      <c r="E2942" s="11" t="s">
        <v>501</v>
      </c>
      <c r="F2942" s="11" t="s">
        <v>26</v>
      </c>
      <c r="G2942" s="11" t="s">
        <v>26</v>
      </c>
      <c r="H2942" s="12" t="s">
        <v>146</v>
      </c>
      <c r="I2942" s="12" t="s">
        <v>27</v>
      </c>
      <c r="J2942" s="12" t="s">
        <v>47</v>
      </c>
      <c r="K2942" s="12" t="s">
        <v>48</v>
      </c>
      <c r="L2942" s="13">
        <v>42.16</v>
      </c>
      <c r="M2942" s="13">
        <v>29</v>
      </c>
      <c r="N2942" s="13">
        <f t="shared" si="806"/>
        <v>1.4537931034482758</v>
      </c>
      <c r="O2942" s="13">
        <v>91</v>
      </c>
      <c r="P2942" s="13" t="s">
        <v>30</v>
      </c>
      <c r="Q2942" s="13">
        <v>0</v>
      </c>
      <c r="R2942" s="70">
        <f>+L2942*O2942</f>
        <v>3836.5599999999995</v>
      </c>
      <c r="S2942" s="70">
        <v>40</v>
      </c>
      <c r="T2942" s="70">
        <f>L2942*S2942</f>
        <v>1686.3999999999999</v>
      </c>
      <c r="U2942" s="70">
        <f t="shared" ref="U2942" si="808">R2942-T2942</f>
        <v>2150.16</v>
      </c>
      <c r="V2942" s="70">
        <f>U2942*1</f>
        <v>2150.16</v>
      </c>
      <c r="W2942" s="70">
        <f t="shared" ref="W2942" si="809">U2942-V2942</f>
        <v>0</v>
      </c>
      <c r="X2942" s="70">
        <f>L2942*36</f>
        <v>1517.7599999999998</v>
      </c>
      <c r="Y2942" s="71">
        <f>+T2942-X2942</f>
        <v>168.6400000000001</v>
      </c>
      <c r="Z2942" s="12" t="s">
        <v>141</v>
      </c>
      <c r="AA2942" s="12" t="s">
        <v>79</v>
      </c>
    </row>
    <row r="2943" spans="1:27" x14ac:dyDescent="0.25">
      <c r="A2943" s="10">
        <v>45701</v>
      </c>
      <c r="B2943" s="11" t="s">
        <v>5380</v>
      </c>
      <c r="C2943" s="11" t="s">
        <v>5381</v>
      </c>
      <c r="D2943" s="11">
        <v>17482</v>
      </c>
      <c r="E2943" s="11" t="s">
        <v>224</v>
      </c>
      <c r="F2943" s="11" t="s">
        <v>26</v>
      </c>
      <c r="G2943" s="11">
        <v>3214</v>
      </c>
      <c r="H2943" s="12" t="s">
        <v>4423</v>
      </c>
      <c r="I2943" s="12" t="s">
        <v>27</v>
      </c>
      <c r="J2943" s="12" t="s">
        <v>33</v>
      </c>
      <c r="K2943" s="12" t="s">
        <v>34</v>
      </c>
      <c r="L2943" s="13">
        <v>35.799999999999997</v>
      </c>
      <c r="M2943" s="13">
        <v>25</v>
      </c>
      <c r="N2943" s="13">
        <f t="shared" si="806"/>
        <v>1.4319999999999999</v>
      </c>
      <c r="O2943" s="13">
        <v>45</v>
      </c>
      <c r="P2943" s="13" t="s">
        <v>30</v>
      </c>
      <c r="Q2943" s="13">
        <v>0</v>
      </c>
      <c r="R2943" s="70">
        <f>+L2943*O2943</f>
        <v>1610.9999999999998</v>
      </c>
      <c r="S2943" s="70">
        <v>0</v>
      </c>
      <c r="T2943" s="70">
        <f>+L2943*S2943</f>
        <v>0</v>
      </c>
      <c r="U2943" s="70">
        <f t="shared" ref="U2943" si="810">+R2943-T2943</f>
        <v>1610.9999999999998</v>
      </c>
      <c r="V2943" s="70">
        <f>+U2943*1</f>
        <v>1610.9999999999998</v>
      </c>
      <c r="W2943" s="70">
        <f t="shared" ref="W2943" si="811">+U2943-V2943</f>
        <v>0</v>
      </c>
      <c r="X2943" s="70">
        <v>0</v>
      </c>
      <c r="Y2943" s="14">
        <f t="shared" ref="Y2943:Y3006" si="812">T2943-X2943</f>
        <v>0</v>
      </c>
      <c r="Z2943" s="11" t="s">
        <v>26</v>
      </c>
      <c r="AA2943" s="12" t="s">
        <v>31</v>
      </c>
    </row>
    <row r="2944" spans="1:27" x14ac:dyDescent="0.25">
      <c r="A2944" s="10">
        <v>45701</v>
      </c>
      <c r="B2944" s="11" t="s">
        <v>4140</v>
      </c>
      <c r="C2944" s="11" t="s">
        <v>5382</v>
      </c>
      <c r="D2944" s="11">
        <v>17483</v>
      </c>
      <c r="E2944" s="11" t="s">
        <v>80</v>
      </c>
      <c r="F2944" s="11" t="s">
        <v>26</v>
      </c>
      <c r="G2944" s="11">
        <v>10684</v>
      </c>
      <c r="H2944" s="12" t="s">
        <v>140</v>
      </c>
      <c r="I2944" s="12" t="s">
        <v>27</v>
      </c>
      <c r="J2944" s="12" t="s">
        <v>33</v>
      </c>
      <c r="K2944" s="12" t="s">
        <v>34</v>
      </c>
      <c r="L2944" s="13">
        <v>42.06</v>
      </c>
      <c r="M2944" s="13">
        <v>29</v>
      </c>
      <c r="N2944" s="13">
        <f t="shared" si="806"/>
        <v>1.450344827586207</v>
      </c>
      <c r="O2944" s="13">
        <v>40</v>
      </c>
      <c r="P2944" s="13"/>
      <c r="Q2944" s="13">
        <v>0</v>
      </c>
      <c r="R2944" s="70">
        <f>+L2944*O2944</f>
        <v>1682.4</v>
      </c>
      <c r="S2944" s="70">
        <v>0</v>
      </c>
      <c r="T2944" s="70">
        <f>+L2944*S2944</f>
        <v>0</v>
      </c>
      <c r="U2944" s="70">
        <f>+R2944-T2944</f>
        <v>1682.4</v>
      </c>
      <c r="V2944" s="70">
        <f t="shared" ref="V2944" si="813">+U2944*0</f>
        <v>0</v>
      </c>
      <c r="W2944" s="70">
        <f>+U2944-V2944</f>
        <v>1682.4</v>
      </c>
      <c r="X2944" s="70">
        <v>0</v>
      </c>
      <c r="Y2944" s="14">
        <f t="shared" si="812"/>
        <v>0</v>
      </c>
      <c r="Z2944" s="11" t="s">
        <v>26</v>
      </c>
      <c r="AA2944" s="12" t="s">
        <v>31</v>
      </c>
    </row>
    <row r="2945" spans="1:27" x14ac:dyDescent="0.25">
      <c r="A2945" s="10">
        <v>45701</v>
      </c>
      <c r="B2945" s="11" t="s">
        <v>5383</v>
      </c>
      <c r="C2945" s="11" t="s">
        <v>5384</v>
      </c>
      <c r="D2945" s="11">
        <v>17484</v>
      </c>
      <c r="E2945" s="11" t="s">
        <v>496</v>
      </c>
      <c r="F2945" s="11" t="s">
        <v>26</v>
      </c>
      <c r="G2945" s="11">
        <v>78956</v>
      </c>
      <c r="H2945" s="12" t="s">
        <v>4448</v>
      </c>
      <c r="I2945" s="12" t="s">
        <v>27</v>
      </c>
      <c r="J2945" s="12" t="s">
        <v>47</v>
      </c>
      <c r="K2945" s="12" t="s">
        <v>48</v>
      </c>
      <c r="L2945" s="13">
        <v>38.36</v>
      </c>
      <c r="M2945" s="13">
        <v>25</v>
      </c>
      <c r="N2945" s="13">
        <f t="shared" si="806"/>
        <v>1.5344</v>
      </c>
      <c r="O2945" s="13">
        <v>46.66</v>
      </c>
      <c r="P2945" s="13" t="s">
        <v>30</v>
      </c>
      <c r="Q2945" s="13">
        <v>0</v>
      </c>
      <c r="R2945" s="70">
        <f>+L2945*O2945</f>
        <v>1789.8775999999998</v>
      </c>
      <c r="S2945" s="70">
        <v>0</v>
      </c>
      <c r="T2945" s="70">
        <f>+L2945*S2945</f>
        <v>0</v>
      </c>
      <c r="U2945" s="70">
        <f>+R2945-T2945</f>
        <v>1789.8775999999998</v>
      </c>
      <c r="V2945" s="70">
        <f>+U2945*0.75</f>
        <v>1342.4081999999999</v>
      </c>
      <c r="W2945" s="70">
        <f>+U2945-V2945</f>
        <v>447.46939999999995</v>
      </c>
      <c r="X2945" s="70">
        <v>0</v>
      </c>
      <c r="Y2945" s="14">
        <f t="shared" si="812"/>
        <v>0</v>
      </c>
      <c r="Z2945" s="11" t="s">
        <v>26</v>
      </c>
      <c r="AA2945" s="12" t="s">
        <v>31</v>
      </c>
    </row>
    <row r="2946" spans="1:27" x14ac:dyDescent="0.25">
      <c r="A2946" s="10">
        <v>45701</v>
      </c>
      <c r="B2946" s="11" t="s">
        <v>5385</v>
      </c>
      <c r="C2946" s="11" t="s">
        <v>5386</v>
      </c>
      <c r="D2946" s="11">
        <v>17485</v>
      </c>
      <c r="E2946" s="11" t="s">
        <v>539</v>
      </c>
      <c r="F2946" s="11" t="s">
        <v>26</v>
      </c>
      <c r="G2946" s="11" t="s">
        <v>26</v>
      </c>
      <c r="H2946" s="12" t="s">
        <v>4422</v>
      </c>
      <c r="I2946" s="12" t="s">
        <v>27</v>
      </c>
      <c r="J2946" s="12" t="s">
        <v>42</v>
      </c>
      <c r="K2946" s="12" t="s">
        <v>43</v>
      </c>
      <c r="L2946" s="13">
        <v>45.54</v>
      </c>
      <c r="M2946" s="13">
        <v>28</v>
      </c>
      <c r="N2946" s="13">
        <f t="shared" si="806"/>
        <v>1.6264285714285713</v>
      </c>
      <c r="O2946" s="13">
        <v>83</v>
      </c>
      <c r="P2946" s="13" t="s">
        <v>30</v>
      </c>
      <c r="Q2946" s="13">
        <v>0</v>
      </c>
      <c r="R2946" s="70">
        <f>L2946*O2946</f>
        <v>3779.8199999999997</v>
      </c>
      <c r="S2946" s="70">
        <v>38</v>
      </c>
      <c r="T2946" s="70">
        <f>L2946*S2946</f>
        <v>1730.52</v>
      </c>
      <c r="U2946" s="70">
        <f>R2946-T2946</f>
        <v>2049.2999999999997</v>
      </c>
      <c r="V2946" s="70">
        <f>U2946*1</f>
        <v>2049.2999999999997</v>
      </c>
      <c r="W2946" s="70">
        <f>U2946-V2946</f>
        <v>0</v>
      </c>
      <c r="X2946" s="70">
        <f>L2946*37</f>
        <v>1684.98</v>
      </c>
      <c r="Y2946" s="71">
        <f>+T2946-X2946</f>
        <v>45.539999999999964</v>
      </c>
      <c r="Z2946" s="12" t="s">
        <v>41</v>
      </c>
      <c r="AA2946" s="12" t="s">
        <v>78</v>
      </c>
    </row>
    <row r="2947" spans="1:27" x14ac:dyDescent="0.25">
      <c r="A2947" s="10">
        <v>45701</v>
      </c>
      <c r="B2947" s="11" t="s">
        <v>1269</v>
      </c>
      <c r="C2947" s="11" t="s">
        <v>5387</v>
      </c>
      <c r="D2947" s="11">
        <v>17486</v>
      </c>
      <c r="E2947" s="11" t="s">
        <v>4595</v>
      </c>
      <c r="F2947" s="11" t="s">
        <v>26</v>
      </c>
      <c r="G2947" s="11">
        <v>78353</v>
      </c>
      <c r="H2947" s="12" t="s">
        <v>4448</v>
      </c>
      <c r="I2947" s="12" t="s">
        <v>55</v>
      </c>
      <c r="J2947" s="12" t="s">
        <v>55</v>
      </c>
      <c r="K2947" s="12" t="s">
        <v>56</v>
      </c>
      <c r="L2947" s="13">
        <v>40.659999999999997</v>
      </c>
      <c r="M2947" s="13">
        <v>25</v>
      </c>
      <c r="N2947" s="13">
        <f t="shared" si="806"/>
        <v>1.6263999999999998</v>
      </c>
      <c r="O2947" s="13">
        <v>15</v>
      </c>
      <c r="P2947" s="13" t="s">
        <v>30</v>
      </c>
      <c r="Q2947" s="13">
        <v>0</v>
      </c>
      <c r="R2947" s="70">
        <f>+L2947*O2947</f>
        <v>609.9</v>
      </c>
      <c r="S2947" s="70">
        <v>0</v>
      </c>
      <c r="T2947" s="70">
        <f>+L2947*S2947</f>
        <v>0</v>
      </c>
      <c r="U2947" s="70">
        <f>+R2947-T2947</f>
        <v>609.9</v>
      </c>
      <c r="V2947" s="70">
        <f>+U2947*0.75</f>
        <v>457.42499999999995</v>
      </c>
      <c r="W2947" s="70">
        <f>+U2947-V2947</f>
        <v>152.47500000000002</v>
      </c>
      <c r="X2947" s="70">
        <v>0</v>
      </c>
      <c r="Y2947" s="14">
        <f t="shared" si="812"/>
        <v>0</v>
      </c>
      <c r="Z2947" s="11" t="s">
        <v>26</v>
      </c>
      <c r="AA2947" s="12" t="s">
        <v>31</v>
      </c>
    </row>
    <row r="2948" spans="1:27" x14ac:dyDescent="0.25">
      <c r="A2948" s="10">
        <v>45701</v>
      </c>
      <c r="B2948" s="11" t="s">
        <v>5388</v>
      </c>
      <c r="C2948" s="11" t="s">
        <v>5389</v>
      </c>
      <c r="D2948" s="11">
        <v>17487</v>
      </c>
      <c r="E2948" s="11" t="s">
        <v>57</v>
      </c>
      <c r="F2948" s="11" t="s">
        <v>26</v>
      </c>
      <c r="G2948" s="11">
        <v>3303</v>
      </c>
      <c r="H2948" s="12" t="s">
        <v>41</v>
      </c>
      <c r="I2948" s="12" t="s">
        <v>27</v>
      </c>
      <c r="J2948" s="12" t="s">
        <v>33</v>
      </c>
      <c r="K2948" s="12" t="s">
        <v>34</v>
      </c>
      <c r="L2948" s="13">
        <v>42.38</v>
      </c>
      <c r="M2948" s="13">
        <v>29</v>
      </c>
      <c r="N2948" s="13">
        <f t="shared" si="806"/>
        <v>1.4613793103448276</v>
      </c>
      <c r="O2948" s="13" t="s">
        <v>30</v>
      </c>
      <c r="P2948" s="13">
        <v>60</v>
      </c>
      <c r="Q2948" s="13">
        <v>0</v>
      </c>
      <c r="R2948" s="70">
        <f>M2948*P2948</f>
        <v>1740</v>
      </c>
      <c r="S2948" s="70">
        <v>0</v>
      </c>
      <c r="T2948" s="70">
        <f>M2948*S2948</f>
        <v>0</v>
      </c>
      <c r="U2948" s="70">
        <f t="shared" ref="U2948" si="814">+R2948-T2948</f>
        <v>1740</v>
      </c>
      <c r="V2948" s="70">
        <f>+U2948*0</f>
        <v>0</v>
      </c>
      <c r="W2948" s="70">
        <f t="shared" ref="W2948" si="815">+U2948-V2948</f>
        <v>1740</v>
      </c>
      <c r="X2948" s="70">
        <v>0</v>
      </c>
      <c r="Y2948" s="14">
        <f t="shared" si="812"/>
        <v>0</v>
      </c>
      <c r="Z2948" s="11" t="s">
        <v>26</v>
      </c>
      <c r="AA2948" s="12" t="s">
        <v>31</v>
      </c>
    </row>
    <row r="2949" spans="1:27" x14ac:dyDescent="0.25">
      <c r="A2949" s="10">
        <v>45701</v>
      </c>
      <c r="B2949" s="11" t="s">
        <v>5390</v>
      </c>
      <c r="C2949" s="11" t="s">
        <v>5391</v>
      </c>
      <c r="D2949" s="11">
        <v>17488</v>
      </c>
      <c r="E2949" s="11" t="s">
        <v>479</v>
      </c>
      <c r="F2949" s="11" t="s">
        <v>26</v>
      </c>
      <c r="G2949" s="11">
        <v>78354</v>
      </c>
      <c r="H2949" s="12" t="s">
        <v>4448</v>
      </c>
      <c r="I2949" s="12" t="s">
        <v>55</v>
      </c>
      <c r="J2949" s="12" t="s">
        <v>55</v>
      </c>
      <c r="K2949" s="12" t="s">
        <v>56</v>
      </c>
      <c r="L2949" s="13">
        <v>40.6</v>
      </c>
      <c r="M2949" s="13">
        <v>25</v>
      </c>
      <c r="N2949" s="13">
        <f t="shared" si="806"/>
        <v>1.6240000000000001</v>
      </c>
      <c r="O2949" s="13">
        <v>15</v>
      </c>
      <c r="P2949" s="13" t="s">
        <v>30</v>
      </c>
      <c r="Q2949" s="13">
        <v>0</v>
      </c>
      <c r="R2949" s="70">
        <f>+L2949*O2949</f>
        <v>609</v>
      </c>
      <c r="S2949" s="70">
        <v>0</v>
      </c>
      <c r="T2949" s="70">
        <f>+L2949*S2949</f>
        <v>0</v>
      </c>
      <c r="U2949" s="70">
        <f>+R2949-T2949</f>
        <v>609</v>
      </c>
      <c r="V2949" s="70">
        <f>+U2949*0.75</f>
        <v>456.75</v>
      </c>
      <c r="W2949" s="70">
        <f>+U2949-V2949</f>
        <v>152.25</v>
      </c>
      <c r="X2949" s="70">
        <v>0</v>
      </c>
      <c r="Y2949" s="14">
        <f t="shared" si="812"/>
        <v>0</v>
      </c>
      <c r="Z2949" s="11" t="s">
        <v>26</v>
      </c>
      <c r="AA2949" s="12" t="s">
        <v>31</v>
      </c>
    </row>
    <row r="2950" spans="1:27" x14ac:dyDescent="0.25">
      <c r="A2950" s="10">
        <v>45701</v>
      </c>
      <c r="B2950" s="11" t="s">
        <v>5392</v>
      </c>
      <c r="C2950" s="11" t="s">
        <v>5393</v>
      </c>
      <c r="D2950" s="11">
        <v>17489</v>
      </c>
      <c r="E2950" s="11" t="s">
        <v>246</v>
      </c>
      <c r="F2950" s="11" t="s">
        <v>26</v>
      </c>
      <c r="G2950" s="11">
        <v>3416</v>
      </c>
      <c r="H2950" s="12" t="s">
        <v>41</v>
      </c>
      <c r="I2950" s="12" t="s">
        <v>27</v>
      </c>
      <c r="J2950" s="12" t="s">
        <v>33</v>
      </c>
      <c r="K2950" s="12" t="s">
        <v>34</v>
      </c>
      <c r="L2950" s="13">
        <v>40.82</v>
      </c>
      <c r="M2950" s="13">
        <v>28</v>
      </c>
      <c r="N2950" s="13">
        <f t="shared" si="806"/>
        <v>1.457857142857143</v>
      </c>
      <c r="O2950" s="13" t="s">
        <v>30</v>
      </c>
      <c r="P2950" s="13">
        <v>60</v>
      </c>
      <c r="Q2950" s="13">
        <v>0</v>
      </c>
      <c r="R2950" s="70">
        <f>M2950*P2950</f>
        <v>1680</v>
      </c>
      <c r="S2950" s="70">
        <v>0</v>
      </c>
      <c r="T2950" s="70">
        <f>M2950*S2950</f>
        <v>0</v>
      </c>
      <c r="U2950" s="70">
        <f t="shared" ref="U2950" si="816">+R2950-T2950</f>
        <v>1680</v>
      </c>
      <c r="V2950" s="70">
        <f>+U2950*0</f>
        <v>0</v>
      </c>
      <c r="W2950" s="70">
        <f t="shared" ref="W2950" si="817">+U2950-V2950</f>
        <v>1680</v>
      </c>
      <c r="X2950" s="70">
        <v>0</v>
      </c>
      <c r="Y2950" s="14">
        <f t="shared" si="812"/>
        <v>0</v>
      </c>
      <c r="Z2950" s="11" t="s">
        <v>26</v>
      </c>
      <c r="AA2950" s="12" t="s">
        <v>31</v>
      </c>
    </row>
    <row r="2951" spans="1:27" x14ac:dyDescent="0.25">
      <c r="A2951" s="10">
        <v>45701</v>
      </c>
      <c r="B2951" s="11" t="s">
        <v>5394</v>
      </c>
      <c r="C2951" s="11" t="s">
        <v>5395</v>
      </c>
      <c r="D2951" s="11">
        <v>17490</v>
      </c>
      <c r="E2951" s="11" t="s">
        <v>1200</v>
      </c>
      <c r="F2951" s="11" t="s">
        <v>26</v>
      </c>
      <c r="G2951" s="11">
        <v>2965</v>
      </c>
      <c r="H2951" s="12" t="s">
        <v>163</v>
      </c>
      <c r="I2951" s="12" t="s">
        <v>27</v>
      </c>
      <c r="J2951" s="12" t="s">
        <v>42</v>
      </c>
      <c r="K2951" s="12" t="s">
        <v>43</v>
      </c>
      <c r="L2951" s="13">
        <v>44.94</v>
      </c>
      <c r="M2951" s="13">
        <v>25</v>
      </c>
      <c r="N2951" s="13">
        <f t="shared" si="806"/>
        <v>1.7975999999999999</v>
      </c>
      <c r="O2951" s="13" t="s">
        <v>30</v>
      </c>
      <c r="P2951" s="13">
        <v>64</v>
      </c>
      <c r="Q2951" s="13">
        <v>0</v>
      </c>
      <c r="R2951" s="70">
        <f>M2951*P2951</f>
        <v>1600</v>
      </c>
      <c r="S2951" s="70">
        <v>0</v>
      </c>
      <c r="T2951" s="70">
        <f>M2951*S2951</f>
        <v>0</v>
      </c>
      <c r="U2951" s="70">
        <f>R2951-T2951</f>
        <v>1600</v>
      </c>
      <c r="V2951" s="70">
        <f t="shared" ref="V2951" si="818">U2951*0</f>
        <v>0</v>
      </c>
      <c r="W2951" s="70">
        <f t="shared" ref="W2951" si="819">U2951-V2951</f>
        <v>1600</v>
      </c>
      <c r="X2951" s="70">
        <v>0</v>
      </c>
      <c r="Y2951" s="14">
        <f t="shared" si="812"/>
        <v>0</v>
      </c>
      <c r="Z2951" s="11" t="s">
        <v>26</v>
      </c>
      <c r="AA2951" s="12" t="s">
        <v>31</v>
      </c>
    </row>
    <row r="2952" spans="1:27" x14ac:dyDescent="0.25">
      <c r="A2952" s="10">
        <v>45701</v>
      </c>
      <c r="B2952" s="11" t="s">
        <v>1364</v>
      </c>
      <c r="C2952" s="11" t="s">
        <v>5396</v>
      </c>
      <c r="D2952" s="11">
        <v>17491</v>
      </c>
      <c r="E2952" s="11" t="s">
        <v>53</v>
      </c>
      <c r="F2952" s="11" t="s">
        <v>26</v>
      </c>
      <c r="G2952" s="11">
        <v>3959</v>
      </c>
      <c r="H2952" s="12" t="s">
        <v>41</v>
      </c>
      <c r="I2952" s="12" t="s">
        <v>55</v>
      </c>
      <c r="J2952" s="12" t="s">
        <v>566</v>
      </c>
      <c r="K2952" s="12" t="s">
        <v>550</v>
      </c>
      <c r="L2952" s="13">
        <v>44.38</v>
      </c>
      <c r="M2952" s="13">
        <v>25</v>
      </c>
      <c r="N2952" s="13">
        <f t="shared" si="806"/>
        <v>1.7752000000000001</v>
      </c>
      <c r="O2952" s="13">
        <v>25</v>
      </c>
      <c r="P2952" s="13"/>
      <c r="Q2952" s="13">
        <v>0</v>
      </c>
      <c r="R2952" s="70">
        <f>L2952*O2952</f>
        <v>1109.5</v>
      </c>
      <c r="S2952" s="70">
        <v>0</v>
      </c>
      <c r="T2952" s="70">
        <f t="shared" ref="T2952" si="820">L2952*S2952</f>
        <v>0</v>
      </c>
      <c r="U2952" s="70">
        <f>R2952-T2952</f>
        <v>1109.5</v>
      </c>
      <c r="V2952" s="70">
        <f>U2952*0</f>
        <v>0</v>
      </c>
      <c r="W2952" s="70">
        <f>U2952-V2952</f>
        <v>1109.5</v>
      </c>
      <c r="X2952" s="70">
        <v>0</v>
      </c>
      <c r="Y2952" s="14">
        <f t="shared" si="812"/>
        <v>0</v>
      </c>
      <c r="Z2952" s="11" t="s">
        <v>26</v>
      </c>
      <c r="AA2952" s="12" t="s">
        <v>31</v>
      </c>
    </row>
    <row r="2953" spans="1:27" x14ac:dyDescent="0.25">
      <c r="A2953" s="10">
        <v>45701</v>
      </c>
      <c r="B2953" s="11" t="s">
        <v>5397</v>
      </c>
      <c r="C2953" s="11" t="s">
        <v>5398</v>
      </c>
      <c r="D2953" s="11">
        <v>17492</v>
      </c>
      <c r="E2953" s="11" t="s">
        <v>40</v>
      </c>
      <c r="F2953" s="11" t="s">
        <v>26</v>
      </c>
      <c r="G2953" s="11">
        <v>3270</v>
      </c>
      <c r="H2953" s="12" t="s">
        <v>41</v>
      </c>
      <c r="I2953" s="12" t="s">
        <v>27</v>
      </c>
      <c r="J2953" s="12" t="s">
        <v>28</v>
      </c>
      <c r="K2953" s="12" t="s">
        <v>29</v>
      </c>
      <c r="L2953" s="13">
        <v>40.479999999999997</v>
      </c>
      <c r="M2953" s="13">
        <v>27</v>
      </c>
      <c r="N2953" s="13">
        <f t="shared" si="806"/>
        <v>1.4992592592592591</v>
      </c>
      <c r="O2953" s="13" t="s">
        <v>30</v>
      </c>
      <c r="P2953" s="13">
        <v>40.5</v>
      </c>
      <c r="Q2953" s="13">
        <v>0</v>
      </c>
      <c r="R2953" s="70">
        <f>M2953*P2953</f>
        <v>1093.5</v>
      </c>
      <c r="S2953" s="70">
        <v>0</v>
      </c>
      <c r="T2953" s="70">
        <f>M2953*S2953</f>
        <v>0</v>
      </c>
      <c r="U2953" s="70">
        <f>+R2953-T2953</f>
        <v>1093.5</v>
      </c>
      <c r="V2953" s="70">
        <f t="shared" ref="V2953" si="821">+U2953*0</f>
        <v>0</v>
      </c>
      <c r="W2953" s="70">
        <f>+U2953-V2953</f>
        <v>1093.5</v>
      </c>
      <c r="X2953" s="70">
        <v>0</v>
      </c>
      <c r="Y2953" s="14">
        <f t="shared" si="812"/>
        <v>0</v>
      </c>
      <c r="Z2953" s="11" t="s">
        <v>26</v>
      </c>
      <c r="AA2953" s="12" t="s">
        <v>31</v>
      </c>
    </row>
    <row r="2954" spans="1:27" x14ac:dyDescent="0.25">
      <c r="A2954" s="10">
        <v>45701</v>
      </c>
      <c r="B2954" s="11" t="s">
        <v>5399</v>
      </c>
      <c r="C2954" s="11" t="s">
        <v>5400</v>
      </c>
      <c r="D2954" s="11">
        <v>17493</v>
      </c>
      <c r="E2954" s="11" t="s">
        <v>435</v>
      </c>
      <c r="F2954" s="11" t="s">
        <v>26</v>
      </c>
      <c r="G2954" s="11">
        <v>2781</v>
      </c>
      <c r="H2954" s="12" t="s">
        <v>41</v>
      </c>
      <c r="I2954" s="12" t="s">
        <v>55</v>
      </c>
      <c r="J2954" s="12" t="s">
        <v>566</v>
      </c>
      <c r="K2954" s="12" t="s">
        <v>550</v>
      </c>
      <c r="L2954" s="13">
        <v>44.32</v>
      </c>
      <c r="M2954" s="13">
        <v>25</v>
      </c>
      <c r="N2954" s="13">
        <f t="shared" si="806"/>
        <v>1.7727999999999999</v>
      </c>
      <c r="O2954" s="13">
        <v>25</v>
      </c>
      <c r="P2954" s="13"/>
      <c r="Q2954" s="13">
        <v>0</v>
      </c>
      <c r="R2954" s="70">
        <f>L2954*O2954</f>
        <v>1108</v>
      </c>
      <c r="S2954" s="70">
        <v>0</v>
      </c>
      <c r="T2954" s="70">
        <f t="shared" ref="T2954" si="822">L2954*S2954</f>
        <v>0</v>
      </c>
      <c r="U2954" s="70">
        <f>R2954-T2954</f>
        <v>1108</v>
      </c>
      <c r="V2954" s="70">
        <f>U2954*0</f>
        <v>0</v>
      </c>
      <c r="W2954" s="70">
        <f>U2954-V2954</f>
        <v>1108</v>
      </c>
      <c r="X2954" s="70">
        <v>0</v>
      </c>
      <c r="Y2954" s="14">
        <f t="shared" si="812"/>
        <v>0</v>
      </c>
      <c r="Z2954" s="11" t="s">
        <v>26</v>
      </c>
      <c r="AA2954" s="12" t="s">
        <v>31</v>
      </c>
    </row>
    <row r="2955" spans="1:27" x14ac:dyDescent="0.25">
      <c r="A2955" s="10">
        <v>45701</v>
      </c>
      <c r="B2955" s="11" t="s">
        <v>5401</v>
      </c>
      <c r="C2955" s="11" t="s">
        <v>5402</v>
      </c>
      <c r="D2955" s="11">
        <v>17494</v>
      </c>
      <c r="E2955" s="11" t="s">
        <v>483</v>
      </c>
      <c r="F2955" s="11" t="s">
        <v>26</v>
      </c>
      <c r="G2955" s="11">
        <v>3599</v>
      </c>
      <c r="H2955" s="12" t="s">
        <v>41</v>
      </c>
      <c r="I2955" s="12" t="s">
        <v>27</v>
      </c>
      <c r="J2955" s="12" t="s">
        <v>28</v>
      </c>
      <c r="K2955" s="12" t="s">
        <v>29</v>
      </c>
      <c r="L2955" s="13">
        <v>41.16</v>
      </c>
      <c r="M2955" s="13">
        <v>27</v>
      </c>
      <c r="N2955" s="13">
        <f t="shared" si="806"/>
        <v>1.5244444444444443</v>
      </c>
      <c r="O2955" s="13" t="s">
        <v>30</v>
      </c>
      <c r="P2955" s="13">
        <v>40.5</v>
      </c>
      <c r="Q2955" s="13">
        <v>0</v>
      </c>
      <c r="R2955" s="70">
        <f>M2955*P2955</f>
        <v>1093.5</v>
      </c>
      <c r="S2955" s="70">
        <v>0</v>
      </c>
      <c r="T2955" s="70">
        <f>M2955*S2955</f>
        <v>0</v>
      </c>
      <c r="U2955" s="70">
        <f>+R2955-T2955</f>
        <v>1093.5</v>
      </c>
      <c r="V2955" s="70">
        <f t="shared" ref="V2955" si="823">+U2955*0</f>
        <v>0</v>
      </c>
      <c r="W2955" s="70">
        <f>+U2955-V2955</f>
        <v>1093.5</v>
      </c>
      <c r="X2955" s="70">
        <v>0</v>
      </c>
      <c r="Y2955" s="14">
        <f t="shared" si="812"/>
        <v>0</v>
      </c>
      <c r="Z2955" s="11" t="s">
        <v>26</v>
      </c>
      <c r="AA2955" s="12" t="s">
        <v>31</v>
      </c>
    </row>
    <row r="2956" spans="1:27" x14ac:dyDescent="0.25">
      <c r="A2956" s="10">
        <v>45701</v>
      </c>
      <c r="B2956" s="11" t="s">
        <v>1099</v>
      </c>
      <c r="C2956" s="11" t="s">
        <v>5403</v>
      </c>
      <c r="D2956" s="11">
        <v>17495</v>
      </c>
      <c r="E2956" s="11" t="s">
        <v>68</v>
      </c>
      <c r="F2956" s="11" t="s">
        <v>26</v>
      </c>
      <c r="G2956" s="11">
        <v>78951</v>
      </c>
      <c r="H2956" s="12" t="s">
        <v>4448</v>
      </c>
      <c r="I2956" s="12" t="s">
        <v>55</v>
      </c>
      <c r="J2956" s="12" t="s">
        <v>55</v>
      </c>
      <c r="K2956" s="12" t="s">
        <v>56</v>
      </c>
      <c r="L2956" s="13">
        <v>41.76</v>
      </c>
      <c r="M2956" s="13">
        <v>25</v>
      </c>
      <c r="N2956" s="13">
        <f t="shared" si="806"/>
        <v>1.6703999999999999</v>
      </c>
      <c r="O2956" s="13">
        <v>15</v>
      </c>
      <c r="P2956" s="13" t="s">
        <v>30</v>
      </c>
      <c r="Q2956" s="13">
        <v>0</v>
      </c>
      <c r="R2956" s="70">
        <f>+L2956*O2956</f>
        <v>626.4</v>
      </c>
      <c r="S2956" s="70">
        <v>0</v>
      </c>
      <c r="T2956" s="70">
        <f>+L2956*S2956</f>
        <v>0</v>
      </c>
      <c r="U2956" s="70">
        <f>+R2956-T2956</f>
        <v>626.4</v>
      </c>
      <c r="V2956" s="70">
        <f>+U2956*0.75</f>
        <v>469.79999999999995</v>
      </c>
      <c r="W2956" s="70">
        <f>+U2956-V2956</f>
        <v>156.60000000000002</v>
      </c>
      <c r="X2956" s="70">
        <v>0</v>
      </c>
      <c r="Y2956" s="14">
        <f t="shared" si="812"/>
        <v>0</v>
      </c>
      <c r="Z2956" s="11" t="s">
        <v>26</v>
      </c>
      <c r="AA2956" s="12" t="s">
        <v>31</v>
      </c>
    </row>
    <row r="2957" spans="1:27" x14ac:dyDescent="0.25">
      <c r="A2957" s="10">
        <v>45701</v>
      </c>
      <c r="B2957" s="11" t="s">
        <v>5404</v>
      </c>
      <c r="C2957" s="11" t="s">
        <v>5405</v>
      </c>
      <c r="D2957" s="11">
        <v>17496</v>
      </c>
      <c r="E2957" s="11" t="s">
        <v>60</v>
      </c>
      <c r="F2957" s="11" t="s">
        <v>26</v>
      </c>
      <c r="G2957" s="11" t="s">
        <v>35</v>
      </c>
      <c r="H2957" s="12" t="s">
        <v>36</v>
      </c>
      <c r="I2957" s="12" t="s">
        <v>27</v>
      </c>
      <c r="J2957" s="12" t="s">
        <v>33</v>
      </c>
      <c r="K2957" s="12" t="s">
        <v>34</v>
      </c>
      <c r="L2957" s="13">
        <v>6.58</v>
      </c>
      <c r="M2957" s="13">
        <v>4</v>
      </c>
      <c r="N2957" s="13">
        <f t="shared" si="806"/>
        <v>1.645</v>
      </c>
      <c r="O2957" s="13">
        <v>50</v>
      </c>
      <c r="P2957" s="13" t="s">
        <v>30</v>
      </c>
      <c r="Q2957" s="13">
        <v>0</v>
      </c>
      <c r="R2957" s="70">
        <f>(L2957*O2957)-Q2957</f>
        <v>329</v>
      </c>
      <c r="S2957" s="70">
        <v>0</v>
      </c>
      <c r="T2957" s="70">
        <f t="shared" ref="T2957" si="824">+L2957*S2957</f>
        <v>0</v>
      </c>
      <c r="U2957" s="70">
        <f t="shared" ref="U2957" si="825">+R2957-T2957</f>
        <v>329</v>
      </c>
      <c r="V2957" s="70">
        <f t="shared" ref="V2957" si="826">+U2957*0</f>
        <v>0</v>
      </c>
      <c r="W2957" s="70">
        <f t="shared" ref="W2957" si="827">+U2957-V2957</f>
        <v>329</v>
      </c>
      <c r="X2957" s="70">
        <v>0</v>
      </c>
      <c r="Y2957" s="14">
        <f t="shared" si="812"/>
        <v>0</v>
      </c>
      <c r="Z2957" s="11" t="s">
        <v>26</v>
      </c>
      <c r="AA2957" s="12" t="s">
        <v>31</v>
      </c>
    </row>
    <row r="2958" spans="1:27" x14ac:dyDescent="0.25">
      <c r="A2958" s="10">
        <v>45701</v>
      </c>
      <c r="B2958" s="11" t="s">
        <v>1370</v>
      </c>
      <c r="C2958" s="11" t="s">
        <v>5406</v>
      </c>
      <c r="D2958" s="11">
        <v>17497</v>
      </c>
      <c r="E2958" s="11" t="s">
        <v>75</v>
      </c>
      <c r="F2958" s="11" t="s">
        <v>26</v>
      </c>
      <c r="G2958" s="11">
        <v>40656</v>
      </c>
      <c r="H2958" s="12" t="s">
        <v>565</v>
      </c>
      <c r="I2958" s="12" t="s">
        <v>27</v>
      </c>
      <c r="J2958" s="12" t="s">
        <v>42</v>
      </c>
      <c r="K2958" s="12" t="s">
        <v>43</v>
      </c>
      <c r="L2958" s="13">
        <v>42.42</v>
      </c>
      <c r="M2958" s="13">
        <v>25</v>
      </c>
      <c r="N2958" s="13">
        <f t="shared" si="806"/>
        <v>1.6968000000000001</v>
      </c>
      <c r="O2958" s="13"/>
      <c r="P2958" s="13">
        <v>64</v>
      </c>
      <c r="Q2958" s="13">
        <v>0</v>
      </c>
      <c r="R2958" s="70">
        <f>M2958*P2958</f>
        <v>1600</v>
      </c>
      <c r="S2958" s="70">
        <v>0</v>
      </c>
      <c r="T2958" s="70">
        <f>M2958*S2958</f>
        <v>0</v>
      </c>
      <c r="U2958" s="70">
        <f>R2958-T2958</f>
        <v>1600</v>
      </c>
      <c r="V2958" s="70">
        <f>U2958*0</f>
        <v>0</v>
      </c>
      <c r="W2958" s="70">
        <f>+U2958-V2958</f>
        <v>1600</v>
      </c>
      <c r="X2958" s="70">
        <v>0</v>
      </c>
      <c r="Y2958" s="14">
        <f t="shared" si="812"/>
        <v>0</v>
      </c>
      <c r="Z2958" s="11" t="s">
        <v>26</v>
      </c>
      <c r="AA2958" s="12" t="s">
        <v>31</v>
      </c>
    </row>
    <row r="2959" spans="1:27" x14ac:dyDescent="0.25">
      <c r="A2959" s="10">
        <v>45701</v>
      </c>
      <c r="B2959" s="11" t="s">
        <v>5407</v>
      </c>
      <c r="C2959" s="11" t="s">
        <v>5408</v>
      </c>
      <c r="D2959" s="11">
        <v>17498</v>
      </c>
      <c r="E2959" s="11" t="s">
        <v>589</v>
      </c>
      <c r="F2959" s="11" t="s">
        <v>26</v>
      </c>
      <c r="G2959" s="11">
        <v>56918</v>
      </c>
      <c r="H2959" s="12" t="s">
        <v>4423</v>
      </c>
      <c r="I2959" s="12" t="s">
        <v>27</v>
      </c>
      <c r="J2959" s="12" t="s">
        <v>33</v>
      </c>
      <c r="K2959" s="12" t="s">
        <v>34</v>
      </c>
      <c r="L2959" s="13">
        <v>34.96</v>
      </c>
      <c r="M2959" s="13">
        <v>25</v>
      </c>
      <c r="N2959" s="13">
        <f t="shared" si="806"/>
        <v>1.3984000000000001</v>
      </c>
      <c r="O2959" s="13">
        <v>45</v>
      </c>
      <c r="P2959" s="13" t="s">
        <v>30</v>
      </c>
      <c r="Q2959" s="13">
        <v>0</v>
      </c>
      <c r="R2959" s="70">
        <f>+L2959*O2959</f>
        <v>1573.2</v>
      </c>
      <c r="S2959" s="70">
        <v>0</v>
      </c>
      <c r="T2959" s="70">
        <f>+L2959*S2959</f>
        <v>0</v>
      </c>
      <c r="U2959" s="70">
        <f t="shared" ref="U2959" si="828">+R2959-T2959</f>
        <v>1573.2</v>
      </c>
      <c r="V2959" s="70">
        <f>+U2959*1</f>
        <v>1573.2</v>
      </c>
      <c r="W2959" s="70">
        <f t="shared" ref="W2959" si="829">+U2959-V2959</f>
        <v>0</v>
      </c>
      <c r="X2959" s="70">
        <v>0</v>
      </c>
      <c r="Y2959" s="14">
        <f t="shared" si="812"/>
        <v>0</v>
      </c>
      <c r="Z2959" s="11" t="s">
        <v>26</v>
      </c>
      <c r="AA2959" s="12" t="s">
        <v>31</v>
      </c>
    </row>
    <row r="2960" spans="1:27" x14ac:dyDescent="0.25">
      <c r="A2960" s="10">
        <v>45701</v>
      </c>
      <c r="B2960" s="11" t="s">
        <v>5409</v>
      </c>
      <c r="C2960" s="11" t="s">
        <v>5410</v>
      </c>
      <c r="D2960" s="11">
        <v>17499</v>
      </c>
      <c r="E2960" s="11" t="s">
        <v>50</v>
      </c>
      <c r="F2960" s="11" t="s">
        <v>26</v>
      </c>
      <c r="G2960" s="11">
        <v>950</v>
      </c>
      <c r="H2960" s="12" t="s">
        <v>163</v>
      </c>
      <c r="I2960" s="12" t="s">
        <v>27</v>
      </c>
      <c r="J2960" s="12" t="s">
        <v>47</v>
      </c>
      <c r="K2960" s="12" t="s">
        <v>48</v>
      </c>
      <c r="L2960" s="13">
        <v>38.74</v>
      </c>
      <c r="M2960" s="13">
        <v>25</v>
      </c>
      <c r="N2960" s="13">
        <f t="shared" si="806"/>
        <v>1.5496000000000001</v>
      </c>
      <c r="O2960" s="13" t="s">
        <v>30</v>
      </c>
      <c r="P2960" s="13">
        <v>60</v>
      </c>
      <c r="Q2960" s="13">
        <v>0</v>
      </c>
      <c r="R2960" s="70">
        <f>M2960*P2960</f>
        <v>1500</v>
      </c>
      <c r="S2960" s="70">
        <v>0</v>
      </c>
      <c r="T2960" s="70">
        <f>M2960*S2960</f>
        <v>0</v>
      </c>
      <c r="U2960" s="70">
        <f>R2960-T2960</f>
        <v>1500</v>
      </c>
      <c r="V2960" s="70">
        <f>U2960*0</f>
        <v>0</v>
      </c>
      <c r="W2960" s="70">
        <f>U2960-V2960</f>
        <v>1500</v>
      </c>
      <c r="X2960" s="70">
        <v>0</v>
      </c>
      <c r="Y2960" s="14">
        <f t="shared" si="812"/>
        <v>0</v>
      </c>
      <c r="Z2960" s="11" t="s">
        <v>26</v>
      </c>
      <c r="AA2960" s="12" t="s">
        <v>31</v>
      </c>
    </row>
    <row r="2961" spans="1:27" x14ac:dyDescent="0.25">
      <c r="A2961" s="10">
        <v>45701</v>
      </c>
      <c r="B2961" s="11" t="s">
        <v>694</v>
      </c>
      <c r="C2961" s="11" t="s">
        <v>5411</v>
      </c>
      <c r="D2961" s="11">
        <v>17500</v>
      </c>
      <c r="E2961" s="11" t="s">
        <v>67</v>
      </c>
      <c r="F2961" s="11" t="s">
        <v>26</v>
      </c>
      <c r="G2961" s="11">
        <v>1642</v>
      </c>
      <c r="H2961" s="12" t="s">
        <v>66</v>
      </c>
      <c r="I2961" s="12" t="s">
        <v>37</v>
      </c>
      <c r="J2961" s="12" t="s">
        <v>1909</v>
      </c>
      <c r="K2961" s="12" t="s">
        <v>82</v>
      </c>
      <c r="L2961" s="13">
        <v>39.119999999999997</v>
      </c>
      <c r="M2961" s="13">
        <v>25</v>
      </c>
      <c r="N2961" s="13">
        <f t="shared" si="806"/>
        <v>1.5648</v>
      </c>
      <c r="O2961" s="13" t="s">
        <v>30</v>
      </c>
      <c r="P2961" s="13">
        <v>54</v>
      </c>
      <c r="Q2961" s="13">
        <v>0</v>
      </c>
      <c r="R2961" s="70">
        <f>M2961*P2961</f>
        <v>1350</v>
      </c>
      <c r="S2961" s="70">
        <v>0</v>
      </c>
      <c r="T2961" s="70">
        <f>M2961*S2961</f>
        <v>0</v>
      </c>
      <c r="U2961" s="70">
        <f t="shared" ref="U2961" si="830">R2961-T2961</f>
        <v>1350</v>
      </c>
      <c r="V2961" s="70">
        <f>U2961*1</f>
        <v>1350</v>
      </c>
      <c r="W2961" s="70">
        <f>U2961-V2961</f>
        <v>0</v>
      </c>
      <c r="X2961" s="70">
        <v>0</v>
      </c>
      <c r="Y2961" s="14">
        <f t="shared" si="812"/>
        <v>0</v>
      </c>
      <c r="Z2961" s="11" t="s">
        <v>26</v>
      </c>
      <c r="AA2961" s="12" t="s">
        <v>31</v>
      </c>
    </row>
    <row r="2962" spans="1:27" x14ac:dyDescent="0.25">
      <c r="A2962" s="10">
        <v>45701</v>
      </c>
      <c r="B2962" s="11" t="s">
        <v>5412</v>
      </c>
      <c r="C2962" s="11" t="s">
        <v>5413</v>
      </c>
      <c r="D2962" s="11">
        <v>17501</v>
      </c>
      <c r="E2962" s="11" t="s">
        <v>651</v>
      </c>
      <c r="F2962" s="11" t="s">
        <v>26</v>
      </c>
      <c r="G2962" s="11" t="s">
        <v>35</v>
      </c>
      <c r="H2962" s="12" t="s">
        <v>36</v>
      </c>
      <c r="I2962" s="12" t="s">
        <v>55</v>
      </c>
      <c r="J2962" s="12" t="s">
        <v>55</v>
      </c>
      <c r="K2962" s="12" t="s">
        <v>56</v>
      </c>
      <c r="L2962" s="13">
        <v>36.9</v>
      </c>
      <c r="M2962" s="13">
        <v>22</v>
      </c>
      <c r="N2962" s="13">
        <f t="shared" si="806"/>
        <v>1.6772727272727272</v>
      </c>
      <c r="O2962" s="13">
        <v>20</v>
      </c>
      <c r="P2962" s="13" t="s">
        <v>30</v>
      </c>
      <c r="Q2962" s="13">
        <v>0</v>
      </c>
      <c r="R2962" s="70">
        <f>(L2962*O2962)-Q2962</f>
        <v>738</v>
      </c>
      <c r="S2962" s="70">
        <v>0</v>
      </c>
      <c r="T2962" s="70">
        <f t="shared" ref="T2962" si="831">+L2962*S2962</f>
        <v>0</v>
      </c>
      <c r="U2962" s="70">
        <f t="shared" ref="U2962" si="832">+R2962-T2962</f>
        <v>738</v>
      </c>
      <c r="V2962" s="70">
        <f t="shared" ref="V2962" si="833">+U2962*0</f>
        <v>0</v>
      </c>
      <c r="W2962" s="70">
        <f t="shared" ref="W2962" si="834">+U2962-V2962</f>
        <v>738</v>
      </c>
      <c r="X2962" s="70">
        <v>0</v>
      </c>
      <c r="Y2962" s="14">
        <f t="shared" si="812"/>
        <v>0</v>
      </c>
      <c r="Z2962" s="11" t="s">
        <v>26</v>
      </c>
      <c r="AA2962" s="12" t="s">
        <v>31</v>
      </c>
    </row>
    <row r="2963" spans="1:27" x14ac:dyDescent="0.25">
      <c r="A2963" s="10">
        <v>45701</v>
      </c>
      <c r="B2963" s="11" t="s">
        <v>5414</v>
      </c>
      <c r="C2963" s="11" t="s">
        <v>5415</v>
      </c>
      <c r="D2963" s="11">
        <v>17502</v>
      </c>
      <c r="E2963" s="11" t="s">
        <v>525</v>
      </c>
      <c r="F2963" s="11" t="s">
        <v>26</v>
      </c>
      <c r="G2963" s="11">
        <v>73155</v>
      </c>
      <c r="H2963" s="12" t="s">
        <v>4448</v>
      </c>
      <c r="I2963" s="12" t="s">
        <v>27</v>
      </c>
      <c r="J2963" s="12" t="s">
        <v>42</v>
      </c>
      <c r="K2963" s="12" t="s">
        <v>43</v>
      </c>
      <c r="L2963" s="13">
        <v>48.34</v>
      </c>
      <c r="M2963" s="13">
        <v>30</v>
      </c>
      <c r="N2963" s="13">
        <f t="shared" si="806"/>
        <v>1.6113333333333335</v>
      </c>
      <c r="O2963" s="13">
        <v>42.5</v>
      </c>
      <c r="P2963" s="13"/>
      <c r="Q2963" s="13">
        <v>0</v>
      </c>
      <c r="R2963" s="70">
        <f>+L2963*O2963</f>
        <v>2054.4500000000003</v>
      </c>
      <c r="S2963" s="70">
        <v>0</v>
      </c>
      <c r="T2963" s="70">
        <f>+L2963*S2963</f>
        <v>0</v>
      </c>
      <c r="U2963" s="70">
        <f>+R2963-T2963</f>
        <v>2054.4500000000003</v>
      </c>
      <c r="V2963" s="70">
        <f>+U2963*0.75</f>
        <v>1540.8375000000001</v>
      </c>
      <c r="W2963" s="70">
        <f>+U2963-V2963</f>
        <v>513.61250000000018</v>
      </c>
      <c r="X2963" s="70">
        <v>0</v>
      </c>
      <c r="Y2963" s="14">
        <f t="shared" si="812"/>
        <v>0</v>
      </c>
      <c r="Z2963" s="11" t="s">
        <v>26</v>
      </c>
      <c r="AA2963" s="12" t="s">
        <v>31</v>
      </c>
    </row>
    <row r="2964" spans="1:27" x14ac:dyDescent="0.25">
      <c r="A2964" s="10">
        <v>45701</v>
      </c>
      <c r="B2964" s="11" t="s">
        <v>5416</v>
      </c>
      <c r="C2964" s="11" t="s">
        <v>5417</v>
      </c>
      <c r="D2964" s="11">
        <v>17503</v>
      </c>
      <c r="E2964" s="11" t="s">
        <v>5418</v>
      </c>
      <c r="F2964" s="11" t="s">
        <v>26</v>
      </c>
      <c r="G2964" s="11">
        <v>44332</v>
      </c>
      <c r="H2964" s="12" t="s">
        <v>4423</v>
      </c>
      <c r="I2964" s="12" t="s">
        <v>27</v>
      </c>
      <c r="J2964" s="12" t="s">
        <v>33</v>
      </c>
      <c r="K2964" s="12" t="s">
        <v>34</v>
      </c>
      <c r="L2964" s="13">
        <v>34.78</v>
      </c>
      <c r="M2964" s="13">
        <v>25</v>
      </c>
      <c r="N2964" s="13">
        <f t="shared" si="806"/>
        <v>1.3912</v>
      </c>
      <c r="O2964" s="13">
        <v>45</v>
      </c>
      <c r="P2964" s="13" t="s">
        <v>30</v>
      </c>
      <c r="Q2964" s="13">
        <v>0</v>
      </c>
      <c r="R2964" s="70">
        <f>+L2964*O2964</f>
        <v>1565.1000000000001</v>
      </c>
      <c r="S2964" s="70">
        <v>0</v>
      </c>
      <c r="T2964" s="70">
        <f>+L2964*S2964</f>
        <v>0</v>
      </c>
      <c r="U2964" s="70">
        <f t="shared" ref="U2964" si="835">+R2964-T2964</f>
        <v>1565.1000000000001</v>
      </c>
      <c r="V2964" s="70">
        <f>+U2964*1</f>
        <v>1565.1000000000001</v>
      </c>
      <c r="W2964" s="70">
        <f t="shared" ref="W2964" si="836">+U2964-V2964</f>
        <v>0</v>
      </c>
      <c r="X2964" s="70">
        <v>0</v>
      </c>
      <c r="Y2964" s="14">
        <f t="shared" si="812"/>
        <v>0</v>
      </c>
      <c r="Z2964" s="11" t="s">
        <v>26</v>
      </c>
      <c r="AA2964" s="12" t="s">
        <v>31</v>
      </c>
    </row>
    <row r="2965" spans="1:27" x14ac:dyDescent="0.25">
      <c r="A2965" s="10">
        <v>45701</v>
      </c>
      <c r="B2965" s="11" t="s">
        <v>5419</v>
      </c>
      <c r="C2965" s="11" t="s">
        <v>5420</v>
      </c>
      <c r="D2965" s="11">
        <v>17504</v>
      </c>
      <c r="E2965" s="11" t="s">
        <v>46</v>
      </c>
      <c r="F2965" s="11" t="s">
        <v>26</v>
      </c>
      <c r="G2965" s="11">
        <v>112851</v>
      </c>
      <c r="H2965" s="12" t="s">
        <v>4446</v>
      </c>
      <c r="I2965" s="12" t="s">
        <v>27</v>
      </c>
      <c r="J2965" s="12" t="s">
        <v>33</v>
      </c>
      <c r="K2965" s="12" t="s">
        <v>34</v>
      </c>
      <c r="L2965" s="13">
        <v>35.08</v>
      </c>
      <c r="M2965" s="13">
        <v>25</v>
      </c>
      <c r="N2965" s="13">
        <f t="shared" si="806"/>
        <v>1.4032</v>
      </c>
      <c r="O2965" s="13">
        <v>44</v>
      </c>
      <c r="P2965" s="13" t="s">
        <v>30</v>
      </c>
      <c r="Q2965" s="13">
        <v>0</v>
      </c>
      <c r="R2965" s="70">
        <f t="shared" ref="R2965" si="837">+L2965*O2965</f>
        <v>1543.52</v>
      </c>
      <c r="S2965" s="70">
        <v>0</v>
      </c>
      <c r="T2965" s="70">
        <f>+L2965*S2965</f>
        <v>0</v>
      </c>
      <c r="U2965" s="70">
        <f>+R2965-T2965</f>
        <v>1543.52</v>
      </c>
      <c r="V2965" s="70">
        <f>+U2965*1</f>
        <v>1543.52</v>
      </c>
      <c r="W2965" s="70">
        <f>+U2965-V2965</f>
        <v>0</v>
      </c>
      <c r="X2965" s="70">
        <v>0</v>
      </c>
      <c r="Y2965" s="14">
        <f t="shared" si="812"/>
        <v>0</v>
      </c>
      <c r="Z2965" s="11" t="s">
        <v>26</v>
      </c>
      <c r="AA2965" s="12" t="s">
        <v>31</v>
      </c>
    </row>
    <row r="2966" spans="1:27" x14ac:dyDescent="0.25">
      <c r="A2966" s="10">
        <v>45701</v>
      </c>
      <c r="B2966" s="11" t="s">
        <v>5421</v>
      </c>
      <c r="C2966" s="11" t="s">
        <v>5422</v>
      </c>
      <c r="D2966" s="11">
        <v>17505</v>
      </c>
      <c r="E2966" s="11" t="s">
        <v>501</v>
      </c>
      <c r="F2966" s="11" t="s">
        <v>26</v>
      </c>
      <c r="G2966" s="11" t="s">
        <v>26</v>
      </c>
      <c r="H2966" s="12" t="s">
        <v>146</v>
      </c>
      <c r="I2966" s="12" t="s">
        <v>27</v>
      </c>
      <c r="J2966" s="12" t="s">
        <v>33</v>
      </c>
      <c r="K2966" s="12" t="s">
        <v>34</v>
      </c>
      <c r="L2966" s="13">
        <v>43.24</v>
      </c>
      <c r="M2966" s="13">
        <v>30</v>
      </c>
      <c r="N2966" s="13">
        <f t="shared" si="806"/>
        <v>1.4413333333333334</v>
      </c>
      <c r="O2966" s="13">
        <v>91</v>
      </c>
      <c r="P2966" s="13" t="s">
        <v>30</v>
      </c>
      <c r="Q2966" s="13">
        <v>0</v>
      </c>
      <c r="R2966" s="70">
        <f>+L2966*O2966</f>
        <v>3934.84</v>
      </c>
      <c r="S2966" s="70">
        <v>40</v>
      </c>
      <c r="T2966" s="70">
        <f>L2966*S2966</f>
        <v>1729.6000000000001</v>
      </c>
      <c r="U2966" s="70">
        <f t="shared" ref="U2966" si="838">R2966-T2966</f>
        <v>2205.2399999999998</v>
      </c>
      <c r="V2966" s="70">
        <f>U2966*1</f>
        <v>2205.2399999999998</v>
      </c>
      <c r="W2966" s="70">
        <f t="shared" ref="W2966" si="839">U2966-V2966</f>
        <v>0</v>
      </c>
      <c r="X2966" s="70">
        <f>L2966*36</f>
        <v>1556.64</v>
      </c>
      <c r="Y2966" s="71">
        <f>+T2966-X2966</f>
        <v>172.96000000000004</v>
      </c>
      <c r="Z2966" s="12" t="s">
        <v>141</v>
      </c>
      <c r="AA2966" s="12" t="s">
        <v>79</v>
      </c>
    </row>
    <row r="2967" spans="1:27" x14ac:dyDescent="0.25">
      <c r="A2967" s="10">
        <v>45701</v>
      </c>
      <c r="B2967" s="11" t="s">
        <v>5423</v>
      </c>
      <c r="C2967" s="11" t="s">
        <v>5424</v>
      </c>
      <c r="D2967" s="11">
        <v>17506</v>
      </c>
      <c r="E2967" s="11" t="s">
        <v>5209</v>
      </c>
      <c r="F2967" s="11" t="s">
        <v>26</v>
      </c>
      <c r="G2967" s="11" t="s">
        <v>35</v>
      </c>
      <c r="H2967" s="12" t="s">
        <v>36</v>
      </c>
      <c r="I2967" s="12" t="s">
        <v>37</v>
      </c>
      <c r="J2967" s="12" t="s">
        <v>85</v>
      </c>
      <c r="K2967" s="12" t="s">
        <v>86</v>
      </c>
      <c r="L2967" s="13">
        <v>15.04</v>
      </c>
      <c r="M2967" s="13">
        <v>9</v>
      </c>
      <c r="N2967" s="13">
        <f t="shared" si="806"/>
        <v>1.671111111111111</v>
      </c>
      <c r="O2967" s="13">
        <v>37</v>
      </c>
      <c r="P2967" s="13" t="s">
        <v>30</v>
      </c>
      <c r="Q2967" s="13">
        <v>0</v>
      </c>
      <c r="R2967" s="70">
        <f>(L2967*O2967)-Q2967</f>
        <v>556.48</v>
      </c>
      <c r="S2967" s="70">
        <v>0</v>
      </c>
      <c r="T2967" s="70">
        <f t="shared" ref="T2967" si="840">+L2967*S2967</f>
        <v>0</v>
      </c>
      <c r="U2967" s="70">
        <f t="shared" ref="U2967" si="841">+R2967-T2967</f>
        <v>556.48</v>
      </c>
      <c r="V2967" s="70">
        <f>+U2967*0</f>
        <v>0</v>
      </c>
      <c r="W2967" s="70">
        <f t="shared" ref="W2967" si="842">+U2967-V2967</f>
        <v>556.48</v>
      </c>
      <c r="X2967" s="70">
        <v>0</v>
      </c>
      <c r="Y2967" s="14">
        <f t="shared" si="812"/>
        <v>0</v>
      </c>
      <c r="Z2967" s="11" t="s">
        <v>26</v>
      </c>
      <c r="AA2967" s="12" t="s">
        <v>31</v>
      </c>
    </row>
    <row r="2968" spans="1:27" x14ac:dyDescent="0.25">
      <c r="A2968" s="10">
        <v>45701</v>
      </c>
      <c r="B2968" s="11" t="s">
        <v>5425</v>
      </c>
      <c r="C2968" s="11" t="s">
        <v>5426</v>
      </c>
      <c r="D2968" s="11">
        <v>17507</v>
      </c>
      <c r="E2968" s="11" t="s">
        <v>570</v>
      </c>
      <c r="F2968" s="11" t="s">
        <v>26</v>
      </c>
      <c r="G2968" s="11">
        <v>10753</v>
      </c>
      <c r="H2968" s="12" t="s">
        <v>140</v>
      </c>
      <c r="I2968" s="12" t="s">
        <v>27</v>
      </c>
      <c r="J2968" s="12" t="s">
        <v>47</v>
      </c>
      <c r="K2968" s="12" t="s">
        <v>48</v>
      </c>
      <c r="L2968" s="13">
        <v>41.02</v>
      </c>
      <c r="M2968" s="13">
        <v>28</v>
      </c>
      <c r="N2968" s="13">
        <f t="shared" si="806"/>
        <v>1.4650000000000001</v>
      </c>
      <c r="O2968" s="13">
        <v>40</v>
      </c>
      <c r="P2968" s="13"/>
      <c r="Q2968" s="13">
        <v>0</v>
      </c>
      <c r="R2968" s="70">
        <f>+L2968*O2968</f>
        <v>1640.8000000000002</v>
      </c>
      <c r="S2968" s="70">
        <v>0</v>
      </c>
      <c r="T2968" s="70">
        <f>+L2968*S2968</f>
        <v>0</v>
      </c>
      <c r="U2968" s="70">
        <f>+R2968-T2968</f>
        <v>1640.8000000000002</v>
      </c>
      <c r="V2968" s="70">
        <f t="shared" ref="V2968:V2969" si="843">+U2968*0</f>
        <v>0</v>
      </c>
      <c r="W2968" s="70">
        <f>+U2968-V2968</f>
        <v>1640.8000000000002</v>
      </c>
      <c r="X2968" s="70">
        <v>0</v>
      </c>
      <c r="Y2968" s="14">
        <f t="shared" si="812"/>
        <v>0</v>
      </c>
      <c r="Z2968" s="11" t="s">
        <v>26</v>
      </c>
      <c r="AA2968" s="12" t="s">
        <v>31</v>
      </c>
    </row>
    <row r="2969" spans="1:27" x14ac:dyDescent="0.25">
      <c r="A2969" s="10">
        <v>45701</v>
      </c>
      <c r="B2969" s="11" t="s">
        <v>342</v>
      </c>
      <c r="C2969" s="11" t="s">
        <v>5427</v>
      </c>
      <c r="D2969" s="11">
        <v>17508</v>
      </c>
      <c r="E2969" s="11" t="s">
        <v>80</v>
      </c>
      <c r="F2969" s="11" t="s">
        <v>26</v>
      </c>
      <c r="G2969" s="11">
        <v>10685</v>
      </c>
      <c r="H2969" s="12" t="s">
        <v>140</v>
      </c>
      <c r="I2969" s="12" t="s">
        <v>27</v>
      </c>
      <c r="J2969" s="12" t="s">
        <v>42</v>
      </c>
      <c r="K2969" s="12" t="s">
        <v>43</v>
      </c>
      <c r="L2969" s="13">
        <v>43.34</v>
      </c>
      <c r="M2969" s="13">
        <v>25</v>
      </c>
      <c r="N2969" s="13">
        <f t="shared" si="806"/>
        <v>1.7336</v>
      </c>
      <c r="O2969" s="13">
        <v>35</v>
      </c>
      <c r="P2969" s="13"/>
      <c r="Q2969" s="13">
        <v>0</v>
      </c>
      <c r="R2969" s="70">
        <f>+L2969*O2969</f>
        <v>1516.9</v>
      </c>
      <c r="S2969" s="70">
        <v>0</v>
      </c>
      <c r="T2969" s="70">
        <f>+L2969*S2969</f>
        <v>0</v>
      </c>
      <c r="U2969" s="70">
        <f>+R2969-T2969</f>
        <v>1516.9</v>
      </c>
      <c r="V2969" s="70">
        <f t="shared" si="843"/>
        <v>0</v>
      </c>
      <c r="W2969" s="70">
        <f>+U2969-V2969</f>
        <v>1516.9</v>
      </c>
      <c r="X2969" s="70">
        <v>0</v>
      </c>
      <c r="Y2969" s="14">
        <f t="shared" si="812"/>
        <v>0</v>
      </c>
      <c r="Z2969" s="11" t="s">
        <v>26</v>
      </c>
      <c r="AA2969" s="12" t="s">
        <v>31</v>
      </c>
    </row>
    <row r="2970" spans="1:27" x14ac:dyDescent="0.25">
      <c r="A2970" s="10">
        <v>45701</v>
      </c>
      <c r="B2970" s="11" t="s">
        <v>5428</v>
      </c>
      <c r="C2970" s="11" t="s">
        <v>5429</v>
      </c>
      <c r="D2970" s="11">
        <v>17509</v>
      </c>
      <c r="E2970" s="11" t="s">
        <v>480</v>
      </c>
      <c r="F2970" s="11" t="s">
        <v>26</v>
      </c>
      <c r="G2970" s="11">
        <v>70419</v>
      </c>
      <c r="H2970" s="12" t="s">
        <v>4448</v>
      </c>
      <c r="I2970" s="12" t="s">
        <v>55</v>
      </c>
      <c r="J2970" s="12" t="s">
        <v>55</v>
      </c>
      <c r="K2970" s="12" t="s">
        <v>56</v>
      </c>
      <c r="L2970" s="13">
        <v>40.4</v>
      </c>
      <c r="M2970" s="13">
        <v>25</v>
      </c>
      <c r="N2970" s="13">
        <f t="shared" si="806"/>
        <v>1.6159999999999999</v>
      </c>
      <c r="O2970" s="13">
        <v>15</v>
      </c>
      <c r="P2970" s="13" t="s">
        <v>30</v>
      </c>
      <c r="Q2970" s="13">
        <v>0</v>
      </c>
      <c r="R2970" s="70">
        <f>+L2970*O2970</f>
        <v>606</v>
      </c>
      <c r="S2970" s="70">
        <v>0</v>
      </c>
      <c r="T2970" s="70">
        <f>+L2970*S2970</f>
        <v>0</v>
      </c>
      <c r="U2970" s="70">
        <f>+R2970-T2970</f>
        <v>606</v>
      </c>
      <c r="V2970" s="70">
        <f>+U2970*0.75</f>
        <v>454.5</v>
      </c>
      <c r="W2970" s="70">
        <f>+U2970-V2970</f>
        <v>151.5</v>
      </c>
      <c r="X2970" s="70">
        <v>0</v>
      </c>
      <c r="Y2970" s="14">
        <f t="shared" si="812"/>
        <v>0</v>
      </c>
      <c r="Z2970" s="11" t="s">
        <v>26</v>
      </c>
      <c r="AA2970" s="12" t="s">
        <v>31</v>
      </c>
    </row>
    <row r="2971" spans="1:27" x14ac:dyDescent="0.25">
      <c r="A2971" s="10">
        <v>45701</v>
      </c>
      <c r="B2971" s="11" t="s">
        <v>5430</v>
      </c>
      <c r="C2971" s="11" t="s">
        <v>5431</v>
      </c>
      <c r="D2971" s="11">
        <v>17510</v>
      </c>
      <c r="E2971" s="11" t="s">
        <v>113</v>
      </c>
      <c r="F2971" s="11" t="s">
        <v>26</v>
      </c>
      <c r="G2971" s="11">
        <v>691</v>
      </c>
      <c r="H2971" s="12" t="s">
        <v>6328</v>
      </c>
      <c r="I2971" s="12" t="s">
        <v>27</v>
      </c>
      <c r="J2971" s="12" t="s">
        <v>42</v>
      </c>
      <c r="K2971" s="12" t="s">
        <v>43</v>
      </c>
      <c r="L2971" s="13">
        <v>32.18</v>
      </c>
      <c r="M2971" s="13">
        <v>20</v>
      </c>
      <c r="N2971" s="13">
        <f t="shared" si="806"/>
        <v>1.609</v>
      </c>
      <c r="O2971" s="13">
        <v>42.5</v>
      </c>
      <c r="P2971" s="13"/>
      <c r="Q2971" s="13">
        <v>0</v>
      </c>
      <c r="R2971" s="70">
        <f>L2971*O2971</f>
        <v>1367.65</v>
      </c>
      <c r="S2971" s="70">
        <v>0</v>
      </c>
      <c r="T2971" s="70">
        <f>+L2971*S2971</f>
        <v>0</v>
      </c>
      <c r="U2971" s="70">
        <f>R2971-T2971</f>
        <v>1367.65</v>
      </c>
      <c r="V2971" s="70">
        <f>U2971*0</f>
        <v>0</v>
      </c>
      <c r="W2971" s="70">
        <f>U2971-V2971</f>
        <v>1367.65</v>
      </c>
      <c r="X2971" s="70"/>
      <c r="Y2971" s="14">
        <f t="shared" si="812"/>
        <v>0</v>
      </c>
      <c r="Z2971" s="11" t="s">
        <v>26</v>
      </c>
      <c r="AA2971" s="12" t="s">
        <v>31</v>
      </c>
    </row>
    <row r="2972" spans="1:27" x14ac:dyDescent="0.25">
      <c r="A2972" s="10">
        <v>45701</v>
      </c>
      <c r="B2972" s="11" t="s">
        <v>2502</v>
      </c>
      <c r="C2972" s="11" t="s">
        <v>5432</v>
      </c>
      <c r="D2972" s="11">
        <v>17511</v>
      </c>
      <c r="E2972" s="11" t="s">
        <v>519</v>
      </c>
      <c r="F2972" s="11" t="s">
        <v>26</v>
      </c>
      <c r="G2972" s="11">
        <v>21776</v>
      </c>
      <c r="H2972" s="12" t="s">
        <v>4448</v>
      </c>
      <c r="I2972" s="12" t="s">
        <v>55</v>
      </c>
      <c r="J2972" s="12" t="s">
        <v>55</v>
      </c>
      <c r="K2972" s="12" t="s">
        <v>56</v>
      </c>
      <c r="L2972" s="13">
        <v>39.04</v>
      </c>
      <c r="M2972" s="13">
        <v>25</v>
      </c>
      <c r="N2972" s="13">
        <f t="shared" si="806"/>
        <v>1.5615999999999999</v>
      </c>
      <c r="O2972" s="13">
        <v>15</v>
      </c>
      <c r="P2972" s="13" t="s">
        <v>30</v>
      </c>
      <c r="Q2972" s="13">
        <v>0</v>
      </c>
      <c r="R2972" s="70">
        <f>+L2972*O2972</f>
        <v>585.6</v>
      </c>
      <c r="S2972" s="70">
        <v>0</v>
      </c>
      <c r="T2972" s="70">
        <f>+L2972*S2972</f>
        <v>0</v>
      </c>
      <c r="U2972" s="70">
        <f>+R2972-T2972</f>
        <v>585.6</v>
      </c>
      <c r="V2972" s="70">
        <f>+U2972*0.75</f>
        <v>439.20000000000005</v>
      </c>
      <c r="W2972" s="70">
        <f>+U2972-V2972</f>
        <v>146.39999999999998</v>
      </c>
      <c r="X2972" s="70">
        <v>0</v>
      </c>
      <c r="Y2972" s="14">
        <f t="shared" si="812"/>
        <v>0</v>
      </c>
      <c r="Z2972" s="11" t="s">
        <v>26</v>
      </c>
      <c r="AA2972" s="12" t="s">
        <v>31</v>
      </c>
    </row>
    <row r="2973" spans="1:27" x14ac:dyDescent="0.25">
      <c r="A2973" s="10">
        <v>45701</v>
      </c>
      <c r="B2973" s="11" t="s">
        <v>5433</v>
      </c>
      <c r="C2973" s="11" t="s">
        <v>5434</v>
      </c>
      <c r="D2973" s="11">
        <v>17512</v>
      </c>
      <c r="E2973" s="11" t="s">
        <v>431</v>
      </c>
      <c r="F2973" s="11" t="s">
        <v>26</v>
      </c>
      <c r="G2973" s="11" t="s">
        <v>26</v>
      </c>
      <c r="H2973" s="12" t="s">
        <v>4422</v>
      </c>
      <c r="I2973" s="12" t="s">
        <v>27</v>
      </c>
      <c r="J2973" s="12" t="s">
        <v>42</v>
      </c>
      <c r="K2973" s="12" t="s">
        <v>43</v>
      </c>
      <c r="L2973" s="13">
        <v>42.88</v>
      </c>
      <c r="M2973" s="13">
        <v>25</v>
      </c>
      <c r="N2973" s="13">
        <f t="shared" si="806"/>
        <v>1.7152000000000001</v>
      </c>
      <c r="O2973" s="13">
        <v>83</v>
      </c>
      <c r="P2973" s="13" t="s">
        <v>30</v>
      </c>
      <c r="Q2973" s="13">
        <v>0</v>
      </c>
      <c r="R2973" s="70">
        <f>L2973*O2973</f>
        <v>3559.0400000000004</v>
      </c>
      <c r="S2973" s="70">
        <v>38</v>
      </c>
      <c r="T2973" s="70">
        <f>L2973*S2973</f>
        <v>1629.44</v>
      </c>
      <c r="U2973" s="70">
        <f>R2973-T2973</f>
        <v>1929.6000000000004</v>
      </c>
      <c r="V2973" s="70">
        <f>U2973*1</f>
        <v>1929.6000000000004</v>
      </c>
      <c r="W2973" s="70">
        <f>U2973-V2973</f>
        <v>0</v>
      </c>
      <c r="X2973" s="70">
        <f>L2973*36</f>
        <v>1543.68</v>
      </c>
      <c r="Y2973" s="71">
        <f>+T2973-X2973</f>
        <v>85.759999999999991</v>
      </c>
      <c r="Z2973" s="12" t="s">
        <v>6328</v>
      </c>
      <c r="AA2973" s="12" t="s">
        <v>78</v>
      </c>
    </row>
    <row r="2974" spans="1:27" x14ac:dyDescent="0.25">
      <c r="A2974" s="10">
        <v>45701</v>
      </c>
      <c r="B2974" s="11" t="s">
        <v>5435</v>
      </c>
      <c r="C2974" s="11" t="s">
        <v>5436</v>
      </c>
      <c r="D2974" s="11">
        <v>17513</v>
      </c>
      <c r="E2974" s="11" t="s">
        <v>1200</v>
      </c>
      <c r="F2974" s="11" t="s">
        <v>26</v>
      </c>
      <c r="G2974" s="11">
        <v>2966</v>
      </c>
      <c r="H2974" s="12" t="s">
        <v>163</v>
      </c>
      <c r="I2974" s="12" t="s">
        <v>27</v>
      </c>
      <c r="J2974" s="12" t="s">
        <v>47</v>
      </c>
      <c r="K2974" s="12" t="s">
        <v>48</v>
      </c>
      <c r="L2974" s="13">
        <v>38.42</v>
      </c>
      <c r="M2974" s="13">
        <v>25</v>
      </c>
      <c r="N2974" s="13">
        <f t="shared" si="806"/>
        <v>1.5368000000000002</v>
      </c>
      <c r="O2974" s="13" t="s">
        <v>30</v>
      </c>
      <c r="P2974" s="13">
        <v>60</v>
      </c>
      <c r="Q2974" s="13">
        <v>0</v>
      </c>
      <c r="R2974" s="70">
        <f>M2974*P2974</f>
        <v>1500</v>
      </c>
      <c r="S2974" s="70">
        <v>0</v>
      </c>
      <c r="T2974" s="70">
        <f>M2974*S2974</f>
        <v>0</v>
      </c>
      <c r="U2974" s="70">
        <f>R2974-T2974</f>
        <v>1500</v>
      </c>
      <c r="V2974" s="70">
        <f>U2974*0</f>
        <v>0</v>
      </c>
      <c r="W2974" s="70">
        <f>U2974-V2974</f>
        <v>1500</v>
      </c>
      <c r="X2974" s="70">
        <v>0</v>
      </c>
      <c r="Y2974" s="14">
        <f t="shared" si="812"/>
        <v>0</v>
      </c>
      <c r="Z2974" s="11" t="s">
        <v>26</v>
      </c>
      <c r="AA2974" s="12" t="s">
        <v>31</v>
      </c>
    </row>
    <row r="2975" spans="1:27" x14ac:dyDescent="0.25">
      <c r="A2975" s="10">
        <v>45701</v>
      </c>
      <c r="B2975" s="11" t="s">
        <v>5437</v>
      </c>
      <c r="C2975" s="11" t="s">
        <v>5438</v>
      </c>
      <c r="D2975" s="11">
        <v>17514</v>
      </c>
      <c r="E2975" s="11" t="s">
        <v>49</v>
      </c>
      <c r="F2975" s="11" t="s">
        <v>26</v>
      </c>
      <c r="G2975" s="11">
        <v>1652</v>
      </c>
      <c r="H2975" s="12" t="s">
        <v>45</v>
      </c>
      <c r="I2975" s="12" t="s">
        <v>27</v>
      </c>
      <c r="J2975" s="12" t="s">
        <v>33</v>
      </c>
      <c r="K2975" s="12" t="s">
        <v>34</v>
      </c>
      <c r="L2975" s="13">
        <v>38.86</v>
      </c>
      <c r="M2975" s="13">
        <v>25</v>
      </c>
      <c r="N2975" s="13">
        <f t="shared" si="806"/>
        <v>1.5544</v>
      </c>
      <c r="O2975" s="13" t="s">
        <v>30</v>
      </c>
      <c r="P2975" s="13">
        <v>58</v>
      </c>
      <c r="Q2975" s="13">
        <v>0</v>
      </c>
      <c r="R2975" s="70">
        <f>M2975*P2975</f>
        <v>1450</v>
      </c>
      <c r="S2975" s="70">
        <v>0</v>
      </c>
      <c r="T2975" s="70">
        <f>M2975*S2975</f>
        <v>0</v>
      </c>
      <c r="U2975" s="70">
        <f>R2975-T2975</f>
        <v>1450</v>
      </c>
      <c r="V2975" s="70">
        <f t="shared" ref="V2975:V2976" si="844">U2975*0</f>
        <v>0</v>
      </c>
      <c r="W2975" s="70">
        <f t="shared" ref="W2975:W2976" si="845">U2975-V2975</f>
        <v>1450</v>
      </c>
      <c r="X2975" s="70">
        <v>0</v>
      </c>
      <c r="Y2975" s="14">
        <f t="shared" si="812"/>
        <v>0</v>
      </c>
      <c r="Z2975" s="11" t="s">
        <v>26</v>
      </c>
      <c r="AA2975" s="12" t="s">
        <v>31</v>
      </c>
    </row>
    <row r="2976" spans="1:27" x14ac:dyDescent="0.25">
      <c r="A2976" s="10">
        <v>45701</v>
      </c>
      <c r="B2976" s="11" t="s">
        <v>450</v>
      </c>
      <c r="C2976" s="11" t="s">
        <v>5439</v>
      </c>
      <c r="D2976" s="11">
        <v>17515</v>
      </c>
      <c r="E2976" s="11" t="s">
        <v>44</v>
      </c>
      <c r="F2976" s="11" t="s">
        <v>26</v>
      </c>
      <c r="G2976" s="11">
        <v>1656</v>
      </c>
      <c r="H2976" s="12" t="s">
        <v>45</v>
      </c>
      <c r="I2976" s="12" t="s">
        <v>27</v>
      </c>
      <c r="J2976" s="12" t="s">
        <v>33</v>
      </c>
      <c r="K2976" s="12" t="s">
        <v>34</v>
      </c>
      <c r="L2976" s="13">
        <v>37.36</v>
      </c>
      <c r="M2976" s="13">
        <v>25</v>
      </c>
      <c r="N2976" s="13">
        <f t="shared" si="806"/>
        <v>1.4944</v>
      </c>
      <c r="O2976" s="13" t="s">
        <v>30</v>
      </c>
      <c r="P2976" s="13">
        <v>58</v>
      </c>
      <c r="Q2976" s="13">
        <v>0</v>
      </c>
      <c r="R2976" s="70">
        <f>M2976*P2976</f>
        <v>1450</v>
      </c>
      <c r="S2976" s="70">
        <v>0</v>
      </c>
      <c r="T2976" s="70">
        <f>M2976*S2976</f>
        <v>0</v>
      </c>
      <c r="U2976" s="70">
        <f>R2976-T2976</f>
        <v>1450</v>
      </c>
      <c r="V2976" s="70">
        <f t="shared" si="844"/>
        <v>0</v>
      </c>
      <c r="W2976" s="70">
        <f t="shared" si="845"/>
        <v>1450</v>
      </c>
      <c r="X2976" s="70">
        <v>0</v>
      </c>
      <c r="Y2976" s="14">
        <f t="shared" si="812"/>
        <v>0</v>
      </c>
      <c r="Z2976" s="11" t="s">
        <v>26</v>
      </c>
      <c r="AA2976" s="12" t="s">
        <v>31</v>
      </c>
    </row>
    <row r="2977" spans="1:27" x14ac:dyDescent="0.25">
      <c r="A2977" s="10">
        <v>45701</v>
      </c>
      <c r="B2977" s="11" t="s">
        <v>2705</v>
      </c>
      <c r="C2977" s="11" t="s">
        <v>5440</v>
      </c>
      <c r="D2977" s="11">
        <v>17517</v>
      </c>
      <c r="E2977" s="11" t="s">
        <v>81</v>
      </c>
      <c r="F2977" s="11" t="s">
        <v>26</v>
      </c>
      <c r="G2977" s="11">
        <v>1215</v>
      </c>
      <c r="H2977" s="12" t="s">
        <v>141</v>
      </c>
      <c r="I2977" s="12" t="s">
        <v>27</v>
      </c>
      <c r="J2977" s="12" t="s">
        <v>33</v>
      </c>
      <c r="K2977" s="12" t="s">
        <v>34</v>
      </c>
      <c r="L2977" s="13">
        <v>42.38</v>
      </c>
      <c r="M2977" s="13">
        <v>29</v>
      </c>
      <c r="N2977" s="13">
        <f t="shared" si="806"/>
        <v>1.4613793103448276</v>
      </c>
      <c r="O2977" s="13">
        <v>40</v>
      </c>
      <c r="P2977" s="13" t="s">
        <v>30</v>
      </c>
      <c r="Q2977" s="13">
        <v>0</v>
      </c>
      <c r="R2977" s="70">
        <f>L2977*O2977</f>
        <v>1695.2</v>
      </c>
      <c r="S2977" s="70">
        <v>0</v>
      </c>
      <c r="T2977" s="70">
        <f>L2977*S2977</f>
        <v>0</v>
      </c>
      <c r="U2977" s="70">
        <f>R2977-T2977</f>
        <v>1695.2</v>
      </c>
      <c r="V2977" s="70">
        <f>U2977*0</f>
        <v>0</v>
      </c>
      <c r="W2977" s="70">
        <f>U2977-V2977</f>
        <v>1695.2</v>
      </c>
      <c r="X2977" s="70">
        <v>0</v>
      </c>
      <c r="Y2977" s="14">
        <f t="shared" si="812"/>
        <v>0</v>
      </c>
      <c r="Z2977" s="11" t="s">
        <v>26</v>
      </c>
      <c r="AA2977" s="12" t="s">
        <v>31</v>
      </c>
    </row>
    <row r="2978" spans="1:27" x14ac:dyDescent="0.25">
      <c r="A2978" s="10">
        <v>45701</v>
      </c>
      <c r="B2978" s="11" t="s">
        <v>5441</v>
      </c>
      <c r="C2978" s="11" t="s">
        <v>5442</v>
      </c>
      <c r="D2978" s="11">
        <v>17518</v>
      </c>
      <c r="E2978" s="11" t="s">
        <v>60</v>
      </c>
      <c r="F2978" s="11" t="s">
        <v>26</v>
      </c>
      <c r="G2978" s="11" t="s">
        <v>35</v>
      </c>
      <c r="H2978" s="12" t="s">
        <v>36</v>
      </c>
      <c r="I2978" s="12" t="s">
        <v>27</v>
      </c>
      <c r="J2978" s="12" t="s">
        <v>33</v>
      </c>
      <c r="K2978" s="12" t="s">
        <v>34</v>
      </c>
      <c r="L2978" s="13">
        <v>8</v>
      </c>
      <c r="M2978" s="13">
        <v>5</v>
      </c>
      <c r="N2978" s="13">
        <f t="shared" si="806"/>
        <v>1.6</v>
      </c>
      <c r="O2978" s="13">
        <v>50</v>
      </c>
      <c r="P2978" s="13" t="s">
        <v>30</v>
      </c>
      <c r="Q2978" s="13">
        <v>0</v>
      </c>
      <c r="R2978" s="70">
        <f>(L2978*O2978)-Q2978</f>
        <v>400</v>
      </c>
      <c r="S2978" s="70">
        <v>0</v>
      </c>
      <c r="T2978" s="70">
        <f t="shared" ref="T2978" si="846">+L2978*S2978</f>
        <v>0</v>
      </c>
      <c r="U2978" s="70">
        <f t="shared" ref="U2978" si="847">+R2978-T2978</f>
        <v>400</v>
      </c>
      <c r="V2978" s="70">
        <f t="shared" ref="V2978" si="848">+U2978*0</f>
        <v>0</v>
      </c>
      <c r="W2978" s="70">
        <f t="shared" ref="W2978" si="849">+U2978-V2978</f>
        <v>400</v>
      </c>
      <c r="X2978" s="70">
        <v>0</v>
      </c>
      <c r="Y2978" s="14">
        <f t="shared" si="812"/>
        <v>0</v>
      </c>
      <c r="Z2978" s="11" t="s">
        <v>26</v>
      </c>
      <c r="AA2978" s="12" t="s">
        <v>31</v>
      </c>
    </row>
    <row r="2979" spans="1:27" x14ac:dyDescent="0.25">
      <c r="A2979" s="10">
        <v>45701</v>
      </c>
      <c r="B2979" s="11" t="s">
        <v>452</v>
      </c>
      <c r="C2979" s="11" t="s">
        <v>5443</v>
      </c>
      <c r="D2979" s="11">
        <v>17519</v>
      </c>
      <c r="E2979" s="11" t="s">
        <v>4323</v>
      </c>
      <c r="F2979" s="11" t="s">
        <v>26</v>
      </c>
      <c r="G2979" s="11">
        <v>2961</v>
      </c>
      <c r="H2979" s="12" t="s">
        <v>4442</v>
      </c>
      <c r="I2979" s="12" t="s">
        <v>27</v>
      </c>
      <c r="J2979" s="12" t="s">
        <v>42</v>
      </c>
      <c r="K2979" s="12" t="s">
        <v>43</v>
      </c>
      <c r="L2979" s="13">
        <v>42.32</v>
      </c>
      <c r="M2979" s="13">
        <v>25</v>
      </c>
      <c r="N2979" s="13">
        <f t="shared" si="806"/>
        <v>1.6928000000000001</v>
      </c>
      <c r="O2979" s="13">
        <v>41</v>
      </c>
      <c r="P2979" s="13" t="s">
        <v>30</v>
      </c>
      <c r="Q2979" s="13">
        <v>0</v>
      </c>
      <c r="R2979" s="70">
        <f>L2979*O2979</f>
        <v>1735.1200000000001</v>
      </c>
      <c r="S2979" s="70">
        <v>0</v>
      </c>
      <c r="T2979" s="70">
        <f>L2979*S2979</f>
        <v>0</v>
      </c>
      <c r="U2979" s="70">
        <f>R2979-T2979</f>
        <v>1735.1200000000001</v>
      </c>
      <c r="V2979" s="70">
        <f>U2979*1</f>
        <v>1735.1200000000001</v>
      </c>
      <c r="W2979" s="70">
        <f>U2979-V2979</f>
        <v>0</v>
      </c>
      <c r="X2979" s="70">
        <v>0</v>
      </c>
      <c r="Y2979" s="14">
        <f t="shared" si="812"/>
        <v>0</v>
      </c>
      <c r="Z2979" s="11" t="s">
        <v>26</v>
      </c>
      <c r="AA2979" s="12" t="s">
        <v>31</v>
      </c>
    </row>
    <row r="2980" spans="1:27" x14ac:dyDescent="0.25">
      <c r="A2980" s="10">
        <v>45701</v>
      </c>
      <c r="B2980" s="11" t="s">
        <v>5444</v>
      </c>
      <c r="C2980" s="11" t="s">
        <v>5445</v>
      </c>
      <c r="D2980" s="11">
        <v>17520</v>
      </c>
      <c r="E2980" s="11" t="s">
        <v>61</v>
      </c>
      <c r="F2980" s="11" t="s">
        <v>26</v>
      </c>
      <c r="G2980" s="11" t="s">
        <v>35</v>
      </c>
      <c r="H2980" s="12" t="s">
        <v>36</v>
      </c>
      <c r="I2980" s="12" t="s">
        <v>27</v>
      </c>
      <c r="J2980" s="12" t="s">
        <v>33</v>
      </c>
      <c r="K2980" s="12" t="s">
        <v>34</v>
      </c>
      <c r="L2980" s="13">
        <v>5.9</v>
      </c>
      <c r="M2980" s="13">
        <v>4</v>
      </c>
      <c r="N2980" s="13">
        <f t="shared" si="806"/>
        <v>1.4750000000000001</v>
      </c>
      <c r="O2980" s="13">
        <v>50</v>
      </c>
      <c r="P2980" s="13" t="s">
        <v>30</v>
      </c>
      <c r="Q2980" s="13">
        <v>0</v>
      </c>
      <c r="R2980" s="70">
        <f>(L2980*O2980)-Q2980</f>
        <v>295</v>
      </c>
      <c r="S2980" s="70">
        <v>0</v>
      </c>
      <c r="T2980" s="70">
        <f t="shared" ref="T2980" si="850">+L2980*S2980</f>
        <v>0</v>
      </c>
      <c r="U2980" s="70">
        <f t="shared" ref="U2980" si="851">+R2980-T2980</f>
        <v>295</v>
      </c>
      <c r="V2980" s="70">
        <f t="shared" ref="V2980" si="852">+U2980*0</f>
        <v>0</v>
      </c>
      <c r="W2980" s="70">
        <f t="shared" ref="W2980" si="853">+U2980-V2980</f>
        <v>295</v>
      </c>
      <c r="X2980" s="70">
        <v>0</v>
      </c>
      <c r="Y2980" s="14">
        <f t="shared" si="812"/>
        <v>0</v>
      </c>
      <c r="Z2980" s="11" t="s">
        <v>26</v>
      </c>
      <c r="AA2980" s="12" t="s">
        <v>31</v>
      </c>
    </row>
    <row r="2981" spans="1:27" x14ac:dyDescent="0.25">
      <c r="A2981" s="10">
        <v>45701</v>
      </c>
      <c r="B2981" s="11" t="s">
        <v>1427</v>
      </c>
      <c r="C2981" s="11" t="s">
        <v>5446</v>
      </c>
      <c r="D2981" s="11">
        <v>17521</v>
      </c>
      <c r="E2981" s="11" t="s">
        <v>67</v>
      </c>
      <c r="F2981" s="11" t="s">
        <v>26</v>
      </c>
      <c r="G2981" s="11">
        <v>1641</v>
      </c>
      <c r="H2981" s="12" t="s">
        <v>66</v>
      </c>
      <c r="I2981" s="12" t="s">
        <v>37</v>
      </c>
      <c r="J2981" s="12" t="s">
        <v>1909</v>
      </c>
      <c r="K2981" s="12" t="s">
        <v>82</v>
      </c>
      <c r="L2981" s="13">
        <v>40.08</v>
      </c>
      <c r="M2981" s="13">
        <v>25</v>
      </c>
      <c r="N2981" s="13">
        <f t="shared" si="806"/>
        <v>1.6032</v>
      </c>
      <c r="O2981" s="13" t="s">
        <v>30</v>
      </c>
      <c r="P2981" s="13">
        <v>54</v>
      </c>
      <c r="Q2981" s="13">
        <v>0</v>
      </c>
      <c r="R2981" s="70">
        <f>M2981*P2981</f>
        <v>1350</v>
      </c>
      <c r="S2981" s="70">
        <v>0</v>
      </c>
      <c r="T2981" s="70">
        <f>M2981*S2981</f>
        <v>0</v>
      </c>
      <c r="U2981" s="70">
        <f t="shared" ref="U2981" si="854">R2981-T2981</f>
        <v>1350</v>
      </c>
      <c r="V2981" s="70">
        <f>U2981*1</f>
        <v>1350</v>
      </c>
      <c r="W2981" s="70">
        <f>U2981-V2981</f>
        <v>0</v>
      </c>
      <c r="X2981" s="70">
        <v>0</v>
      </c>
      <c r="Y2981" s="14">
        <f t="shared" si="812"/>
        <v>0</v>
      </c>
      <c r="Z2981" s="11" t="s">
        <v>26</v>
      </c>
      <c r="AA2981" s="12" t="s">
        <v>31</v>
      </c>
    </row>
    <row r="2982" spans="1:27" x14ac:dyDescent="0.25">
      <c r="A2982" s="10">
        <v>45701</v>
      </c>
      <c r="B2982" s="11" t="s">
        <v>749</v>
      </c>
      <c r="C2982" s="11" t="s">
        <v>5447</v>
      </c>
      <c r="D2982" s="11">
        <v>17522</v>
      </c>
      <c r="E2982" s="11" t="s">
        <v>589</v>
      </c>
      <c r="F2982" s="11" t="s">
        <v>26</v>
      </c>
      <c r="G2982" s="11">
        <v>56919</v>
      </c>
      <c r="H2982" s="12" t="s">
        <v>4423</v>
      </c>
      <c r="I2982" s="12" t="s">
        <v>27</v>
      </c>
      <c r="J2982" s="12" t="s">
        <v>33</v>
      </c>
      <c r="K2982" s="12" t="s">
        <v>34</v>
      </c>
      <c r="L2982" s="13">
        <v>35.58</v>
      </c>
      <c r="M2982" s="13">
        <v>25</v>
      </c>
      <c r="N2982" s="13">
        <f t="shared" si="806"/>
        <v>1.4232</v>
      </c>
      <c r="O2982" s="13">
        <v>45</v>
      </c>
      <c r="P2982" s="13" t="s">
        <v>30</v>
      </c>
      <c r="Q2982" s="13">
        <v>0</v>
      </c>
      <c r="R2982" s="70">
        <f>+L2982*O2982</f>
        <v>1601.1</v>
      </c>
      <c r="S2982" s="70">
        <v>0</v>
      </c>
      <c r="T2982" s="70">
        <f>+L2982*S2982</f>
        <v>0</v>
      </c>
      <c r="U2982" s="70">
        <f t="shared" ref="U2982" si="855">+R2982-T2982</f>
        <v>1601.1</v>
      </c>
      <c r="V2982" s="70">
        <f>+U2982*1</f>
        <v>1601.1</v>
      </c>
      <c r="W2982" s="70">
        <f t="shared" ref="W2982" si="856">+U2982-V2982</f>
        <v>0</v>
      </c>
      <c r="X2982" s="70">
        <v>0</v>
      </c>
      <c r="Y2982" s="14">
        <f t="shared" si="812"/>
        <v>0</v>
      </c>
      <c r="Z2982" s="11" t="s">
        <v>26</v>
      </c>
      <c r="AA2982" s="12" t="s">
        <v>31</v>
      </c>
    </row>
    <row r="2983" spans="1:27" x14ac:dyDescent="0.25">
      <c r="A2983" s="10">
        <v>45701</v>
      </c>
      <c r="B2983" s="11" t="s">
        <v>722</v>
      </c>
      <c r="C2983" s="11" t="s">
        <v>5448</v>
      </c>
      <c r="D2983" s="11">
        <v>17523</v>
      </c>
      <c r="E2983" s="11" t="s">
        <v>658</v>
      </c>
      <c r="F2983" s="11" t="s">
        <v>26</v>
      </c>
      <c r="G2983" s="11">
        <v>869</v>
      </c>
      <c r="H2983" s="12" t="s">
        <v>141</v>
      </c>
      <c r="I2983" s="12" t="s">
        <v>55</v>
      </c>
      <c r="J2983" s="12" t="s">
        <v>55</v>
      </c>
      <c r="K2983" s="12" t="s">
        <v>56</v>
      </c>
      <c r="L2983" s="13">
        <v>39.5</v>
      </c>
      <c r="M2983" s="13">
        <v>25</v>
      </c>
      <c r="N2983" s="13">
        <f t="shared" si="806"/>
        <v>1.58</v>
      </c>
      <c r="O2983" s="13">
        <v>15</v>
      </c>
      <c r="P2983" s="13" t="s">
        <v>30</v>
      </c>
      <c r="Q2983" s="13">
        <v>0</v>
      </c>
      <c r="R2983" s="70">
        <f>L2983*O2983</f>
        <v>592.5</v>
      </c>
      <c r="S2983" s="70">
        <v>0</v>
      </c>
      <c r="T2983" s="70">
        <f>L2983*S2983</f>
        <v>0</v>
      </c>
      <c r="U2983" s="70">
        <f>R2983-T2983</f>
        <v>592.5</v>
      </c>
      <c r="V2983" s="70">
        <f>U2983*0</f>
        <v>0</v>
      </c>
      <c r="W2983" s="70">
        <f>U2983-V2983</f>
        <v>592.5</v>
      </c>
      <c r="X2983" s="70">
        <v>0</v>
      </c>
      <c r="Y2983" s="14">
        <f t="shared" si="812"/>
        <v>0</v>
      </c>
      <c r="Z2983" s="11" t="s">
        <v>26</v>
      </c>
      <c r="AA2983" s="12" t="s">
        <v>31</v>
      </c>
    </row>
    <row r="2984" spans="1:27" x14ac:dyDescent="0.25">
      <c r="A2984" s="10">
        <v>45701</v>
      </c>
      <c r="B2984" s="11" t="s">
        <v>5449</v>
      </c>
      <c r="C2984" s="11" t="s">
        <v>5450</v>
      </c>
      <c r="D2984" s="11">
        <v>17524</v>
      </c>
      <c r="E2984" s="11" t="s">
        <v>75</v>
      </c>
      <c r="F2984" s="11" t="s">
        <v>26</v>
      </c>
      <c r="G2984" s="11">
        <v>40657</v>
      </c>
      <c r="H2984" s="12" t="s">
        <v>565</v>
      </c>
      <c r="I2984" s="12" t="s">
        <v>27</v>
      </c>
      <c r="J2984" s="12" t="s">
        <v>42</v>
      </c>
      <c r="K2984" s="12" t="s">
        <v>43</v>
      </c>
      <c r="L2984" s="13">
        <v>43.06</v>
      </c>
      <c r="M2984" s="13">
        <v>25</v>
      </c>
      <c r="N2984" s="13">
        <f t="shared" si="806"/>
        <v>1.7224000000000002</v>
      </c>
      <c r="O2984" s="13"/>
      <c r="P2984" s="13">
        <v>64</v>
      </c>
      <c r="Q2984" s="13">
        <v>0</v>
      </c>
      <c r="R2984" s="70">
        <f>M2984*P2984</f>
        <v>1600</v>
      </c>
      <c r="S2984" s="70">
        <v>0</v>
      </c>
      <c r="T2984" s="70">
        <f>M2984*S2984</f>
        <v>0</v>
      </c>
      <c r="U2984" s="70">
        <f>R2984-T2984</f>
        <v>1600</v>
      </c>
      <c r="V2984" s="70">
        <f>U2984*0</f>
        <v>0</v>
      </c>
      <c r="W2984" s="70">
        <f>+U2984-V2984</f>
        <v>1600</v>
      </c>
      <c r="X2984" s="70">
        <v>0</v>
      </c>
      <c r="Y2984" s="14">
        <f t="shared" si="812"/>
        <v>0</v>
      </c>
      <c r="Z2984" s="11" t="s">
        <v>26</v>
      </c>
      <c r="AA2984" s="12" t="s">
        <v>31</v>
      </c>
    </row>
    <row r="2985" spans="1:27" x14ac:dyDescent="0.25">
      <c r="A2985" s="10">
        <v>45701</v>
      </c>
      <c r="B2985" s="11" t="s">
        <v>1808</v>
      </c>
      <c r="C2985" s="11" t="s">
        <v>5451</v>
      </c>
      <c r="D2985" s="11">
        <v>17525</v>
      </c>
      <c r="E2985" s="11" t="s">
        <v>50</v>
      </c>
      <c r="F2985" s="11" t="s">
        <v>26</v>
      </c>
      <c r="G2985" s="11">
        <v>751</v>
      </c>
      <c r="H2985" s="12" t="s">
        <v>163</v>
      </c>
      <c r="I2985" s="12" t="s">
        <v>55</v>
      </c>
      <c r="J2985" s="12" t="s">
        <v>566</v>
      </c>
      <c r="K2985" s="12" t="s">
        <v>550</v>
      </c>
      <c r="L2985" s="13">
        <v>41.58</v>
      </c>
      <c r="M2985" s="13">
        <v>25</v>
      </c>
      <c r="N2985" s="13">
        <f t="shared" si="806"/>
        <v>1.6632</v>
      </c>
      <c r="O2985" s="13">
        <v>25</v>
      </c>
      <c r="P2985" s="13"/>
      <c r="Q2985" s="13">
        <v>0</v>
      </c>
      <c r="R2985" s="70">
        <f>L2985*O2985</f>
        <v>1039.5</v>
      </c>
      <c r="S2985" s="70">
        <v>0</v>
      </c>
      <c r="T2985" s="70">
        <f>L2985*S2985</f>
        <v>0</v>
      </c>
      <c r="U2985" s="70">
        <f>R2985-T2985</f>
        <v>1039.5</v>
      </c>
      <c r="V2985" s="70">
        <f>U2985*0</f>
        <v>0</v>
      </c>
      <c r="W2985" s="70">
        <f>U2985-V2985</f>
        <v>1039.5</v>
      </c>
      <c r="X2985" s="70">
        <v>0</v>
      </c>
      <c r="Y2985" s="14">
        <f t="shared" si="812"/>
        <v>0</v>
      </c>
      <c r="Z2985" s="11" t="s">
        <v>26</v>
      </c>
      <c r="AA2985" s="12" t="s">
        <v>31</v>
      </c>
    </row>
    <row r="2986" spans="1:27" x14ac:dyDescent="0.25">
      <c r="A2986" s="10">
        <v>45701</v>
      </c>
      <c r="B2986" s="11" t="s">
        <v>374</v>
      </c>
      <c r="C2986" s="11" t="s">
        <v>5452</v>
      </c>
      <c r="D2986" s="11">
        <v>17526</v>
      </c>
      <c r="E2986" s="11" t="s">
        <v>101</v>
      </c>
      <c r="F2986" s="11" t="s">
        <v>26</v>
      </c>
      <c r="G2986" s="11">
        <v>62028</v>
      </c>
      <c r="H2986" s="12" t="s">
        <v>4423</v>
      </c>
      <c r="I2986" s="12" t="s">
        <v>55</v>
      </c>
      <c r="J2986" s="12" t="s">
        <v>55</v>
      </c>
      <c r="K2986" s="12" t="s">
        <v>56</v>
      </c>
      <c r="L2986" s="13">
        <v>38.200000000000003</v>
      </c>
      <c r="M2986" s="13">
        <v>25</v>
      </c>
      <c r="N2986" s="13">
        <f t="shared" si="806"/>
        <v>1.528</v>
      </c>
      <c r="O2986" s="13">
        <v>17</v>
      </c>
      <c r="P2986" s="13" t="s">
        <v>30</v>
      </c>
      <c r="Q2986" s="13">
        <v>0</v>
      </c>
      <c r="R2986" s="70">
        <f>+L2986*O2986</f>
        <v>649.40000000000009</v>
      </c>
      <c r="S2986" s="70">
        <v>0</v>
      </c>
      <c r="T2986" s="70">
        <f>+L2986*S2986</f>
        <v>0</v>
      </c>
      <c r="U2986" s="70">
        <f t="shared" ref="U2986" si="857">+R2986-T2986</f>
        <v>649.40000000000009</v>
      </c>
      <c r="V2986" s="70">
        <f>+U2986*1</f>
        <v>649.40000000000009</v>
      </c>
      <c r="W2986" s="70">
        <f t="shared" ref="W2986" si="858">+U2986-V2986</f>
        <v>0</v>
      </c>
      <c r="X2986" s="70">
        <v>0</v>
      </c>
      <c r="Y2986" s="14">
        <f t="shared" si="812"/>
        <v>0</v>
      </c>
      <c r="Z2986" s="11" t="s">
        <v>26</v>
      </c>
      <c r="AA2986" s="12" t="s">
        <v>31</v>
      </c>
    </row>
    <row r="2987" spans="1:27" x14ac:dyDescent="0.25">
      <c r="A2987" s="10">
        <v>45701</v>
      </c>
      <c r="B2987" s="11" t="s">
        <v>5453</v>
      </c>
      <c r="C2987" s="11" t="s">
        <v>5454</v>
      </c>
      <c r="D2987" s="11">
        <v>17527</v>
      </c>
      <c r="E2987" s="11" t="s">
        <v>501</v>
      </c>
      <c r="F2987" s="11" t="s">
        <v>26</v>
      </c>
      <c r="G2987" s="11" t="s">
        <v>26</v>
      </c>
      <c r="H2987" s="12" t="s">
        <v>146</v>
      </c>
      <c r="I2987" s="12" t="s">
        <v>27</v>
      </c>
      <c r="J2987" s="12" t="s">
        <v>33</v>
      </c>
      <c r="K2987" s="12" t="s">
        <v>34</v>
      </c>
      <c r="L2987" s="13">
        <v>43.6</v>
      </c>
      <c r="M2987" s="13">
        <v>30</v>
      </c>
      <c r="N2987" s="13">
        <f t="shared" si="806"/>
        <v>1.4533333333333334</v>
      </c>
      <c r="O2987" s="13">
        <v>91</v>
      </c>
      <c r="P2987" s="13" t="s">
        <v>30</v>
      </c>
      <c r="Q2987" s="13">
        <v>0</v>
      </c>
      <c r="R2987" s="70">
        <f>+L2987*O2987</f>
        <v>3967.6</v>
      </c>
      <c r="S2987" s="70">
        <v>40</v>
      </c>
      <c r="T2987" s="70">
        <f>L2987*S2987</f>
        <v>1744</v>
      </c>
      <c r="U2987" s="70">
        <f t="shared" ref="U2987" si="859">R2987-T2987</f>
        <v>2223.6</v>
      </c>
      <c r="V2987" s="70">
        <f>U2987*1</f>
        <v>2223.6</v>
      </c>
      <c r="W2987" s="70">
        <f t="shared" ref="W2987" si="860">U2987-V2987</f>
        <v>0</v>
      </c>
      <c r="X2987" s="70">
        <f>L2987*36</f>
        <v>1569.6000000000001</v>
      </c>
      <c r="Y2987" s="71">
        <f>+T2987-X2987</f>
        <v>174.39999999999986</v>
      </c>
      <c r="Z2987" s="12" t="s">
        <v>141</v>
      </c>
      <c r="AA2987" s="12" t="s">
        <v>79</v>
      </c>
    </row>
    <row r="2988" spans="1:27" x14ac:dyDescent="0.25">
      <c r="A2988" s="10">
        <v>45701</v>
      </c>
      <c r="B2988" s="11" t="s">
        <v>5455</v>
      </c>
      <c r="C2988" s="11" t="s">
        <v>5456</v>
      </c>
      <c r="D2988" s="11">
        <v>17528</v>
      </c>
      <c r="E2988" s="11" t="s">
        <v>74</v>
      </c>
      <c r="F2988" s="11" t="s">
        <v>26</v>
      </c>
      <c r="G2988" s="11">
        <v>1331</v>
      </c>
      <c r="H2988" s="12" t="s">
        <v>70</v>
      </c>
      <c r="I2988" s="12" t="s">
        <v>27</v>
      </c>
      <c r="J2988" s="12" t="s">
        <v>33</v>
      </c>
      <c r="K2988" s="12" t="s">
        <v>34</v>
      </c>
      <c r="L2988" s="13">
        <v>37.6</v>
      </c>
      <c r="M2988" s="13">
        <v>25</v>
      </c>
      <c r="N2988" s="13">
        <f t="shared" si="806"/>
        <v>1.504</v>
      </c>
      <c r="O2988" s="13" t="s">
        <v>30</v>
      </c>
      <c r="P2988" s="13">
        <v>60</v>
      </c>
      <c r="Q2988" s="13">
        <v>0</v>
      </c>
      <c r="R2988" s="70">
        <f>+M2988*P2988</f>
        <v>1500</v>
      </c>
      <c r="S2988" s="70">
        <v>0</v>
      </c>
      <c r="T2988" s="70">
        <f>+M2988*S2988</f>
        <v>0</v>
      </c>
      <c r="U2988" s="70">
        <f t="shared" ref="U2988" si="861">+R2988-T2988</f>
        <v>1500</v>
      </c>
      <c r="V2988" s="70">
        <f>+U2988*0</f>
        <v>0</v>
      </c>
      <c r="W2988" s="70">
        <f t="shared" ref="W2988" si="862">+U2988-V2988</f>
        <v>1500</v>
      </c>
      <c r="X2988" s="70">
        <v>0</v>
      </c>
      <c r="Y2988" s="14">
        <f t="shared" si="812"/>
        <v>0</v>
      </c>
      <c r="Z2988" s="11" t="s">
        <v>26</v>
      </c>
      <c r="AA2988" s="12" t="s">
        <v>31</v>
      </c>
    </row>
    <row r="2989" spans="1:27" x14ac:dyDescent="0.25">
      <c r="A2989" s="10">
        <v>45701</v>
      </c>
      <c r="B2989" s="11" t="s">
        <v>5457</v>
      </c>
      <c r="C2989" s="11" t="s">
        <v>5458</v>
      </c>
      <c r="D2989" s="11">
        <v>17529</v>
      </c>
      <c r="E2989" s="11" t="s">
        <v>236</v>
      </c>
      <c r="F2989" s="11" t="s">
        <v>26</v>
      </c>
      <c r="G2989" s="11">
        <v>1614</v>
      </c>
      <c r="H2989" s="12" t="s">
        <v>45</v>
      </c>
      <c r="I2989" s="12" t="s">
        <v>27</v>
      </c>
      <c r="J2989" s="12" t="s">
        <v>47</v>
      </c>
      <c r="K2989" s="12" t="s">
        <v>48</v>
      </c>
      <c r="L2989" s="13">
        <v>38.46</v>
      </c>
      <c r="M2989" s="13">
        <v>25</v>
      </c>
      <c r="N2989" s="13">
        <f t="shared" si="806"/>
        <v>1.5384</v>
      </c>
      <c r="O2989" s="13" t="s">
        <v>30</v>
      </c>
      <c r="P2989" s="13">
        <v>58</v>
      </c>
      <c r="Q2989" s="13">
        <v>0</v>
      </c>
      <c r="R2989" s="70">
        <f>M2989*P2989</f>
        <v>1450</v>
      </c>
      <c r="S2989" s="70">
        <v>0</v>
      </c>
      <c r="T2989" s="70">
        <f>M2989*S2989</f>
        <v>0</v>
      </c>
      <c r="U2989" s="70">
        <f>R2989-T2989</f>
        <v>1450</v>
      </c>
      <c r="V2989" s="70">
        <f>U2989*0</f>
        <v>0</v>
      </c>
      <c r="W2989" s="70">
        <f>U2989-V2989</f>
        <v>1450</v>
      </c>
      <c r="X2989" s="70">
        <v>0</v>
      </c>
      <c r="Y2989" s="14">
        <f t="shared" si="812"/>
        <v>0</v>
      </c>
      <c r="Z2989" s="11" t="s">
        <v>26</v>
      </c>
      <c r="AA2989" s="12" t="s">
        <v>31</v>
      </c>
    </row>
    <row r="2990" spans="1:27" x14ac:dyDescent="0.25">
      <c r="A2990" s="10">
        <v>45701</v>
      </c>
      <c r="B2990" s="11" t="s">
        <v>5459</v>
      </c>
      <c r="C2990" s="11" t="s">
        <v>5460</v>
      </c>
      <c r="D2990" s="11">
        <v>17530</v>
      </c>
      <c r="E2990" s="11" t="s">
        <v>69</v>
      </c>
      <c r="F2990" s="11" t="s">
        <v>26</v>
      </c>
      <c r="G2990" s="11">
        <v>2119</v>
      </c>
      <c r="H2990" s="12" t="s">
        <v>70</v>
      </c>
      <c r="I2990" s="12" t="s">
        <v>27</v>
      </c>
      <c r="J2990" s="12" t="s">
        <v>33</v>
      </c>
      <c r="K2990" s="12" t="s">
        <v>34</v>
      </c>
      <c r="L2990" s="13">
        <v>37.840000000000003</v>
      </c>
      <c r="M2990" s="13">
        <v>25</v>
      </c>
      <c r="N2990" s="13">
        <f t="shared" si="806"/>
        <v>1.5136000000000001</v>
      </c>
      <c r="O2990" s="13" t="s">
        <v>30</v>
      </c>
      <c r="P2990" s="13">
        <v>60</v>
      </c>
      <c r="Q2990" s="13">
        <v>0</v>
      </c>
      <c r="R2990" s="70">
        <f>+M2990*P2990</f>
        <v>1500</v>
      </c>
      <c r="S2990" s="70">
        <v>0</v>
      </c>
      <c r="T2990" s="70">
        <f>+M2990*S2990</f>
        <v>0</v>
      </c>
      <c r="U2990" s="70">
        <f t="shared" ref="U2990:U2992" si="863">+R2990-T2990</f>
        <v>1500</v>
      </c>
      <c r="V2990" s="70">
        <f>+U2990*0</f>
        <v>0</v>
      </c>
      <c r="W2990" s="70">
        <f t="shared" ref="W2990:W2992" si="864">+U2990-V2990</f>
        <v>1500</v>
      </c>
      <c r="X2990" s="70">
        <v>0</v>
      </c>
      <c r="Y2990" s="14">
        <f t="shared" si="812"/>
        <v>0</v>
      </c>
      <c r="Z2990" s="11" t="s">
        <v>26</v>
      </c>
      <c r="AA2990" s="12" t="s">
        <v>31</v>
      </c>
    </row>
    <row r="2991" spans="1:27" x14ac:dyDescent="0.25">
      <c r="A2991" s="10">
        <v>45701</v>
      </c>
      <c r="B2991" s="11" t="s">
        <v>345</v>
      </c>
      <c r="C2991" s="11" t="s">
        <v>5461</v>
      </c>
      <c r="D2991" s="11">
        <v>17531</v>
      </c>
      <c r="E2991" s="11" t="s">
        <v>5209</v>
      </c>
      <c r="F2991" s="11" t="s">
        <v>26</v>
      </c>
      <c r="G2991" s="11" t="s">
        <v>35</v>
      </c>
      <c r="H2991" s="12" t="s">
        <v>36</v>
      </c>
      <c r="I2991" s="12" t="s">
        <v>37</v>
      </c>
      <c r="J2991" s="12" t="s">
        <v>85</v>
      </c>
      <c r="K2991" s="12" t="s">
        <v>86</v>
      </c>
      <c r="L2991" s="13">
        <v>15.48</v>
      </c>
      <c r="M2991" s="13">
        <v>9</v>
      </c>
      <c r="N2991" s="13">
        <f t="shared" si="806"/>
        <v>1.72</v>
      </c>
      <c r="O2991" s="13">
        <v>37</v>
      </c>
      <c r="P2991" s="13" t="s">
        <v>30</v>
      </c>
      <c r="Q2991" s="13">
        <v>0</v>
      </c>
      <c r="R2991" s="70">
        <f>(L2991*O2991)-Q2991</f>
        <v>572.76</v>
      </c>
      <c r="S2991" s="70">
        <v>0</v>
      </c>
      <c r="T2991" s="70">
        <f t="shared" ref="T2991:T2992" si="865">+L2991*S2991</f>
        <v>0</v>
      </c>
      <c r="U2991" s="70">
        <f t="shared" si="863"/>
        <v>572.76</v>
      </c>
      <c r="V2991" s="70">
        <f>+U2991*0</f>
        <v>0</v>
      </c>
      <c r="W2991" s="70">
        <f t="shared" si="864"/>
        <v>572.76</v>
      </c>
      <c r="X2991" s="70">
        <v>0</v>
      </c>
      <c r="Y2991" s="14">
        <f t="shared" si="812"/>
        <v>0</v>
      </c>
      <c r="Z2991" s="11" t="s">
        <v>26</v>
      </c>
      <c r="AA2991" s="12" t="s">
        <v>31</v>
      </c>
    </row>
    <row r="2992" spans="1:27" x14ac:dyDescent="0.25">
      <c r="A2992" s="10">
        <v>45701</v>
      </c>
      <c r="B2992" s="11" t="s">
        <v>5462</v>
      </c>
      <c r="C2992" s="11" t="s">
        <v>5463</v>
      </c>
      <c r="D2992" s="11">
        <v>17532</v>
      </c>
      <c r="E2992" s="11" t="s">
        <v>593</v>
      </c>
      <c r="F2992" s="11" t="s">
        <v>26</v>
      </c>
      <c r="G2992" s="11">
        <v>44333</v>
      </c>
      <c r="H2992" s="12" t="s">
        <v>4423</v>
      </c>
      <c r="I2992" s="12" t="s">
        <v>27</v>
      </c>
      <c r="J2992" s="12" t="s">
        <v>47</v>
      </c>
      <c r="K2992" s="12" t="s">
        <v>48</v>
      </c>
      <c r="L2992" s="13">
        <v>34.6</v>
      </c>
      <c r="M2992" s="13">
        <v>25</v>
      </c>
      <c r="N2992" s="13">
        <f t="shared" si="806"/>
        <v>1.3840000000000001</v>
      </c>
      <c r="O2992" s="13">
        <v>46</v>
      </c>
      <c r="P2992" s="13" t="s">
        <v>30</v>
      </c>
      <c r="Q2992" s="13">
        <v>0</v>
      </c>
      <c r="R2992" s="70">
        <f t="shared" ref="R2992" si="866">+L2992*O2992</f>
        <v>1591.6000000000001</v>
      </c>
      <c r="S2992" s="70">
        <v>0</v>
      </c>
      <c r="T2992" s="70">
        <f t="shared" si="865"/>
        <v>0</v>
      </c>
      <c r="U2992" s="70">
        <f t="shared" si="863"/>
        <v>1591.6000000000001</v>
      </c>
      <c r="V2992" s="70">
        <f>+U2992*1</f>
        <v>1591.6000000000001</v>
      </c>
      <c r="W2992" s="70">
        <f t="shared" si="864"/>
        <v>0</v>
      </c>
      <c r="X2992" s="70">
        <v>0</v>
      </c>
      <c r="Y2992" s="14">
        <f t="shared" si="812"/>
        <v>0</v>
      </c>
      <c r="Z2992" s="11" t="s">
        <v>26</v>
      </c>
      <c r="AA2992" s="12" t="s">
        <v>31</v>
      </c>
    </row>
    <row r="2993" spans="1:27" x14ac:dyDescent="0.25">
      <c r="A2993" s="10">
        <v>45701</v>
      </c>
      <c r="B2993" s="11" t="s">
        <v>404</v>
      </c>
      <c r="C2993" s="11" t="s">
        <v>5464</v>
      </c>
      <c r="D2993" s="11">
        <v>17533</v>
      </c>
      <c r="E2993" s="11" t="s">
        <v>3786</v>
      </c>
      <c r="F2993" s="11" t="s">
        <v>26</v>
      </c>
      <c r="G2993" s="11">
        <v>24341</v>
      </c>
      <c r="H2993" s="12" t="s">
        <v>4448</v>
      </c>
      <c r="I2993" s="12" t="s">
        <v>55</v>
      </c>
      <c r="J2993" s="12" t="s">
        <v>55</v>
      </c>
      <c r="K2993" s="12" t="s">
        <v>56</v>
      </c>
      <c r="L2993" s="13">
        <v>39.78</v>
      </c>
      <c r="M2993" s="13">
        <v>25</v>
      </c>
      <c r="N2993" s="13">
        <f t="shared" si="806"/>
        <v>1.5911999999999999</v>
      </c>
      <c r="O2993" s="13">
        <v>15</v>
      </c>
      <c r="P2993" s="13" t="s">
        <v>30</v>
      </c>
      <c r="Q2993" s="13">
        <v>0</v>
      </c>
      <c r="R2993" s="70">
        <f>+L2993*O2993</f>
        <v>596.70000000000005</v>
      </c>
      <c r="S2993" s="70">
        <v>0</v>
      </c>
      <c r="T2993" s="70">
        <f>+L2993*S2993</f>
        <v>0</v>
      </c>
      <c r="U2993" s="70">
        <f>+R2993-T2993</f>
        <v>596.70000000000005</v>
      </c>
      <c r="V2993" s="70">
        <f>+U2993*0.75</f>
        <v>447.52500000000003</v>
      </c>
      <c r="W2993" s="70">
        <f>+U2993-V2993</f>
        <v>149.17500000000001</v>
      </c>
      <c r="X2993" s="70">
        <v>0</v>
      </c>
      <c r="Y2993" s="14">
        <f t="shared" si="812"/>
        <v>0</v>
      </c>
      <c r="Z2993" s="11" t="s">
        <v>26</v>
      </c>
      <c r="AA2993" s="12" t="s">
        <v>31</v>
      </c>
    </row>
    <row r="2994" spans="1:27" x14ac:dyDescent="0.25">
      <c r="A2994" s="10">
        <v>45701</v>
      </c>
      <c r="B2994" s="11" t="s">
        <v>133</v>
      </c>
      <c r="C2994" s="11" t="s">
        <v>5465</v>
      </c>
      <c r="D2994" s="11">
        <v>17534</v>
      </c>
      <c r="E2994" s="11" t="s">
        <v>431</v>
      </c>
      <c r="F2994" s="11" t="s">
        <v>26</v>
      </c>
      <c r="G2994" s="11">
        <v>149</v>
      </c>
      <c r="H2994" s="12" t="s">
        <v>6328</v>
      </c>
      <c r="I2994" s="12" t="s">
        <v>27</v>
      </c>
      <c r="J2994" s="12" t="s">
        <v>42</v>
      </c>
      <c r="K2994" s="12" t="s">
        <v>43</v>
      </c>
      <c r="L2994" s="13">
        <v>39.56</v>
      </c>
      <c r="M2994" s="13">
        <v>25</v>
      </c>
      <c r="N2994" s="13">
        <f t="shared" si="806"/>
        <v>1.5824</v>
      </c>
      <c r="O2994" s="13">
        <v>42.5</v>
      </c>
      <c r="P2994" s="13"/>
      <c r="Q2994" s="13">
        <v>0</v>
      </c>
      <c r="R2994" s="70">
        <f>L2994*O2994</f>
        <v>1681.3000000000002</v>
      </c>
      <c r="S2994" s="70">
        <v>0</v>
      </c>
      <c r="T2994" s="70">
        <f>+L2994*S2994</f>
        <v>0</v>
      </c>
      <c r="U2994" s="70">
        <f>R2994-T2994</f>
        <v>1681.3000000000002</v>
      </c>
      <c r="V2994" s="70">
        <f>U2994*0</f>
        <v>0</v>
      </c>
      <c r="W2994" s="70">
        <f>U2994-V2994</f>
        <v>1681.3000000000002</v>
      </c>
      <c r="X2994" s="70"/>
      <c r="Y2994" s="14">
        <f t="shared" si="812"/>
        <v>0</v>
      </c>
      <c r="Z2994" s="11" t="s">
        <v>26</v>
      </c>
      <c r="AA2994" s="12" t="s">
        <v>31</v>
      </c>
    </row>
    <row r="2995" spans="1:27" x14ac:dyDescent="0.25">
      <c r="A2995" s="10">
        <v>45701</v>
      </c>
      <c r="B2995" s="11" t="s">
        <v>5466</v>
      </c>
      <c r="C2995" s="11" t="s">
        <v>5467</v>
      </c>
      <c r="D2995" s="11">
        <v>17535</v>
      </c>
      <c r="E2995" s="11" t="s">
        <v>570</v>
      </c>
      <c r="F2995" s="11" t="s">
        <v>26</v>
      </c>
      <c r="G2995" s="11">
        <v>10754</v>
      </c>
      <c r="H2995" s="12" t="s">
        <v>140</v>
      </c>
      <c r="I2995" s="12" t="s">
        <v>27</v>
      </c>
      <c r="J2995" s="12" t="s">
        <v>33</v>
      </c>
      <c r="K2995" s="12" t="s">
        <v>34</v>
      </c>
      <c r="L2995" s="13">
        <v>42.48</v>
      </c>
      <c r="M2995" s="13">
        <v>29</v>
      </c>
      <c r="N2995" s="13">
        <f t="shared" si="806"/>
        <v>1.4648275862068965</v>
      </c>
      <c r="O2995" s="13">
        <v>40</v>
      </c>
      <c r="P2995" s="13"/>
      <c r="Q2995" s="13">
        <v>0</v>
      </c>
      <c r="R2995" s="70">
        <f>+L2995*O2995</f>
        <v>1699.1999999999998</v>
      </c>
      <c r="S2995" s="70">
        <v>0</v>
      </c>
      <c r="T2995" s="70">
        <f>+L2995*S2995</f>
        <v>0</v>
      </c>
      <c r="U2995" s="70">
        <f>+R2995-T2995</f>
        <v>1699.1999999999998</v>
      </c>
      <c r="V2995" s="70">
        <f t="shared" ref="V2995:V2996" si="867">+U2995*0</f>
        <v>0</v>
      </c>
      <c r="W2995" s="70">
        <f>+U2995-V2995</f>
        <v>1699.1999999999998</v>
      </c>
      <c r="X2995" s="70">
        <v>0</v>
      </c>
      <c r="Y2995" s="14">
        <f t="shared" si="812"/>
        <v>0</v>
      </c>
      <c r="Z2995" s="11" t="s">
        <v>26</v>
      </c>
      <c r="AA2995" s="12" t="s">
        <v>31</v>
      </c>
    </row>
    <row r="2996" spans="1:27" x14ac:dyDescent="0.25">
      <c r="A2996" s="10">
        <v>45701</v>
      </c>
      <c r="B2996" s="11" t="s">
        <v>5468</v>
      </c>
      <c r="C2996" s="11" t="s">
        <v>5469</v>
      </c>
      <c r="D2996" s="11">
        <v>17536</v>
      </c>
      <c r="E2996" s="11" t="s">
        <v>61</v>
      </c>
      <c r="F2996" s="11" t="s">
        <v>26</v>
      </c>
      <c r="G2996" s="11" t="s">
        <v>35</v>
      </c>
      <c r="H2996" s="12" t="s">
        <v>36</v>
      </c>
      <c r="I2996" s="12" t="s">
        <v>27</v>
      </c>
      <c r="J2996" s="12" t="s">
        <v>33</v>
      </c>
      <c r="K2996" s="12" t="s">
        <v>34</v>
      </c>
      <c r="L2996" s="13">
        <v>6</v>
      </c>
      <c r="M2996" s="13">
        <v>4</v>
      </c>
      <c r="N2996" s="13">
        <f t="shared" si="806"/>
        <v>1.5</v>
      </c>
      <c r="O2996" s="13">
        <v>50</v>
      </c>
      <c r="P2996" s="13" t="s">
        <v>30</v>
      </c>
      <c r="Q2996" s="13">
        <v>0</v>
      </c>
      <c r="R2996" s="70">
        <f>(L2996*O2996)-Q2996</f>
        <v>300</v>
      </c>
      <c r="S2996" s="70">
        <v>0</v>
      </c>
      <c r="T2996" s="70">
        <f t="shared" ref="T2996" si="868">+L2996*S2996</f>
        <v>0</v>
      </c>
      <c r="U2996" s="70">
        <f t="shared" ref="U2996" si="869">+R2996-T2996</f>
        <v>300</v>
      </c>
      <c r="V2996" s="70">
        <f t="shared" si="867"/>
        <v>0</v>
      </c>
      <c r="W2996" s="70">
        <f t="shared" ref="W2996" si="870">+U2996-V2996</f>
        <v>300</v>
      </c>
      <c r="X2996" s="70">
        <v>0</v>
      </c>
      <c r="Y2996" s="14">
        <f t="shared" si="812"/>
        <v>0</v>
      </c>
      <c r="Z2996" s="11" t="s">
        <v>26</v>
      </c>
      <c r="AA2996" s="12" t="s">
        <v>31</v>
      </c>
    </row>
    <row r="2997" spans="1:27" x14ac:dyDescent="0.25">
      <c r="A2997" s="10">
        <v>45701</v>
      </c>
      <c r="B2997" s="11" t="s">
        <v>5470</v>
      </c>
      <c r="C2997" s="11" t="s">
        <v>5471</v>
      </c>
      <c r="D2997" s="11">
        <v>17537</v>
      </c>
      <c r="E2997" s="11" t="s">
        <v>5472</v>
      </c>
      <c r="F2997" s="11" t="s">
        <v>26</v>
      </c>
      <c r="G2997" s="11">
        <v>112858</v>
      </c>
      <c r="H2997" s="12" t="s">
        <v>4446</v>
      </c>
      <c r="I2997" s="12" t="s">
        <v>27</v>
      </c>
      <c r="J2997" s="12" t="s">
        <v>33</v>
      </c>
      <c r="K2997" s="12" t="s">
        <v>34</v>
      </c>
      <c r="L2997" s="13">
        <v>34.74</v>
      </c>
      <c r="M2997" s="13">
        <v>25</v>
      </c>
      <c r="N2997" s="13">
        <f t="shared" si="806"/>
        <v>1.3896000000000002</v>
      </c>
      <c r="O2997" s="13">
        <v>44</v>
      </c>
      <c r="P2997" s="13" t="s">
        <v>30</v>
      </c>
      <c r="Q2997" s="13">
        <v>0</v>
      </c>
      <c r="R2997" s="70">
        <f t="shared" ref="R2997" si="871">+L2997*O2997</f>
        <v>1528.5600000000002</v>
      </c>
      <c r="S2997" s="70">
        <v>0</v>
      </c>
      <c r="T2997" s="70">
        <f>+L2997*S2997</f>
        <v>0</v>
      </c>
      <c r="U2997" s="70">
        <f>+R2997-T2997</f>
        <v>1528.5600000000002</v>
      </c>
      <c r="V2997" s="70">
        <f>+U2997*1</f>
        <v>1528.5600000000002</v>
      </c>
      <c r="W2997" s="70">
        <f>+U2997-V2997</f>
        <v>0</v>
      </c>
      <c r="X2997" s="70">
        <v>0</v>
      </c>
      <c r="Y2997" s="14">
        <f t="shared" si="812"/>
        <v>0</v>
      </c>
      <c r="Z2997" s="11" t="s">
        <v>26</v>
      </c>
      <c r="AA2997" s="12" t="s">
        <v>31</v>
      </c>
    </row>
    <row r="2998" spans="1:27" x14ac:dyDescent="0.25">
      <c r="A2998" s="10">
        <v>45701</v>
      </c>
      <c r="B2998" s="11" t="s">
        <v>5473</v>
      </c>
      <c r="C2998" s="11" t="s">
        <v>5474</v>
      </c>
      <c r="D2998" s="11">
        <v>17539</v>
      </c>
      <c r="E2998" s="11" t="s">
        <v>97</v>
      </c>
      <c r="F2998" s="11" t="s">
        <v>26</v>
      </c>
      <c r="G2998" s="11">
        <v>9857</v>
      </c>
      <c r="H2998" s="12" t="s">
        <v>4447</v>
      </c>
      <c r="I2998" s="12" t="s">
        <v>27</v>
      </c>
      <c r="J2998" s="12" t="s">
        <v>33</v>
      </c>
      <c r="K2998" s="12" t="s">
        <v>34</v>
      </c>
      <c r="L2998" s="13">
        <v>19.760000000000002</v>
      </c>
      <c r="M2998" s="13">
        <v>13</v>
      </c>
      <c r="N2998" s="13">
        <f t="shared" si="806"/>
        <v>1.52</v>
      </c>
      <c r="O2998" s="13" t="s">
        <v>30</v>
      </c>
      <c r="P2998" s="13">
        <v>63</v>
      </c>
      <c r="Q2998" s="13">
        <v>0</v>
      </c>
      <c r="R2998" s="70">
        <f>+M2998*P2998</f>
        <v>819</v>
      </c>
      <c r="S2998" s="70">
        <v>0</v>
      </c>
      <c r="T2998" s="70">
        <f>+M2998*S2998</f>
        <v>0</v>
      </c>
      <c r="U2998" s="70">
        <f t="shared" ref="U2998:U2999" si="872">+R2998-T2998</f>
        <v>819</v>
      </c>
      <c r="V2998" s="70">
        <f>+U2998*1</f>
        <v>819</v>
      </c>
      <c r="W2998" s="70">
        <f t="shared" ref="W2998:W2999" si="873">+U2998-V2998</f>
        <v>0</v>
      </c>
      <c r="X2998" s="70">
        <v>0</v>
      </c>
      <c r="Y2998" s="14">
        <f t="shared" si="812"/>
        <v>0</v>
      </c>
      <c r="Z2998" s="11" t="s">
        <v>26</v>
      </c>
      <c r="AA2998" s="12" t="s">
        <v>31</v>
      </c>
    </row>
    <row r="2999" spans="1:27" x14ac:dyDescent="0.25">
      <c r="A2999" s="10">
        <v>45701</v>
      </c>
      <c r="B2999" s="11" t="s">
        <v>1383</v>
      </c>
      <c r="C2999" s="11" t="s">
        <v>5475</v>
      </c>
      <c r="D2999" s="11">
        <v>17540</v>
      </c>
      <c r="E2999" s="11" t="s">
        <v>69</v>
      </c>
      <c r="F2999" s="11" t="s">
        <v>26</v>
      </c>
      <c r="G2999" s="11">
        <v>2120</v>
      </c>
      <c r="H2999" s="12" t="s">
        <v>70</v>
      </c>
      <c r="I2999" s="12" t="s">
        <v>27</v>
      </c>
      <c r="J2999" s="12" t="s">
        <v>42</v>
      </c>
      <c r="K2999" s="12" t="s">
        <v>43</v>
      </c>
      <c r="L2999" s="13">
        <v>44.14</v>
      </c>
      <c r="M2999" s="13">
        <v>25</v>
      </c>
      <c r="N2999" s="13">
        <f t="shared" si="806"/>
        <v>1.7656000000000001</v>
      </c>
      <c r="O2999" s="13" t="s">
        <v>30</v>
      </c>
      <c r="P2999" s="13">
        <v>64</v>
      </c>
      <c r="Q2999" s="13">
        <v>0</v>
      </c>
      <c r="R2999" s="70">
        <f>+M2999*P2999</f>
        <v>1600</v>
      </c>
      <c r="S2999" s="70">
        <v>0</v>
      </c>
      <c r="T2999" s="70">
        <f>+M2999*S2999</f>
        <v>0</v>
      </c>
      <c r="U2999" s="70">
        <f t="shared" si="872"/>
        <v>1600</v>
      </c>
      <c r="V2999" s="70">
        <f t="shared" ref="V2999" si="874">+U2999*0</f>
        <v>0</v>
      </c>
      <c r="W2999" s="70">
        <f t="shared" si="873"/>
        <v>1600</v>
      </c>
      <c r="X2999" s="70">
        <v>0</v>
      </c>
      <c r="Y2999" s="14">
        <f t="shared" si="812"/>
        <v>0</v>
      </c>
      <c r="Z2999" s="11" t="s">
        <v>26</v>
      </c>
      <c r="AA2999" s="12" t="s">
        <v>31</v>
      </c>
    </row>
    <row r="3000" spans="1:27" x14ac:dyDescent="0.25">
      <c r="A3000" s="10">
        <v>45701</v>
      </c>
      <c r="B3000" s="11" t="s">
        <v>465</v>
      </c>
      <c r="C3000" s="11" t="s">
        <v>5476</v>
      </c>
      <c r="D3000" s="11">
        <v>17541</v>
      </c>
      <c r="E3000" s="11" t="s">
        <v>113</v>
      </c>
      <c r="F3000" s="11" t="s">
        <v>26</v>
      </c>
      <c r="G3000" s="11">
        <v>694</v>
      </c>
      <c r="H3000" s="12" t="s">
        <v>6328</v>
      </c>
      <c r="I3000" s="12" t="s">
        <v>27</v>
      </c>
      <c r="J3000" s="12" t="s">
        <v>42</v>
      </c>
      <c r="K3000" s="12" t="s">
        <v>43</v>
      </c>
      <c r="L3000" s="13">
        <v>33.1</v>
      </c>
      <c r="M3000" s="13">
        <v>20</v>
      </c>
      <c r="N3000" s="13">
        <f t="shared" si="806"/>
        <v>1.655</v>
      </c>
      <c r="O3000" s="13">
        <v>42.5</v>
      </c>
      <c r="P3000" s="13"/>
      <c r="Q3000" s="13">
        <v>0</v>
      </c>
      <c r="R3000" s="70">
        <f>L3000*O3000</f>
        <v>1406.75</v>
      </c>
      <c r="S3000" s="70">
        <v>0</v>
      </c>
      <c r="T3000" s="70">
        <f>+L3000*S3000</f>
        <v>0</v>
      </c>
      <c r="U3000" s="70">
        <f>R3000-T3000</f>
        <v>1406.75</v>
      </c>
      <c r="V3000" s="70">
        <f>U3000*0</f>
        <v>0</v>
      </c>
      <c r="W3000" s="70">
        <f>U3000-V3000</f>
        <v>1406.75</v>
      </c>
      <c r="X3000" s="70"/>
      <c r="Y3000" s="14">
        <f t="shared" si="812"/>
        <v>0</v>
      </c>
      <c r="Z3000" s="11" t="s">
        <v>26</v>
      </c>
      <c r="AA3000" s="12" t="s">
        <v>31</v>
      </c>
    </row>
    <row r="3001" spans="1:27" x14ac:dyDescent="0.25">
      <c r="A3001" s="10">
        <v>45701</v>
      </c>
      <c r="B3001" s="11" t="s">
        <v>5477</v>
      </c>
      <c r="C3001" s="11" t="s">
        <v>5478</v>
      </c>
      <c r="D3001" s="11">
        <v>17542</v>
      </c>
      <c r="E3001" s="11" t="s">
        <v>240</v>
      </c>
      <c r="F3001" s="11" t="s">
        <v>26</v>
      </c>
      <c r="G3001" s="11" t="s">
        <v>26</v>
      </c>
      <c r="H3001" s="12" t="s">
        <v>4422</v>
      </c>
      <c r="I3001" s="12" t="s">
        <v>27</v>
      </c>
      <c r="J3001" s="12" t="s">
        <v>47</v>
      </c>
      <c r="K3001" s="12" t="s">
        <v>48</v>
      </c>
      <c r="L3001" s="13">
        <v>41.16</v>
      </c>
      <c r="M3001" s="13">
        <v>28</v>
      </c>
      <c r="N3001" s="13">
        <f t="shared" si="806"/>
        <v>1.47</v>
      </c>
      <c r="O3001" s="13">
        <v>87</v>
      </c>
      <c r="P3001" s="13" t="s">
        <v>30</v>
      </c>
      <c r="Q3001" s="13">
        <v>0</v>
      </c>
      <c r="R3001" s="70">
        <f>L3001*O3001</f>
        <v>3580.9199999999996</v>
      </c>
      <c r="S3001" s="70">
        <v>38</v>
      </c>
      <c r="T3001" s="70">
        <f>L3001*S3001</f>
        <v>1564.08</v>
      </c>
      <c r="U3001" s="70">
        <f>R3001-T3001</f>
        <v>2016.8399999999997</v>
      </c>
      <c r="V3001" s="70">
        <f>U3001*1</f>
        <v>2016.8399999999997</v>
      </c>
      <c r="W3001" s="70">
        <f>U3001-V3001</f>
        <v>0</v>
      </c>
      <c r="X3001" s="70">
        <f>L3001*37</f>
        <v>1522.9199999999998</v>
      </c>
      <c r="Y3001" s="71">
        <f>+T3001-X3001</f>
        <v>41.160000000000082</v>
      </c>
      <c r="Z3001" s="12" t="s">
        <v>41</v>
      </c>
      <c r="AA3001" s="12" t="s">
        <v>78</v>
      </c>
    </row>
    <row r="3002" spans="1:27" x14ac:dyDescent="0.25">
      <c r="A3002" s="10">
        <v>45701</v>
      </c>
      <c r="B3002" s="11" t="s">
        <v>323</v>
      </c>
      <c r="C3002" s="11" t="s">
        <v>5479</v>
      </c>
      <c r="D3002" s="11">
        <v>17543</v>
      </c>
      <c r="E3002" s="11" t="s">
        <v>32</v>
      </c>
      <c r="F3002" s="11" t="s">
        <v>26</v>
      </c>
      <c r="G3002" s="11">
        <v>1615</v>
      </c>
      <c r="H3002" s="12" t="s">
        <v>45</v>
      </c>
      <c r="I3002" s="12" t="s">
        <v>27</v>
      </c>
      <c r="J3002" s="12" t="s">
        <v>42</v>
      </c>
      <c r="K3002" s="12" t="s">
        <v>43</v>
      </c>
      <c r="L3002" s="13">
        <v>42.32</v>
      </c>
      <c r="M3002" s="13">
        <v>25</v>
      </c>
      <c r="N3002" s="13">
        <f t="shared" si="806"/>
        <v>1.6928000000000001</v>
      </c>
      <c r="O3002" s="13" t="s">
        <v>30</v>
      </c>
      <c r="P3002" s="13">
        <v>62</v>
      </c>
      <c r="Q3002" s="13">
        <v>0</v>
      </c>
      <c r="R3002" s="70">
        <f>M3002*P3002</f>
        <v>1550</v>
      </c>
      <c r="S3002" s="70">
        <v>0</v>
      </c>
      <c r="T3002" s="70">
        <f>M3002*S3002</f>
        <v>0</v>
      </c>
      <c r="U3002" s="70">
        <f>R3002-T3002</f>
        <v>1550</v>
      </c>
      <c r="V3002" s="70">
        <f>U3002*0</f>
        <v>0</v>
      </c>
      <c r="W3002" s="70">
        <f>U3002-V3002</f>
        <v>1550</v>
      </c>
      <c r="X3002" s="70">
        <v>0</v>
      </c>
      <c r="Y3002" s="14">
        <f t="shared" si="812"/>
        <v>0</v>
      </c>
      <c r="Z3002" s="11" t="s">
        <v>26</v>
      </c>
      <c r="AA3002" s="12" t="s">
        <v>31</v>
      </c>
    </row>
    <row r="3003" spans="1:27" x14ac:dyDescent="0.25">
      <c r="A3003" s="10">
        <v>45701</v>
      </c>
      <c r="B3003" s="11" t="s">
        <v>5480</v>
      </c>
      <c r="C3003" s="11" t="s">
        <v>5481</v>
      </c>
      <c r="D3003" s="11">
        <v>17544</v>
      </c>
      <c r="E3003" s="11" t="s">
        <v>224</v>
      </c>
      <c r="F3003" s="11" t="s">
        <v>26</v>
      </c>
      <c r="G3003" s="11">
        <v>3216</v>
      </c>
      <c r="H3003" s="12" t="s">
        <v>4423</v>
      </c>
      <c r="I3003" s="12" t="s">
        <v>27</v>
      </c>
      <c r="J3003" s="12" t="s">
        <v>33</v>
      </c>
      <c r="K3003" s="12" t="s">
        <v>34</v>
      </c>
      <c r="L3003" s="13">
        <v>33.94</v>
      </c>
      <c r="M3003" s="13">
        <v>25</v>
      </c>
      <c r="N3003" s="13">
        <f t="shared" si="806"/>
        <v>1.3575999999999999</v>
      </c>
      <c r="O3003" s="13">
        <v>45</v>
      </c>
      <c r="P3003" s="13" t="s">
        <v>30</v>
      </c>
      <c r="Q3003" s="13">
        <v>0</v>
      </c>
      <c r="R3003" s="70">
        <f>+L3003*O3003</f>
        <v>1527.3</v>
      </c>
      <c r="S3003" s="70">
        <v>0</v>
      </c>
      <c r="T3003" s="70">
        <f>+L3003*S3003</f>
        <v>0</v>
      </c>
      <c r="U3003" s="70">
        <f t="shared" ref="U3003:U3004" si="875">+R3003-T3003</f>
        <v>1527.3</v>
      </c>
      <c r="V3003" s="70">
        <f>+U3003*1</f>
        <v>1527.3</v>
      </c>
      <c r="W3003" s="70">
        <f t="shared" ref="W3003:W3004" si="876">+U3003-V3003</f>
        <v>0</v>
      </c>
      <c r="X3003" s="70">
        <v>0</v>
      </c>
      <c r="Y3003" s="14">
        <f t="shared" si="812"/>
        <v>0</v>
      </c>
      <c r="Z3003" s="11" t="s">
        <v>26</v>
      </c>
      <c r="AA3003" s="12" t="s">
        <v>31</v>
      </c>
    </row>
    <row r="3004" spans="1:27" x14ac:dyDescent="0.25">
      <c r="A3004" s="10">
        <v>45701</v>
      </c>
      <c r="B3004" s="11" t="s">
        <v>707</v>
      </c>
      <c r="C3004" s="11" t="s">
        <v>5482</v>
      </c>
      <c r="D3004" s="11">
        <v>17545</v>
      </c>
      <c r="E3004" s="11" t="s">
        <v>5209</v>
      </c>
      <c r="F3004" s="11" t="s">
        <v>26</v>
      </c>
      <c r="G3004" s="11" t="s">
        <v>35</v>
      </c>
      <c r="H3004" s="12" t="s">
        <v>36</v>
      </c>
      <c r="I3004" s="12" t="s">
        <v>37</v>
      </c>
      <c r="J3004" s="12" t="s">
        <v>85</v>
      </c>
      <c r="K3004" s="12" t="s">
        <v>86</v>
      </c>
      <c r="L3004" s="13">
        <v>14.78</v>
      </c>
      <c r="M3004" s="13">
        <v>9</v>
      </c>
      <c r="N3004" s="13">
        <f t="shared" ref="N3004:N3014" si="877">+L3004/M3004</f>
        <v>1.6422222222222222</v>
      </c>
      <c r="O3004" s="13">
        <v>37</v>
      </c>
      <c r="P3004" s="13" t="s">
        <v>30</v>
      </c>
      <c r="Q3004" s="13">
        <v>0</v>
      </c>
      <c r="R3004" s="70">
        <f>(L3004*O3004)-Q3004</f>
        <v>546.86</v>
      </c>
      <c r="S3004" s="70">
        <v>0</v>
      </c>
      <c r="T3004" s="70">
        <f t="shared" ref="T3004" si="878">+L3004*S3004</f>
        <v>0</v>
      </c>
      <c r="U3004" s="70">
        <f t="shared" si="875"/>
        <v>546.86</v>
      </c>
      <c r="V3004" s="70">
        <f>+U3004*0</f>
        <v>0</v>
      </c>
      <c r="W3004" s="70">
        <f t="shared" si="876"/>
        <v>546.86</v>
      </c>
      <c r="X3004" s="70">
        <v>0</v>
      </c>
      <c r="Y3004" s="14">
        <f t="shared" si="812"/>
        <v>0</v>
      </c>
      <c r="Z3004" s="11" t="s">
        <v>26</v>
      </c>
      <c r="AA3004" s="12" t="s">
        <v>31</v>
      </c>
    </row>
    <row r="3005" spans="1:27" x14ac:dyDescent="0.25">
      <c r="A3005" s="10">
        <v>45701</v>
      </c>
      <c r="B3005" s="11" t="s">
        <v>5483</v>
      </c>
      <c r="C3005" s="11" t="s">
        <v>5484</v>
      </c>
      <c r="D3005" s="11">
        <v>17546</v>
      </c>
      <c r="E3005" s="11" t="s">
        <v>322</v>
      </c>
      <c r="F3005" s="11" t="s">
        <v>26</v>
      </c>
      <c r="G3005" s="11">
        <v>112857</v>
      </c>
      <c r="H3005" s="12" t="s">
        <v>4446</v>
      </c>
      <c r="I3005" s="12" t="s">
        <v>27</v>
      </c>
      <c r="J3005" s="12" t="s">
        <v>33</v>
      </c>
      <c r="K3005" s="12" t="s">
        <v>34</v>
      </c>
      <c r="L3005" s="13">
        <v>36.520000000000003</v>
      </c>
      <c r="M3005" s="13">
        <v>25</v>
      </c>
      <c r="N3005" s="13">
        <f t="shared" si="877"/>
        <v>1.4608000000000001</v>
      </c>
      <c r="O3005" s="13">
        <v>44</v>
      </c>
      <c r="P3005" s="13" t="s">
        <v>30</v>
      </c>
      <c r="Q3005" s="13">
        <v>0</v>
      </c>
      <c r="R3005" s="70">
        <f t="shared" ref="R3005" si="879">+L3005*O3005</f>
        <v>1606.88</v>
      </c>
      <c r="S3005" s="70">
        <v>0</v>
      </c>
      <c r="T3005" s="70">
        <f>+L3005*S3005</f>
        <v>0</v>
      </c>
      <c r="U3005" s="70">
        <f>+R3005-T3005</f>
        <v>1606.88</v>
      </c>
      <c r="V3005" s="70">
        <f>+U3005*1</f>
        <v>1606.88</v>
      </c>
      <c r="W3005" s="70">
        <f>+U3005-V3005</f>
        <v>0</v>
      </c>
      <c r="X3005" s="70">
        <v>0</v>
      </c>
      <c r="Y3005" s="14">
        <f t="shared" si="812"/>
        <v>0</v>
      </c>
      <c r="Z3005" s="11" t="s">
        <v>26</v>
      </c>
      <c r="AA3005" s="12" t="s">
        <v>31</v>
      </c>
    </row>
    <row r="3006" spans="1:27" x14ac:dyDescent="0.25">
      <c r="A3006" s="10">
        <v>45701</v>
      </c>
      <c r="B3006" s="11" t="s">
        <v>5485</v>
      </c>
      <c r="C3006" s="11" t="s">
        <v>5486</v>
      </c>
      <c r="D3006" s="11">
        <v>17547</v>
      </c>
      <c r="E3006" s="11" t="s">
        <v>81</v>
      </c>
      <c r="F3006" s="11" t="s">
        <v>26</v>
      </c>
      <c r="G3006" s="11">
        <v>1216</v>
      </c>
      <c r="H3006" s="12" t="s">
        <v>141</v>
      </c>
      <c r="I3006" s="12" t="s">
        <v>55</v>
      </c>
      <c r="J3006" s="12" t="s">
        <v>566</v>
      </c>
      <c r="K3006" s="12" t="s">
        <v>550</v>
      </c>
      <c r="L3006" s="13">
        <v>40.26</v>
      </c>
      <c r="M3006" s="13">
        <v>25</v>
      </c>
      <c r="N3006" s="13">
        <f t="shared" si="877"/>
        <v>1.6103999999999998</v>
      </c>
      <c r="O3006" s="13">
        <v>25</v>
      </c>
      <c r="P3006" s="13" t="s">
        <v>30</v>
      </c>
      <c r="Q3006" s="13">
        <v>0</v>
      </c>
      <c r="R3006" s="70">
        <f>L3006*O3006</f>
        <v>1006.5</v>
      </c>
      <c r="S3006" s="70">
        <v>0</v>
      </c>
      <c r="T3006" s="70">
        <f>L3006*S3006</f>
        <v>0</v>
      </c>
      <c r="U3006" s="70">
        <f>R3006-T3006</f>
        <v>1006.5</v>
      </c>
      <c r="V3006" s="70">
        <f>U3006*0</f>
        <v>0</v>
      </c>
      <c r="W3006" s="70">
        <f>U3006-V3006</f>
        <v>1006.5</v>
      </c>
      <c r="X3006" s="70">
        <v>0</v>
      </c>
      <c r="Y3006" s="14">
        <f t="shared" si="812"/>
        <v>0</v>
      </c>
      <c r="Z3006" s="11" t="s">
        <v>26</v>
      </c>
      <c r="AA3006" s="12" t="s">
        <v>31</v>
      </c>
    </row>
    <row r="3007" spans="1:27" x14ac:dyDescent="0.25">
      <c r="A3007" s="10">
        <v>45701</v>
      </c>
      <c r="B3007" s="11" t="s">
        <v>5487</v>
      </c>
      <c r="C3007" s="11" t="s">
        <v>5488</v>
      </c>
      <c r="D3007" s="11">
        <v>17548</v>
      </c>
      <c r="E3007" s="11" t="s">
        <v>74</v>
      </c>
      <c r="F3007" s="11" t="s">
        <v>26</v>
      </c>
      <c r="G3007" s="11">
        <v>1332</v>
      </c>
      <c r="H3007" s="12" t="s">
        <v>70</v>
      </c>
      <c r="I3007" s="12" t="s">
        <v>27</v>
      </c>
      <c r="J3007" s="12" t="s">
        <v>33</v>
      </c>
      <c r="K3007" s="12" t="s">
        <v>34</v>
      </c>
      <c r="L3007" s="13">
        <v>37.979999999999997</v>
      </c>
      <c r="M3007" s="13">
        <v>25</v>
      </c>
      <c r="N3007" s="13">
        <f t="shared" si="877"/>
        <v>1.5191999999999999</v>
      </c>
      <c r="O3007" s="13" t="s">
        <v>30</v>
      </c>
      <c r="P3007" s="13">
        <v>60</v>
      </c>
      <c r="Q3007" s="13">
        <v>0</v>
      </c>
      <c r="R3007" s="70">
        <f>+M3007*P3007</f>
        <v>1500</v>
      </c>
      <c r="S3007" s="70">
        <v>0</v>
      </c>
      <c r="T3007" s="70">
        <f>+M3007*S3007</f>
        <v>0</v>
      </c>
      <c r="U3007" s="70">
        <f t="shared" ref="U3007" si="880">+R3007-T3007</f>
        <v>1500</v>
      </c>
      <c r="V3007" s="70">
        <f>+U3007*0</f>
        <v>0</v>
      </c>
      <c r="W3007" s="70">
        <f t="shared" ref="W3007" si="881">+U3007-V3007</f>
        <v>1500</v>
      </c>
      <c r="X3007" s="70">
        <v>0</v>
      </c>
      <c r="Y3007" s="14">
        <f t="shared" ref="Y3007:Y3017" si="882">T3007-X3007</f>
        <v>0</v>
      </c>
      <c r="Z3007" s="11" t="s">
        <v>26</v>
      </c>
      <c r="AA3007" s="12" t="s">
        <v>31</v>
      </c>
    </row>
    <row r="3008" spans="1:27" x14ac:dyDescent="0.25">
      <c r="A3008" s="10">
        <v>45701</v>
      </c>
      <c r="B3008" s="11" t="s">
        <v>5489</v>
      </c>
      <c r="C3008" s="11" t="s">
        <v>5490</v>
      </c>
      <c r="D3008" s="11">
        <v>17549</v>
      </c>
      <c r="E3008" s="11" t="s">
        <v>2064</v>
      </c>
      <c r="F3008" s="11" t="s">
        <v>26</v>
      </c>
      <c r="G3008" s="11">
        <v>40658</v>
      </c>
      <c r="H3008" s="12" t="s">
        <v>565</v>
      </c>
      <c r="I3008" s="12" t="s">
        <v>55</v>
      </c>
      <c r="J3008" s="12" t="s">
        <v>566</v>
      </c>
      <c r="K3008" s="12" t="s">
        <v>550</v>
      </c>
      <c r="L3008" s="13">
        <v>46.28</v>
      </c>
      <c r="M3008" s="13">
        <v>25</v>
      </c>
      <c r="N3008" s="13">
        <f t="shared" si="877"/>
        <v>1.8512</v>
      </c>
      <c r="O3008" s="13">
        <v>25</v>
      </c>
      <c r="P3008" s="13" t="s">
        <v>30</v>
      </c>
      <c r="Q3008" s="13">
        <v>0</v>
      </c>
      <c r="R3008" s="70">
        <f t="shared" ref="R3008" si="883">L3008*O3008</f>
        <v>1157</v>
      </c>
      <c r="S3008" s="70">
        <v>0</v>
      </c>
      <c r="T3008" s="70">
        <f t="shared" ref="T3008:T3009" si="884">L3008*S3008</f>
        <v>0</v>
      </c>
      <c r="U3008" s="70">
        <f t="shared" ref="U3008" si="885">R3008-T3008</f>
        <v>1157</v>
      </c>
      <c r="V3008" s="70">
        <f>U3008*0</f>
        <v>0</v>
      </c>
      <c r="W3008" s="70">
        <f t="shared" ref="W3008" si="886">U3008-V3008</f>
        <v>1157</v>
      </c>
      <c r="X3008" s="70">
        <v>0</v>
      </c>
      <c r="Y3008" s="14">
        <f t="shared" si="882"/>
        <v>0</v>
      </c>
      <c r="Z3008" s="11" t="s">
        <v>26</v>
      </c>
      <c r="AA3008" s="12" t="s">
        <v>31</v>
      </c>
    </row>
    <row r="3009" spans="1:27" x14ac:dyDescent="0.25">
      <c r="A3009" s="10">
        <v>45701</v>
      </c>
      <c r="B3009" s="11" t="s">
        <v>5491</v>
      </c>
      <c r="C3009" s="11" t="s">
        <v>5492</v>
      </c>
      <c r="D3009" s="11">
        <v>17550</v>
      </c>
      <c r="E3009" s="11" t="s">
        <v>2053</v>
      </c>
      <c r="F3009" s="11" t="s">
        <v>26</v>
      </c>
      <c r="G3009" s="11">
        <v>3417</v>
      </c>
      <c r="H3009" s="12" t="s">
        <v>41</v>
      </c>
      <c r="I3009" s="12" t="s">
        <v>55</v>
      </c>
      <c r="J3009" s="12" t="s">
        <v>566</v>
      </c>
      <c r="K3009" s="12" t="s">
        <v>550</v>
      </c>
      <c r="L3009" s="13">
        <v>40.08</v>
      </c>
      <c r="M3009" s="13">
        <v>25</v>
      </c>
      <c r="N3009" s="13">
        <f t="shared" si="877"/>
        <v>1.6032</v>
      </c>
      <c r="O3009" s="13">
        <v>25</v>
      </c>
      <c r="P3009" s="13"/>
      <c r="Q3009" s="13">
        <v>0</v>
      </c>
      <c r="R3009" s="70">
        <f>L3009*O3009</f>
        <v>1002</v>
      </c>
      <c r="S3009" s="70">
        <v>0</v>
      </c>
      <c r="T3009" s="70">
        <f t="shared" si="884"/>
        <v>0</v>
      </c>
      <c r="U3009" s="70">
        <f>R3009-T3009</f>
        <v>1002</v>
      </c>
      <c r="V3009" s="70">
        <f>U3009*0</f>
        <v>0</v>
      </c>
      <c r="W3009" s="70">
        <f>U3009-V3009</f>
        <v>1002</v>
      </c>
      <c r="X3009" s="70">
        <v>0</v>
      </c>
      <c r="Y3009" s="14">
        <f t="shared" si="882"/>
        <v>0</v>
      </c>
      <c r="Z3009" s="11" t="s">
        <v>26</v>
      </c>
      <c r="AA3009" s="12" t="s">
        <v>31</v>
      </c>
    </row>
    <row r="3010" spans="1:27" x14ac:dyDescent="0.25">
      <c r="A3010" s="10">
        <v>45701</v>
      </c>
      <c r="B3010" s="11" t="s">
        <v>5493</v>
      </c>
      <c r="C3010" s="11" t="s">
        <v>5494</v>
      </c>
      <c r="D3010" s="11">
        <v>17551</v>
      </c>
      <c r="E3010" s="11" t="s">
        <v>5495</v>
      </c>
      <c r="F3010" s="11" t="s">
        <v>26</v>
      </c>
      <c r="G3010" s="11">
        <v>1263</v>
      </c>
      <c r="H3010" s="12" t="s">
        <v>141</v>
      </c>
      <c r="I3010" s="12" t="s">
        <v>27</v>
      </c>
      <c r="J3010" s="12" t="s">
        <v>47</v>
      </c>
      <c r="K3010" s="12" t="s">
        <v>48</v>
      </c>
      <c r="L3010" s="13">
        <v>41.02</v>
      </c>
      <c r="M3010" s="13">
        <v>25</v>
      </c>
      <c r="N3010" s="13">
        <f t="shared" si="877"/>
        <v>1.6408</v>
      </c>
      <c r="O3010" s="13">
        <v>40</v>
      </c>
      <c r="P3010" s="13" t="s">
        <v>30</v>
      </c>
      <c r="Q3010" s="13">
        <v>0</v>
      </c>
      <c r="R3010" s="70">
        <f>L3010*O3010</f>
        <v>1640.8000000000002</v>
      </c>
      <c r="S3010" s="70">
        <v>0</v>
      </c>
      <c r="T3010" s="70">
        <f>L3010*S3010</f>
        <v>0</v>
      </c>
      <c r="U3010" s="70">
        <f>R3010-T3010</f>
        <v>1640.8000000000002</v>
      </c>
      <c r="V3010" s="70">
        <f>U3010*0</f>
        <v>0</v>
      </c>
      <c r="W3010" s="70">
        <f>U3010-V3010</f>
        <v>1640.8000000000002</v>
      </c>
      <c r="X3010" s="70">
        <v>0</v>
      </c>
      <c r="Y3010" s="14">
        <f t="shared" si="882"/>
        <v>0</v>
      </c>
      <c r="Z3010" s="11" t="s">
        <v>26</v>
      </c>
      <c r="AA3010" s="12" t="s">
        <v>31</v>
      </c>
    </row>
    <row r="3011" spans="1:27" x14ac:dyDescent="0.25">
      <c r="A3011" s="10">
        <v>45701</v>
      </c>
      <c r="B3011" s="11" t="s">
        <v>5496</v>
      </c>
      <c r="C3011" s="11" t="s">
        <v>5497</v>
      </c>
      <c r="D3011" s="11">
        <v>17552</v>
      </c>
      <c r="E3011" s="11" t="s">
        <v>5219</v>
      </c>
      <c r="F3011" s="11" t="s">
        <v>26</v>
      </c>
      <c r="G3011" s="11">
        <v>56920</v>
      </c>
      <c r="H3011" s="12" t="s">
        <v>4423</v>
      </c>
      <c r="I3011" s="12" t="s">
        <v>27</v>
      </c>
      <c r="J3011" s="12" t="s">
        <v>33</v>
      </c>
      <c r="K3011" s="12" t="s">
        <v>34</v>
      </c>
      <c r="L3011" s="13">
        <v>34.94</v>
      </c>
      <c r="M3011" s="13">
        <v>25</v>
      </c>
      <c r="N3011" s="13">
        <f t="shared" si="877"/>
        <v>1.3976</v>
      </c>
      <c r="O3011" s="13">
        <v>45</v>
      </c>
      <c r="P3011" s="13" t="s">
        <v>30</v>
      </c>
      <c r="Q3011" s="13">
        <v>0</v>
      </c>
      <c r="R3011" s="70">
        <f>+L3011*O3011</f>
        <v>1572.3</v>
      </c>
      <c r="S3011" s="70">
        <v>0</v>
      </c>
      <c r="T3011" s="70">
        <f>+L3011*S3011</f>
        <v>0</v>
      </c>
      <c r="U3011" s="70">
        <f t="shared" ref="U3011:U3012" si="887">+R3011-T3011</f>
        <v>1572.3</v>
      </c>
      <c r="V3011" s="70">
        <f>+U3011*1</f>
        <v>1572.3</v>
      </c>
      <c r="W3011" s="70">
        <f t="shared" ref="W3011:W3012" si="888">+U3011-V3011</f>
        <v>0</v>
      </c>
      <c r="X3011" s="70">
        <v>0</v>
      </c>
      <c r="Y3011" s="14">
        <f t="shared" si="882"/>
        <v>0</v>
      </c>
      <c r="Z3011" s="11" t="s">
        <v>26</v>
      </c>
      <c r="AA3011" s="12" t="s">
        <v>31</v>
      </c>
    </row>
    <row r="3012" spans="1:27" x14ac:dyDescent="0.25">
      <c r="A3012" s="10">
        <v>45701</v>
      </c>
      <c r="B3012" s="11" t="s">
        <v>320</v>
      </c>
      <c r="C3012" s="11" t="s">
        <v>5498</v>
      </c>
      <c r="D3012" s="11">
        <v>17553</v>
      </c>
      <c r="E3012" s="11" t="s">
        <v>60</v>
      </c>
      <c r="F3012" s="11" t="s">
        <v>26</v>
      </c>
      <c r="G3012" s="11" t="s">
        <v>35</v>
      </c>
      <c r="H3012" s="12" t="s">
        <v>36</v>
      </c>
      <c r="I3012" s="12" t="s">
        <v>27</v>
      </c>
      <c r="J3012" s="12" t="s">
        <v>33</v>
      </c>
      <c r="K3012" s="12" t="s">
        <v>34</v>
      </c>
      <c r="L3012" s="13">
        <v>5.28</v>
      </c>
      <c r="M3012" s="13">
        <v>4</v>
      </c>
      <c r="N3012" s="13">
        <f t="shared" si="877"/>
        <v>1.32</v>
      </c>
      <c r="O3012" s="13">
        <v>50</v>
      </c>
      <c r="P3012" s="13" t="s">
        <v>30</v>
      </c>
      <c r="Q3012" s="13">
        <v>0</v>
      </c>
      <c r="R3012" s="70">
        <f>(L3012*O3012)-Q3012</f>
        <v>264</v>
      </c>
      <c r="S3012" s="70">
        <v>0</v>
      </c>
      <c r="T3012" s="70">
        <f t="shared" ref="T3012" si="889">+L3012*S3012</f>
        <v>0</v>
      </c>
      <c r="U3012" s="70">
        <f t="shared" si="887"/>
        <v>264</v>
      </c>
      <c r="V3012" s="70">
        <f t="shared" ref="V3012" si="890">+U3012*0</f>
        <v>0</v>
      </c>
      <c r="W3012" s="70">
        <f t="shared" si="888"/>
        <v>264</v>
      </c>
      <c r="X3012" s="70">
        <v>0</v>
      </c>
      <c r="Y3012" s="14">
        <f t="shared" si="882"/>
        <v>0</v>
      </c>
      <c r="Z3012" s="11" t="s">
        <v>26</v>
      </c>
      <c r="AA3012" s="12" t="s">
        <v>31</v>
      </c>
    </row>
    <row r="3013" spans="1:27" x14ac:dyDescent="0.25">
      <c r="A3013" s="10">
        <v>45701</v>
      </c>
      <c r="B3013" s="11" t="s">
        <v>4286</v>
      </c>
      <c r="C3013" s="11" t="s">
        <v>5499</v>
      </c>
      <c r="D3013" s="11">
        <v>17554</v>
      </c>
      <c r="E3013" s="11" t="s">
        <v>562</v>
      </c>
      <c r="F3013" s="11" t="s">
        <v>26</v>
      </c>
      <c r="G3013" s="11">
        <v>752</v>
      </c>
      <c r="H3013" s="12" t="s">
        <v>163</v>
      </c>
      <c r="I3013" s="12" t="s">
        <v>27</v>
      </c>
      <c r="J3013" s="12" t="s">
        <v>42</v>
      </c>
      <c r="K3013" s="12" t="s">
        <v>43</v>
      </c>
      <c r="L3013" s="13">
        <v>44.98</v>
      </c>
      <c r="M3013" s="13">
        <v>25</v>
      </c>
      <c r="N3013" s="13">
        <f t="shared" si="877"/>
        <v>1.7991999999999999</v>
      </c>
      <c r="O3013" s="13" t="s">
        <v>30</v>
      </c>
      <c r="P3013" s="13">
        <v>64</v>
      </c>
      <c r="Q3013" s="13">
        <v>0</v>
      </c>
      <c r="R3013" s="70">
        <f>M3013*P3013</f>
        <v>1600</v>
      </c>
      <c r="S3013" s="70">
        <v>0</v>
      </c>
      <c r="T3013" s="70">
        <f>M3013*S3013</f>
        <v>0</v>
      </c>
      <c r="U3013" s="70">
        <f>R3013-T3013</f>
        <v>1600</v>
      </c>
      <c r="V3013" s="70">
        <f t="shared" ref="V3013" si="891">U3013*0</f>
        <v>0</v>
      </c>
      <c r="W3013" s="70">
        <f t="shared" ref="W3013" si="892">U3013-V3013</f>
        <v>1600</v>
      </c>
      <c r="X3013" s="70">
        <v>0</v>
      </c>
      <c r="Y3013" s="14">
        <f t="shared" si="882"/>
        <v>0</v>
      </c>
      <c r="Z3013" s="11" t="s">
        <v>26</v>
      </c>
      <c r="AA3013" s="12" t="s">
        <v>31</v>
      </c>
    </row>
    <row r="3014" spans="1:27" x14ac:dyDescent="0.25">
      <c r="A3014" s="10">
        <v>45701</v>
      </c>
      <c r="B3014" s="11" t="s">
        <v>5500</v>
      </c>
      <c r="C3014" s="11" t="s">
        <v>5501</v>
      </c>
      <c r="D3014" s="11">
        <v>17555</v>
      </c>
      <c r="E3014" s="11" t="s">
        <v>1281</v>
      </c>
      <c r="F3014" s="11" t="s">
        <v>26</v>
      </c>
      <c r="G3014" s="11">
        <v>1014</v>
      </c>
      <c r="H3014" s="12" t="s">
        <v>141</v>
      </c>
      <c r="I3014" s="12" t="s">
        <v>27</v>
      </c>
      <c r="J3014" s="12" t="s">
        <v>33</v>
      </c>
      <c r="K3014" s="12" t="s">
        <v>34</v>
      </c>
      <c r="L3014" s="13">
        <v>37.700000000000003</v>
      </c>
      <c r="M3014" s="13">
        <v>25</v>
      </c>
      <c r="N3014" s="13">
        <f t="shared" si="877"/>
        <v>1.508</v>
      </c>
      <c r="O3014" s="13">
        <v>40</v>
      </c>
      <c r="P3014" s="13" t="s">
        <v>30</v>
      </c>
      <c r="Q3014" s="13">
        <v>0</v>
      </c>
      <c r="R3014" s="70">
        <f>L3014*O3014</f>
        <v>1508</v>
      </c>
      <c r="S3014" s="70">
        <v>0</v>
      </c>
      <c r="T3014" s="70">
        <f>L3014*S3014</f>
        <v>0</v>
      </c>
      <c r="U3014" s="70">
        <f>R3014-T3014</f>
        <v>1508</v>
      </c>
      <c r="V3014" s="70">
        <f>U3014*0</f>
        <v>0</v>
      </c>
      <c r="W3014" s="70">
        <f>U3014-V3014</f>
        <v>1508</v>
      </c>
      <c r="X3014" s="70">
        <v>0</v>
      </c>
      <c r="Y3014" s="14">
        <f t="shared" si="882"/>
        <v>0</v>
      </c>
      <c r="Z3014" s="11" t="s">
        <v>26</v>
      </c>
      <c r="AA3014" s="12" t="s">
        <v>31</v>
      </c>
    </row>
    <row r="3015" spans="1:27" x14ac:dyDescent="0.25">
      <c r="A3015" s="10">
        <v>45702</v>
      </c>
      <c r="B3015" s="11" t="s">
        <v>5502</v>
      </c>
      <c r="C3015" s="11" t="s">
        <v>5503</v>
      </c>
      <c r="D3015" s="11">
        <v>17556</v>
      </c>
      <c r="E3015" s="11" t="s">
        <v>32</v>
      </c>
      <c r="F3015" s="11" t="s">
        <v>26</v>
      </c>
      <c r="G3015" s="11">
        <v>1617</v>
      </c>
      <c r="H3015" s="12" t="s">
        <v>45</v>
      </c>
      <c r="I3015" s="12" t="s">
        <v>27</v>
      </c>
      <c r="J3015" s="12" t="s">
        <v>42</v>
      </c>
      <c r="K3015" s="12" t="s">
        <v>43</v>
      </c>
      <c r="L3015" s="13">
        <v>41.32</v>
      </c>
      <c r="M3015" s="13">
        <v>25</v>
      </c>
      <c r="N3015" s="13">
        <f>L3015/M3015</f>
        <v>1.6528</v>
      </c>
      <c r="O3015" s="13" t="s">
        <v>30</v>
      </c>
      <c r="P3015" s="13">
        <v>62</v>
      </c>
      <c r="Q3015" s="13">
        <v>0</v>
      </c>
      <c r="R3015" s="70">
        <f>M3015*P3015</f>
        <v>1550</v>
      </c>
      <c r="S3015" s="70">
        <v>0</v>
      </c>
      <c r="T3015" s="70">
        <f>M3015*S3015</f>
        <v>0</v>
      </c>
      <c r="U3015" s="70">
        <f>R3015-T3015</f>
        <v>1550</v>
      </c>
      <c r="V3015" s="70">
        <f>U3015*0</f>
        <v>0</v>
      </c>
      <c r="W3015" s="70">
        <f>U3015-V3015</f>
        <v>1550</v>
      </c>
      <c r="X3015" s="70">
        <v>0</v>
      </c>
      <c r="Y3015" s="14">
        <f t="shared" si="882"/>
        <v>0</v>
      </c>
      <c r="Z3015" s="11" t="s">
        <v>26</v>
      </c>
      <c r="AA3015" s="12" t="s">
        <v>31</v>
      </c>
    </row>
    <row r="3016" spans="1:27" x14ac:dyDescent="0.25">
      <c r="A3016" s="10">
        <v>45702</v>
      </c>
      <c r="B3016" s="11" t="s">
        <v>2662</v>
      </c>
      <c r="C3016" s="11" t="s">
        <v>5504</v>
      </c>
      <c r="D3016" s="11">
        <v>17557</v>
      </c>
      <c r="E3016" s="11" t="s">
        <v>184</v>
      </c>
      <c r="F3016" s="11" t="s">
        <v>26</v>
      </c>
      <c r="G3016" s="11">
        <v>1015</v>
      </c>
      <c r="H3016" s="12" t="s">
        <v>141</v>
      </c>
      <c r="I3016" s="12" t="s">
        <v>27</v>
      </c>
      <c r="J3016" s="12" t="s">
        <v>33</v>
      </c>
      <c r="K3016" s="12" t="s">
        <v>34</v>
      </c>
      <c r="L3016" s="13">
        <v>37.340000000000003</v>
      </c>
      <c r="M3016" s="13">
        <v>25</v>
      </c>
      <c r="N3016" s="13">
        <f t="shared" ref="N3016:N3079" si="893">L3016/M3016</f>
        <v>1.4936</v>
      </c>
      <c r="O3016" s="13">
        <v>40</v>
      </c>
      <c r="P3016" s="13" t="s">
        <v>30</v>
      </c>
      <c r="Q3016" s="13">
        <v>0</v>
      </c>
      <c r="R3016" s="70">
        <f>L3016*O3016</f>
        <v>1493.6000000000001</v>
      </c>
      <c r="S3016" s="70">
        <v>0</v>
      </c>
      <c r="T3016" s="70">
        <f>L3016*S3016</f>
        <v>0</v>
      </c>
      <c r="U3016" s="70">
        <f>R3016-T3016</f>
        <v>1493.6000000000001</v>
      </c>
      <c r="V3016" s="70">
        <f>U3016*0</f>
        <v>0</v>
      </c>
      <c r="W3016" s="70">
        <f>U3016-V3016</f>
        <v>1493.6000000000001</v>
      </c>
      <c r="X3016" s="70">
        <v>0</v>
      </c>
      <c r="Y3016" s="14">
        <f t="shared" si="882"/>
        <v>0</v>
      </c>
      <c r="Z3016" s="11" t="s">
        <v>26</v>
      </c>
      <c r="AA3016" s="12" t="s">
        <v>31</v>
      </c>
    </row>
    <row r="3017" spans="1:27" x14ac:dyDescent="0.25">
      <c r="A3017" s="10">
        <v>45702</v>
      </c>
      <c r="B3017" s="11" t="s">
        <v>363</v>
      </c>
      <c r="C3017" s="11" t="s">
        <v>5505</v>
      </c>
      <c r="D3017" s="11">
        <v>17558</v>
      </c>
      <c r="E3017" s="11" t="s">
        <v>496</v>
      </c>
      <c r="F3017" s="11" t="s">
        <v>26</v>
      </c>
      <c r="G3017" s="11">
        <v>78957</v>
      </c>
      <c r="H3017" s="12" t="s">
        <v>4448</v>
      </c>
      <c r="I3017" s="12" t="s">
        <v>27</v>
      </c>
      <c r="J3017" s="12" t="s">
        <v>47</v>
      </c>
      <c r="K3017" s="12" t="s">
        <v>48</v>
      </c>
      <c r="L3017" s="13">
        <v>37.479999999999997</v>
      </c>
      <c r="M3017" s="13">
        <v>25</v>
      </c>
      <c r="N3017" s="13">
        <f t="shared" si="893"/>
        <v>1.4991999999999999</v>
      </c>
      <c r="O3017" s="13">
        <v>46.66</v>
      </c>
      <c r="P3017" s="13" t="s">
        <v>30</v>
      </c>
      <c r="Q3017" s="13">
        <v>0</v>
      </c>
      <c r="R3017" s="70">
        <f>+L3017*O3017</f>
        <v>1748.8167999999998</v>
      </c>
      <c r="S3017" s="70">
        <v>0</v>
      </c>
      <c r="T3017" s="70">
        <f>+L3017*S3017</f>
        <v>0</v>
      </c>
      <c r="U3017" s="70">
        <f>+R3017-T3017</f>
        <v>1748.8167999999998</v>
      </c>
      <c r="V3017" s="70">
        <f>+U3017*0.75</f>
        <v>1311.6125999999999</v>
      </c>
      <c r="W3017" s="70">
        <f>+U3017-V3017</f>
        <v>437.2041999999999</v>
      </c>
      <c r="X3017" s="70">
        <v>0</v>
      </c>
      <c r="Y3017" s="14">
        <f t="shared" si="882"/>
        <v>0</v>
      </c>
      <c r="Z3017" s="11" t="s">
        <v>26</v>
      </c>
      <c r="AA3017" s="12" t="s">
        <v>31</v>
      </c>
    </row>
    <row r="3018" spans="1:27" x14ac:dyDescent="0.25">
      <c r="A3018" s="10">
        <v>45702</v>
      </c>
      <c r="B3018" s="11" t="s">
        <v>474</v>
      </c>
      <c r="C3018" s="11" t="s">
        <v>5506</v>
      </c>
      <c r="D3018" s="11">
        <v>17559</v>
      </c>
      <c r="E3018" s="11" t="s">
        <v>57</v>
      </c>
      <c r="F3018" s="11" t="s">
        <v>26</v>
      </c>
      <c r="G3018" s="11" t="s">
        <v>26</v>
      </c>
      <c r="H3018" s="12" t="s">
        <v>146</v>
      </c>
      <c r="I3018" s="12" t="s">
        <v>27</v>
      </c>
      <c r="J3018" s="12" t="s">
        <v>47</v>
      </c>
      <c r="K3018" s="12" t="s">
        <v>48</v>
      </c>
      <c r="L3018" s="13">
        <v>42.52</v>
      </c>
      <c r="M3018" s="13">
        <v>28</v>
      </c>
      <c r="N3018" s="13">
        <f t="shared" si="893"/>
        <v>1.5185714285714287</v>
      </c>
      <c r="O3018" s="13">
        <v>91</v>
      </c>
      <c r="P3018" s="13" t="s">
        <v>30</v>
      </c>
      <c r="Q3018" s="13">
        <v>0</v>
      </c>
      <c r="R3018" s="70">
        <f>+L3018*O3018</f>
        <v>3869.32</v>
      </c>
      <c r="S3018" s="70">
        <v>40</v>
      </c>
      <c r="T3018" s="70">
        <f>L3018*S3018</f>
        <v>1700.8000000000002</v>
      </c>
      <c r="U3018" s="70">
        <f t="shared" ref="U3018" si="894">R3018-T3018</f>
        <v>2168.52</v>
      </c>
      <c r="V3018" s="70">
        <f>U3018*1</f>
        <v>2168.52</v>
      </c>
      <c r="W3018" s="70">
        <f t="shared" ref="W3018" si="895">U3018-V3018</f>
        <v>0</v>
      </c>
      <c r="X3018" s="70">
        <f>L3018*37</f>
        <v>1573.24</v>
      </c>
      <c r="Y3018" s="71">
        <f>+T3018-X3018</f>
        <v>127.56000000000017</v>
      </c>
      <c r="Z3018" s="12" t="s">
        <v>41</v>
      </c>
      <c r="AA3018" s="12" t="s">
        <v>79</v>
      </c>
    </row>
    <row r="3019" spans="1:27" x14ac:dyDescent="0.25">
      <c r="A3019" s="10">
        <v>45702</v>
      </c>
      <c r="B3019" s="11" t="s">
        <v>5385</v>
      </c>
      <c r="C3019" s="11" t="s">
        <v>5507</v>
      </c>
      <c r="D3019" s="11">
        <v>17560</v>
      </c>
      <c r="E3019" s="11" t="s">
        <v>100</v>
      </c>
      <c r="F3019" s="11" t="s">
        <v>26</v>
      </c>
      <c r="G3019" s="11">
        <v>78251</v>
      </c>
      <c r="H3019" s="12" t="s">
        <v>4448</v>
      </c>
      <c r="I3019" s="12" t="s">
        <v>27</v>
      </c>
      <c r="J3019" s="12" t="s">
        <v>47</v>
      </c>
      <c r="K3019" s="12" t="s">
        <v>48</v>
      </c>
      <c r="L3019" s="13">
        <v>37.56</v>
      </c>
      <c r="M3019" s="13">
        <v>25</v>
      </c>
      <c r="N3019" s="13">
        <f t="shared" si="893"/>
        <v>1.5024000000000002</v>
      </c>
      <c r="O3019" s="13">
        <v>46.66</v>
      </c>
      <c r="P3019" s="13" t="s">
        <v>30</v>
      </c>
      <c r="Q3019" s="13">
        <v>0</v>
      </c>
      <c r="R3019" s="70">
        <f>+L3019*O3019</f>
        <v>1752.5496000000001</v>
      </c>
      <c r="S3019" s="70">
        <v>0</v>
      </c>
      <c r="T3019" s="70">
        <f>+L3019*S3019</f>
        <v>0</v>
      </c>
      <c r="U3019" s="70">
        <f>+R3019-T3019</f>
        <v>1752.5496000000001</v>
      </c>
      <c r="V3019" s="70">
        <f>+U3019*0.75</f>
        <v>1314.4122</v>
      </c>
      <c r="W3019" s="70">
        <f>+U3019-V3019</f>
        <v>438.13740000000007</v>
      </c>
      <c r="X3019" s="70">
        <v>0</v>
      </c>
      <c r="Y3019" s="14">
        <f t="shared" ref="Y3019" si="896">T3019-X3019</f>
        <v>0</v>
      </c>
      <c r="Z3019" s="11" t="s">
        <v>26</v>
      </c>
      <c r="AA3019" s="12" t="s">
        <v>31</v>
      </c>
    </row>
    <row r="3020" spans="1:27" x14ac:dyDescent="0.25">
      <c r="A3020" s="10">
        <v>45702</v>
      </c>
      <c r="B3020" s="11" t="s">
        <v>2924</v>
      </c>
      <c r="C3020" s="11" t="s">
        <v>5508</v>
      </c>
      <c r="D3020" s="11">
        <v>17561</v>
      </c>
      <c r="E3020" s="11" t="s">
        <v>501</v>
      </c>
      <c r="F3020" s="11" t="s">
        <v>26</v>
      </c>
      <c r="G3020" s="11" t="s">
        <v>26</v>
      </c>
      <c r="H3020" s="12" t="s">
        <v>4422</v>
      </c>
      <c r="I3020" s="12" t="s">
        <v>27</v>
      </c>
      <c r="J3020" s="12" t="s">
        <v>33</v>
      </c>
      <c r="K3020" s="12" t="s">
        <v>34</v>
      </c>
      <c r="L3020" s="13">
        <v>42.72</v>
      </c>
      <c r="M3020" s="13">
        <v>29</v>
      </c>
      <c r="N3020" s="13">
        <f t="shared" si="893"/>
        <v>1.473103448275862</v>
      </c>
      <c r="O3020" s="13">
        <v>85</v>
      </c>
      <c r="P3020" s="13" t="s">
        <v>30</v>
      </c>
      <c r="Q3020" s="13">
        <v>0</v>
      </c>
      <c r="R3020" s="70">
        <f>L3020*O3020</f>
        <v>3631.2</v>
      </c>
      <c r="S3020" s="70">
        <v>38</v>
      </c>
      <c r="T3020" s="70">
        <f t="shared" ref="T3020" si="897">L3020*S3020</f>
        <v>1623.36</v>
      </c>
      <c r="U3020" s="70">
        <f t="shared" ref="U3020" si="898">R3020-T3020</f>
        <v>2007.84</v>
      </c>
      <c r="V3020" s="70">
        <f>U3020*1</f>
        <v>2007.84</v>
      </c>
      <c r="W3020" s="70">
        <f t="shared" ref="W3020" si="899">U3020-V3020</f>
        <v>0</v>
      </c>
      <c r="X3020" s="70">
        <f>L3020*36</f>
        <v>1537.92</v>
      </c>
      <c r="Y3020" s="71">
        <f>+T3020-X3020</f>
        <v>85.439999999999827</v>
      </c>
      <c r="Z3020" s="12" t="s">
        <v>141</v>
      </c>
      <c r="AA3020" s="12" t="s">
        <v>78</v>
      </c>
    </row>
    <row r="3021" spans="1:27" x14ac:dyDescent="0.25">
      <c r="A3021" s="10">
        <v>45702</v>
      </c>
      <c r="B3021" s="11" t="s">
        <v>5509</v>
      </c>
      <c r="C3021" s="11" t="s">
        <v>5510</v>
      </c>
      <c r="D3021" s="11">
        <v>17562</v>
      </c>
      <c r="E3021" s="11" t="s">
        <v>552</v>
      </c>
      <c r="F3021" s="11" t="s">
        <v>26</v>
      </c>
      <c r="G3021" s="11">
        <v>44169</v>
      </c>
      <c r="H3021" s="12" t="s">
        <v>4423</v>
      </c>
      <c r="I3021" s="12" t="s">
        <v>27</v>
      </c>
      <c r="J3021" s="12" t="s">
        <v>42</v>
      </c>
      <c r="K3021" s="12" t="s">
        <v>43</v>
      </c>
      <c r="L3021" s="13">
        <v>39.06</v>
      </c>
      <c r="M3021" s="13">
        <v>25</v>
      </c>
      <c r="N3021" s="13">
        <f t="shared" si="893"/>
        <v>1.5624</v>
      </c>
      <c r="O3021" s="13">
        <v>42</v>
      </c>
      <c r="P3021" s="13" t="s">
        <v>30</v>
      </c>
      <c r="Q3021" s="13">
        <v>0</v>
      </c>
      <c r="R3021" s="70">
        <f t="shared" ref="R3021" si="900">+L3021*O3021</f>
        <v>1640.52</v>
      </c>
      <c r="S3021" s="70">
        <v>0</v>
      </c>
      <c r="T3021" s="70">
        <f t="shared" ref="T3021" si="901">+L3021*S3021</f>
        <v>0</v>
      </c>
      <c r="U3021" s="70">
        <f t="shared" ref="U3021" si="902">+R3021-T3021</f>
        <v>1640.52</v>
      </c>
      <c r="V3021" s="70">
        <f>+U3021*1</f>
        <v>1640.52</v>
      </c>
      <c r="W3021" s="70">
        <f t="shared" ref="W3021" si="903">+U3021-V3021</f>
        <v>0</v>
      </c>
      <c r="X3021" s="70">
        <v>0</v>
      </c>
      <c r="Y3021" s="14">
        <f t="shared" ref="Y3021:Y3024" si="904">T3021-X3021</f>
        <v>0</v>
      </c>
      <c r="Z3021" s="11" t="s">
        <v>26</v>
      </c>
      <c r="AA3021" s="12" t="s">
        <v>31</v>
      </c>
    </row>
    <row r="3022" spans="1:27" x14ac:dyDescent="0.25">
      <c r="A3022" s="10">
        <v>45702</v>
      </c>
      <c r="B3022" s="11" t="s">
        <v>5511</v>
      </c>
      <c r="C3022" s="11" t="s">
        <v>5512</v>
      </c>
      <c r="D3022" s="11">
        <v>17563</v>
      </c>
      <c r="E3022" s="11" t="s">
        <v>431</v>
      </c>
      <c r="F3022" s="11" t="s">
        <v>26</v>
      </c>
      <c r="G3022" s="11">
        <v>150</v>
      </c>
      <c r="H3022" s="12" t="s">
        <v>6328</v>
      </c>
      <c r="I3022" s="12" t="s">
        <v>27</v>
      </c>
      <c r="J3022" s="12" t="s">
        <v>42</v>
      </c>
      <c r="K3022" s="12" t="s">
        <v>43</v>
      </c>
      <c r="L3022" s="13">
        <v>40.9</v>
      </c>
      <c r="M3022" s="13">
        <v>25</v>
      </c>
      <c r="N3022" s="13">
        <f t="shared" si="893"/>
        <v>1.6359999999999999</v>
      </c>
      <c r="O3022" s="13">
        <v>42.5</v>
      </c>
      <c r="P3022" s="13"/>
      <c r="Q3022" s="13">
        <v>0</v>
      </c>
      <c r="R3022" s="70">
        <f>L3022*O3022</f>
        <v>1738.25</v>
      </c>
      <c r="S3022" s="70">
        <v>0</v>
      </c>
      <c r="T3022" s="70">
        <f>+L3022*S3022</f>
        <v>0</v>
      </c>
      <c r="U3022" s="70">
        <f>R3022-T3022</f>
        <v>1738.25</v>
      </c>
      <c r="V3022" s="70">
        <f>U3022*0</f>
        <v>0</v>
      </c>
      <c r="W3022" s="70">
        <f>U3022-V3022</f>
        <v>1738.25</v>
      </c>
      <c r="X3022" s="70"/>
      <c r="Y3022" s="14">
        <f t="shared" si="904"/>
        <v>0</v>
      </c>
      <c r="Z3022" s="11" t="s">
        <v>26</v>
      </c>
      <c r="AA3022" s="12" t="s">
        <v>31</v>
      </c>
    </row>
    <row r="3023" spans="1:27" x14ac:dyDescent="0.25">
      <c r="A3023" s="10">
        <v>45702</v>
      </c>
      <c r="B3023" s="11" t="s">
        <v>247</v>
      </c>
      <c r="C3023" s="11" t="s">
        <v>5513</v>
      </c>
      <c r="D3023" s="11">
        <v>17564</v>
      </c>
      <c r="E3023" s="11" t="s">
        <v>654</v>
      </c>
      <c r="F3023" s="11" t="s">
        <v>26</v>
      </c>
      <c r="G3023" s="11">
        <v>2822</v>
      </c>
      <c r="H3023" s="12" t="s">
        <v>41</v>
      </c>
      <c r="I3023" s="12" t="s">
        <v>55</v>
      </c>
      <c r="J3023" s="12" t="s">
        <v>55</v>
      </c>
      <c r="K3023" s="12" t="s">
        <v>56</v>
      </c>
      <c r="L3023" s="13">
        <v>32.04</v>
      </c>
      <c r="M3023" s="13">
        <v>19</v>
      </c>
      <c r="N3023" s="13">
        <f t="shared" si="893"/>
        <v>1.6863157894736842</v>
      </c>
      <c r="O3023" s="13" t="s">
        <v>30</v>
      </c>
      <c r="P3023" s="13">
        <v>24</v>
      </c>
      <c r="Q3023" s="13">
        <v>0</v>
      </c>
      <c r="R3023" s="70">
        <f>+M3023*P3023</f>
        <v>456</v>
      </c>
      <c r="S3023" s="70">
        <v>0</v>
      </c>
      <c r="T3023" s="70">
        <f>+M3023*S3023</f>
        <v>0</v>
      </c>
      <c r="U3023" s="70">
        <f t="shared" ref="U3023:U3024" si="905">+R3023-T3023</f>
        <v>456</v>
      </c>
      <c r="V3023" s="70">
        <f>+U3023*0</f>
        <v>0</v>
      </c>
      <c r="W3023" s="70">
        <f t="shared" ref="W3023:W3024" si="906">+U3023-V3023</f>
        <v>456</v>
      </c>
      <c r="X3023" s="70">
        <v>0</v>
      </c>
      <c r="Y3023" s="14">
        <f t="shared" si="904"/>
        <v>0</v>
      </c>
      <c r="Z3023" s="11" t="s">
        <v>26</v>
      </c>
      <c r="AA3023" s="12" t="s">
        <v>31</v>
      </c>
    </row>
    <row r="3024" spans="1:27" x14ac:dyDescent="0.25">
      <c r="A3024" s="10">
        <v>45702</v>
      </c>
      <c r="B3024" s="11" t="s">
        <v>5514</v>
      </c>
      <c r="C3024" s="11" t="s">
        <v>5515</v>
      </c>
      <c r="D3024" s="11">
        <v>17565</v>
      </c>
      <c r="E3024" s="11" t="s">
        <v>559</v>
      </c>
      <c r="F3024" s="11" t="s">
        <v>26</v>
      </c>
      <c r="G3024" s="11">
        <v>2594</v>
      </c>
      <c r="H3024" s="12" t="s">
        <v>41</v>
      </c>
      <c r="I3024" s="12" t="s">
        <v>55</v>
      </c>
      <c r="J3024" s="12" t="s">
        <v>55</v>
      </c>
      <c r="K3024" s="12" t="s">
        <v>56</v>
      </c>
      <c r="L3024" s="13">
        <v>31.82</v>
      </c>
      <c r="M3024" s="13">
        <v>19</v>
      </c>
      <c r="N3024" s="13">
        <f t="shared" si="893"/>
        <v>1.6747368421052631</v>
      </c>
      <c r="O3024" s="13" t="s">
        <v>30</v>
      </c>
      <c r="P3024" s="13">
        <v>24</v>
      </c>
      <c r="Q3024" s="13">
        <v>0</v>
      </c>
      <c r="R3024" s="70">
        <f>+M3024*P3024</f>
        <v>456</v>
      </c>
      <c r="S3024" s="70">
        <v>0</v>
      </c>
      <c r="T3024" s="70">
        <f>+M3024*S3024</f>
        <v>0</v>
      </c>
      <c r="U3024" s="70">
        <f t="shared" si="905"/>
        <v>456</v>
      </c>
      <c r="V3024" s="70">
        <f>+U3024*0</f>
        <v>0</v>
      </c>
      <c r="W3024" s="70">
        <f t="shared" si="906"/>
        <v>456</v>
      </c>
      <c r="X3024" s="70">
        <v>0</v>
      </c>
      <c r="Y3024" s="14">
        <f t="shared" si="904"/>
        <v>0</v>
      </c>
      <c r="Z3024" s="11" t="s">
        <v>26</v>
      </c>
      <c r="AA3024" s="12" t="s">
        <v>31</v>
      </c>
    </row>
    <row r="3025" spans="1:27" x14ac:dyDescent="0.25">
      <c r="A3025" s="10">
        <v>45702</v>
      </c>
      <c r="B3025" s="11" t="s">
        <v>5516</v>
      </c>
      <c r="C3025" s="11" t="s">
        <v>5517</v>
      </c>
      <c r="D3025" s="11">
        <v>17566</v>
      </c>
      <c r="E3025" s="11" t="s">
        <v>483</v>
      </c>
      <c r="F3025" s="11" t="s">
        <v>26</v>
      </c>
      <c r="G3025" s="11" t="s">
        <v>26</v>
      </c>
      <c r="H3025" s="12" t="s">
        <v>4422</v>
      </c>
      <c r="I3025" s="12" t="s">
        <v>27</v>
      </c>
      <c r="J3025" s="12" t="s">
        <v>42</v>
      </c>
      <c r="K3025" s="12" t="s">
        <v>43</v>
      </c>
      <c r="L3025" s="13">
        <v>43.34</v>
      </c>
      <c r="M3025" s="13">
        <v>25</v>
      </c>
      <c r="N3025" s="13">
        <f t="shared" si="893"/>
        <v>1.7336</v>
      </c>
      <c r="O3025" s="13">
        <v>83</v>
      </c>
      <c r="P3025" s="13" t="s">
        <v>30</v>
      </c>
      <c r="Q3025" s="13">
        <v>0</v>
      </c>
      <c r="R3025" s="70">
        <f>L3025*O3025</f>
        <v>3597.2200000000003</v>
      </c>
      <c r="S3025" s="70">
        <v>38</v>
      </c>
      <c r="T3025" s="70">
        <f>L3025*S3025</f>
        <v>1646.92</v>
      </c>
      <c r="U3025" s="70">
        <f>R3025-T3025</f>
        <v>1950.3000000000002</v>
      </c>
      <c r="V3025" s="70">
        <f>U3025*1</f>
        <v>1950.3000000000002</v>
      </c>
      <c r="W3025" s="70">
        <f>U3025-V3025</f>
        <v>0</v>
      </c>
      <c r="X3025" s="70">
        <f>L3025*37</f>
        <v>1603.5800000000002</v>
      </c>
      <c r="Y3025" s="71">
        <f>+T3025-X3025</f>
        <v>43.339999999999918</v>
      </c>
      <c r="Z3025" s="12" t="s">
        <v>41</v>
      </c>
      <c r="AA3025" s="12" t="s">
        <v>78</v>
      </c>
    </row>
    <row r="3026" spans="1:27" x14ac:dyDescent="0.25">
      <c r="A3026" s="10">
        <v>45702</v>
      </c>
      <c r="B3026" s="11" t="s">
        <v>5518</v>
      </c>
      <c r="C3026" s="11" t="s">
        <v>5519</v>
      </c>
      <c r="D3026" s="11">
        <v>17567</v>
      </c>
      <c r="E3026" s="11" t="s">
        <v>4161</v>
      </c>
      <c r="F3026" s="11" t="s">
        <v>26</v>
      </c>
      <c r="G3026" s="11">
        <v>2620</v>
      </c>
      <c r="H3026" s="12" t="s">
        <v>41</v>
      </c>
      <c r="I3026" s="12" t="s">
        <v>55</v>
      </c>
      <c r="J3026" s="12" t="s">
        <v>55</v>
      </c>
      <c r="K3026" s="12" t="s">
        <v>56</v>
      </c>
      <c r="L3026" s="13">
        <v>31.72</v>
      </c>
      <c r="M3026" s="13">
        <v>19</v>
      </c>
      <c r="N3026" s="13">
        <f t="shared" si="893"/>
        <v>1.6694736842105262</v>
      </c>
      <c r="O3026" s="13" t="s">
        <v>30</v>
      </c>
      <c r="P3026" s="13">
        <v>24</v>
      </c>
      <c r="Q3026" s="13">
        <v>0</v>
      </c>
      <c r="R3026" s="70">
        <f>+M3026*P3026</f>
        <v>456</v>
      </c>
      <c r="S3026" s="70">
        <v>0</v>
      </c>
      <c r="T3026" s="70">
        <f>+M3026*S3026</f>
        <v>0</v>
      </c>
      <c r="U3026" s="70">
        <f t="shared" ref="U3026" si="907">+R3026-T3026</f>
        <v>456</v>
      </c>
      <c r="V3026" s="70">
        <f>+U3026*0</f>
        <v>0</v>
      </c>
      <c r="W3026" s="70">
        <f t="shared" ref="W3026" si="908">+U3026-V3026</f>
        <v>456</v>
      </c>
      <c r="X3026" s="70">
        <v>0</v>
      </c>
      <c r="Y3026" s="14">
        <f t="shared" ref="Y3026" si="909">T3026-X3026</f>
        <v>0</v>
      </c>
      <c r="Z3026" s="11" t="s">
        <v>26</v>
      </c>
      <c r="AA3026" s="12" t="s">
        <v>31</v>
      </c>
    </row>
    <row r="3027" spans="1:27" x14ac:dyDescent="0.25">
      <c r="A3027" s="10">
        <v>45702</v>
      </c>
      <c r="B3027" s="11" t="s">
        <v>5520</v>
      </c>
      <c r="C3027" s="11" t="s">
        <v>5521</v>
      </c>
      <c r="D3027" s="11">
        <v>17568</v>
      </c>
      <c r="E3027" s="11" t="s">
        <v>81</v>
      </c>
      <c r="F3027" s="11" t="s">
        <v>26</v>
      </c>
      <c r="G3027" s="11" t="s">
        <v>26</v>
      </c>
      <c r="H3027" s="12" t="s">
        <v>4422</v>
      </c>
      <c r="I3027" s="12" t="s">
        <v>27</v>
      </c>
      <c r="J3027" s="12" t="s">
        <v>42</v>
      </c>
      <c r="K3027" s="12" t="s">
        <v>43</v>
      </c>
      <c r="L3027" s="13">
        <v>42.78</v>
      </c>
      <c r="M3027" s="13">
        <v>25</v>
      </c>
      <c r="N3027" s="13">
        <f t="shared" si="893"/>
        <v>1.7112000000000001</v>
      </c>
      <c r="O3027" s="13">
        <v>83</v>
      </c>
      <c r="P3027" s="13" t="s">
        <v>30</v>
      </c>
      <c r="Q3027" s="13">
        <v>0</v>
      </c>
      <c r="R3027" s="70">
        <f>L3027*O3027</f>
        <v>3550.7400000000002</v>
      </c>
      <c r="S3027" s="70">
        <v>38</v>
      </c>
      <c r="T3027" s="70">
        <f>L3027*S3027</f>
        <v>1625.64</v>
      </c>
      <c r="U3027" s="70">
        <f>R3027-T3027</f>
        <v>1925.1000000000001</v>
      </c>
      <c r="V3027" s="70">
        <f>U3027*1</f>
        <v>1925.1000000000001</v>
      </c>
      <c r="W3027" s="70">
        <f>U3027-V3027</f>
        <v>0</v>
      </c>
      <c r="X3027" s="70">
        <f>L3027*36</f>
        <v>1540.08</v>
      </c>
      <c r="Y3027" s="71">
        <f>+T3027-X3027</f>
        <v>85.560000000000173</v>
      </c>
      <c r="Z3027" s="12" t="s">
        <v>141</v>
      </c>
      <c r="AA3027" s="12" t="s">
        <v>78</v>
      </c>
    </row>
    <row r="3028" spans="1:27" x14ac:dyDescent="0.25">
      <c r="A3028" s="10">
        <v>45702</v>
      </c>
      <c r="B3028" s="11" t="s">
        <v>5522</v>
      </c>
      <c r="C3028" s="11" t="s">
        <v>5523</v>
      </c>
      <c r="D3028" s="11">
        <v>17569</v>
      </c>
      <c r="E3028" s="11" t="s">
        <v>50</v>
      </c>
      <c r="F3028" s="11" t="s">
        <v>26</v>
      </c>
      <c r="G3028" s="11">
        <v>753</v>
      </c>
      <c r="H3028" s="12" t="s">
        <v>163</v>
      </c>
      <c r="I3028" s="12" t="s">
        <v>27</v>
      </c>
      <c r="J3028" s="12" t="s">
        <v>33</v>
      </c>
      <c r="K3028" s="12" t="s">
        <v>34</v>
      </c>
      <c r="L3028" s="13">
        <v>38.5</v>
      </c>
      <c r="M3028" s="13">
        <v>25</v>
      </c>
      <c r="N3028" s="13">
        <f t="shared" si="893"/>
        <v>1.54</v>
      </c>
      <c r="O3028" s="13" t="s">
        <v>30</v>
      </c>
      <c r="P3028" s="13">
        <v>60</v>
      </c>
      <c r="Q3028" s="13">
        <v>0</v>
      </c>
      <c r="R3028" s="70">
        <f>M3028*P3028</f>
        <v>1500</v>
      </c>
      <c r="S3028" s="70">
        <v>0</v>
      </c>
      <c r="T3028" s="70">
        <f>M3028*S3028</f>
        <v>0</v>
      </c>
      <c r="U3028" s="70">
        <f>R3028-T3028</f>
        <v>1500</v>
      </c>
      <c r="V3028" s="70">
        <f>U3028*0</f>
        <v>0</v>
      </c>
      <c r="W3028" s="70">
        <f>U3028-V3028</f>
        <v>1500</v>
      </c>
      <c r="X3028" s="70">
        <v>0</v>
      </c>
      <c r="Y3028" s="14">
        <f t="shared" ref="Y3028" si="910">T3028-X3028</f>
        <v>0</v>
      </c>
      <c r="Z3028" s="11" t="s">
        <v>26</v>
      </c>
      <c r="AA3028" s="12" t="s">
        <v>31</v>
      </c>
    </row>
    <row r="3029" spans="1:27" x14ac:dyDescent="0.25">
      <c r="A3029" s="10">
        <v>45702</v>
      </c>
      <c r="B3029" s="11" t="s">
        <v>5524</v>
      </c>
      <c r="C3029" s="11" t="s">
        <v>5525</v>
      </c>
      <c r="D3029" s="11">
        <v>17570</v>
      </c>
      <c r="E3029" s="11" t="s">
        <v>605</v>
      </c>
      <c r="F3029" s="11" t="s">
        <v>26</v>
      </c>
      <c r="G3029" s="11" t="s">
        <v>26</v>
      </c>
      <c r="H3029" s="12" t="s">
        <v>4422</v>
      </c>
      <c r="I3029" s="12" t="s">
        <v>27</v>
      </c>
      <c r="J3029" s="12" t="s">
        <v>42</v>
      </c>
      <c r="K3029" s="12" t="s">
        <v>43</v>
      </c>
      <c r="L3029" s="13">
        <v>45.36</v>
      </c>
      <c r="M3029" s="13">
        <v>28</v>
      </c>
      <c r="N3029" s="13">
        <f t="shared" si="893"/>
        <v>1.6199999999999999</v>
      </c>
      <c r="O3029" s="13">
        <v>83</v>
      </c>
      <c r="P3029" s="13" t="s">
        <v>30</v>
      </c>
      <c r="Q3029" s="13">
        <v>0</v>
      </c>
      <c r="R3029" s="70">
        <f>L3029*O3029</f>
        <v>3764.88</v>
      </c>
      <c r="S3029" s="70">
        <v>38</v>
      </c>
      <c r="T3029" s="70">
        <f>L3029*S3029</f>
        <v>1723.68</v>
      </c>
      <c r="U3029" s="70">
        <f>R3029-T3029</f>
        <v>2041.2</v>
      </c>
      <c r="V3029" s="70">
        <f>U3029*1</f>
        <v>2041.2</v>
      </c>
      <c r="W3029" s="70">
        <f>U3029-V3029</f>
        <v>0</v>
      </c>
      <c r="X3029" s="70">
        <f>L3029*36</f>
        <v>1632.96</v>
      </c>
      <c r="Y3029" s="71">
        <f>+T3029-X3029</f>
        <v>90.720000000000027</v>
      </c>
      <c r="Z3029" s="12" t="s">
        <v>141</v>
      </c>
      <c r="AA3029" s="12" t="s">
        <v>78</v>
      </c>
    </row>
    <row r="3030" spans="1:27" x14ac:dyDescent="0.25">
      <c r="A3030" s="10">
        <v>45702</v>
      </c>
      <c r="B3030" s="11" t="s">
        <v>5526</v>
      </c>
      <c r="C3030" s="11" t="s">
        <v>5527</v>
      </c>
      <c r="D3030" s="11">
        <v>17571</v>
      </c>
      <c r="E3030" s="11" t="s">
        <v>236</v>
      </c>
      <c r="F3030" s="11" t="s">
        <v>26</v>
      </c>
      <c r="G3030" s="11">
        <v>1606</v>
      </c>
      <c r="H3030" s="12" t="s">
        <v>45</v>
      </c>
      <c r="I3030" s="12" t="s">
        <v>27</v>
      </c>
      <c r="J3030" s="12" t="s">
        <v>42</v>
      </c>
      <c r="K3030" s="12" t="s">
        <v>43</v>
      </c>
      <c r="L3030" s="13">
        <v>44.24</v>
      </c>
      <c r="M3030" s="13">
        <v>25</v>
      </c>
      <c r="N3030" s="13">
        <f t="shared" si="893"/>
        <v>1.7696000000000001</v>
      </c>
      <c r="O3030" s="13" t="s">
        <v>30</v>
      </c>
      <c r="P3030" s="13">
        <v>62</v>
      </c>
      <c r="Q3030" s="13">
        <v>0</v>
      </c>
      <c r="R3030" s="70">
        <f>M3030*P3030</f>
        <v>1550</v>
      </c>
      <c r="S3030" s="70">
        <v>0</v>
      </c>
      <c r="T3030" s="70">
        <f>M3030*S3030</f>
        <v>0</v>
      </c>
      <c r="U3030" s="70">
        <f>R3030-T3030</f>
        <v>1550</v>
      </c>
      <c r="V3030" s="70">
        <f>U3030*0</f>
        <v>0</v>
      </c>
      <c r="W3030" s="70">
        <f>U3030-V3030</f>
        <v>1550</v>
      </c>
      <c r="X3030" s="70">
        <v>0</v>
      </c>
      <c r="Y3030" s="14">
        <f t="shared" ref="Y3030:Y3031" si="911">T3030-X3030</f>
        <v>0</v>
      </c>
      <c r="Z3030" s="11" t="s">
        <v>26</v>
      </c>
      <c r="AA3030" s="12" t="s">
        <v>31</v>
      </c>
    </row>
    <row r="3031" spans="1:27" x14ac:dyDescent="0.25">
      <c r="A3031" s="10">
        <v>45702</v>
      </c>
      <c r="B3031" s="11" t="s">
        <v>5528</v>
      </c>
      <c r="C3031" s="11" t="s">
        <v>5529</v>
      </c>
      <c r="D3031" s="11">
        <v>17572</v>
      </c>
      <c r="E3031" s="11" t="s">
        <v>5103</v>
      </c>
      <c r="F3031" s="11" t="s">
        <v>26</v>
      </c>
      <c r="G3031" s="11">
        <v>78102</v>
      </c>
      <c r="H3031" s="12" t="s">
        <v>4448</v>
      </c>
      <c r="I3031" s="12" t="s">
        <v>27</v>
      </c>
      <c r="J3031" s="12" t="s">
        <v>42</v>
      </c>
      <c r="K3031" s="12" t="s">
        <v>43</v>
      </c>
      <c r="L3031" s="13">
        <v>43.52</v>
      </c>
      <c r="M3031" s="13">
        <v>25</v>
      </c>
      <c r="N3031" s="13">
        <f t="shared" si="893"/>
        <v>1.7408000000000001</v>
      </c>
      <c r="O3031" s="13">
        <v>42.5</v>
      </c>
      <c r="P3031" s="13"/>
      <c r="Q3031" s="13">
        <v>0</v>
      </c>
      <c r="R3031" s="70">
        <f>+L3031*O3031</f>
        <v>1849.6000000000001</v>
      </c>
      <c r="S3031" s="70">
        <v>0</v>
      </c>
      <c r="T3031" s="70">
        <f>+L3031*S3031</f>
        <v>0</v>
      </c>
      <c r="U3031" s="70">
        <f>+R3031-T3031</f>
        <v>1849.6000000000001</v>
      </c>
      <c r="V3031" s="70">
        <f>+U3031*0.75</f>
        <v>1387.2</v>
      </c>
      <c r="W3031" s="70">
        <f>+U3031-V3031</f>
        <v>462.40000000000009</v>
      </c>
      <c r="X3031" s="70">
        <v>0</v>
      </c>
      <c r="Y3031" s="14">
        <f t="shared" si="911"/>
        <v>0</v>
      </c>
      <c r="Z3031" s="11" t="s">
        <v>26</v>
      </c>
      <c r="AA3031" s="12" t="s">
        <v>31</v>
      </c>
    </row>
    <row r="3032" spans="1:27" x14ac:dyDescent="0.25">
      <c r="A3032" s="10">
        <v>45702</v>
      </c>
      <c r="B3032" s="11" t="s">
        <v>5530</v>
      </c>
      <c r="C3032" s="11" t="s">
        <v>5531</v>
      </c>
      <c r="D3032" s="11">
        <v>17573</v>
      </c>
      <c r="E3032" s="11" t="s">
        <v>246</v>
      </c>
      <c r="F3032" s="11" t="s">
        <v>26</v>
      </c>
      <c r="G3032" s="11" t="s">
        <v>26</v>
      </c>
      <c r="H3032" s="12" t="s">
        <v>4422</v>
      </c>
      <c r="I3032" s="12" t="s">
        <v>27</v>
      </c>
      <c r="J3032" s="12" t="s">
        <v>33</v>
      </c>
      <c r="K3032" s="12" t="s">
        <v>34</v>
      </c>
      <c r="L3032" s="13">
        <v>44.06</v>
      </c>
      <c r="M3032" s="13">
        <v>30</v>
      </c>
      <c r="N3032" s="13">
        <f t="shared" si="893"/>
        <v>1.4686666666666668</v>
      </c>
      <c r="O3032" s="13">
        <v>85</v>
      </c>
      <c r="P3032" s="13" t="s">
        <v>30</v>
      </c>
      <c r="Q3032" s="13">
        <v>0</v>
      </c>
      <c r="R3032" s="70">
        <f>L3032*O3032</f>
        <v>3745.1000000000004</v>
      </c>
      <c r="S3032" s="70">
        <v>38</v>
      </c>
      <c r="T3032" s="70">
        <f t="shared" ref="T3032" si="912">L3032*S3032</f>
        <v>1674.2800000000002</v>
      </c>
      <c r="U3032" s="70">
        <f t="shared" ref="U3032" si="913">R3032-T3032</f>
        <v>2070.8200000000002</v>
      </c>
      <c r="V3032" s="70">
        <f>U3032*1</f>
        <v>2070.8200000000002</v>
      </c>
      <c r="W3032" s="70">
        <f t="shared" ref="W3032" si="914">U3032-V3032</f>
        <v>0</v>
      </c>
      <c r="X3032" s="70">
        <f>L3032*37</f>
        <v>1630.22</v>
      </c>
      <c r="Y3032" s="71">
        <f>+T3032-X3032</f>
        <v>44.060000000000173</v>
      </c>
      <c r="Z3032" s="12" t="s">
        <v>41</v>
      </c>
      <c r="AA3032" s="12" t="s">
        <v>78</v>
      </c>
    </row>
    <row r="3033" spans="1:27" x14ac:dyDescent="0.25">
      <c r="A3033" s="10">
        <v>45702</v>
      </c>
      <c r="B3033" s="11" t="s">
        <v>5532</v>
      </c>
      <c r="C3033" s="11" t="s">
        <v>5533</v>
      </c>
      <c r="D3033" s="11">
        <v>17574</v>
      </c>
      <c r="E3033" s="11" t="s">
        <v>98</v>
      </c>
      <c r="F3033" s="11" t="s">
        <v>26</v>
      </c>
      <c r="G3033" s="11">
        <v>10723</v>
      </c>
      <c r="H3033" s="12" t="s">
        <v>140</v>
      </c>
      <c r="I3033" s="12" t="s">
        <v>27</v>
      </c>
      <c r="J3033" s="12" t="s">
        <v>42</v>
      </c>
      <c r="K3033" s="12" t="s">
        <v>43</v>
      </c>
      <c r="L3033" s="13">
        <v>44.68</v>
      </c>
      <c r="M3033" s="13">
        <v>25</v>
      </c>
      <c r="N3033" s="13">
        <f t="shared" si="893"/>
        <v>1.7871999999999999</v>
      </c>
      <c r="O3033" s="13">
        <v>35</v>
      </c>
      <c r="P3033" s="13"/>
      <c r="Q3033" s="13">
        <v>0</v>
      </c>
      <c r="R3033" s="70">
        <f>+L3033*O3033</f>
        <v>1563.8</v>
      </c>
      <c r="S3033" s="70">
        <v>0</v>
      </c>
      <c r="T3033" s="70">
        <f>+L3033*S3033</f>
        <v>0</v>
      </c>
      <c r="U3033" s="70">
        <f>+R3033-T3033</f>
        <v>1563.8</v>
      </c>
      <c r="V3033" s="70">
        <f t="shared" ref="V3033" si="915">+U3033*0</f>
        <v>0</v>
      </c>
      <c r="W3033" s="70">
        <f>+U3033-V3033</f>
        <v>1563.8</v>
      </c>
      <c r="X3033" s="70">
        <v>0</v>
      </c>
      <c r="Y3033" s="14">
        <f t="shared" ref="Y3033:Y3036" si="916">T3033-X3033</f>
        <v>0</v>
      </c>
      <c r="Z3033" s="11" t="s">
        <v>26</v>
      </c>
      <c r="AA3033" s="12" t="s">
        <v>31</v>
      </c>
    </row>
    <row r="3034" spans="1:27" x14ac:dyDescent="0.25">
      <c r="A3034" s="10">
        <v>45702</v>
      </c>
      <c r="B3034" s="11" t="s">
        <v>5534</v>
      </c>
      <c r="C3034" s="11" t="s">
        <v>5535</v>
      </c>
      <c r="D3034" s="11">
        <v>17575</v>
      </c>
      <c r="E3034" s="11" t="s">
        <v>539</v>
      </c>
      <c r="F3034" s="11" t="s">
        <v>26</v>
      </c>
      <c r="G3034" s="11">
        <v>3365</v>
      </c>
      <c r="H3034" s="12" t="s">
        <v>41</v>
      </c>
      <c r="I3034" s="12" t="s">
        <v>55</v>
      </c>
      <c r="J3034" s="12" t="s">
        <v>55</v>
      </c>
      <c r="K3034" s="12" t="s">
        <v>56</v>
      </c>
      <c r="L3034" s="13">
        <v>39.94</v>
      </c>
      <c r="M3034" s="13">
        <v>23</v>
      </c>
      <c r="N3034" s="13">
        <f t="shared" si="893"/>
        <v>1.7365217391304346</v>
      </c>
      <c r="O3034" s="13" t="s">
        <v>30</v>
      </c>
      <c r="P3034" s="13">
        <v>24</v>
      </c>
      <c r="Q3034" s="13">
        <v>0</v>
      </c>
      <c r="R3034" s="70">
        <f>+M3034*P3034</f>
        <v>552</v>
      </c>
      <c r="S3034" s="70">
        <v>0</v>
      </c>
      <c r="T3034" s="70">
        <f>+M3034*S3034</f>
        <v>0</v>
      </c>
      <c r="U3034" s="70">
        <f t="shared" ref="U3034" si="917">+R3034-T3034</f>
        <v>552</v>
      </c>
      <c r="V3034" s="70">
        <f>+U3034*0</f>
        <v>0</v>
      </c>
      <c r="W3034" s="70">
        <f t="shared" ref="W3034" si="918">+U3034-V3034</f>
        <v>552</v>
      </c>
      <c r="X3034" s="70">
        <v>0</v>
      </c>
      <c r="Y3034" s="14">
        <f t="shared" si="916"/>
        <v>0</v>
      </c>
      <c r="Z3034" s="11" t="s">
        <v>26</v>
      </c>
      <c r="AA3034" s="12" t="s">
        <v>31</v>
      </c>
    </row>
    <row r="3035" spans="1:27" x14ac:dyDescent="0.25">
      <c r="A3035" s="10">
        <v>45702</v>
      </c>
      <c r="B3035" s="11" t="s">
        <v>5536</v>
      </c>
      <c r="C3035" s="11" t="s">
        <v>5537</v>
      </c>
      <c r="D3035" s="11">
        <v>17576</v>
      </c>
      <c r="E3035" s="11" t="s">
        <v>1200</v>
      </c>
      <c r="F3035" s="11" t="s">
        <v>26</v>
      </c>
      <c r="G3035" s="11">
        <v>2967</v>
      </c>
      <c r="H3035" s="12" t="s">
        <v>163</v>
      </c>
      <c r="I3035" s="12" t="s">
        <v>27</v>
      </c>
      <c r="J3035" s="12" t="s">
        <v>42</v>
      </c>
      <c r="K3035" s="12" t="s">
        <v>43</v>
      </c>
      <c r="L3035" s="13">
        <v>44.38</v>
      </c>
      <c r="M3035" s="13">
        <v>25</v>
      </c>
      <c r="N3035" s="13">
        <f t="shared" si="893"/>
        <v>1.7752000000000001</v>
      </c>
      <c r="O3035" s="13" t="s">
        <v>30</v>
      </c>
      <c r="P3035" s="13">
        <v>64</v>
      </c>
      <c r="Q3035" s="13">
        <v>0</v>
      </c>
      <c r="R3035" s="70">
        <f>M3035*P3035</f>
        <v>1600</v>
      </c>
      <c r="S3035" s="70">
        <v>0</v>
      </c>
      <c r="T3035" s="70">
        <f>M3035*S3035</f>
        <v>0</v>
      </c>
      <c r="U3035" s="70">
        <f>R3035-T3035</f>
        <v>1600</v>
      </c>
      <c r="V3035" s="70">
        <f t="shared" ref="V3035" si="919">U3035*0</f>
        <v>0</v>
      </c>
      <c r="W3035" s="70">
        <f t="shared" ref="W3035" si="920">U3035-V3035</f>
        <v>1600</v>
      </c>
      <c r="X3035" s="70">
        <v>0</v>
      </c>
      <c r="Y3035" s="14">
        <f t="shared" si="916"/>
        <v>0</v>
      </c>
      <c r="Z3035" s="11" t="s">
        <v>26</v>
      </c>
      <c r="AA3035" s="12" t="s">
        <v>31</v>
      </c>
    </row>
    <row r="3036" spans="1:27" x14ac:dyDescent="0.25">
      <c r="A3036" s="10">
        <v>45702</v>
      </c>
      <c r="B3036" s="11" t="s">
        <v>619</v>
      </c>
      <c r="C3036" s="11" t="s">
        <v>5538</v>
      </c>
      <c r="D3036" s="11">
        <v>17577</v>
      </c>
      <c r="E3036" s="11" t="s">
        <v>589</v>
      </c>
      <c r="F3036" s="11" t="s">
        <v>26</v>
      </c>
      <c r="G3036" s="11">
        <v>56921</v>
      </c>
      <c r="H3036" s="12" t="s">
        <v>4423</v>
      </c>
      <c r="I3036" s="12" t="s">
        <v>55</v>
      </c>
      <c r="J3036" s="12" t="s">
        <v>55</v>
      </c>
      <c r="K3036" s="12" t="s">
        <v>56</v>
      </c>
      <c r="L3036" s="13">
        <v>36.08</v>
      </c>
      <c r="M3036" s="13">
        <v>25</v>
      </c>
      <c r="N3036" s="13">
        <f t="shared" si="893"/>
        <v>1.4432</v>
      </c>
      <c r="O3036" s="13">
        <v>17</v>
      </c>
      <c r="P3036" s="13" t="s">
        <v>30</v>
      </c>
      <c r="Q3036" s="13">
        <v>0</v>
      </c>
      <c r="R3036" s="70">
        <f>+L3036*O3036</f>
        <v>613.36</v>
      </c>
      <c r="S3036" s="70">
        <v>0</v>
      </c>
      <c r="T3036" s="70">
        <f>+L3036*S3036</f>
        <v>0</v>
      </c>
      <c r="U3036" s="70">
        <f t="shared" ref="U3036" si="921">+R3036-T3036</f>
        <v>613.36</v>
      </c>
      <c r="V3036" s="70">
        <f>+U3036*1</f>
        <v>613.36</v>
      </c>
      <c r="W3036" s="70">
        <f t="shared" ref="W3036" si="922">+U3036-V3036</f>
        <v>0</v>
      </c>
      <c r="X3036" s="70">
        <v>0</v>
      </c>
      <c r="Y3036" s="14">
        <f t="shared" si="916"/>
        <v>0</v>
      </c>
      <c r="Z3036" s="11" t="s">
        <v>26</v>
      </c>
      <c r="AA3036" s="12" t="s">
        <v>31</v>
      </c>
    </row>
    <row r="3037" spans="1:27" x14ac:dyDescent="0.25">
      <c r="A3037" s="10">
        <v>45702</v>
      </c>
      <c r="B3037" s="11" t="s">
        <v>5539</v>
      </c>
      <c r="C3037" s="11" t="s">
        <v>5540</v>
      </c>
      <c r="D3037" s="11">
        <v>17578</v>
      </c>
      <c r="E3037" s="11" t="s">
        <v>53</v>
      </c>
      <c r="F3037" s="11" t="s">
        <v>26</v>
      </c>
      <c r="G3037" s="11" t="s">
        <v>26</v>
      </c>
      <c r="H3037" s="12" t="s">
        <v>4422</v>
      </c>
      <c r="I3037" s="12" t="s">
        <v>27</v>
      </c>
      <c r="J3037" s="12" t="s">
        <v>42</v>
      </c>
      <c r="K3037" s="12" t="s">
        <v>43</v>
      </c>
      <c r="L3037" s="13">
        <v>44.94</v>
      </c>
      <c r="M3037" s="13">
        <v>25</v>
      </c>
      <c r="N3037" s="13">
        <f t="shared" si="893"/>
        <v>1.7975999999999999</v>
      </c>
      <c r="O3037" s="13">
        <v>83</v>
      </c>
      <c r="P3037" s="13" t="s">
        <v>30</v>
      </c>
      <c r="Q3037" s="13">
        <v>0</v>
      </c>
      <c r="R3037" s="70">
        <f>L3037*O3037</f>
        <v>3730.02</v>
      </c>
      <c r="S3037" s="70">
        <v>38</v>
      </c>
      <c r="T3037" s="70">
        <f>L3037*S3037</f>
        <v>1707.7199999999998</v>
      </c>
      <c r="U3037" s="70">
        <f>R3037-T3037</f>
        <v>2022.3000000000002</v>
      </c>
      <c r="V3037" s="70">
        <f>U3037*1</f>
        <v>2022.3000000000002</v>
      </c>
      <c r="W3037" s="70">
        <f>U3037-V3037</f>
        <v>0</v>
      </c>
      <c r="X3037" s="70">
        <f>L3037*37</f>
        <v>1662.78</v>
      </c>
      <c r="Y3037" s="71">
        <f>+T3037-X3037</f>
        <v>44.939999999999827</v>
      </c>
      <c r="Z3037" s="12" t="s">
        <v>41</v>
      </c>
      <c r="AA3037" s="12" t="s">
        <v>78</v>
      </c>
    </row>
    <row r="3038" spans="1:27" x14ac:dyDescent="0.25">
      <c r="A3038" s="10">
        <v>45702</v>
      </c>
      <c r="B3038" s="11" t="s">
        <v>1925</v>
      </c>
      <c r="C3038" s="11" t="s">
        <v>5541</v>
      </c>
      <c r="D3038" s="11">
        <v>17579</v>
      </c>
      <c r="E3038" s="11" t="s">
        <v>651</v>
      </c>
      <c r="F3038" s="11" t="s">
        <v>26</v>
      </c>
      <c r="G3038" s="11" t="s">
        <v>35</v>
      </c>
      <c r="H3038" s="12" t="s">
        <v>36</v>
      </c>
      <c r="I3038" s="12" t="s">
        <v>55</v>
      </c>
      <c r="J3038" s="12" t="s">
        <v>55</v>
      </c>
      <c r="K3038" s="12" t="s">
        <v>56</v>
      </c>
      <c r="L3038" s="13">
        <v>36.200000000000003</v>
      </c>
      <c r="M3038" s="13">
        <v>22</v>
      </c>
      <c r="N3038" s="13">
        <f t="shared" si="893"/>
        <v>1.6454545454545455</v>
      </c>
      <c r="O3038" s="13">
        <v>20</v>
      </c>
      <c r="P3038" s="13" t="s">
        <v>30</v>
      </c>
      <c r="Q3038" s="13">
        <v>0</v>
      </c>
      <c r="R3038" s="70">
        <f>(L3038*O3038)-Q3038</f>
        <v>724</v>
      </c>
      <c r="S3038" s="70">
        <v>0</v>
      </c>
      <c r="T3038" s="70">
        <f t="shared" ref="T3038" si="923">+L3038*S3038</f>
        <v>0</v>
      </c>
      <c r="U3038" s="70">
        <f t="shared" ref="U3038" si="924">+R3038-T3038</f>
        <v>724</v>
      </c>
      <c r="V3038" s="70">
        <f t="shared" ref="V3038:V3039" si="925">+U3038*0</f>
        <v>0</v>
      </c>
      <c r="W3038" s="70">
        <f t="shared" ref="W3038" si="926">+U3038-V3038</f>
        <v>724</v>
      </c>
      <c r="X3038" s="70">
        <v>0</v>
      </c>
      <c r="Y3038" s="14">
        <f t="shared" ref="Y3038:Y3069" si="927">T3038-X3038</f>
        <v>0</v>
      </c>
      <c r="Z3038" s="11" t="s">
        <v>26</v>
      </c>
      <c r="AA3038" s="12" t="s">
        <v>31</v>
      </c>
    </row>
    <row r="3039" spans="1:27" x14ac:dyDescent="0.25">
      <c r="A3039" s="10">
        <v>45702</v>
      </c>
      <c r="B3039" s="11" t="s">
        <v>5542</v>
      </c>
      <c r="C3039" s="11" t="s">
        <v>5543</v>
      </c>
      <c r="D3039" s="11">
        <v>17580</v>
      </c>
      <c r="E3039" s="11" t="s">
        <v>63</v>
      </c>
      <c r="F3039" s="11" t="s">
        <v>26</v>
      </c>
      <c r="G3039" s="11">
        <v>10193</v>
      </c>
      <c r="H3039" s="12" t="s">
        <v>140</v>
      </c>
      <c r="I3039" s="12" t="s">
        <v>27</v>
      </c>
      <c r="J3039" s="12" t="s">
        <v>42</v>
      </c>
      <c r="K3039" s="12" t="s">
        <v>43</v>
      </c>
      <c r="L3039" s="13">
        <v>44.44</v>
      </c>
      <c r="M3039" s="13">
        <v>25</v>
      </c>
      <c r="N3039" s="13">
        <f t="shared" si="893"/>
        <v>1.7775999999999998</v>
      </c>
      <c r="O3039" s="13">
        <v>35</v>
      </c>
      <c r="P3039" s="13"/>
      <c r="Q3039" s="13">
        <v>0</v>
      </c>
      <c r="R3039" s="70">
        <f>+L3039*O3039</f>
        <v>1555.3999999999999</v>
      </c>
      <c r="S3039" s="70">
        <v>0</v>
      </c>
      <c r="T3039" s="70">
        <f>+L3039*S3039</f>
        <v>0</v>
      </c>
      <c r="U3039" s="70">
        <f>+R3039-T3039</f>
        <v>1555.3999999999999</v>
      </c>
      <c r="V3039" s="70">
        <f t="shared" si="925"/>
        <v>0</v>
      </c>
      <c r="W3039" s="70">
        <f>+U3039-V3039</f>
        <v>1555.3999999999999</v>
      </c>
      <c r="X3039" s="70">
        <v>0</v>
      </c>
      <c r="Y3039" s="14">
        <f t="shared" si="927"/>
        <v>0</v>
      </c>
      <c r="Z3039" s="11" t="s">
        <v>26</v>
      </c>
      <c r="AA3039" s="12" t="s">
        <v>31</v>
      </c>
    </row>
    <row r="3040" spans="1:27" x14ac:dyDescent="0.25">
      <c r="A3040" s="10">
        <v>45702</v>
      </c>
      <c r="B3040" s="11" t="s">
        <v>663</v>
      </c>
      <c r="C3040" s="11" t="s">
        <v>5544</v>
      </c>
      <c r="D3040" s="11">
        <v>17581</v>
      </c>
      <c r="E3040" s="11" t="s">
        <v>180</v>
      </c>
      <c r="F3040" s="11" t="s">
        <v>26</v>
      </c>
      <c r="G3040" s="11" t="s">
        <v>35</v>
      </c>
      <c r="H3040" s="12" t="s">
        <v>36</v>
      </c>
      <c r="I3040" s="12" t="s">
        <v>27</v>
      </c>
      <c r="J3040" s="12" t="s">
        <v>42</v>
      </c>
      <c r="K3040" s="12" t="s">
        <v>43</v>
      </c>
      <c r="L3040" s="13">
        <v>16.600000000000001</v>
      </c>
      <c r="M3040" s="13">
        <v>10</v>
      </c>
      <c r="N3040" s="13">
        <f t="shared" si="893"/>
        <v>1.6600000000000001</v>
      </c>
      <c r="O3040" s="13">
        <v>45</v>
      </c>
      <c r="P3040" s="13" t="s">
        <v>30</v>
      </c>
      <c r="Q3040" s="13">
        <v>0</v>
      </c>
      <c r="R3040" s="70">
        <f>(L3040*O3040)-Q3040</f>
        <v>747.00000000000011</v>
      </c>
      <c r="S3040" s="70">
        <v>0</v>
      </c>
      <c r="T3040" s="70">
        <f t="shared" ref="T3040" si="928">+L3040*S3040</f>
        <v>0</v>
      </c>
      <c r="U3040" s="70">
        <f t="shared" ref="U3040:U3041" si="929">+R3040-T3040</f>
        <v>747.00000000000011</v>
      </c>
      <c r="V3040" s="70">
        <f>+U3040*0</f>
        <v>0</v>
      </c>
      <c r="W3040" s="70">
        <f t="shared" ref="W3040:W3041" si="930">+U3040-V3040</f>
        <v>747.00000000000011</v>
      </c>
      <c r="X3040" s="70">
        <v>0</v>
      </c>
      <c r="Y3040" s="14">
        <f t="shared" si="927"/>
        <v>0</v>
      </c>
      <c r="Z3040" s="11" t="s">
        <v>26</v>
      </c>
      <c r="AA3040" s="12" t="s">
        <v>31</v>
      </c>
    </row>
    <row r="3041" spans="1:27" x14ac:dyDescent="0.25">
      <c r="A3041" s="10">
        <v>45702</v>
      </c>
      <c r="B3041" s="11" t="s">
        <v>5545</v>
      </c>
      <c r="C3041" s="11" t="s">
        <v>5546</v>
      </c>
      <c r="D3041" s="11">
        <v>17582</v>
      </c>
      <c r="E3041" s="11" t="s">
        <v>224</v>
      </c>
      <c r="F3041" s="11" t="s">
        <v>26</v>
      </c>
      <c r="G3041" s="11">
        <v>3217</v>
      </c>
      <c r="H3041" s="12" t="s">
        <v>4423</v>
      </c>
      <c r="I3041" s="12" t="s">
        <v>27</v>
      </c>
      <c r="J3041" s="12" t="s">
        <v>33</v>
      </c>
      <c r="K3041" s="12" t="s">
        <v>34</v>
      </c>
      <c r="L3041" s="13">
        <v>35.54</v>
      </c>
      <c r="M3041" s="13">
        <v>25</v>
      </c>
      <c r="N3041" s="13">
        <f t="shared" si="893"/>
        <v>1.4216</v>
      </c>
      <c r="O3041" s="13">
        <v>45</v>
      </c>
      <c r="P3041" s="13" t="s">
        <v>30</v>
      </c>
      <c r="Q3041" s="13">
        <v>0</v>
      </c>
      <c r="R3041" s="70">
        <f>+L3041*O3041</f>
        <v>1599.3</v>
      </c>
      <c r="S3041" s="70">
        <v>0</v>
      </c>
      <c r="T3041" s="70">
        <f>+L3041*S3041</f>
        <v>0</v>
      </c>
      <c r="U3041" s="70">
        <f t="shared" si="929"/>
        <v>1599.3</v>
      </c>
      <c r="V3041" s="70">
        <f>+U3041*1</f>
        <v>1599.3</v>
      </c>
      <c r="W3041" s="70">
        <f t="shared" si="930"/>
        <v>0</v>
      </c>
      <c r="X3041" s="70">
        <v>0</v>
      </c>
      <c r="Y3041" s="14">
        <f t="shared" si="927"/>
        <v>0</v>
      </c>
      <c r="Z3041" s="11" t="s">
        <v>26</v>
      </c>
      <c r="AA3041" s="12" t="s">
        <v>31</v>
      </c>
    </row>
    <row r="3042" spans="1:27" x14ac:dyDescent="0.25">
      <c r="A3042" s="10">
        <v>45702</v>
      </c>
      <c r="B3042" s="11" t="s">
        <v>5547</v>
      </c>
      <c r="C3042" s="11" t="s">
        <v>5548</v>
      </c>
      <c r="D3042" s="11">
        <v>17583</v>
      </c>
      <c r="E3042" s="11" t="s">
        <v>435</v>
      </c>
      <c r="F3042" s="11" t="s">
        <v>26</v>
      </c>
      <c r="G3042" s="11">
        <v>2782</v>
      </c>
      <c r="H3042" s="12" t="s">
        <v>41</v>
      </c>
      <c r="I3042" s="12" t="s">
        <v>55</v>
      </c>
      <c r="J3042" s="12" t="s">
        <v>566</v>
      </c>
      <c r="K3042" s="12" t="s">
        <v>550</v>
      </c>
      <c r="L3042" s="13">
        <v>40.46</v>
      </c>
      <c r="M3042" s="13">
        <v>25</v>
      </c>
      <c r="N3042" s="13">
        <f t="shared" si="893"/>
        <v>1.6184000000000001</v>
      </c>
      <c r="O3042" s="13">
        <v>25</v>
      </c>
      <c r="P3042" s="13"/>
      <c r="Q3042" s="13">
        <v>0</v>
      </c>
      <c r="R3042" s="70">
        <f>L3042*O3042</f>
        <v>1011.5</v>
      </c>
      <c r="S3042" s="70">
        <v>0</v>
      </c>
      <c r="T3042" s="70">
        <f t="shared" ref="T3042" si="931">L3042*S3042</f>
        <v>0</v>
      </c>
      <c r="U3042" s="70">
        <f>R3042-T3042</f>
        <v>1011.5</v>
      </c>
      <c r="V3042" s="70">
        <f>U3042*0</f>
        <v>0</v>
      </c>
      <c r="W3042" s="70">
        <f>U3042-V3042</f>
        <v>1011.5</v>
      </c>
      <c r="X3042" s="70">
        <v>0</v>
      </c>
      <c r="Y3042" s="14">
        <f t="shared" si="927"/>
        <v>0</v>
      </c>
      <c r="Z3042" s="11" t="s">
        <v>26</v>
      </c>
      <c r="AA3042" s="12" t="s">
        <v>31</v>
      </c>
    </row>
    <row r="3043" spans="1:27" x14ac:dyDescent="0.25">
      <c r="A3043" s="10">
        <v>45702</v>
      </c>
      <c r="B3043" s="11" t="s">
        <v>5549</v>
      </c>
      <c r="C3043" s="11" t="s">
        <v>5550</v>
      </c>
      <c r="D3043" s="11">
        <v>17584</v>
      </c>
      <c r="E3043" s="11" t="s">
        <v>2109</v>
      </c>
      <c r="F3043" s="11" t="s">
        <v>26</v>
      </c>
      <c r="G3043" s="11">
        <v>10626</v>
      </c>
      <c r="H3043" s="12" t="s">
        <v>140</v>
      </c>
      <c r="I3043" s="12" t="s">
        <v>27</v>
      </c>
      <c r="J3043" s="12" t="s">
        <v>42</v>
      </c>
      <c r="K3043" s="12" t="s">
        <v>43</v>
      </c>
      <c r="L3043" s="13">
        <v>46.14</v>
      </c>
      <c r="M3043" s="13">
        <v>29</v>
      </c>
      <c r="N3043" s="13">
        <f t="shared" si="893"/>
        <v>1.5910344827586207</v>
      </c>
      <c r="O3043" s="13">
        <v>35</v>
      </c>
      <c r="P3043" s="13"/>
      <c r="Q3043" s="13">
        <v>0</v>
      </c>
      <c r="R3043" s="70">
        <f>+L3043*O3043</f>
        <v>1614.9</v>
      </c>
      <c r="S3043" s="70">
        <v>0</v>
      </c>
      <c r="T3043" s="70">
        <f>+L3043*S3043</f>
        <v>0</v>
      </c>
      <c r="U3043" s="70">
        <f>+R3043-T3043</f>
        <v>1614.9</v>
      </c>
      <c r="V3043" s="70">
        <f t="shared" ref="V3043" si="932">+U3043*0</f>
        <v>0</v>
      </c>
      <c r="W3043" s="70">
        <f>+U3043-V3043</f>
        <v>1614.9</v>
      </c>
      <c r="X3043" s="70">
        <v>0</v>
      </c>
      <c r="Y3043" s="14">
        <f t="shared" si="927"/>
        <v>0</v>
      </c>
      <c r="Z3043" s="11" t="s">
        <v>26</v>
      </c>
      <c r="AA3043" s="12" t="s">
        <v>31</v>
      </c>
    </row>
    <row r="3044" spans="1:27" x14ac:dyDescent="0.25">
      <c r="A3044" s="10">
        <v>45702</v>
      </c>
      <c r="B3044" s="11" t="s">
        <v>5551</v>
      </c>
      <c r="C3044" s="11" t="s">
        <v>5552</v>
      </c>
      <c r="D3044" s="11">
        <v>17585</v>
      </c>
      <c r="E3044" s="11" t="s">
        <v>322</v>
      </c>
      <c r="F3044" s="11" t="s">
        <v>26</v>
      </c>
      <c r="G3044" s="11">
        <v>112864</v>
      </c>
      <c r="H3044" s="12" t="s">
        <v>4446</v>
      </c>
      <c r="I3044" s="12" t="s">
        <v>27</v>
      </c>
      <c r="J3044" s="12" t="s">
        <v>33</v>
      </c>
      <c r="K3044" s="12" t="s">
        <v>34</v>
      </c>
      <c r="L3044" s="13">
        <v>36</v>
      </c>
      <c r="M3044" s="13">
        <v>25</v>
      </c>
      <c r="N3044" s="13">
        <f t="shared" si="893"/>
        <v>1.44</v>
      </c>
      <c r="O3044" s="13">
        <v>44</v>
      </c>
      <c r="P3044" s="13" t="s">
        <v>30</v>
      </c>
      <c r="Q3044" s="13">
        <v>0</v>
      </c>
      <c r="R3044" s="70">
        <f t="shared" ref="R3044" si="933">+L3044*O3044</f>
        <v>1584</v>
      </c>
      <c r="S3044" s="70">
        <v>0</v>
      </c>
      <c r="T3044" s="70">
        <f>+L3044*S3044</f>
        <v>0</v>
      </c>
      <c r="U3044" s="70">
        <f>+R3044-T3044</f>
        <v>1584</v>
      </c>
      <c r="V3044" s="70">
        <f>+U3044*1</f>
        <v>1584</v>
      </c>
      <c r="W3044" s="70">
        <f>+U3044-V3044</f>
        <v>0</v>
      </c>
      <c r="X3044" s="70">
        <v>0</v>
      </c>
      <c r="Y3044" s="14">
        <f t="shared" si="927"/>
        <v>0</v>
      </c>
      <c r="Z3044" s="11" t="s">
        <v>26</v>
      </c>
      <c r="AA3044" s="12" t="s">
        <v>31</v>
      </c>
    </row>
    <row r="3045" spans="1:27" x14ac:dyDescent="0.25">
      <c r="A3045" s="10">
        <v>45702</v>
      </c>
      <c r="B3045" s="11" t="s">
        <v>5553</v>
      </c>
      <c r="C3045" s="11" t="s">
        <v>5554</v>
      </c>
      <c r="D3045" s="11">
        <v>17586</v>
      </c>
      <c r="E3045" s="11" t="s">
        <v>40</v>
      </c>
      <c r="F3045" s="11" t="s">
        <v>26</v>
      </c>
      <c r="G3045" s="11">
        <v>3271</v>
      </c>
      <c r="H3045" s="12" t="s">
        <v>41</v>
      </c>
      <c r="I3045" s="12" t="s">
        <v>55</v>
      </c>
      <c r="J3045" s="12" t="s">
        <v>566</v>
      </c>
      <c r="K3045" s="12" t="s">
        <v>550</v>
      </c>
      <c r="L3045" s="13">
        <v>39.68</v>
      </c>
      <c r="M3045" s="13">
        <v>25</v>
      </c>
      <c r="N3045" s="13">
        <f t="shared" si="893"/>
        <v>1.5871999999999999</v>
      </c>
      <c r="O3045" s="13">
        <v>25</v>
      </c>
      <c r="P3045" s="13"/>
      <c r="Q3045" s="13">
        <v>0</v>
      </c>
      <c r="R3045" s="70">
        <f>L3045*O3045</f>
        <v>992</v>
      </c>
      <c r="S3045" s="70">
        <v>0</v>
      </c>
      <c r="T3045" s="70">
        <f t="shared" ref="T3045" si="934">L3045*S3045</f>
        <v>0</v>
      </c>
      <c r="U3045" s="70">
        <f>R3045-T3045</f>
        <v>992</v>
      </c>
      <c r="V3045" s="70">
        <f>U3045*0</f>
        <v>0</v>
      </c>
      <c r="W3045" s="70">
        <f>U3045-V3045</f>
        <v>992</v>
      </c>
      <c r="X3045" s="70">
        <v>0</v>
      </c>
      <c r="Y3045" s="14">
        <f t="shared" si="927"/>
        <v>0</v>
      </c>
      <c r="Z3045" s="11" t="s">
        <v>26</v>
      </c>
      <c r="AA3045" s="12" t="s">
        <v>31</v>
      </c>
    </row>
    <row r="3046" spans="1:27" x14ac:dyDescent="0.25">
      <c r="A3046" s="10">
        <v>45702</v>
      </c>
      <c r="B3046" s="11" t="s">
        <v>5555</v>
      </c>
      <c r="C3046" s="11" t="s">
        <v>5556</v>
      </c>
      <c r="D3046" s="11">
        <v>17587</v>
      </c>
      <c r="E3046" s="11" t="s">
        <v>68</v>
      </c>
      <c r="F3046" s="11" t="s">
        <v>26</v>
      </c>
      <c r="G3046" s="11">
        <v>76369</v>
      </c>
      <c r="H3046" s="12" t="s">
        <v>4448</v>
      </c>
      <c r="I3046" s="12" t="s">
        <v>27</v>
      </c>
      <c r="J3046" s="12" t="s">
        <v>42</v>
      </c>
      <c r="K3046" s="12" t="s">
        <v>43</v>
      </c>
      <c r="L3046" s="13">
        <v>44.92</v>
      </c>
      <c r="M3046" s="13">
        <v>25</v>
      </c>
      <c r="N3046" s="13">
        <f t="shared" si="893"/>
        <v>1.7968000000000002</v>
      </c>
      <c r="O3046" s="13">
        <v>42.5</v>
      </c>
      <c r="P3046" s="13"/>
      <c r="Q3046" s="13">
        <v>0</v>
      </c>
      <c r="R3046" s="70">
        <f>+L3046*O3046</f>
        <v>1909.1000000000001</v>
      </c>
      <c r="S3046" s="70">
        <v>0</v>
      </c>
      <c r="T3046" s="70">
        <f>+L3046*S3046</f>
        <v>0</v>
      </c>
      <c r="U3046" s="70">
        <f>+R3046-T3046</f>
        <v>1909.1000000000001</v>
      </c>
      <c r="V3046" s="70">
        <f>+U3046*0.75</f>
        <v>1431.825</v>
      </c>
      <c r="W3046" s="70">
        <f>+U3046-V3046</f>
        <v>477.27500000000009</v>
      </c>
      <c r="X3046" s="70">
        <v>0</v>
      </c>
      <c r="Y3046" s="14">
        <f t="shared" si="927"/>
        <v>0</v>
      </c>
      <c r="Z3046" s="11" t="s">
        <v>26</v>
      </c>
      <c r="AA3046" s="12" t="s">
        <v>31</v>
      </c>
    </row>
    <row r="3047" spans="1:27" x14ac:dyDescent="0.25">
      <c r="A3047" s="10">
        <v>45702</v>
      </c>
      <c r="B3047" s="11" t="s">
        <v>4106</v>
      </c>
      <c r="C3047" s="11" t="s">
        <v>5557</v>
      </c>
      <c r="D3047" s="11">
        <v>17588</v>
      </c>
      <c r="E3047" s="11" t="s">
        <v>440</v>
      </c>
      <c r="F3047" s="11" t="s">
        <v>26</v>
      </c>
      <c r="G3047" s="11" t="s">
        <v>35</v>
      </c>
      <c r="H3047" s="12" t="s">
        <v>36</v>
      </c>
      <c r="I3047" s="12" t="s">
        <v>55</v>
      </c>
      <c r="J3047" s="12" t="s">
        <v>55</v>
      </c>
      <c r="K3047" s="12" t="s">
        <v>56</v>
      </c>
      <c r="L3047" s="13">
        <v>34.96</v>
      </c>
      <c r="M3047" s="13">
        <v>22</v>
      </c>
      <c r="N3047" s="13">
        <f t="shared" si="893"/>
        <v>1.5890909090909091</v>
      </c>
      <c r="O3047" s="13">
        <v>20</v>
      </c>
      <c r="P3047" s="13" t="s">
        <v>30</v>
      </c>
      <c r="Q3047" s="13">
        <v>0</v>
      </c>
      <c r="R3047" s="70">
        <f>(L3047*O3047)-Q3047</f>
        <v>699.2</v>
      </c>
      <c r="S3047" s="70">
        <v>0</v>
      </c>
      <c r="T3047" s="70">
        <f t="shared" ref="T3047" si="935">+L3047*S3047</f>
        <v>0</v>
      </c>
      <c r="U3047" s="70">
        <f t="shared" ref="U3047" si="936">+R3047-T3047</f>
        <v>699.2</v>
      </c>
      <c r="V3047" s="70">
        <f t="shared" ref="V3047" si="937">+U3047*0</f>
        <v>0</v>
      </c>
      <c r="W3047" s="70">
        <f t="shared" ref="W3047" si="938">+U3047-V3047</f>
        <v>699.2</v>
      </c>
      <c r="X3047" s="70">
        <v>0</v>
      </c>
      <c r="Y3047" s="14">
        <f t="shared" si="927"/>
        <v>0</v>
      </c>
      <c r="Z3047" s="11" t="s">
        <v>26</v>
      </c>
      <c r="AA3047" s="12" t="s">
        <v>31</v>
      </c>
    </row>
    <row r="3048" spans="1:27" x14ac:dyDescent="0.25">
      <c r="A3048" s="10">
        <v>45702</v>
      </c>
      <c r="B3048" s="11" t="s">
        <v>475</v>
      </c>
      <c r="C3048" s="11" t="s">
        <v>5558</v>
      </c>
      <c r="D3048" s="11">
        <v>17589</v>
      </c>
      <c r="E3048" s="11" t="s">
        <v>240</v>
      </c>
      <c r="F3048" s="11" t="s">
        <v>26</v>
      </c>
      <c r="G3048" s="11">
        <v>3003</v>
      </c>
      <c r="H3048" s="12" t="s">
        <v>41</v>
      </c>
      <c r="I3048" s="12" t="s">
        <v>55</v>
      </c>
      <c r="J3048" s="12" t="s">
        <v>566</v>
      </c>
      <c r="K3048" s="12" t="s">
        <v>550</v>
      </c>
      <c r="L3048" s="13">
        <v>38.42</v>
      </c>
      <c r="M3048" s="13">
        <v>24</v>
      </c>
      <c r="N3048" s="13">
        <f t="shared" si="893"/>
        <v>1.6008333333333333</v>
      </c>
      <c r="O3048" s="13">
        <v>25</v>
      </c>
      <c r="P3048" s="13"/>
      <c r="Q3048" s="13">
        <v>0</v>
      </c>
      <c r="R3048" s="70">
        <f>L3048*O3048</f>
        <v>960.5</v>
      </c>
      <c r="S3048" s="70">
        <v>0</v>
      </c>
      <c r="T3048" s="70">
        <f t="shared" ref="T3048" si="939">L3048*S3048</f>
        <v>0</v>
      </c>
      <c r="U3048" s="70">
        <f>R3048-T3048</f>
        <v>960.5</v>
      </c>
      <c r="V3048" s="70">
        <f>U3048*0</f>
        <v>0</v>
      </c>
      <c r="W3048" s="70">
        <f>U3048-V3048</f>
        <v>960.5</v>
      </c>
      <c r="X3048" s="70">
        <v>0</v>
      </c>
      <c r="Y3048" s="14">
        <f t="shared" si="927"/>
        <v>0</v>
      </c>
      <c r="Z3048" s="11" t="s">
        <v>26</v>
      </c>
      <c r="AA3048" s="12" t="s">
        <v>31</v>
      </c>
    </row>
    <row r="3049" spans="1:27" x14ac:dyDescent="0.25">
      <c r="A3049" s="10">
        <v>45702</v>
      </c>
      <c r="B3049" s="11" t="s">
        <v>328</v>
      </c>
      <c r="C3049" s="11" t="s">
        <v>5559</v>
      </c>
      <c r="D3049" s="11">
        <v>17590</v>
      </c>
      <c r="E3049" s="11" t="s">
        <v>91</v>
      </c>
      <c r="F3049" s="11" t="s">
        <v>26</v>
      </c>
      <c r="G3049" s="11">
        <v>2473</v>
      </c>
      <c r="H3049" s="12" t="s">
        <v>41</v>
      </c>
      <c r="I3049" s="12" t="s">
        <v>55</v>
      </c>
      <c r="J3049" s="12" t="s">
        <v>55</v>
      </c>
      <c r="K3049" s="12" t="s">
        <v>56</v>
      </c>
      <c r="L3049" s="13">
        <v>32.64</v>
      </c>
      <c r="M3049" s="13">
        <v>19</v>
      </c>
      <c r="N3049" s="13">
        <f t="shared" si="893"/>
        <v>1.7178947368421054</v>
      </c>
      <c r="O3049" s="13" t="s">
        <v>30</v>
      </c>
      <c r="P3049" s="13">
        <v>24</v>
      </c>
      <c r="Q3049" s="13">
        <v>0</v>
      </c>
      <c r="R3049" s="70">
        <f>+M3049*P3049</f>
        <v>456</v>
      </c>
      <c r="S3049" s="70">
        <v>0</v>
      </c>
      <c r="T3049" s="70">
        <f>+M3049*S3049</f>
        <v>0</v>
      </c>
      <c r="U3049" s="70">
        <f t="shared" ref="U3049:U3050" si="940">+R3049-T3049</f>
        <v>456</v>
      </c>
      <c r="V3049" s="70">
        <f>+U3049*0</f>
        <v>0</v>
      </c>
      <c r="W3049" s="70">
        <f t="shared" ref="W3049:W3050" si="941">+U3049-V3049</f>
        <v>456</v>
      </c>
      <c r="X3049" s="70">
        <v>0</v>
      </c>
      <c r="Y3049" s="14">
        <f t="shared" si="927"/>
        <v>0</v>
      </c>
      <c r="Z3049" s="11" t="s">
        <v>26</v>
      </c>
      <c r="AA3049" s="12" t="s">
        <v>31</v>
      </c>
    </row>
    <row r="3050" spans="1:27" x14ac:dyDescent="0.25">
      <c r="A3050" s="10">
        <v>45702</v>
      </c>
      <c r="B3050" s="11" t="s">
        <v>5560</v>
      </c>
      <c r="C3050" s="11" t="s">
        <v>5561</v>
      </c>
      <c r="D3050" s="11">
        <v>17591</v>
      </c>
      <c r="E3050" s="11" t="s">
        <v>5209</v>
      </c>
      <c r="F3050" s="11" t="s">
        <v>26</v>
      </c>
      <c r="G3050" s="11" t="s">
        <v>35</v>
      </c>
      <c r="H3050" s="12" t="s">
        <v>36</v>
      </c>
      <c r="I3050" s="12" t="s">
        <v>37</v>
      </c>
      <c r="J3050" s="12" t="s">
        <v>85</v>
      </c>
      <c r="K3050" s="12" t="s">
        <v>86</v>
      </c>
      <c r="L3050" s="13">
        <v>15.42</v>
      </c>
      <c r="M3050" s="13">
        <v>9</v>
      </c>
      <c r="N3050" s="13">
        <f t="shared" si="893"/>
        <v>1.7133333333333334</v>
      </c>
      <c r="O3050" s="13">
        <v>37</v>
      </c>
      <c r="P3050" s="13" t="s">
        <v>30</v>
      </c>
      <c r="Q3050" s="13">
        <v>0</v>
      </c>
      <c r="R3050" s="70">
        <f>(L3050*O3050)-Q3050</f>
        <v>570.54</v>
      </c>
      <c r="S3050" s="70">
        <v>0</v>
      </c>
      <c r="T3050" s="70">
        <f t="shared" ref="T3050" si="942">+L3050*S3050</f>
        <v>0</v>
      </c>
      <c r="U3050" s="70">
        <f t="shared" si="940"/>
        <v>570.54</v>
      </c>
      <c r="V3050" s="70">
        <f>+U3050*0</f>
        <v>0</v>
      </c>
      <c r="W3050" s="70">
        <f t="shared" si="941"/>
        <v>570.54</v>
      </c>
      <c r="X3050" s="70">
        <v>0</v>
      </c>
      <c r="Y3050" s="14">
        <f t="shared" si="927"/>
        <v>0</v>
      </c>
      <c r="Z3050" s="11" t="s">
        <v>26</v>
      </c>
      <c r="AA3050" s="12" t="s">
        <v>31</v>
      </c>
    </row>
    <row r="3051" spans="1:27" x14ac:dyDescent="0.25">
      <c r="A3051" s="10">
        <v>45702</v>
      </c>
      <c r="B3051" s="11" t="s">
        <v>1748</v>
      </c>
      <c r="C3051" s="11" t="s">
        <v>5562</v>
      </c>
      <c r="D3051" s="11">
        <v>17592</v>
      </c>
      <c r="E3051" s="11" t="s">
        <v>525</v>
      </c>
      <c r="F3051" s="11" t="s">
        <v>26</v>
      </c>
      <c r="G3051" s="11">
        <v>78551</v>
      </c>
      <c r="H3051" s="12" t="s">
        <v>4448</v>
      </c>
      <c r="I3051" s="12" t="s">
        <v>27</v>
      </c>
      <c r="J3051" s="12" t="s">
        <v>42</v>
      </c>
      <c r="K3051" s="12" t="s">
        <v>43</v>
      </c>
      <c r="L3051" s="13">
        <v>42.46</v>
      </c>
      <c r="M3051" s="13">
        <v>25</v>
      </c>
      <c r="N3051" s="13">
        <f t="shared" si="893"/>
        <v>1.6984000000000001</v>
      </c>
      <c r="O3051" s="13">
        <v>42.5</v>
      </c>
      <c r="P3051" s="13"/>
      <c r="Q3051" s="13">
        <v>0</v>
      </c>
      <c r="R3051" s="70">
        <f>+L3051*O3051</f>
        <v>1804.55</v>
      </c>
      <c r="S3051" s="70">
        <v>0</v>
      </c>
      <c r="T3051" s="70">
        <f>+L3051*S3051</f>
        <v>0</v>
      </c>
      <c r="U3051" s="70">
        <f>+R3051-T3051</f>
        <v>1804.55</v>
      </c>
      <c r="V3051" s="70">
        <f>+U3051*0.75</f>
        <v>1353.4124999999999</v>
      </c>
      <c r="W3051" s="70">
        <f>+U3051-V3051</f>
        <v>451.13750000000005</v>
      </c>
      <c r="X3051" s="70">
        <v>0</v>
      </c>
      <c r="Y3051" s="14">
        <f t="shared" si="927"/>
        <v>0</v>
      </c>
      <c r="Z3051" s="11" t="s">
        <v>26</v>
      </c>
      <c r="AA3051" s="12" t="s">
        <v>31</v>
      </c>
    </row>
    <row r="3052" spans="1:27" x14ac:dyDescent="0.25">
      <c r="A3052" s="10">
        <v>45702</v>
      </c>
      <c r="B3052" s="11" t="s">
        <v>2549</v>
      </c>
      <c r="C3052" s="11" t="s">
        <v>5563</v>
      </c>
      <c r="D3052" s="11">
        <v>17593</v>
      </c>
      <c r="E3052" s="11" t="s">
        <v>486</v>
      </c>
      <c r="F3052" s="11" t="s">
        <v>26</v>
      </c>
      <c r="G3052" s="11">
        <v>78004</v>
      </c>
      <c r="H3052" s="12" t="s">
        <v>4448</v>
      </c>
      <c r="I3052" s="12" t="s">
        <v>27</v>
      </c>
      <c r="J3052" s="12" t="s">
        <v>42</v>
      </c>
      <c r="K3052" s="12" t="s">
        <v>43</v>
      </c>
      <c r="L3052" s="13">
        <v>45.28</v>
      </c>
      <c r="M3052" s="13">
        <v>28</v>
      </c>
      <c r="N3052" s="13">
        <f t="shared" si="893"/>
        <v>1.6171428571428572</v>
      </c>
      <c r="O3052" s="13">
        <v>42.5</v>
      </c>
      <c r="P3052" s="13"/>
      <c r="Q3052" s="13">
        <v>0</v>
      </c>
      <c r="R3052" s="70">
        <f>+L3052*O3052</f>
        <v>1924.4</v>
      </c>
      <c r="S3052" s="70">
        <v>0</v>
      </c>
      <c r="T3052" s="70">
        <f>+L3052*S3052</f>
        <v>0</v>
      </c>
      <c r="U3052" s="70">
        <f>+R3052-T3052</f>
        <v>1924.4</v>
      </c>
      <c r="V3052" s="70">
        <f>+U3052*0.75</f>
        <v>1443.3000000000002</v>
      </c>
      <c r="W3052" s="70">
        <f>+U3052-V3052</f>
        <v>481.09999999999991</v>
      </c>
      <c r="X3052" s="70">
        <v>0</v>
      </c>
      <c r="Y3052" s="14">
        <f t="shared" si="927"/>
        <v>0</v>
      </c>
      <c r="Z3052" s="11" t="s">
        <v>26</v>
      </c>
      <c r="AA3052" s="12" t="s">
        <v>31</v>
      </c>
    </row>
    <row r="3053" spans="1:27" x14ac:dyDescent="0.25">
      <c r="A3053" s="10">
        <v>45702</v>
      </c>
      <c r="B3053" s="11" t="s">
        <v>1790</v>
      </c>
      <c r="C3053" s="11" t="s">
        <v>5564</v>
      </c>
      <c r="D3053" s="11">
        <v>17594</v>
      </c>
      <c r="E3053" s="11" t="s">
        <v>552</v>
      </c>
      <c r="F3053" s="11" t="s">
        <v>26</v>
      </c>
      <c r="G3053" s="11">
        <v>44170</v>
      </c>
      <c r="H3053" s="12" t="s">
        <v>4423</v>
      </c>
      <c r="I3053" s="12" t="s">
        <v>27</v>
      </c>
      <c r="J3053" s="12" t="s">
        <v>42</v>
      </c>
      <c r="K3053" s="12" t="s">
        <v>43</v>
      </c>
      <c r="L3053" s="13">
        <v>34.08</v>
      </c>
      <c r="M3053" s="13">
        <v>25</v>
      </c>
      <c r="N3053" s="13">
        <f t="shared" si="893"/>
        <v>1.3632</v>
      </c>
      <c r="O3053" s="13">
        <v>42</v>
      </c>
      <c r="P3053" s="13" t="s">
        <v>30</v>
      </c>
      <c r="Q3053" s="13">
        <v>0</v>
      </c>
      <c r="R3053" s="70">
        <f t="shared" ref="R3053" si="943">+L3053*O3053</f>
        <v>1431.36</v>
      </c>
      <c r="S3053" s="70">
        <v>0</v>
      </c>
      <c r="T3053" s="70">
        <f t="shared" ref="T3053" si="944">+L3053*S3053</f>
        <v>0</v>
      </c>
      <c r="U3053" s="70">
        <f t="shared" ref="U3053" si="945">+R3053-T3053</f>
        <v>1431.36</v>
      </c>
      <c r="V3053" s="70">
        <f>+U3053*1</f>
        <v>1431.36</v>
      </c>
      <c r="W3053" s="70">
        <f t="shared" ref="W3053" si="946">+U3053-V3053</f>
        <v>0</v>
      </c>
      <c r="X3053" s="70">
        <v>0</v>
      </c>
      <c r="Y3053" s="14">
        <f t="shared" si="927"/>
        <v>0</v>
      </c>
      <c r="Z3053" s="11" t="s">
        <v>26</v>
      </c>
      <c r="AA3053" s="12" t="s">
        <v>31</v>
      </c>
    </row>
    <row r="3054" spans="1:27" x14ac:dyDescent="0.25">
      <c r="A3054" s="10">
        <v>45702</v>
      </c>
      <c r="B3054" s="11" t="s">
        <v>709</v>
      </c>
      <c r="C3054" s="11" t="s">
        <v>5565</v>
      </c>
      <c r="D3054" s="11">
        <v>17595</v>
      </c>
      <c r="E3054" s="11" t="s">
        <v>113</v>
      </c>
      <c r="F3054" s="11" t="s">
        <v>26</v>
      </c>
      <c r="G3054" s="11">
        <v>695</v>
      </c>
      <c r="H3054" s="12" t="s">
        <v>6328</v>
      </c>
      <c r="I3054" s="12" t="s">
        <v>27</v>
      </c>
      <c r="J3054" s="12" t="s">
        <v>42</v>
      </c>
      <c r="K3054" s="12" t="s">
        <v>43</v>
      </c>
      <c r="L3054" s="13">
        <v>32.08</v>
      </c>
      <c r="M3054" s="13">
        <v>20</v>
      </c>
      <c r="N3054" s="13">
        <f t="shared" si="893"/>
        <v>1.6039999999999999</v>
      </c>
      <c r="O3054" s="13">
        <v>42.5</v>
      </c>
      <c r="P3054" s="13"/>
      <c r="Q3054" s="13">
        <v>0</v>
      </c>
      <c r="R3054" s="70">
        <f>L3054*O3054</f>
        <v>1363.3999999999999</v>
      </c>
      <c r="S3054" s="70">
        <v>0</v>
      </c>
      <c r="T3054" s="70">
        <f>+L3054*S3054</f>
        <v>0</v>
      </c>
      <c r="U3054" s="70">
        <f>R3054-T3054</f>
        <v>1363.3999999999999</v>
      </c>
      <c r="V3054" s="70">
        <f>U3054*0</f>
        <v>0</v>
      </c>
      <c r="W3054" s="70">
        <f>U3054-V3054</f>
        <v>1363.3999999999999</v>
      </c>
      <c r="X3054" s="70"/>
      <c r="Y3054" s="14">
        <f t="shared" si="927"/>
        <v>0</v>
      </c>
      <c r="Z3054" s="11" t="s">
        <v>26</v>
      </c>
      <c r="AA3054" s="12" t="s">
        <v>31</v>
      </c>
    </row>
    <row r="3055" spans="1:27" x14ac:dyDescent="0.25">
      <c r="A3055" s="10">
        <v>45702</v>
      </c>
      <c r="B3055" s="11" t="s">
        <v>5566</v>
      </c>
      <c r="C3055" s="11" t="s">
        <v>5567</v>
      </c>
      <c r="D3055" s="11">
        <v>17596</v>
      </c>
      <c r="E3055" s="11" t="s">
        <v>2126</v>
      </c>
      <c r="F3055" s="11" t="s">
        <v>26</v>
      </c>
      <c r="G3055" s="11">
        <v>112861</v>
      </c>
      <c r="H3055" s="12" t="s">
        <v>4446</v>
      </c>
      <c r="I3055" s="12" t="s">
        <v>27</v>
      </c>
      <c r="J3055" s="12" t="s">
        <v>33</v>
      </c>
      <c r="K3055" s="12" t="s">
        <v>34</v>
      </c>
      <c r="L3055" s="13">
        <v>34.54</v>
      </c>
      <c r="M3055" s="13">
        <v>25</v>
      </c>
      <c r="N3055" s="13">
        <f t="shared" si="893"/>
        <v>1.3815999999999999</v>
      </c>
      <c r="O3055" s="13">
        <v>44</v>
      </c>
      <c r="P3055" s="13" t="s">
        <v>30</v>
      </c>
      <c r="Q3055" s="13">
        <v>0</v>
      </c>
      <c r="R3055" s="70">
        <f t="shared" ref="R3055" si="947">+L3055*O3055</f>
        <v>1519.76</v>
      </c>
      <c r="S3055" s="70">
        <v>0</v>
      </c>
      <c r="T3055" s="70">
        <f>+L3055*S3055</f>
        <v>0</v>
      </c>
      <c r="U3055" s="70">
        <f>+R3055-T3055</f>
        <v>1519.76</v>
      </c>
      <c r="V3055" s="70">
        <f>+U3055*1</f>
        <v>1519.76</v>
      </c>
      <c r="W3055" s="70">
        <f>+U3055-V3055</f>
        <v>0</v>
      </c>
      <c r="X3055" s="70">
        <v>0</v>
      </c>
      <c r="Y3055" s="14">
        <f t="shared" si="927"/>
        <v>0</v>
      </c>
      <c r="Z3055" s="11" t="s">
        <v>26</v>
      </c>
      <c r="AA3055" s="12" t="s">
        <v>31</v>
      </c>
    </row>
    <row r="3056" spans="1:27" x14ac:dyDescent="0.25">
      <c r="A3056" s="10">
        <v>45702</v>
      </c>
      <c r="B3056" s="11" t="s">
        <v>5568</v>
      </c>
      <c r="C3056" s="11" t="s">
        <v>5569</v>
      </c>
      <c r="D3056" s="11">
        <v>17597</v>
      </c>
      <c r="E3056" s="11" t="s">
        <v>570</v>
      </c>
      <c r="F3056" s="11" t="s">
        <v>26</v>
      </c>
      <c r="G3056" s="11">
        <v>10755</v>
      </c>
      <c r="H3056" s="12" t="s">
        <v>140</v>
      </c>
      <c r="I3056" s="12" t="s">
        <v>27</v>
      </c>
      <c r="J3056" s="12" t="s">
        <v>47</v>
      </c>
      <c r="K3056" s="12" t="s">
        <v>48</v>
      </c>
      <c r="L3056" s="13">
        <v>41.56</v>
      </c>
      <c r="M3056" s="13">
        <v>28</v>
      </c>
      <c r="N3056" s="13">
        <f t="shared" si="893"/>
        <v>1.4842857142857144</v>
      </c>
      <c r="O3056" s="13">
        <v>40</v>
      </c>
      <c r="P3056" s="13"/>
      <c r="Q3056" s="13">
        <v>0</v>
      </c>
      <c r="R3056" s="70">
        <f>+L3056*O3056</f>
        <v>1662.4</v>
      </c>
      <c r="S3056" s="70">
        <v>0</v>
      </c>
      <c r="T3056" s="70">
        <f>+L3056*S3056</f>
        <v>0</v>
      </c>
      <c r="U3056" s="70">
        <f>+R3056-T3056</f>
        <v>1662.4</v>
      </c>
      <c r="V3056" s="70">
        <f t="shared" ref="V3056:V3058" si="948">+U3056*0</f>
        <v>0</v>
      </c>
      <c r="W3056" s="70">
        <f>+U3056-V3056</f>
        <v>1662.4</v>
      </c>
      <c r="X3056" s="70">
        <v>0</v>
      </c>
      <c r="Y3056" s="14">
        <f t="shared" si="927"/>
        <v>0</v>
      </c>
      <c r="Z3056" s="11" t="s">
        <v>26</v>
      </c>
      <c r="AA3056" s="12" t="s">
        <v>31</v>
      </c>
    </row>
    <row r="3057" spans="1:27" x14ac:dyDescent="0.25">
      <c r="A3057" s="10">
        <v>45702</v>
      </c>
      <c r="B3057" s="11" t="s">
        <v>4189</v>
      </c>
      <c r="C3057" s="11" t="s">
        <v>5570</v>
      </c>
      <c r="D3057" s="11">
        <v>17598</v>
      </c>
      <c r="E3057" s="11" t="s">
        <v>440</v>
      </c>
      <c r="F3057" s="11" t="s">
        <v>26</v>
      </c>
      <c r="G3057" s="11" t="s">
        <v>35</v>
      </c>
      <c r="H3057" s="12" t="s">
        <v>36</v>
      </c>
      <c r="I3057" s="12" t="s">
        <v>55</v>
      </c>
      <c r="J3057" s="12" t="s">
        <v>55</v>
      </c>
      <c r="K3057" s="12" t="s">
        <v>56</v>
      </c>
      <c r="L3057" s="13">
        <v>34.64</v>
      </c>
      <c r="M3057" s="13">
        <v>22</v>
      </c>
      <c r="N3057" s="13">
        <f t="shared" si="893"/>
        <v>1.5745454545454545</v>
      </c>
      <c r="O3057" s="13">
        <v>20</v>
      </c>
      <c r="P3057" s="13" t="s">
        <v>30</v>
      </c>
      <c r="Q3057" s="13">
        <v>0</v>
      </c>
      <c r="R3057" s="70">
        <f>(L3057*O3057)-Q3057</f>
        <v>692.8</v>
      </c>
      <c r="S3057" s="70">
        <v>0</v>
      </c>
      <c r="T3057" s="70">
        <f t="shared" ref="T3057" si="949">+L3057*S3057</f>
        <v>0</v>
      </c>
      <c r="U3057" s="70">
        <f t="shared" ref="U3057" si="950">+R3057-T3057</f>
        <v>692.8</v>
      </c>
      <c r="V3057" s="70">
        <f t="shared" si="948"/>
        <v>0</v>
      </c>
      <c r="W3057" s="70">
        <f t="shared" ref="W3057" si="951">+U3057-V3057</f>
        <v>692.8</v>
      </c>
      <c r="X3057" s="70">
        <v>0</v>
      </c>
      <c r="Y3057" s="14">
        <f t="shared" si="927"/>
        <v>0</v>
      </c>
      <c r="Z3057" s="11" t="s">
        <v>26</v>
      </c>
      <c r="AA3057" s="12" t="s">
        <v>31</v>
      </c>
    </row>
    <row r="3058" spans="1:27" x14ac:dyDescent="0.25">
      <c r="A3058" s="10">
        <v>45702</v>
      </c>
      <c r="B3058" s="11" t="s">
        <v>4388</v>
      </c>
      <c r="C3058" s="11" t="s">
        <v>5571</v>
      </c>
      <c r="D3058" s="11">
        <v>17599</v>
      </c>
      <c r="E3058" s="11" t="s">
        <v>98</v>
      </c>
      <c r="F3058" s="11" t="s">
        <v>26</v>
      </c>
      <c r="G3058" s="11">
        <v>10724</v>
      </c>
      <c r="H3058" s="12" t="s">
        <v>140</v>
      </c>
      <c r="I3058" s="12" t="s">
        <v>27</v>
      </c>
      <c r="J3058" s="12" t="s">
        <v>42</v>
      </c>
      <c r="K3058" s="12" t="s">
        <v>43</v>
      </c>
      <c r="L3058" s="13">
        <v>43.96</v>
      </c>
      <c r="M3058" s="13">
        <v>25</v>
      </c>
      <c r="N3058" s="13">
        <f t="shared" si="893"/>
        <v>1.7584</v>
      </c>
      <c r="O3058" s="13">
        <v>35</v>
      </c>
      <c r="P3058" s="13"/>
      <c r="Q3058" s="13">
        <v>0</v>
      </c>
      <c r="R3058" s="70">
        <f>+L3058*O3058</f>
        <v>1538.6000000000001</v>
      </c>
      <c r="S3058" s="70">
        <v>0</v>
      </c>
      <c r="T3058" s="70">
        <f>+L3058*S3058</f>
        <v>0</v>
      </c>
      <c r="U3058" s="70">
        <f>+R3058-T3058</f>
        <v>1538.6000000000001</v>
      </c>
      <c r="V3058" s="70">
        <f t="shared" si="948"/>
        <v>0</v>
      </c>
      <c r="W3058" s="70">
        <f>+U3058-V3058</f>
        <v>1538.6000000000001</v>
      </c>
      <c r="X3058" s="70">
        <v>0</v>
      </c>
      <c r="Y3058" s="14">
        <f t="shared" si="927"/>
        <v>0</v>
      </c>
      <c r="Z3058" s="11" t="s">
        <v>26</v>
      </c>
      <c r="AA3058" s="12" t="s">
        <v>31</v>
      </c>
    </row>
    <row r="3059" spans="1:27" x14ac:dyDescent="0.25">
      <c r="A3059" s="10">
        <v>45702</v>
      </c>
      <c r="B3059" s="11" t="s">
        <v>2005</v>
      </c>
      <c r="C3059" s="11" t="s">
        <v>5572</v>
      </c>
      <c r="D3059" s="11">
        <v>17600</v>
      </c>
      <c r="E3059" s="11" t="s">
        <v>44</v>
      </c>
      <c r="F3059" s="11" t="s">
        <v>26</v>
      </c>
      <c r="G3059" s="11">
        <v>1654</v>
      </c>
      <c r="H3059" s="12" t="s">
        <v>45</v>
      </c>
      <c r="I3059" s="12" t="s">
        <v>27</v>
      </c>
      <c r="J3059" s="12" t="s">
        <v>42</v>
      </c>
      <c r="K3059" s="12" t="s">
        <v>43</v>
      </c>
      <c r="L3059" s="13">
        <v>44.16</v>
      </c>
      <c r="M3059" s="13">
        <v>25</v>
      </c>
      <c r="N3059" s="13">
        <f t="shared" si="893"/>
        <v>1.7664</v>
      </c>
      <c r="O3059" s="13" t="s">
        <v>30</v>
      </c>
      <c r="P3059" s="13">
        <v>62</v>
      </c>
      <c r="Q3059" s="13">
        <v>0</v>
      </c>
      <c r="R3059" s="70">
        <f>M3059*P3059</f>
        <v>1550</v>
      </c>
      <c r="S3059" s="70">
        <v>0</v>
      </c>
      <c r="T3059" s="70">
        <f>M3059*S3059</f>
        <v>0</v>
      </c>
      <c r="U3059" s="70">
        <f>R3059-T3059</f>
        <v>1550</v>
      </c>
      <c r="V3059" s="70">
        <f>U3059*0</f>
        <v>0</v>
      </c>
      <c r="W3059" s="70">
        <f>U3059-V3059</f>
        <v>1550</v>
      </c>
      <c r="X3059" s="70">
        <v>0</v>
      </c>
      <c r="Y3059" s="14">
        <f t="shared" si="927"/>
        <v>0</v>
      </c>
      <c r="Z3059" s="11" t="s">
        <v>26</v>
      </c>
      <c r="AA3059" s="12" t="s">
        <v>31</v>
      </c>
    </row>
    <row r="3060" spans="1:27" x14ac:dyDescent="0.25">
      <c r="A3060" s="10">
        <v>45702</v>
      </c>
      <c r="B3060" s="11" t="s">
        <v>5573</v>
      </c>
      <c r="C3060" s="11" t="s">
        <v>5574</v>
      </c>
      <c r="D3060" s="11">
        <v>17601</v>
      </c>
      <c r="E3060" s="11" t="s">
        <v>61</v>
      </c>
      <c r="F3060" s="11" t="s">
        <v>26</v>
      </c>
      <c r="G3060" s="11" t="s">
        <v>35</v>
      </c>
      <c r="H3060" s="12" t="s">
        <v>36</v>
      </c>
      <c r="I3060" s="12" t="s">
        <v>27</v>
      </c>
      <c r="J3060" s="12" t="s">
        <v>42</v>
      </c>
      <c r="K3060" s="12" t="s">
        <v>43</v>
      </c>
      <c r="L3060" s="13">
        <v>9.92</v>
      </c>
      <c r="M3060" s="13">
        <v>6</v>
      </c>
      <c r="N3060" s="13">
        <f t="shared" si="893"/>
        <v>1.6533333333333333</v>
      </c>
      <c r="O3060" s="13">
        <v>45</v>
      </c>
      <c r="P3060" s="13" t="s">
        <v>30</v>
      </c>
      <c r="Q3060" s="13">
        <v>0</v>
      </c>
      <c r="R3060" s="70">
        <f>(L3060*O3060)-Q3060</f>
        <v>446.4</v>
      </c>
      <c r="S3060" s="70">
        <v>0</v>
      </c>
      <c r="T3060" s="70">
        <f t="shared" ref="T3060" si="952">+L3060*S3060</f>
        <v>0</v>
      </c>
      <c r="U3060" s="70">
        <f t="shared" ref="U3060" si="953">+R3060-T3060</f>
        <v>446.4</v>
      </c>
      <c r="V3060" s="70">
        <f>+U3060*0</f>
        <v>0</v>
      </c>
      <c r="W3060" s="70">
        <f t="shared" ref="W3060" si="954">+U3060-V3060</f>
        <v>446.4</v>
      </c>
      <c r="X3060" s="70">
        <v>0</v>
      </c>
      <c r="Y3060" s="14">
        <f t="shared" si="927"/>
        <v>0</v>
      </c>
      <c r="Z3060" s="11" t="s">
        <v>26</v>
      </c>
      <c r="AA3060" s="12" t="s">
        <v>31</v>
      </c>
    </row>
    <row r="3061" spans="1:27" x14ac:dyDescent="0.25">
      <c r="A3061" s="10">
        <v>45702</v>
      </c>
      <c r="B3061" s="11" t="s">
        <v>5575</v>
      </c>
      <c r="C3061" s="11" t="s">
        <v>5576</v>
      </c>
      <c r="D3061" s="11">
        <v>17602</v>
      </c>
      <c r="E3061" s="11" t="s">
        <v>80</v>
      </c>
      <c r="F3061" s="11" t="s">
        <v>26</v>
      </c>
      <c r="G3061" s="11">
        <v>10687</v>
      </c>
      <c r="H3061" s="12" t="s">
        <v>140</v>
      </c>
      <c r="I3061" s="12" t="s">
        <v>27</v>
      </c>
      <c r="J3061" s="12" t="s">
        <v>33</v>
      </c>
      <c r="K3061" s="12" t="s">
        <v>34</v>
      </c>
      <c r="L3061" s="13">
        <v>41.06</v>
      </c>
      <c r="M3061" s="13">
        <v>28</v>
      </c>
      <c r="N3061" s="13">
        <f t="shared" si="893"/>
        <v>1.4664285714285714</v>
      </c>
      <c r="O3061" s="13">
        <v>40</v>
      </c>
      <c r="P3061" s="13"/>
      <c r="Q3061" s="13">
        <v>0</v>
      </c>
      <c r="R3061" s="70">
        <f>+L3061*O3061</f>
        <v>1642.4</v>
      </c>
      <c r="S3061" s="70">
        <v>0</v>
      </c>
      <c r="T3061" s="70">
        <f>+L3061*S3061</f>
        <v>0</v>
      </c>
      <c r="U3061" s="70">
        <f>+R3061-T3061</f>
        <v>1642.4</v>
      </c>
      <c r="V3061" s="70">
        <f t="shared" ref="V3061" si="955">+U3061*0</f>
        <v>0</v>
      </c>
      <c r="W3061" s="70">
        <f>+U3061-V3061</f>
        <v>1642.4</v>
      </c>
      <c r="X3061" s="70">
        <v>0</v>
      </c>
      <c r="Y3061" s="14">
        <f t="shared" si="927"/>
        <v>0</v>
      </c>
      <c r="Z3061" s="11" t="s">
        <v>26</v>
      </c>
      <c r="AA3061" s="12" t="s">
        <v>31</v>
      </c>
    </row>
    <row r="3062" spans="1:27" x14ac:dyDescent="0.25">
      <c r="A3062" s="10">
        <v>45702</v>
      </c>
      <c r="B3062" s="11" t="s">
        <v>1856</v>
      </c>
      <c r="C3062" s="11" t="s">
        <v>5577</v>
      </c>
      <c r="D3062" s="11">
        <v>17603</v>
      </c>
      <c r="E3062" s="11" t="s">
        <v>49</v>
      </c>
      <c r="F3062" s="11" t="s">
        <v>26</v>
      </c>
      <c r="G3062" s="11">
        <v>1651</v>
      </c>
      <c r="H3062" s="12" t="s">
        <v>45</v>
      </c>
      <c r="I3062" s="12" t="s">
        <v>27</v>
      </c>
      <c r="J3062" s="12" t="s">
        <v>42</v>
      </c>
      <c r="K3062" s="12" t="s">
        <v>43</v>
      </c>
      <c r="L3062" s="13">
        <v>43.42</v>
      </c>
      <c r="M3062" s="13">
        <v>25</v>
      </c>
      <c r="N3062" s="13">
        <f t="shared" si="893"/>
        <v>1.7368000000000001</v>
      </c>
      <c r="O3062" s="13" t="s">
        <v>30</v>
      </c>
      <c r="P3062" s="13">
        <v>62</v>
      </c>
      <c r="Q3062" s="13">
        <v>0</v>
      </c>
      <c r="R3062" s="70">
        <f>M3062*P3062</f>
        <v>1550</v>
      </c>
      <c r="S3062" s="70">
        <v>0</v>
      </c>
      <c r="T3062" s="70">
        <f>M3062*S3062</f>
        <v>0</v>
      </c>
      <c r="U3062" s="70">
        <f>R3062-T3062</f>
        <v>1550</v>
      </c>
      <c r="V3062" s="70">
        <f>U3062*0</f>
        <v>0</v>
      </c>
      <c r="W3062" s="70">
        <f>U3062-V3062</f>
        <v>1550</v>
      </c>
      <c r="X3062" s="70">
        <v>0</v>
      </c>
      <c r="Y3062" s="14">
        <f t="shared" si="927"/>
        <v>0</v>
      </c>
      <c r="Z3062" s="11" t="s">
        <v>26</v>
      </c>
      <c r="AA3062" s="12" t="s">
        <v>31</v>
      </c>
    </row>
    <row r="3063" spans="1:27" x14ac:dyDescent="0.25">
      <c r="A3063" s="10">
        <v>45702</v>
      </c>
      <c r="B3063" s="11" t="s">
        <v>5578</v>
      </c>
      <c r="C3063" s="11" t="s">
        <v>5579</v>
      </c>
      <c r="D3063" s="11">
        <v>17604</v>
      </c>
      <c r="E3063" s="11" t="s">
        <v>593</v>
      </c>
      <c r="F3063" s="11" t="s">
        <v>26</v>
      </c>
      <c r="G3063" s="11">
        <v>44334</v>
      </c>
      <c r="H3063" s="12" t="s">
        <v>4423</v>
      </c>
      <c r="I3063" s="12" t="s">
        <v>27</v>
      </c>
      <c r="J3063" s="12" t="s">
        <v>33</v>
      </c>
      <c r="K3063" s="12" t="s">
        <v>34</v>
      </c>
      <c r="L3063" s="13">
        <v>35.42</v>
      </c>
      <c r="M3063" s="13">
        <v>25</v>
      </c>
      <c r="N3063" s="13">
        <f t="shared" si="893"/>
        <v>1.4168000000000001</v>
      </c>
      <c r="O3063" s="13">
        <v>45</v>
      </c>
      <c r="P3063" s="13" t="s">
        <v>30</v>
      </c>
      <c r="Q3063" s="13">
        <v>0</v>
      </c>
      <c r="R3063" s="70">
        <f>+L3063*O3063</f>
        <v>1593.9</v>
      </c>
      <c r="S3063" s="70">
        <v>0</v>
      </c>
      <c r="T3063" s="70">
        <f>+L3063*S3063</f>
        <v>0</v>
      </c>
      <c r="U3063" s="70">
        <f t="shared" ref="U3063" si="956">+R3063-T3063</f>
        <v>1593.9</v>
      </c>
      <c r="V3063" s="70">
        <f>+U3063*1</f>
        <v>1593.9</v>
      </c>
      <c r="W3063" s="70">
        <f t="shared" ref="W3063" si="957">+U3063-V3063</f>
        <v>0</v>
      </c>
      <c r="X3063" s="70">
        <v>0</v>
      </c>
      <c r="Y3063" s="14">
        <f t="shared" si="927"/>
        <v>0</v>
      </c>
      <c r="Z3063" s="11" t="s">
        <v>26</v>
      </c>
      <c r="AA3063" s="12" t="s">
        <v>31</v>
      </c>
    </row>
    <row r="3064" spans="1:27" x14ac:dyDescent="0.25">
      <c r="A3064" s="10">
        <v>45702</v>
      </c>
      <c r="B3064" s="11" t="s">
        <v>2736</v>
      </c>
      <c r="C3064" s="11" t="s">
        <v>5580</v>
      </c>
      <c r="D3064" s="11">
        <v>17605</v>
      </c>
      <c r="E3064" s="11" t="s">
        <v>50</v>
      </c>
      <c r="F3064" s="11" t="s">
        <v>26</v>
      </c>
      <c r="G3064" s="11">
        <v>754</v>
      </c>
      <c r="H3064" s="12" t="s">
        <v>163</v>
      </c>
      <c r="I3064" s="12" t="s">
        <v>55</v>
      </c>
      <c r="J3064" s="12" t="s">
        <v>55</v>
      </c>
      <c r="K3064" s="12" t="s">
        <v>56</v>
      </c>
      <c r="L3064" s="13">
        <v>40.64</v>
      </c>
      <c r="M3064" s="13">
        <v>25</v>
      </c>
      <c r="N3064" s="13">
        <f t="shared" si="893"/>
        <v>1.6255999999999999</v>
      </c>
      <c r="O3064" s="13" t="s">
        <v>30</v>
      </c>
      <c r="P3064" s="13">
        <v>25</v>
      </c>
      <c r="Q3064" s="13">
        <v>0</v>
      </c>
      <c r="R3064" s="70">
        <f>M3064*P3064</f>
        <v>625</v>
      </c>
      <c r="S3064" s="70">
        <v>0</v>
      </c>
      <c r="T3064" s="70">
        <f>M3064*S3064</f>
        <v>0</v>
      </c>
      <c r="U3064" s="70">
        <f>R3064-T3064</f>
        <v>625</v>
      </c>
      <c r="V3064" s="70">
        <f>U3064*0</f>
        <v>0</v>
      </c>
      <c r="W3064" s="70">
        <f>U3064-V3064</f>
        <v>625</v>
      </c>
      <c r="X3064" s="70">
        <v>0</v>
      </c>
      <c r="Y3064" s="14">
        <f t="shared" si="927"/>
        <v>0</v>
      </c>
      <c r="Z3064" s="11" t="s">
        <v>26</v>
      </c>
      <c r="AA3064" s="12" t="s">
        <v>31</v>
      </c>
    </row>
    <row r="3065" spans="1:27" x14ac:dyDescent="0.25">
      <c r="A3065" s="10">
        <v>45702</v>
      </c>
      <c r="B3065" s="11" t="s">
        <v>263</v>
      </c>
      <c r="C3065" s="11" t="s">
        <v>5581</v>
      </c>
      <c r="D3065" s="11">
        <v>17606</v>
      </c>
      <c r="E3065" s="11" t="s">
        <v>53</v>
      </c>
      <c r="F3065" s="11" t="s">
        <v>26</v>
      </c>
      <c r="G3065" s="11">
        <v>3960</v>
      </c>
      <c r="H3065" s="12" t="s">
        <v>41</v>
      </c>
      <c r="I3065" s="12" t="s">
        <v>27</v>
      </c>
      <c r="J3065" s="12" t="s">
        <v>42</v>
      </c>
      <c r="K3065" s="12" t="s">
        <v>43</v>
      </c>
      <c r="L3065" s="13">
        <v>43.16</v>
      </c>
      <c r="M3065" s="13">
        <v>25</v>
      </c>
      <c r="N3065" s="13">
        <f t="shared" si="893"/>
        <v>1.7263999999999999</v>
      </c>
      <c r="O3065" s="13" t="s">
        <v>30</v>
      </c>
      <c r="P3065" s="13">
        <v>64</v>
      </c>
      <c r="Q3065" s="13">
        <v>0</v>
      </c>
      <c r="R3065" s="70">
        <f>M3065*P3065</f>
        <v>1600</v>
      </c>
      <c r="S3065" s="70">
        <v>0</v>
      </c>
      <c r="T3065" s="70">
        <f>M3065*S3065</f>
        <v>0</v>
      </c>
      <c r="U3065" s="70">
        <f>+R3065-T3065</f>
        <v>1600</v>
      </c>
      <c r="V3065" s="70">
        <f t="shared" ref="V3065" si="958">+U3065*0</f>
        <v>0</v>
      </c>
      <c r="W3065" s="70">
        <f>+U3065-V3065</f>
        <v>1600</v>
      </c>
      <c r="X3065" s="70">
        <v>0</v>
      </c>
      <c r="Y3065" s="14">
        <f t="shared" si="927"/>
        <v>0</v>
      </c>
      <c r="Z3065" s="11" t="s">
        <v>26</v>
      </c>
      <c r="AA3065" s="12" t="s">
        <v>31</v>
      </c>
    </row>
    <row r="3066" spans="1:27" x14ac:dyDescent="0.25">
      <c r="A3066" s="10">
        <v>45702</v>
      </c>
      <c r="B3066" s="11" t="s">
        <v>5582</v>
      </c>
      <c r="C3066" s="11" t="s">
        <v>5583</v>
      </c>
      <c r="D3066" s="11">
        <v>17607</v>
      </c>
      <c r="E3066" s="11" t="s">
        <v>589</v>
      </c>
      <c r="F3066" s="11" t="s">
        <v>26</v>
      </c>
      <c r="G3066" s="11">
        <v>56922</v>
      </c>
      <c r="H3066" s="12" t="s">
        <v>4423</v>
      </c>
      <c r="I3066" s="12" t="s">
        <v>55</v>
      </c>
      <c r="J3066" s="12" t="s">
        <v>55</v>
      </c>
      <c r="K3066" s="12" t="s">
        <v>56</v>
      </c>
      <c r="L3066" s="13">
        <v>35.08</v>
      </c>
      <c r="M3066" s="13">
        <v>25</v>
      </c>
      <c r="N3066" s="13">
        <f t="shared" si="893"/>
        <v>1.4032</v>
      </c>
      <c r="O3066" s="13">
        <v>17</v>
      </c>
      <c r="P3066" s="13" t="s">
        <v>30</v>
      </c>
      <c r="Q3066" s="13">
        <v>0</v>
      </c>
      <c r="R3066" s="70">
        <f>+L3066*O3066</f>
        <v>596.36</v>
      </c>
      <c r="S3066" s="70">
        <v>0</v>
      </c>
      <c r="T3066" s="70">
        <f>+L3066*S3066</f>
        <v>0</v>
      </c>
      <c r="U3066" s="70">
        <f t="shared" ref="U3066:U3068" si="959">+R3066-T3066</f>
        <v>596.36</v>
      </c>
      <c r="V3066" s="70">
        <f>+U3066*1</f>
        <v>596.36</v>
      </c>
      <c r="W3066" s="70">
        <f t="shared" ref="W3066:W3068" si="960">+U3066-V3066</f>
        <v>0</v>
      </c>
      <c r="X3066" s="70">
        <v>0</v>
      </c>
      <c r="Y3066" s="14">
        <f t="shared" si="927"/>
        <v>0</v>
      </c>
      <c r="Z3066" s="11" t="s">
        <v>26</v>
      </c>
      <c r="AA3066" s="12" t="s">
        <v>31</v>
      </c>
    </row>
    <row r="3067" spans="1:27" x14ac:dyDescent="0.25">
      <c r="A3067" s="10">
        <v>45702</v>
      </c>
      <c r="B3067" s="11" t="s">
        <v>2814</v>
      </c>
      <c r="C3067" s="11" t="s">
        <v>5584</v>
      </c>
      <c r="D3067" s="11">
        <v>17608</v>
      </c>
      <c r="E3067" s="11" t="s">
        <v>5209</v>
      </c>
      <c r="F3067" s="11" t="s">
        <v>26</v>
      </c>
      <c r="G3067" s="11" t="s">
        <v>35</v>
      </c>
      <c r="H3067" s="12" t="s">
        <v>36</v>
      </c>
      <c r="I3067" s="12" t="s">
        <v>37</v>
      </c>
      <c r="J3067" s="12" t="s">
        <v>85</v>
      </c>
      <c r="K3067" s="12" t="s">
        <v>86</v>
      </c>
      <c r="L3067" s="13">
        <v>14.46</v>
      </c>
      <c r="M3067" s="13">
        <v>9</v>
      </c>
      <c r="N3067" s="13">
        <f t="shared" si="893"/>
        <v>1.6066666666666667</v>
      </c>
      <c r="O3067" s="13">
        <v>37</v>
      </c>
      <c r="P3067" s="13" t="s">
        <v>30</v>
      </c>
      <c r="Q3067" s="13">
        <v>0</v>
      </c>
      <c r="R3067" s="70">
        <f>(L3067*O3067)-Q3067</f>
        <v>535.02</v>
      </c>
      <c r="S3067" s="70">
        <v>0</v>
      </c>
      <c r="T3067" s="70">
        <f t="shared" ref="T3067:T3068" si="961">+L3067*S3067</f>
        <v>0</v>
      </c>
      <c r="U3067" s="70">
        <f t="shared" si="959"/>
        <v>535.02</v>
      </c>
      <c r="V3067" s="70">
        <f>+U3067*0</f>
        <v>0</v>
      </c>
      <c r="W3067" s="70">
        <f t="shared" si="960"/>
        <v>535.02</v>
      </c>
      <c r="X3067" s="70">
        <v>0</v>
      </c>
      <c r="Y3067" s="14">
        <f t="shared" si="927"/>
        <v>0</v>
      </c>
      <c r="Z3067" s="11" t="s">
        <v>26</v>
      </c>
      <c r="AA3067" s="12" t="s">
        <v>31</v>
      </c>
    </row>
    <row r="3068" spans="1:27" x14ac:dyDescent="0.25">
      <c r="A3068" s="10">
        <v>45702</v>
      </c>
      <c r="B3068" s="11" t="s">
        <v>5585</v>
      </c>
      <c r="C3068" s="11" t="s">
        <v>5586</v>
      </c>
      <c r="D3068" s="11">
        <v>17609</v>
      </c>
      <c r="E3068" s="11" t="s">
        <v>77</v>
      </c>
      <c r="F3068" s="11" t="s">
        <v>26</v>
      </c>
      <c r="G3068" s="11" t="s">
        <v>35</v>
      </c>
      <c r="H3068" s="12" t="s">
        <v>36</v>
      </c>
      <c r="I3068" s="12" t="s">
        <v>27</v>
      </c>
      <c r="J3068" s="12" t="s">
        <v>42</v>
      </c>
      <c r="K3068" s="12" t="s">
        <v>43</v>
      </c>
      <c r="L3068" s="13">
        <v>40.98</v>
      </c>
      <c r="M3068" s="13">
        <v>25</v>
      </c>
      <c r="N3068" s="13">
        <f t="shared" si="893"/>
        <v>1.6391999999999998</v>
      </c>
      <c r="O3068" s="13">
        <v>45</v>
      </c>
      <c r="P3068" s="13" t="s">
        <v>30</v>
      </c>
      <c r="Q3068" s="13">
        <v>0</v>
      </c>
      <c r="R3068" s="70">
        <f>(L3068*O3068)-Q3068</f>
        <v>1844.1</v>
      </c>
      <c r="S3068" s="70">
        <v>0</v>
      </c>
      <c r="T3068" s="70">
        <f t="shared" si="961"/>
        <v>0</v>
      </c>
      <c r="U3068" s="70">
        <f t="shared" si="959"/>
        <v>1844.1</v>
      </c>
      <c r="V3068" s="70">
        <f>+U3068*0</f>
        <v>0</v>
      </c>
      <c r="W3068" s="70">
        <f t="shared" si="960"/>
        <v>1844.1</v>
      </c>
      <c r="X3068" s="70">
        <v>0</v>
      </c>
      <c r="Y3068" s="14">
        <f t="shared" si="927"/>
        <v>0</v>
      </c>
      <c r="Z3068" s="11" t="s">
        <v>26</v>
      </c>
      <c r="AA3068" s="12" t="s">
        <v>31</v>
      </c>
    </row>
    <row r="3069" spans="1:27" x14ac:dyDescent="0.25">
      <c r="A3069" s="10">
        <v>45702</v>
      </c>
      <c r="B3069" s="11" t="s">
        <v>5587</v>
      </c>
      <c r="C3069" s="11" t="s">
        <v>5588</v>
      </c>
      <c r="D3069" s="11">
        <v>17610</v>
      </c>
      <c r="E3069" s="11" t="s">
        <v>46</v>
      </c>
      <c r="F3069" s="11" t="s">
        <v>26</v>
      </c>
      <c r="G3069" s="11">
        <v>112798</v>
      </c>
      <c r="H3069" s="12" t="s">
        <v>4446</v>
      </c>
      <c r="I3069" s="12" t="s">
        <v>27</v>
      </c>
      <c r="J3069" s="12" t="s">
        <v>33</v>
      </c>
      <c r="K3069" s="12" t="s">
        <v>34</v>
      </c>
      <c r="L3069" s="13">
        <v>34.799999999999997</v>
      </c>
      <c r="M3069" s="13">
        <v>25</v>
      </c>
      <c r="N3069" s="13">
        <f t="shared" si="893"/>
        <v>1.3919999999999999</v>
      </c>
      <c r="O3069" s="13">
        <v>44</v>
      </c>
      <c r="P3069" s="13" t="s">
        <v>30</v>
      </c>
      <c r="Q3069" s="13">
        <v>0</v>
      </c>
      <c r="R3069" s="70">
        <f t="shared" ref="R3069" si="962">+L3069*O3069</f>
        <v>1531.1999999999998</v>
      </c>
      <c r="S3069" s="70">
        <v>0</v>
      </c>
      <c r="T3069" s="70">
        <f>+L3069*S3069</f>
        <v>0</v>
      </c>
      <c r="U3069" s="70">
        <f>+R3069-T3069</f>
        <v>1531.1999999999998</v>
      </c>
      <c r="V3069" s="70">
        <f>+U3069*1</f>
        <v>1531.1999999999998</v>
      </c>
      <c r="W3069" s="70">
        <f>+U3069-V3069</f>
        <v>0</v>
      </c>
      <c r="X3069" s="70">
        <v>0</v>
      </c>
      <c r="Y3069" s="14">
        <f t="shared" si="927"/>
        <v>0</v>
      </c>
      <c r="Z3069" s="11" t="s">
        <v>26</v>
      </c>
      <c r="AA3069" s="12" t="s">
        <v>31</v>
      </c>
    </row>
    <row r="3070" spans="1:27" x14ac:dyDescent="0.25">
      <c r="A3070" s="10">
        <v>45702</v>
      </c>
      <c r="B3070" s="11" t="s">
        <v>5589</v>
      </c>
      <c r="C3070" s="11" t="s">
        <v>5590</v>
      </c>
      <c r="D3070" s="11">
        <v>17611</v>
      </c>
      <c r="E3070" s="11" t="s">
        <v>605</v>
      </c>
      <c r="F3070" s="11" t="s">
        <v>26</v>
      </c>
      <c r="G3070" s="11" t="s">
        <v>26</v>
      </c>
      <c r="H3070" s="12" t="s">
        <v>4422</v>
      </c>
      <c r="I3070" s="12" t="s">
        <v>27</v>
      </c>
      <c r="J3070" s="12" t="s">
        <v>47</v>
      </c>
      <c r="K3070" s="12" t="s">
        <v>48</v>
      </c>
      <c r="L3070" s="13">
        <v>39.86</v>
      </c>
      <c r="M3070" s="13">
        <v>27</v>
      </c>
      <c r="N3070" s="13">
        <f t="shared" si="893"/>
        <v>1.4762962962962962</v>
      </c>
      <c r="O3070" s="13">
        <v>87</v>
      </c>
      <c r="P3070" s="13" t="s">
        <v>30</v>
      </c>
      <c r="Q3070" s="13">
        <v>0</v>
      </c>
      <c r="R3070" s="70">
        <f>L3070*O3070</f>
        <v>3467.82</v>
      </c>
      <c r="S3070" s="70">
        <v>38</v>
      </c>
      <c r="T3070" s="70">
        <f>L3070*S3070</f>
        <v>1514.68</v>
      </c>
      <c r="U3070" s="70">
        <f>R3070-T3070</f>
        <v>1953.14</v>
      </c>
      <c r="V3070" s="70">
        <f>U3070*1</f>
        <v>1953.14</v>
      </c>
      <c r="W3070" s="70">
        <f>U3070-V3070</f>
        <v>0</v>
      </c>
      <c r="X3070" s="70">
        <f>L3070*36</f>
        <v>1434.96</v>
      </c>
      <c r="Y3070" s="71">
        <f>+T3070-X3070</f>
        <v>79.720000000000027</v>
      </c>
      <c r="Z3070" s="12" t="s">
        <v>141</v>
      </c>
      <c r="AA3070" s="12" t="s">
        <v>78</v>
      </c>
    </row>
    <row r="3071" spans="1:27" x14ac:dyDescent="0.25">
      <c r="A3071" s="10">
        <v>45702</v>
      </c>
      <c r="B3071" s="11" t="s">
        <v>386</v>
      </c>
      <c r="C3071" s="11" t="s">
        <v>5591</v>
      </c>
      <c r="D3071" s="11">
        <v>17612</v>
      </c>
      <c r="E3071" s="11" t="s">
        <v>74</v>
      </c>
      <c r="F3071" s="11" t="s">
        <v>26</v>
      </c>
      <c r="G3071" s="11">
        <v>1333</v>
      </c>
      <c r="H3071" s="12" t="s">
        <v>70</v>
      </c>
      <c r="I3071" s="12" t="s">
        <v>27</v>
      </c>
      <c r="J3071" s="12" t="s">
        <v>42</v>
      </c>
      <c r="K3071" s="12" t="s">
        <v>43</v>
      </c>
      <c r="L3071" s="13">
        <v>43.56</v>
      </c>
      <c r="M3071" s="13">
        <v>25</v>
      </c>
      <c r="N3071" s="13">
        <f t="shared" si="893"/>
        <v>1.7424000000000002</v>
      </c>
      <c r="O3071" s="13" t="s">
        <v>30</v>
      </c>
      <c r="P3071" s="13">
        <v>64</v>
      </c>
      <c r="Q3071" s="13">
        <v>0</v>
      </c>
      <c r="R3071" s="70">
        <f>+M3071*P3071</f>
        <v>1600</v>
      </c>
      <c r="S3071" s="70">
        <v>0</v>
      </c>
      <c r="T3071" s="70">
        <f>+M3071*S3071</f>
        <v>0</v>
      </c>
      <c r="U3071" s="70">
        <f t="shared" ref="U3071" si="963">+R3071-T3071</f>
        <v>1600</v>
      </c>
      <c r="V3071" s="70">
        <f t="shared" ref="V3071" si="964">+U3071*0</f>
        <v>0</v>
      </c>
      <c r="W3071" s="70">
        <f t="shared" ref="W3071" si="965">+U3071-V3071</f>
        <v>1600</v>
      </c>
      <c r="X3071" s="70">
        <v>0</v>
      </c>
      <c r="Y3071" s="14">
        <f t="shared" ref="Y3071:Y3076" si="966">T3071-X3071</f>
        <v>0</v>
      </c>
      <c r="Z3071" s="11" t="s">
        <v>26</v>
      </c>
      <c r="AA3071" s="12" t="s">
        <v>31</v>
      </c>
    </row>
    <row r="3072" spans="1:27" x14ac:dyDescent="0.25">
      <c r="A3072" s="10">
        <v>45702</v>
      </c>
      <c r="B3072" s="11" t="s">
        <v>5592</v>
      </c>
      <c r="C3072" s="11" t="s">
        <v>5593</v>
      </c>
      <c r="D3072" s="11">
        <v>17613</v>
      </c>
      <c r="E3072" s="11" t="s">
        <v>184</v>
      </c>
      <c r="F3072" s="11" t="s">
        <v>26</v>
      </c>
      <c r="G3072" s="11">
        <v>1016</v>
      </c>
      <c r="H3072" s="12" t="s">
        <v>141</v>
      </c>
      <c r="I3072" s="12" t="s">
        <v>27</v>
      </c>
      <c r="J3072" s="12" t="s">
        <v>33</v>
      </c>
      <c r="K3072" s="12" t="s">
        <v>34</v>
      </c>
      <c r="L3072" s="13">
        <v>38.659999999999997</v>
      </c>
      <c r="M3072" s="13">
        <v>25</v>
      </c>
      <c r="N3072" s="13">
        <f t="shared" si="893"/>
        <v>1.5463999999999998</v>
      </c>
      <c r="O3072" s="13">
        <v>40</v>
      </c>
      <c r="P3072" s="13" t="s">
        <v>30</v>
      </c>
      <c r="Q3072" s="13">
        <v>0</v>
      </c>
      <c r="R3072" s="70">
        <f>L3072*O3072</f>
        <v>1546.3999999999999</v>
      </c>
      <c r="S3072" s="70">
        <v>0</v>
      </c>
      <c r="T3072" s="70">
        <f>L3072*S3072</f>
        <v>0</v>
      </c>
      <c r="U3072" s="70">
        <f>R3072-T3072</f>
        <v>1546.3999999999999</v>
      </c>
      <c r="V3072" s="70">
        <f>U3072*0</f>
        <v>0</v>
      </c>
      <c r="W3072" s="70">
        <f>U3072-V3072</f>
        <v>1546.3999999999999</v>
      </c>
      <c r="X3072" s="70">
        <v>0</v>
      </c>
      <c r="Y3072" s="14">
        <f t="shared" si="966"/>
        <v>0</v>
      </c>
      <c r="Z3072" s="11" t="s">
        <v>26</v>
      </c>
      <c r="AA3072" s="12" t="s">
        <v>31</v>
      </c>
    </row>
    <row r="3073" spans="1:27" x14ac:dyDescent="0.25">
      <c r="A3073" s="10">
        <v>45702</v>
      </c>
      <c r="B3073" s="11" t="s">
        <v>628</v>
      </c>
      <c r="C3073" s="11" t="s">
        <v>5594</v>
      </c>
      <c r="D3073" s="11">
        <v>17614</v>
      </c>
      <c r="E3073" s="11" t="s">
        <v>509</v>
      </c>
      <c r="F3073" s="11" t="s">
        <v>26</v>
      </c>
      <c r="G3073" s="11">
        <v>1316</v>
      </c>
      <c r="H3073" s="12" t="s">
        <v>141</v>
      </c>
      <c r="I3073" s="12" t="s">
        <v>55</v>
      </c>
      <c r="J3073" s="12" t="s">
        <v>55</v>
      </c>
      <c r="K3073" s="12" t="s">
        <v>56</v>
      </c>
      <c r="L3073" s="13">
        <v>40.28</v>
      </c>
      <c r="M3073" s="13">
        <v>25</v>
      </c>
      <c r="N3073" s="13">
        <f t="shared" si="893"/>
        <v>1.6112</v>
      </c>
      <c r="O3073" s="13">
        <v>15</v>
      </c>
      <c r="P3073" s="13" t="s">
        <v>30</v>
      </c>
      <c r="Q3073" s="13">
        <v>0</v>
      </c>
      <c r="R3073" s="70">
        <f>L3073*O3073</f>
        <v>604.20000000000005</v>
      </c>
      <c r="S3073" s="70">
        <v>0</v>
      </c>
      <c r="T3073" s="70">
        <f>L3073*S3073</f>
        <v>0</v>
      </c>
      <c r="U3073" s="70">
        <f>R3073-T3073</f>
        <v>604.20000000000005</v>
      </c>
      <c r="V3073" s="70">
        <f>U3073*0</f>
        <v>0</v>
      </c>
      <c r="W3073" s="70">
        <f>U3073-V3073</f>
        <v>604.20000000000005</v>
      </c>
      <c r="X3073" s="70">
        <v>0</v>
      </c>
      <c r="Y3073" s="14">
        <f t="shared" si="966"/>
        <v>0</v>
      </c>
      <c r="Z3073" s="11" t="s">
        <v>26</v>
      </c>
      <c r="AA3073" s="12" t="s">
        <v>31</v>
      </c>
    </row>
    <row r="3074" spans="1:27" x14ac:dyDescent="0.25">
      <c r="A3074" s="10">
        <v>45702</v>
      </c>
      <c r="B3074" s="11" t="s">
        <v>3972</v>
      </c>
      <c r="C3074" s="11" t="s">
        <v>5595</v>
      </c>
      <c r="D3074" s="11">
        <v>17615</v>
      </c>
      <c r="E3074" s="11" t="s">
        <v>1200</v>
      </c>
      <c r="F3074" s="11" t="s">
        <v>26</v>
      </c>
      <c r="G3074" s="11">
        <v>2968</v>
      </c>
      <c r="H3074" s="12" t="s">
        <v>163</v>
      </c>
      <c r="I3074" s="12" t="s">
        <v>27</v>
      </c>
      <c r="J3074" s="12" t="s">
        <v>33</v>
      </c>
      <c r="K3074" s="12" t="s">
        <v>34</v>
      </c>
      <c r="L3074" s="13">
        <v>38.96</v>
      </c>
      <c r="M3074" s="13">
        <v>25</v>
      </c>
      <c r="N3074" s="13">
        <f t="shared" si="893"/>
        <v>1.5584</v>
      </c>
      <c r="O3074" s="13" t="s">
        <v>30</v>
      </c>
      <c r="P3074" s="13">
        <v>60</v>
      </c>
      <c r="Q3074" s="13">
        <v>0</v>
      </c>
      <c r="R3074" s="70">
        <f>M3074*P3074</f>
        <v>1500</v>
      </c>
      <c r="S3074" s="70">
        <v>0</v>
      </c>
      <c r="T3074" s="70">
        <f>M3074*S3074</f>
        <v>0</v>
      </c>
      <c r="U3074" s="70">
        <f>R3074-T3074</f>
        <v>1500</v>
      </c>
      <c r="V3074" s="70">
        <f>U3074*0</f>
        <v>0</v>
      </c>
      <c r="W3074" s="70">
        <f>U3074-V3074</f>
        <v>1500</v>
      </c>
      <c r="X3074" s="70">
        <v>0</v>
      </c>
      <c r="Y3074" s="14">
        <f t="shared" si="966"/>
        <v>0</v>
      </c>
      <c r="Z3074" s="11" t="s">
        <v>26</v>
      </c>
      <c r="AA3074" s="12" t="s">
        <v>31</v>
      </c>
    </row>
    <row r="3075" spans="1:27" x14ac:dyDescent="0.25">
      <c r="A3075" s="10">
        <v>45702</v>
      </c>
      <c r="B3075" s="11" t="s">
        <v>1794</v>
      </c>
      <c r="C3075" s="11" t="s">
        <v>5596</v>
      </c>
      <c r="D3075" s="11">
        <v>17616</v>
      </c>
      <c r="E3075" s="11" t="s">
        <v>431</v>
      </c>
      <c r="F3075" s="11" t="s">
        <v>26</v>
      </c>
      <c r="G3075" s="11">
        <v>1051</v>
      </c>
      <c r="H3075" s="12" t="s">
        <v>6328</v>
      </c>
      <c r="I3075" s="12" t="s">
        <v>27</v>
      </c>
      <c r="J3075" s="12" t="s">
        <v>42</v>
      </c>
      <c r="K3075" s="12" t="s">
        <v>43</v>
      </c>
      <c r="L3075" s="13">
        <v>40.56</v>
      </c>
      <c r="M3075" s="13">
        <v>25</v>
      </c>
      <c r="N3075" s="13">
        <f t="shared" si="893"/>
        <v>1.6224000000000001</v>
      </c>
      <c r="O3075" s="13">
        <v>42.5</v>
      </c>
      <c r="P3075" s="13"/>
      <c r="Q3075" s="13">
        <v>0</v>
      </c>
      <c r="R3075" s="70">
        <f>L3075*O3075</f>
        <v>1723.8000000000002</v>
      </c>
      <c r="S3075" s="70">
        <v>0</v>
      </c>
      <c r="T3075" s="70">
        <f>+L3075*S3075</f>
        <v>0</v>
      </c>
      <c r="U3075" s="70">
        <f>R3075-T3075</f>
        <v>1723.8000000000002</v>
      </c>
      <c r="V3075" s="70">
        <f>U3075*0</f>
        <v>0</v>
      </c>
      <c r="W3075" s="70">
        <f>U3075-V3075</f>
        <v>1723.8000000000002</v>
      </c>
      <c r="X3075" s="70"/>
      <c r="Y3075" s="14">
        <f t="shared" si="966"/>
        <v>0</v>
      </c>
      <c r="Z3075" s="11" t="s">
        <v>26</v>
      </c>
      <c r="AA3075" s="12" t="s">
        <v>31</v>
      </c>
    </row>
    <row r="3076" spans="1:27" x14ac:dyDescent="0.25">
      <c r="A3076" s="10">
        <v>45702</v>
      </c>
      <c r="B3076" s="11" t="s">
        <v>5597</v>
      </c>
      <c r="C3076" s="11" t="s">
        <v>5598</v>
      </c>
      <c r="D3076" s="11">
        <v>17617</v>
      </c>
      <c r="E3076" s="11" t="s">
        <v>322</v>
      </c>
      <c r="F3076" s="11" t="s">
        <v>26</v>
      </c>
      <c r="G3076" s="11">
        <v>112865</v>
      </c>
      <c r="H3076" s="12" t="s">
        <v>4446</v>
      </c>
      <c r="I3076" s="12" t="s">
        <v>27</v>
      </c>
      <c r="J3076" s="12" t="s">
        <v>33</v>
      </c>
      <c r="K3076" s="12" t="s">
        <v>34</v>
      </c>
      <c r="L3076" s="13">
        <v>35.64</v>
      </c>
      <c r="M3076" s="13">
        <v>25</v>
      </c>
      <c r="N3076" s="13">
        <f t="shared" si="893"/>
        <v>1.4256</v>
      </c>
      <c r="O3076" s="13">
        <v>44</v>
      </c>
      <c r="P3076" s="13" t="s">
        <v>30</v>
      </c>
      <c r="Q3076" s="13">
        <v>0</v>
      </c>
      <c r="R3076" s="70">
        <f t="shared" ref="R3076" si="967">+L3076*O3076</f>
        <v>1568.16</v>
      </c>
      <c r="S3076" s="70">
        <v>0</v>
      </c>
      <c r="T3076" s="70">
        <f>+L3076*S3076</f>
        <v>0</v>
      </c>
      <c r="U3076" s="70">
        <f>+R3076-T3076</f>
        <v>1568.16</v>
      </c>
      <c r="V3076" s="70">
        <f>+U3076*1</f>
        <v>1568.16</v>
      </c>
      <c r="W3076" s="70">
        <f>+U3076-V3076</f>
        <v>0</v>
      </c>
      <c r="X3076" s="70">
        <v>0</v>
      </c>
      <c r="Y3076" s="14">
        <f t="shared" si="966"/>
        <v>0</v>
      </c>
      <c r="Z3076" s="11" t="s">
        <v>26</v>
      </c>
      <c r="AA3076" s="12" t="s">
        <v>31</v>
      </c>
    </row>
    <row r="3077" spans="1:27" x14ac:dyDescent="0.25">
      <c r="A3077" s="10">
        <v>45702</v>
      </c>
      <c r="B3077" s="11" t="s">
        <v>5599</v>
      </c>
      <c r="C3077" s="11" t="s">
        <v>5600</v>
      </c>
      <c r="D3077" s="11">
        <v>17618</v>
      </c>
      <c r="E3077" s="11" t="s">
        <v>240</v>
      </c>
      <c r="F3077" s="11" t="s">
        <v>26</v>
      </c>
      <c r="G3077" s="11" t="s">
        <v>26</v>
      </c>
      <c r="H3077" s="12" t="s">
        <v>146</v>
      </c>
      <c r="I3077" s="12" t="s">
        <v>27</v>
      </c>
      <c r="J3077" s="12" t="s">
        <v>47</v>
      </c>
      <c r="K3077" s="12" t="s">
        <v>48</v>
      </c>
      <c r="L3077" s="13">
        <v>42.24</v>
      </c>
      <c r="M3077" s="13">
        <v>29</v>
      </c>
      <c r="N3077" s="13">
        <f t="shared" si="893"/>
        <v>1.4565517241379311</v>
      </c>
      <c r="O3077" s="13">
        <v>91</v>
      </c>
      <c r="P3077" s="13" t="s">
        <v>30</v>
      </c>
      <c r="Q3077" s="13">
        <v>0</v>
      </c>
      <c r="R3077" s="70">
        <f>+L3077*O3077</f>
        <v>3843.84</v>
      </c>
      <c r="S3077" s="70">
        <v>40</v>
      </c>
      <c r="T3077" s="70">
        <f>L3077*S3077</f>
        <v>1689.6000000000001</v>
      </c>
      <c r="U3077" s="70">
        <f t="shared" ref="U3077" si="968">R3077-T3077</f>
        <v>2154.2399999999998</v>
      </c>
      <c r="V3077" s="70">
        <f>U3077*1</f>
        <v>2154.2399999999998</v>
      </c>
      <c r="W3077" s="70">
        <f t="shared" ref="W3077" si="969">U3077-V3077</f>
        <v>0</v>
      </c>
      <c r="X3077" s="70">
        <f>L3077*37</f>
        <v>1562.88</v>
      </c>
      <c r="Y3077" s="71">
        <f>+T3077-X3077</f>
        <v>126.72000000000003</v>
      </c>
      <c r="Z3077" s="12" t="s">
        <v>41</v>
      </c>
      <c r="AA3077" s="12" t="s">
        <v>79</v>
      </c>
    </row>
    <row r="3078" spans="1:27" x14ac:dyDescent="0.25">
      <c r="A3078" s="10">
        <v>45702</v>
      </c>
      <c r="B3078" s="11" t="s">
        <v>5601</v>
      </c>
      <c r="C3078" s="11" t="s">
        <v>5602</v>
      </c>
      <c r="D3078" s="11">
        <v>17619</v>
      </c>
      <c r="E3078" s="11" t="s">
        <v>2126</v>
      </c>
      <c r="F3078" s="11" t="s">
        <v>26</v>
      </c>
      <c r="G3078" s="11">
        <v>112868</v>
      </c>
      <c r="H3078" s="12" t="s">
        <v>4446</v>
      </c>
      <c r="I3078" s="12" t="s">
        <v>27</v>
      </c>
      <c r="J3078" s="12" t="s">
        <v>42</v>
      </c>
      <c r="K3078" s="12" t="s">
        <v>43</v>
      </c>
      <c r="L3078" s="13">
        <v>40.6</v>
      </c>
      <c r="M3078" s="13">
        <v>25</v>
      </c>
      <c r="N3078" s="13">
        <f t="shared" si="893"/>
        <v>1.6240000000000001</v>
      </c>
      <c r="O3078" s="13">
        <v>42</v>
      </c>
      <c r="P3078" s="13" t="s">
        <v>30</v>
      </c>
      <c r="Q3078" s="13">
        <v>0</v>
      </c>
      <c r="R3078" s="70">
        <f t="shared" ref="R3078:R3079" si="970">+L3078*O3078</f>
        <v>1705.2</v>
      </c>
      <c r="S3078" s="70">
        <v>0</v>
      </c>
      <c r="T3078" s="70">
        <f>+L3078*S3078</f>
        <v>0</v>
      </c>
      <c r="U3078" s="70">
        <f t="shared" ref="U3078" si="971">+R3078-T3078</f>
        <v>1705.2</v>
      </c>
      <c r="V3078" s="70">
        <f>+U3078*1</f>
        <v>1705.2</v>
      </c>
      <c r="W3078" s="70">
        <f t="shared" ref="W3078" si="972">+U3078-V3078</f>
        <v>0</v>
      </c>
      <c r="X3078" s="70">
        <v>0</v>
      </c>
      <c r="Y3078" s="14">
        <f t="shared" ref="Y3078:Y3094" si="973">T3078-X3078</f>
        <v>0</v>
      </c>
      <c r="Z3078" s="11" t="s">
        <v>26</v>
      </c>
      <c r="AA3078" s="12" t="s">
        <v>31</v>
      </c>
    </row>
    <row r="3079" spans="1:27" x14ac:dyDescent="0.25">
      <c r="A3079" s="10">
        <v>45702</v>
      </c>
      <c r="B3079" s="11" t="s">
        <v>3325</v>
      </c>
      <c r="C3079" s="11" t="s">
        <v>5603</v>
      </c>
      <c r="D3079" s="11">
        <v>17620</v>
      </c>
      <c r="E3079" s="11" t="s">
        <v>561</v>
      </c>
      <c r="F3079" s="11" t="s">
        <v>26</v>
      </c>
      <c r="G3079" s="11">
        <v>112866</v>
      </c>
      <c r="H3079" s="12" t="s">
        <v>4446</v>
      </c>
      <c r="I3079" s="12" t="s">
        <v>27</v>
      </c>
      <c r="J3079" s="12" t="s">
        <v>33</v>
      </c>
      <c r="K3079" s="12" t="s">
        <v>34</v>
      </c>
      <c r="L3079" s="13">
        <v>35.020000000000003</v>
      </c>
      <c r="M3079" s="13">
        <v>25</v>
      </c>
      <c r="N3079" s="13">
        <f t="shared" si="893"/>
        <v>1.4008</v>
      </c>
      <c r="O3079" s="13">
        <v>44</v>
      </c>
      <c r="P3079" s="13" t="s">
        <v>30</v>
      </c>
      <c r="Q3079" s="13">
        <v>0</v>
      </c>
      <c r="R3079" s="70">
        <f t="shared" si="970"/>
        <v>1540.88</v>
      </c>
      <c r="S3079" s="70">
        <v>0</v>
      </c>
      <c r="T3079" s="70">
        <f>+L3079*S3079</f>
        <v>0</v>
      </c>
      <c r="U3079" s="70">
        <f>+R3079-T3079</f>
        <v>1540.88</v>
      </c>
      <c r="V3079" s="70">
        <f>+U3079*1</f>
        <v>1540.88</v>
      </c>
      <c r="W3079" s="70">
        <f>+U3079-V3079</f>
        <v>0</v>
      </c>
      <c r="X3079" s="70">
        <v>0</v>
      </c>
      <c r="Y3079" s="14">
        <f t="shared" si="973"/>
        <v>0</v>
      </c>
      <c r="Z3079" s="11" t="s">
        <v>26</v>
      </c>
      <c r="AA3079" s="12" t="s">
        <v>31</v>
      </c>
    </row>
    <row r="3080" spans="1:27" x14ac:dyDescent="0.25">
      <c r="A3080" s="10">
        <v>45702</v>
      </c>
      <c r="B3080" s="11" t="s">
        <v>323</v>
      </c>
      <c r="C3080" s="11" t="s">
        <v>5604</v>
      </c>
      <c r="D3080" s="11">
        <v>17621</v>
      </c>
      <c r="E3080" s="11" t="s">
        <v>74</v>
      </c>
      <c r="F3080" s="11" t="s">
        <v>26</v>
      </c>
      <c r="G3080" s="11">
        <v>1334</v>
      </c>
      <c r="H3080" s="12" t="s">
        <v>70</v>
      </c>
      <c r="I3080" s="12" t="s">
        <v>27</v>
      </c>
      <c r="J3080" s="12" t="s">
        <v>42</v>
      </c>
      <c r="K3080" s="12" t="s">
        <v>43</v>
      </c>
      <c r="L3080" s="13">
        <v>41.92</v>
      </c>
      <c r="M3080" s="13">
        <v>25</v>
      </c>
      <c r="N3080" s="13">
        <f t="shared" ref="N3080:N3143" si="974">L3080/M3080</f>
        <v>1.6768000000000001</v>
      </c>
      <c r="O3080" s="13" t="s">
        <v>30</v>
      </c>
      <c r="P3080" s="13">
        <v>64</v>
      </c>
      <c r="Q3080" s="13">
        <v>0</v>
      </c>
      <c r="R3080" s="70">
        <f>+M3080*P3080</f>
        <v>1600</v>
      </c>
      <c r="S3080" s="70">
        <v>0</v>
      </c>
      <c r="T3080" s="70">
        <f>+M3080*S3080</f>
        <v>0</v>
      </c>
      <c r="U3080" s="70">
        <f t="shared" ref="U3080" si="975">+R3080-T3080</f>
        <v>1600</v>
      </c>
      <c r="V3080" s="70">
        <f t="shared" ref="V3080:V3081" si="976">+U3080*0</f>
        <v>0</v>
      </c>
      <c r="W3080" s="70">
        <f t="shared" ref="W3080" si="977">+U3080-V3080</f>
        <v>1600</v>
      </c>
      <c r="X3080" s="70">
        <v>0</v>
      </c>
      <c r="Y3080" s="14">
        <f t="shared" si="973"/>
        <v>0</v>
      </c>
      <c r="Z3080" s="11" t="s">
        <v>26</v>
      </c>
      <c r="AA3080" s="12" t="s">
        <v>31</v>
      </c>
    </row>
    <row r="3081" spans="1:27" x14ac:dyDescent="0.25">
      <c r="A3081" s="10">
        <v>45702</v>
      </c>
      <c r="B3081" s="11" t="s">
        <v>5605</v>
      </c>
      <c r="C3081" s="11" t="s">
        <v>5606</v>
      </c>
      <c r="D3081" s="11">
        <v>17622</v>
      </c>
      <c r="E3081" s="11" t="s">
        <v>570</v>
      </c>
      <c r="F3081" s="11" t="s">
        <v>26</v>
      </c>
      <c r="G3081" s="11">
        <v>10756</v>
      </c>
      <c r="H3081" s="12" t="s">
        <v>140</v>
      </c>
      <c r="I3081" s="12" t="s">
        <v>27</v>
      </c>
      <c r="J3081" s="12" t="s">
        <v>42</v>
      </c>
      <c r="K3081" s="12" t="s">
        <v>43</v>
      </c>
      <c r="L3081" s="13">
        <v>42.18</v>
      </c>
      <c r="M3081" s="13">
        <v>25</v>
      </c>
      <c r="N3081" s="13">
        <f t="shared" si="974"/>
        <v>1.6872</v>
      </c>
      <c r="O3081" s="13">
        <v>35</v>
      </c>
      <c r="P3081" s="13"/>
      <c r="Q3081" s="13">
        <v>0</v>
      </c>
      <c r="R3081" s="70">
        <f>+L3081*O3081</f>
        <v>1476.3</v>
      </c>
      <c r="S3081" s="70">
        <v>0</v>
      </c>
      <c r="T3081" s="70">
        <f>+L3081*S3081</f>
        <v>0</v>
      </c>
      <c r="U3081" s="70">
        <f>+R3081-T3081</f>
        <v>1476.3</v>
      </c>
      <c r="V3081" s="70">
        <f t="shared" si="976"/>
        <v>0</v>
      </c>
      <c r="W3081" s="70">
        <f>+U3081-V3081</f>
        <v>1476.3</v>
      </c>
      <c r="X3081" s="70">
        <v>0</v>
      </c>
      <c r="Y3081" s="14">
        <f t="shared" si="973"/>
        <v>0</v>
      </c>
      <c r="Z3081" s="11" t="s">
        <v>26</v>
      </c>
      <c r="AA3081" s="12" t="s">
        <v>31</v>
      </c>
    </row>
    <row r="3082" spans="1:27" x14ac:dyDescent="0.25">
      <c r="A3082" s="10">
        <v>45702</v>
      </c>
      <c r="B3082" s="11" t="s">
        <v>5607</v>
      </c>
      <c r="C3082" s="11" t="s">
        <v>5608</v>
      </c>
      <c r="D3082" s="11">
        <v>17623</v>
      </c>
      <c r="E3082" s="11" t="s">
        <v>69</v>
      </c>
      <c r="F3082" s="11" t="s">
        <v>26</v>
      </c>
      <c r="G3082" s="11">
        <v>1335</v>
      </c>
      <c r="H3082" s="12" t="s">
        <v>70</v>
      </c>
      <c r="I3082" s="12" t="s">
        <v>27</v>
      </c>
      <c r="J3082" s="12" t="s">
        <v>33</v>
      </c>
      <c r="K3082" s="12" t="s">
        <v>34</v>
      </c>
      <c r="L3082" s="13">
        <v>37.44</v>
      </c>
      <c r="M3082" s="13">
        <v>25</v>
      </c>
      <c r="N3082" s="13">
        <f t="shared" si="974"/>
        <v>1.4975999999999998</v>
      </c>
      <c r="O3082" s="13" t="s">
        <v>30</v>
      </c>
      <c r="P3082" s="13">
        <v>60</v>
      </c>
      <c r="Q3082" s="13">
        <v>0</v>
      </c>
      <c r="R3082" s="70">
        <f>+M3082*P3082</f>
        <v>1500</v>
      </c>
      <c r="S3082" s="70">
        <v>0</v>
      </c>
      <c r="T3082" s="70">
        <f>+M3082*S3082</f>
        <v>0</v>
      </c>
      <c r="U3082" s="70">
        <f t="shared" ref="U3082:U3083" si="978">+R3082-T3082</f>
        <v>1500</v>
      </c>
      <c r="V3082" s="70">
        <f>+U3082*0</f>
        <v>0</v>
      </c>
      <c r="W3082" s="70">
        <f t="shared" ref="W3082:W3083" si="979">+U3082-V3082</f>
        <v>1500</v>
      </c>
      <c r="X3082" s="70">
        <v>0</v>
      </c>
      <c r="Y3082" s="14">
        <f t="shared" si="973"/>
        <v>0</v>
      </c>
      <c r="Z3082" s="11" t="s">
        <v>26</v>
      </c>
      <c r="AA3082" s="12" t="s">
        <v>31</v>
      </c>
    </row>
    <row r="3083" spans="1:27" x14ac:dyDescent="0.25">
      <c r="A3083" s="10">
        <v>45702</v>
      </c>
      <c r="B3083" s="11" t="s">
        <v>467</v>
      </c>
      <c r="C3083" s="11" t="s">
        <v>5609</v>
      </c>
      <c r="D3083" s="11">
        <v>17624</v>
      </c>
      <c r="E3083" s="11" t="s">
        <v>5209</v>
      </c>
      <c r="F3083" s="11" t="s">
        <v>26</v>
      </c>
      <c r="G3083" s="11" t="s">
        <v>35</v>
      </c>
      <c r="H3083" s="12" t="s">
        <v>36</v>
      </c>
      <c r="I3083" s="12" t="s">
        <v>37</v>
      </c>
      <c r="J3083" s="12" t="s">
        <v>85</v>
      </c>
      <c r="K3083" s="12" t="s">
        <v>86</v>
      </c>
      <c r="L3083" s="13">
        <v>14.96</v>
      </c>
      <c r="M3083" s="13">
        <v>9</v>
      </c>
      <c r="N3083" s="13">
        <f t="shared" si="974"/>
        <v>1.6622222222222223</v>
      </c>
      <c r="O3083" s="13">
        <v>37</v>
      </c>
      <c r="P3083" s="13" t="s">
        <v>30</v>
      </c>
      <c r="Q3083" s="13">
        <v>0</v>
      </c>
      <c r="R3083" s="70">
        <f>(L3083*O3083)-Q3083</f>
        <v>553.52</v>
      </c>
      <c r="S3083" s="70">
        <v>0</v>
      </c>
      <c r="T3083" s="70">
        <f t="shared" ref="T3083" si="980">+L3083*S3083</f>
        <v>0</v>
      </c>
      <c r="U3083" s="70">
        <f t="shared" si="978"/>
        <v>553.52</v>
      </c>
      <c r="V3083" s="70">
        <f>+U3083*0</f>
        <v>0</v>
      </c>
      <c r="W3083" s="70">
        <f t="shared" si="979"/>
        <v>553.52</v>
      </c>
      <c r="X3083" s="70">
        <v>0</v>
      </c>
      <c r="Y3083" s="14">
        <f t="shared" si="973"/>
        <v>0</v>
      </c>
      <c r="Z3083" s="11" t="s">
        <v>26</v>
      </c>
      <c r="AA3083" s="12" t="s">
        <v>31</v>
      </c>
    </row>
    <row r="3084" spans="1:27" x14ac:dyDescent="0.25">
      <c r="A3084" s="10">
        <v>45702</v>
      </c>
      <c r="B3084" s="11" t="s">
        <v>736</v>
      </c>
      <c r="C3084" s="11" t="s">
        <v>5610</v>
      </c>
      <c r="D3084" s="11">
        <v>17625</v>
      </c>
      <c r="E3084" s="11" t="s">
        <v>485</v>
      </c>
      <c r="F3084" s="11" t="s">
        <v>26</v>
      </c>
      <c r="G3084" s="11">
        <v>78401</v>
      </c>
      <c r="H3084" s="12" t="s">
        <v>4448</v>
      </c>
      <c r="I3084" s="12" t="s">
        <v>27</v>
      </c>
      <c r="J3084" s="12" t="s">
        <v>42</v>
      </c>
      <c r="K3084" s="12" t="s">
        <v>43</v>
      </c>
      <c r="L3084" s="13">
        <v>42.62</v>
      </c>
      <c r="M3084" s="13">
        <v>25</v>
      </c>
      <c r="N3084" s="13">
        <f t="shared" si="974"/>
        <v>1.7047999999999999</v>
      </c>
      <c r="O3084" s="13">
        <v>42.5</v>
      </c>
      <c r="P3084" s="13"/>
      <c r="Q3084" s="13">
        <v>0</v>
      </c>
      <c r="R3084" s="70">
        <f>+L3084*O3084</f>
        <v>1811.35</v>
      </c>
      <c r="S3084" s="70">
        <v>0</v>
      </c>
      <c r="T3084" s="70">
        <f>+L3084*S3084</f>
        <v>0</v>
      </c>
      <c r="U3084" s="70">
        <f>+R3084-T3084</f>
        <v>1811.35</v>
      </c>
      <c r="V3084" s="70">
        <f>+U3084*0.75</f>
        <v>1358.5124999999998</v>
      </c>
      <c r="W3084" s="70">
        <f>+U3084-V3084</f>
        <v>452.83750000000009</v>
      </c>
      <c r="X3084" s="70">
        <v>0</v>
      </c>
      <c r="Y3084" s="14">
        <f t="shared" si="973"/>
        <v>0</v>
      </c>
      <c r="Z3084" s="11" t="s">
        <v>26</v>
      </c>
      <c r="AA3084" s="12" t="s">
        <v>31</v>
      </c>
    </row>
    <row r="3085" spans="1:27" x14ac:dyDescent="0.25">
      <c r="A3085" s="10">
        <v>45702</v>
      </c>
      <c r="B3085" s="11" t="s">
        <v>5611</v>
      </c>
      <c r="C3085" s="11" t="s">
        <v>5612</v>
      </c>
      <c r="D3085" s="11">
        <v>17626</v>
      </c>
      <c r="E3085" s="11" t="s">
        <v>74</v>
      </c>
      <c r="F3085" s="11" t="s">
        <v>26</v>
      </c>
      <c r="G3085" s="11">
        <v>1336</v>
      </c>
      <c r="H3085" s="12" t="s">
        <v>70</v>
      </c>
      <c r="I3085" s="12" t="s">
        <v>27</v>
      </c>
      <c r="J3085" s="12" t="s">
        <v>42</v>
      </c>
      <c r="K3085" s="12" t="s">
        <v>43</v>
      </c>
      <c r="L3085" s="13">
        <v>42.06</v>
      </c>
      <c r="M3085" s="13">
        <v>25</v>
      </c>
      <c r="N3085" s="13">
        <f t="shared" si="974"/>
        <v>1.6824000000000001</v>
      </c>
      <c r="O3085" s="13" t="s">
        <v>30</v>
      </c>
      <c r="P3085" s="13">
        <v>64</v>
      </c>
      <c r="Q3085" s="13">
        <v>0</v>
      </c>
      <c r="R3085" s="70">
        <f>+M3085*P3085</f>
        <v>1600</v>
      </c>
      <c r="S3085" s="70">
        <v>0</v>
      </c>
      <c r="T3085" s="70">
        <f>+M3085*S3085</f>
        <v>0</v>
      </c>
      <c r="U3085" s="70">
        <f t="shared" ref="U3085" si="981">+R3085-T3085</f>
        <v>1600</v>
      </c>
      <c r="V3085" s="70">
        <f t="shared" ref="V3085" si="982">+U3085*0</f>
        <v>0</v>
      </c>
      <c r="W3085" s="70">
        <f t="shared" ref="W3085" si="983">+U3085-V3085</f>
        <v>1600</v>
      </c>
      <c r="X3085" s="70">
        <v>0</v>
      </c>
      <c r="Y3085" s="14">
        <f t="shared" si="973"/>
        <v>0</v>
      </c>
      <c r="Z3085" s="11" t="s">
        <v>26</v>
      </c>
      <c r="AA3085" s="12" t="s">
        <v>31</v>
      </c>
    </row>
    <row r="3086" spans="1:27" x14ac:dyDescent="0.25">
      <c r="A3086" s="10">
        <v>45702</v>
      </c>
      <c r="B3086" s="11" t="s">
        <v>5613</v>
      </c>
      <c r="C3086" s="11" t="s">
        <v>5614</v>
      </c>
      <c r="D3086" s="11">
        <v>17627</v>
      </c>
      <c r="E3086" s="11" t="s">
        <v>53</v>
      </c>
      <c r="F3086" s="11" t="s">
        <v>26</v>
      </c>
      <c r="G3086" s="11">
        <v>3961</v>
      </c>
      <c r="H3086" s="12" t="s">
        <v>41</v>
      </c>
      <c r="I3086" s="12" t="s">
        <v>55</v>
      </c>
      <c r="J3086" s="12" t="s">
        <v>566</v>
      </c>
      <c r="K3086" s="12" t="s">
        <v>550</v>
      </c>
      <c r="L3086" s="13">
        <v>41.06</v>
      </c>
      <c r="M3086" s="13">
        <v>25</v>
      </c>
      <c r="N3086" s="13">
        <f t="shared" si="974"/>
        <v>1.6424000000000001</v>
      </c>
      <c r="O3086" s="13">
        <v>25</v>
      </c>
      <c r="P3086" s="13"/>
      <c r="Q3086" s="13">
        <v>0</v>
      </c>
      <c r="R3086" s="70">
        <f>L3086*O3086</f>
        <v>1026.5</v>
      </c>
      <c r="S3086" s="70">
        <v>0</v>
      </c>
      <c r="T3086" s="70">
        <f t="shared" ref="T3086" si="984">L3086*S3086</f>
        <v>0</v>
      </c>
      <c r="U3086" s="70">
        <f>R3086-T3086</f>
        <v>1026.5</v>
      </c>
      <c r="V3086" s="70">
        <f>U3086*0</f>
        <v>0</v>
      </c>
      <c r="W3086" s="70">
        <f>U3086-V3086</f>
        <v>1026.5</v>
      </c>
      <c r="X3086" s="70">
        <v>0</v>
      </c>
      <c r="Y3086" s="14">
        <f t="shared" si="973"/>
        <v>0</v>
      </c>
      <c r="Z3086" s="11" t="s">
        <v>26</v>
      </c>
      <c r="AA3086" s="12" t="s">
        <v>31</v>
      </c>
    </row>
    <row r="3087" spans="1:27" x14ac:dyDescent="0.25">
      <c r="A3087" s="10">
        <v>45702</v>
      </c>
      <c r="B3087" s="11" t="s">
        <v>5615</v>
      </c>
      <c r="C3087" s="11" t="s">
        <v>5616</v>
      </c>
      <c r="D3087" s="11">
        <v>17628</v>
      </c>
      <c r="E3087" s="11" t="s">
        <v>63</v>
      </c>
      <c r="F3087" s="11" t="s">
        <v>26</v>
      </c>
      <c r="G3087" s="11">
        <v>10194</v>
      </c>
      <c r="H3087" s="12" t="s">
        <v>140</v>
      </c>
      <c r="I3087" s="12" t="s">
        <v>27</v>
      </c>
      <c r="J3087" s="12" t="s">
        <v>33</v>
      </c>
      <c r="K3087" s="12" t="s">
        <v>34</v>
      </c>
      <c r="L3087" s="13">
        <v>42.34</v>
      </c>
      <c r="M3087" s="13">
        <v>29</v>
      </c>
      <c r="N3087" s="13">
        <f t="shared" si="974"/>
        <v>1.4600000000000002</v>
      </c>
      <c r="O3087" s="13">
        <v>40</v>
      </c>
      <c r="P3087" s="13"/>
      <c r="Q3087" s="13">
        <v>0</v>
      </c>
      <c r="R3087" s="70">
        <f>+L3087*O3087</f>
        <v>1693.6000000000001</v>
      </c>
      <c r="S3087" s="70">
        <v>0</v>
      </c>
      <c r="T3087" s="70">
        <f>+L3087*S3087</f>
        <v>0</v>
      </c>
      <c r="U3087" s="70">
        <f>+R3087-T3087</f>
        <v>1693.6000000000001</v>
      </c>
      <c r="V3087" s="70">
        <f t="shared" ref="V3087:V3088" si="985">+U3087*0</f>
        <v>0</v>
      </c>
      <c r="W3087" s="70">
        <f>+U3087-V3087</f>
        <v>1693.6000000000001</v>
      </c>
      <c r="X3087" s="70">
        <v>0</v>
      </c>
      <c r="Y3087" s="14">
        <f t="shared" si="973"/>
        <v>0</v>
      </c>
      <c r="Z3087" s="11" t="s">
        <v>26</v>
      </c>
      <c r="AA3087" s="12" t="s">
        <v>31</v>
      </c>
    </row>
    <row r="3088" spans="1:27" x14ac:dyDescent="0.25">
      <c r="A3088" s="10">
        <v>45702</v>
      </c>
      <c r="B3088" s="11" t="s">
        <v>5617</v>
      </c>
      <c r="C3088" s="11" t="s">
        <v>5618</v>
      </c>
      <c r="D3088" s="11">
        <v>17629</v>
      </c>
      <c r="E3088" s="11" t="s">
        <v>238</v>
      </c>
      <c r="F3088" s="11" t="s">
        <v>26</v>
      </c>
      <c r="G3088" s="11" t="s">
        <v>35</v>
      </c>
      <c r="H3088" s="12" t="s">
        <v>36</v>
      </c>
      <c r="I3088" s="12" t="s">
        <v>55</v>
      </c>
      <c r="J3088" s="12" t="s">
        <v>55</v>
      </c>
      <c r="K3088" s="12" t="s">
        <v>56</v>
      </c>
      <c r="L3088" s="13">
        <v>32.4</v>
      </c>
      <c r="M3088" s="13">
        <v>23</v>
      </c>
      <c r="N3088" s="13">
        <f t="shared" si="974"/>
        <v>1.4086956521739129</v>
      </c>
      <c r="O3088" s="13">
        <v>20</v>
      </c>
      <c r="P3088" s="13" t="s">
        <v>30</v>
      </c>
      <c r="Q3088" s="13">
        <v>0</v>
      </c>
      <c r="R3088" s="70">
        <f>(L3088*O3088)-Q3088</f>
        <v>648</v>
      </c>
      <c r="S3088" s="70">
        <v>0</v>
      </c>
      <c r="T3088" s="70">
        <f t="shared" ref="T3088" si="986">+L3088*S3088</f>
        <v>0</v>
      </c>
      <c r="U3088" s="70">
        <f t="shared" ref="U3088" si="987">+R3088-T3088</f>
        <v>648</v>
      </c>
      <c r="V3088" s="70">
        <f t="shared" si="985"/>
        <v>0</v>
      </c>
      <c r="W3088" s="70">
        <f t="shared" ref="W3088" si="988">+U3088-V3088</f>
        <v>648</v>
      </c>
      <c r="X3088" s="70">
        <v>0</v>
      </c>
      <c r="Y3088" s="14">
        <f t="shared" si="973"/>
        <v>0</v>
      </c>
      <c r="Z3088" s="11" t="s">
        <v>26</v>
      </c>
      <c r="AA3088" s="12" t="s">
        <v>31</v>
      </c>
    </row>
    <row r="3089" spans="1:27" x14ac:dyDescent="0.25">
      <c r="A3089" s="10">
        <v>45702</v>
      </c>
      <c r="B3089" s="11" t="s">
        <v>5275</v>
      </c>
      <c r="C3089" s="11" t="s">
        <v>5619</v>
      </c>
      <c r="D3089" s="11">
        <v>17630</v>
      </c>
      <c r="E3089" s="11" t="s">
        <v>658</v>
      </c>
      <c r="F3089" s="11" t="s">
        <v>26</v>
      </c>
      <c r="G3089" s="11">
        <v>870</v>
      </c>
      <c r="H3089" s="12" t="s">
        <v>141</v>
      </c>
      <c r="I3089" s="12" t="s">
        <v>55</v>
      </c>
      <c r="J3089" s="12" t="s">
        <v>55</v>
      </c>
      <c r="K3089" s="12" t="s">
        <v>56</v>
      </c>
      <c r="L3089" s="13">
        <v>37.72</v>
      </c>
      <c r="M3089" s="13">
        <v>25</v>
      </c>
      <c r="N3089" s="13">
        <f t="shared" si="974"/>
        <v>1.5087999999999999</v>
      </c>
      <c r="O3089" s="13">
        <v>15</v>
      </c>
      <c r="P3089" s="13" t="s">
        <v>30</v>
      </c>
      <c r="Q3089" s="13">
        <v>0</v>
      </c>
      <c r="R3089" s="70">
        <f>L3089*O3089</f>
        <v>565.79999999999995</v>
      </c>
      <c r="S3089" s="70">
        <v>0</v>
      </c>
      <c r="T3089" s="70">
        <f>L3089*S3089</f>
        <v>0</v>
      </c>
      <c r="U3089" s="70">
        <f>R3089-T3089</f>
        <v>565.79999999999995</v>
      </c>
      <c r="V3089" s="70">
        <f>U3089*0</f>
        <v>0</v>
      </c>
      <c r="W3089" s="70">
        <f>U3089-V3089</f>
        <v>565.79999999999995</v>
      </c>
      <c r="X3089" s="70">
        <v>0</v>
      </c>
      <c r="Y3089" s="14">
        <f t="shared" si="973"/>
        <v>0</v>
      </c>
      <c r="Z3089" s="11" t="s">
        <v>26</v>
      </c>
      <c r="AA3089" s="12" t="s">
        <v>31</v>
      </c>
    </row>
    <row r="3090" spans="1:27" x14ac:dyDescent="0.25">
      <c r="A3090" s="10">
        <v>45702</v>
      </c>
      <c r="B3090" s="11" t="s">
        <v>5620</v>
      </c>
      <c r="C3090" s="11" t="s">
        <v>5621</v>
      </c>
      <c r="D3090" s="11">
        <v>17631</v>
      </c>
      <c r="E3090" s="11" t="s">
        <v>80</v>
      </c>
      <c r="F3090" s="11" t="s">
        <v>26</v>
      </c>
      <c r="G3090" s="11">
        <v>10689</v>
      </c>
      <c r="H3090" s="12" t="s">
        <v>140</v>
      </c>
      <c r="I3090" s="12" t="s">
        <v>27</v>
      </c>
      <c r="J3090" s="12" t="s">
        <v>42</v>
      </c>
      <c r="K3090" s="12" t="s">
        <v>43</v>
      </c>
      <c r="L3090" s="13">
        <v>45.06</v>
      </c>
      <c r="M3090" s="13">
        <v>25</v>
      </c>
      <c r="N3090" s="13">
        <f t="shared" si="974"/>
        <v>1.8024</v>
      </c>
      <c r="O3090" s="13">
        <v>35</v>
      </c>
      <c r="P3090" s="13"/>
      <c r="Q3090" s="13">
        <v>0</v>
      </c>
      <c r="R3090" s="70">
        <f>+L3090*O3090</f>
        <v>1577.1000000000001</v>
      </c>
      <c r="S3090" s="70">
        <v>0</v>
      </c>
      <c r="T3090" s="70">
        <f>+L3090*S3090</f>
        <v>0</v>
      </c>
      <c r="U3090" s="70">
        <f>+R3090-T3090</f>
        <v>1577.1000000000001</v>
      </c>
      <c r="V3090" s="70">
        <f t="shared" ref="V3090" si="989">+U3090*0</f>
        <v>0</v>
      </c>
      <c r="W3090" s="70">
        <f>+U3090-V3090</f>
        <v>1577.1000000000001</v>
      </c>
      <c r="X3090" s="70">
        <v>0</v>
      </c>
      <c r="Y3090" s="14">
        <f t="shared" si="973"/>
        <v>0</v>
      </c>
      <c r="Z3090" s="11" t="s">
        <v>26</v>
      </c>
      <c r="AA3090" s="12" t="s">
        <v>31</v>
      </c>
    </row>
    <row r="3091" spans="1:27" x14ac:dyDescent="0.25">
      <c r="A3091" s="10">
        <v>45702</v>
      </c>
      <c r="B3091" s="11" t="s">
        <v>5622</v>
      </c>
      <c r="C3091" s="11" t="s">
        <v>5623</v>
      </c>
      <c r="D3091" s="11">
        <v>17632</v>
      </c>
      <c r="E3091" s="11" t="s">
        <v>81</v>
      </c>
      <c r="F3091" s="11" t="s">
        <v>26</v>
      </c>
      <c r="G3091" s="11">
        <v>1217</v>
      </c>
      <c r="H3091" s="12" t="s">
        <v>141</v>
      </c>
      <c r="I3091" s="12" t="s">
        <v>27</v>
      </c>
      <c r="J3091" s="12" t="s">
        <v>42</v>
      </c>
      <c r="K3091" s="12" t="s">
        <v>43</v>
      </c>
      <c r="L3091" s="13">
        <v>42.12</v>
      </c>
      <c r="M3091" s="13">
        <v>25</v>
      </c>
      <c r="N3091" s="13">
        <f t="shared" si="974"/>
        <v>1.6847999999999999</v>
      </c>
      <c r="O3091" s="13">
        <v>40</v>
      </c>
      <c r="P3091" s="13" t="s">
        <v>30</v>
      </c>
      <c r="Q3091" s="13">
        <v>0</v>
      </c>
      <c r="R3091" s="70">
        <f>L3091*O3091</f>
        <v>1684.8</v>
      </c>
      <c r="S3091" s="70">
        <v>0</v>
      </c>
      <c r="T3091" s="70">
        <f>L3091*S3091</f>
        <v>0</v>
      </c>
      <c r="U3091" s="70">
        <f>R3091-T3091</f>
        <v>1684.8</v>
      </c>
      <c r="V3091" s="70">
        <f>U3091*0</f>
        <v>0</v>
      </c>
      <c r="W3091" s="70">
        <f>U3091-V3091</f>
        <v>1684.8</v>
      </c>
      <c r="X3091" s="70">
        <v>0</v>
      </c>
      <c r="Y3091" s="14">
        <f t="shared" si="973"/>
        <v>0</v>
      </c>
      <c r="Z3091" s="11" t="s">
        <v>26</v>
      </c>
      <c r="AA3091" s="12" t="s">
        <v>31</v>
      </c>
    </row>
    <row r="3092" spans="1:27" x14ac:dyDescent="0.25">
      <c r="A3092" s="10">
        <v>45702</v>
      </c>
      <c r="B3092" s="11" t="s">
        <v>5624</v>
      </c>
      <c r="C3092" s="11" t="s">
        <v>5625</v>
      </c>
      <c r="D3092" s="11">
        <v>17633</v>
      </c>
      <c r="E3092" s="11" t="s">
        <v>2109</v>
      </c>
      <c r="F3092" s="11" t="s">
        <v>26</v>
      </c>
      <c r="G3092" s="11">
        <v>10627</v>
      </c>
      <c r="H3092" s="12" t="s">
        <v>140</v>
      </c>
      <c r="I3092" s="12" t="s">
        <v>27</v>
      </c>
      <c r="J3092" s="12" t="s">
        <v>33</v>
      </c>
      <c r="K3092" s="12" t="s">
        <v>34</v>
      </c>
      <c r="L3092" s="13">
        <v>43.08</v>
      </c>
      <c r="M3092" s="13">
        <v>29</v>
      </c>
      <c r="N3092" s="13">
        <f t="shared" si="974"/>
        <v>1.4855172413793103</v>
      </c>
      <c r="O3092" s="13">
        <v>40</v>
      </c>
      <c r="P3092" s="13"/>
      <c r="Q3092" s="13">
        <v>0</v>
      </c>
      <c r="R3092" s="70">
        <f>+L3092*O3092</f>
        <v>1723.1999999999998</v>
      </c>
      <c r="S3092" s="70">
        <v>0</v>
      </c>
      <c r="T3092" s="70">
        <f>+L3092*S3092</f>
        <v>0</v>
      </c>
      <c r="U3092" s="70">
        <f>+R3092-T3092</f>
        <v>1723.1999999999998</v>
      </c>
      <c r="V3092" s="70">
        <f t="shared" ref="V3092" si="990">+U3092*0</f>
        <v>0</v>
      </c>
      <c r="W3092" s="70">
        <f>+U3092-V3092</f>
        <v>1723.1999999999998</v>
      </c>
      <c r="X3092" s="70">
        <v>0</v>
      </c>
      <c r="Y3092" s="14">
        <f t="shared" si="973"/>
        <v>0</v>
      </c>
      <c r="Z3092" s="11" t="s">
        <v>26</v>
      </c>
      <c r="AA3092" s="12" t="s">
        <v>31</v>
      </c>
    </row>
    <row r="3093" spans="1:27" x14ac:dyDescent="0.25">
      <c r="A3093" s="10">
        <v>45702</v>
      </c>
      <c r="B3093" s="11" t="s">
        <v>5626</v>
      </c>
      <c r="C3093" s="11" t="s">
        <v>5627</v>
      </c>
      <c r="D3093" s="11">
        <v>17634</v>
      </c>
      <c r="E3093" s="11" t="s">
        <v>593</v>
      </c>
      <c r="F3093" s="11" t="s">
        <v>26</v>
      </c>
      <c r="G3093" s="11">
        <v>44335</v>
      </c>
      <c r="H3093" s="12" t="s">
        <v>4423</v>
      </c>
      <c r="I3093" s="12" t="s">
        <v>27</v>
      </c>
      <c r="J3093" s="12" t="s">
        <v>33</v>
      </c>
      <c r="K3093" s="12" t="s">
        <v>34</v>
      </c>
      <c r="L3093" s="13">
        <v>34.92</v>
      </c>
      <c r="M3093" s="13">
        <v>25</v>
      </c>
      <c r="N3093" s="13">
        <f t="shared" si="974"/>
        <v>1.3968</v>
      </c>
      <c r="O3093" s="13">
        <v>45</v>
      </c>
      <c r="P3093" s="13" t="s">
        <v>30</v>
      </c>
      <c r="Q3093" s="13">
        <v>0</v>
      </c>
      <c r="R3093" s="70">
        <f>+L3093*O3093</f>
        <v>1571.4</v>
      </c>
      <c r="S3093" s="70">
        <v>0</v>
      </c>
      <c r="T3093" s="70">
        <f>+L3093*S3093</f>
        <v>0</v>
      </c>
      <c r="U3093" s="70">
        <f t="shared" ref="U3093" si="991">+R3093-T3093</f>
        <v>1571.4</v>
      </c>
      <c r="V3093" s="70">
        <f>+U3093*1</f>
        <v>1571.4</v>
      </c>
      <c r="W3093" s="70">
        <f t="shared" ref="W3093" si="992">+U3093-V3093</f>
        <v>0</v>
      </c>
      <c r="X3093" s="70">
        <v>0</v>
      </c>
      <c r="Y3093" s="14">
        <f t="shared" si="973"/>
        <v>0</v>
      </c>
      <c r="Z3093" s="11" t="s">
        <v>26</v>
      </c>
      <c r="AA3093" s="12" t="s">
        <v>31</v>
      </c>
    </row>
    <row r="3094" spans="1:27" x14ac:dyDescent="0.25">
      <c r="A3094" s="10">
        <v>45702</v>
      </c>
      <c r="B3094" s="11" t="s">
        <v>5628</v>
      </c>
      <c r="C3094" s="11" t="s">
        <v>5629</v>
      </c>
      <c r="D3094" s="11">
        <v>17635</v>
      </c>
      <c r="E3094" s="11" t="s">
        <v>5032</v>
      </c>
      <c r="F3094" s="11" t="s">
        <v>26</v>
      </c>
      <c r="G3094" s="11">
        <v>10804</v>
      </c>
      <c r="H3094" s="12" t="s">
        <v>140</v>
      </c>
      <c r="I3094" s="12" t="s">
        <v>27</v>
      </c>
      <c r="J3094" s="12" t="s">
        <v>42</v>
      </c>
      <c r="K3094" s="12" t="s">
        <v>43</v>
      </c>
      <c r="L3094" s="13">
        <v>43.18</v>
      </c>
      <c r="M3094" s="13">
        <v>25</v>
      </c>
      <c r="N3094" s="13">
        <f t="shared" si="974"/>
        <v>1.7272000000000001</v>
      </c>
      <c r="O3094" s="13">
        <v>35</v>
      </c>
      <c r="P3094" s="13"/>
      <c r="Q3094" s="13">
        <v>0</v>
      </c>
      <c r="R3094" s="70">
        <f>+L3094*O3094</f>
        <v>1511.3</v>
      </c>
      <c r="S3094" s="70">
        <v>0</v>
      </c>
      <c r="T3094" s="70">
        <f>+L3094*S3094</f>
        <v>0</v>
      </c>
      <c r="U3094" s="70">
        <f>+R3094-T3094</f>
        <v>1511.3</v>
      </c>
      <c r="V3094" s="70">
        <f t="shared" ref="V3094" si="993">+U3094*0</f>
        <v>0</v>
      </c>
      <c r="W3094" s="70">
        <f>+U3094-V3094</f>
        <v>1511.3</v>
      </c>
      <c r="X3094" s="70">
        <v>0</v>
      </c>
      <c r="Y3094" s="14">
        <f t="shared" si="973"/>
        <v>0</v>
      </c>
      <c r="Z3094" s="11" t="s">
        <v>26</v>
      </c>
      <c r="AA3094" s="12" t="s">
        <v>31</v>
      </c>
    </row>
    <row r="3095" spans="1:27" x14ac:dyDescent="0.25">
      <c r="A3095" s="10">
        <v>45702</v>
      </c>
      <c r="B3095" s="11" t="s">
        <v>346</v>
      </c>
      <c r="C3095" s="11" t="s">
        <v>5630</v>
      </c>
      <c r="D3095" s="11">
        <v>17636</v>
      </c>
      <c r="E3095" s="11" t="s">
        <v>240</v>
      </c>
      <c r="F3095" s="11" t="s">
        <v>26</v>
      </c>
      <c r="G3095" s="11" t="s">
        <v>26</v>
      </c>
      <c r="H3095" s="12" t="s">
        <v>4422</v>
      </c>
      <c r="I3095" s="12" t="s">
        <v>27</v>
      </c>
      <c r="J3095" s="12" t="s">
        <v>47</v>
      </c>
      <c r="K3095" s="12" t="s">
        <v>48</v>
      </c>
      <c r="L3095" s="13">
        <v>42.02</v>
      </c>
      <c r="M3095" s="13">
        <v>28</v>
      </c>
      <c r="N3095" s="13">
        <f t="shared" si="974"/>
        <v>1.5007142857142859</v>
      </c>
      <c r="O3095" s="13">
        <v>87</v>
      </c>
      <c r="P3095" s="13" t="s">
        <v>30</v>
      </c>
      <c r="Q3095" s="13">
        <v>0</v>
      </c>
      <c r="R3095" s="70">
        <f>L3095*O3095</f>
        <v>3655.7400000000002</v>
      </c>
      <c r="S3095" s="70">
        <v>38</v>
      </c>
      <c r="T3095" s="70">
        <f>L3095*S3095</f>
        <v>1596.7600000000002</v>
      </c>
      <c r="U3095" s="70">
        <f>R3095-T3095</f>
        <v>2058.98</v>
      </c>
      <c r="V3095" s="70">
        <f>U3095*1</f>
        <v>2058.98</v>
      </c>
      <c r="W3095" s="70">
        <f>U3095-V3095</f>
        <v>0</v>
      </c>
      <c r="X3095" s="70">
        <f>L3095*37</f>
        <v>1554.74</v>
      </c>
      <c r="Y3095" s="71">
        <f>+T3095-X3095</f>
        <v>42.020000000000209</v>
      </c>
      <c r="Z3095" s="12" t="s">
        <v>41</v>
      </c>
      <c r="AA3095" s="12" t="s">
        <v>78</v>
      </c>
    </row>
    <row r="3096" spans="1:27" x14ac:dyDescent="0.25">
      <c r="A3096" s="10">
        <v>45702</v>
      </c>
      <c r="B3096" s="11" t="s">
        <v>3334</v>
      </c>
      <c r="C3096" s="11" t="s">
        <v>5631</v>
      </c>
      <c r="D3096" s="11">
        <v>17637</v>
      </c>
      <c r="E3096" s="11" t="s">
        <v>5632</v>
      </c>
      <c r="F3096" s="11" t="s">
        <v>26</v>
      </c>
      <c r="G3096" s="11" t="s">
        <v>35</v>
      </c>
      <c r="H3096" s="12" t="s">
        <v>36</v>
      </c>
      <c r="I3096" s="12" t="s">
        <v>37</v>
      </c>
      <c r="J3096" s="12" t="s">
        <v>85</v>
      </c>
      <c r="K3096" s="12" t="s">
        <v>86</v>
      </c>
      <c r="L3096" s="13">
        <v>14.4</v>
      </c>
      <c r="M3096" s="13">
        <v>8</v>
      </c>
      <c r="N3096" s="13">
        <f t="shared" si="974"/>
        <v>1.8</v>
      </c>
      <c r="O3096" s="13">
        <v>37</v>
      </c>
      <c r="P3096" s="13" t="s">
        <v>30</v>
      </c>
      <c r="Q3096" s="13">
        <v>0</v>
      </c>
      <c r="R3096" s="70">
        <f>(L3096*O3096)-Q3096</f>
        <v>532.80000000000007</v>
      </c>
      <c r="S3096" s="70">
        <v>0</v>
      </c>
      <c r="T3096" s="70">
        <f t="shared" ref="T3096" si="994">+L3096*S3096</f>
        <v>0</v>
      </c>
      <c r="U3096" s="70">
        <f t="shared" ref="U3096" si="995">+R3096-T3096</f>
        <v>532.80000000000007</v>
      </c>
      <c r="V3096" s="70">
        <f>+U3096*0</f>
        <v>0</v>
      </c>
      <c r="W3096" s="70">
        <f t="shared" ref="W3096" si="996">+U3096-V3096</f>
        <v>532.80000000000007</v>
      </c>
      <c r="X3096" s="70">
        <v>0</v>
      </c>
      <c r="Y3096" s="14">
        <f t="shared" ref="Y3096:Y3105" si="997">T3096-X3096</f>
        <v>0</v>
      </c>
      <c r="Z3096" s="11" t="s">
        <v>26</v>
      </c>
      <c r="AA3096" s="12" t="s">
        <v>31</v>
      </c>
    </row>
    <row r="3097" spans="1:27" x14ac:dyDescent="0.25">
      <c r="A3097" s="10">
        <v>45702</v>
      </c>
      <c r="B3097" s="11" t="s">
        <v>5633</v>
      </c>
      <c r="C3097" s="11" t="s">
        <v>5634</v>
      </c>
      <c r="D3097" s="11">
        <v>17638</v>
      </c>
      <c r="E3097" s="11" t="s">
        <v>46</v>
      </c>
      <c r="F3097" s="11" t="s">
        <v>26</v>
      </c>
      <c r="G3097" s="11">
        <v>112869</v>
      </c>
      <c r="H3097" s="12" t="s">
        <v>4446</v>
      </c>
      <c r="I3097" s="12" t="s">
        <v>27</v>
      </c>
      <c r="J3097" s="12" t="s">
        <v>33</v>
      </c>
      <c r="K3097" s="12" t="s">
        <v>34</v>
      </c>
      <c r="L3097" s="13">
        <v>35.46</v>
      </c>
      <c r="M3097" s="13">
        <v>25</v>
      </c>
      <c r="N3097" s="13">
        <f t="shared" si="974"/>
        <v>1.4184000000000001</v>
      </c>
      <c r="O3097" s="13">
        <v>44</v>
      </c>
      <c r="P3097" s="13" t="s">
        <v>30</v>
      </c>
      <c r="Q3097" s="13">
        <v>0</v>
      </c>
      <c r="R3097" s="70">
        <f t="shared" ref="R3097" si="998">+L3097*O3097</f>
        <v>1560.24</v>
      </c>
      <c r="S3097" s="70">
        <v>0</v>
      </c>
      <c r="T3097" s="70">
        <f>+L3097*S3097</f>
        <v>0</v>
      </c>
      <c r="U3097" s="70">
        <f>+R3097-T3097</f>
        <v>1560.24</v>
      </c>
      <c r="V3097" s="70">
        <f>+U3097*1</f>
        <v>1560.24</v>
      </c>
      <c r="W3097" s="70">
        <f>+U3097-V3097</f>
        <v>0</v>
      </c>
      <c r="X3097" s="70">
        <v>0</v>
      </c>
      <c r="Y3097" s="14">
        <f t="shared" si="997"/>
        <v>0</v>
      </c>
      <c r="Z3097" s="11" t="s">
        <v>26</v>
      </c>
      <c r="AA3097" s="12" t="s">
        <v>31</v>
      </c>
    </row>
    <row r="3098" spans="1:27" x14ac:dyDescent="0.25">
      <c r="A3098" s="10">
        <v>45702</v>
      </c>
      <c r="B3098" s="11" t="s">
        <v>5635</v>
      </c>
      <c r="C3098" s="11" t="s">
        <v>5636</v>
      </c>
      <c r="D3098" s="11">
        <v>17639</v>
      </c>
      <c r="E3098" s="11" t="s">
        <v>525</v>
      </c>
      <c r="F3098" s="11" t="s">
        <v>26</v>
      </c>
      <c r="G3098" s="11">
        <v>78552</v>
      </c>
      <c r="H3098" s="12" t="s">
        <v>4448</v>
      </c>
      <c r="I3098" s="12" t="s">
        <v>27</v>
      </c>
      <c r="J3098" s="12" t="s">
        <v>42</v>
      </c>
      <c r="K3098" s="12" t="s">
        <v>43</v>
      </c>
      <c r="L3098" s="13">
        <v>40.36</v>
      </c>
      <c r="M3098" s="13">
        <v>25</v>
      </c>
      <c r="N3098" s="13">
        <f t="shared" si="974"/>
        <v>1.6144000000000001</v>
      </c>
      <c r="O3098" s="13">
        <v>42.5</v>
      </c>
      <c r="P3098" s="13"/>
      <c r="Q3098" s="13">
        <v>0</v>
      </c>
      <c r="R3098" s="70">
        <f>+L3098*O3098</f>
        <v>1715.3</v>
      </c>
      <c r="S3098" s="70">
        <v>0</v>
      </c>
      <c r="T3098" s="70">
        <f>+L3098*S3098</f>
        <v>0</v>
      </c>
      <c r="U3098" s="70">
        <f>+R3098-T3098</f>
        <v>1715.3</v>
      </c>
      <c r="V3098" s="70">
        <f>+U3098*0.75</f>
        <v>1286.4749999999999</v>
      </c>
      <c r="W3098" s="70">
        <f>+U3098-V3098</f>
        <v>428.82500000000005</v>
      </c>
      <c r="X3098" s="70">
        <v>0</v>
      </c>
      <c r="Y3098" s="14">
        <f t="shared" si="997"/>
        <v>0</v>
      </c>
      <c r="Z3098" s="11" t="s">
        <v>26</v>
      </c>
      <c r="AA3098" s="12" t="s">
        <v>31</v>
      </c>
    </row>
    <row r="3099" spans="1:27" x14ac:dyDescent="0.25">
      <c r="A3099" s="10">
        <v>45702</v>
      </c>
      <c r="B3099" s="11" t="s">
        <v>1223</v>
      </c>
      <c r="C3099" s="11" t="s">
        <v>5637</v>
      </c>
      <c r="D3099" s="11">
        <v>17640</v>
      </c>
      <c r="E3099" s="11" t="s">
        <v>1200</v>
      </c>
      <c r="F3099" s="11" t="s">
        <v>26</v>
      </c>
      <c r="G3099" s="11">
        <v>2969</v>
      </c>
      <c r="H3099" s="12" t="s">
        <v>163</v>
      </c>
      <c r="I3099" s="12" t="s">
        <v>27</v>
      </c>
      <c r="J3099" s="12" t="s">
        <v>47</v>
      </c>
      <c r="K3099" s="12" t="s">
        <v>48</v>
      </c>
      <c r="L3099" s="13">
        <v>38.56</v>
      </c>
      <c r="M3099" s="13">
        <v>25</v>
      </c>
      <c r="N3099" s="13">
        <f t="shared" si="974"/>
        <v>1.5424</v>
      </c>
      <c r="O3099" s="13" t="s">
        <v>30</v>
      </c>
      <c r="P3099" s="13">
        <v>60</v>
      </c>
      <c r="Q3099" s="13">
        <v>0</v>
      </c>
      <c r="R3099" s="70">
        <f>M3099*P3099</f>
        <v>1500</v>
      </c>
      <c r="S3099" s="70">
        <v>0</v>
      </c>
      <c r="T3099" s="70">
        <f>M3099*S3099</f>
        <v>0</v>
      </c>
      <c r="U3099" s="70">
        <f>R3099-T3099</f>
        <v>1500</v>
      </c>
      <c r="V3099" s="70">
        <f>U3099*0</f>
        <v>0</v>
      </c>
      <c r="W3099" s="70">
        <f>U3099-V3099</f>
        <v>1500</v>
      </c>
      <c r="X3099" s="70">
        <v>0</v>
      </c>
      <c r="Y3099" s="14">
        <f t="shared" si="997"/>
        <v>0</v>
      </c>
      <c r="Z3099" s="11" t="s">
        <v>26</v>
      </c>
      <c r="AA3099" s="12" t="s">
        <v>31</v>
      </c>
    </row>
    <row r="3100" spans="1:27" x14ac:dyDescent="0.25">
      <c r="A3100" s="10">
        <v>45702</v>
      </c>
      <c r="B3100" s="11" t="s">
        <v>5638</v>
      </c>
      <c r="C3100" s="11" t="s">
        <v>5639</v>
      </c>
      <c r="D3100" s="11">
        <v>17641</v>
      </c>
      <c r="E3100" s="11" t="s">
        <v>561</v>
      </c>
      <c r="F3100" s="11" t="s">
        <v>26</v>
      </c>
      <c r="G3100" s="11">
        <v>112872</v>
      </c>
      <c r="H3100" s="12" t="s">
        <v>4446</v>
      </c>
      <c r="I3100" s="12" t="s">
        <v>27</v>
      </c>
      <c r="J3100" s="12" t="s">
        <v>42</v>
      </c>
      <c r="K3100" s="12" t="s">
        <v>43</v>
      </c>
      <c r="L3100" s="13">
        <v>38.76</v>
      </c>
      <c r="M3100" s="13">
        <v>25</v>
      </c>
      <c r="N3100" s="13">
        <f t="shared" si="974"/>
        <v>1.5504</v>
      </c>
      <c r="O3100" s="13">
        <v>42</v>
      </c>
      <c r="P3100" s="13" t="s">
        <v>30</v>
      </c>
      <c r="Q3100" s="13">
        <v>0</v>
      </c>
      <c r="R3100" s="70">
        <f t="shared" ref="R3100:R3101" si="999">+L3100*O3100</f>
        <v>1627.9199999999998</v>
      </c>
      <c r="S3100" s="70">
        <v>0</v>
      </c>
      <c r="T3100" s="70">
        <f>+L3100*S3100</f>
        <v>0</v>
      </c>
      <c r="U3100" s="70">
        <f t="shared" ref="U3100" si="1000">+R3100-T3100</f>
        <v>1627.9199999999998</v>
      </c>
      <c r="V3100" s="70">
        <f>+U3100*1</f>
        <v>1627.9199999999998</v>
      </c>
      <c r="W3100" s="70">
        <f t="shared" ref="W3100" si="1001">+U3100-V3100</f>
        <v>0</v>
      </c>
      <c r="X3100" s="70">
        <v>0</v>
      </c>
      <c r="Y3100" s="14">
        <f t="shared" si="997"/>
        <v>0</v>
      </c>
      <c r="Z3100" s="11" t="s">
        <v>26</v>
      </c>
      <c r="AA3100" s="12" t="s">
        <v>31</v>
      </c>
    </row>
    <row r="3101" spans="1:27" x14ac:dyDescent="0.25">
      <c r="A3101" s="10">
        <v>45702</v>
      </c>
      <c r="B3101" s="11" t="s">
        <v>3648</v>
      </c>
      <c r="C3101" s="11" t="s">
        <v>5640</v>
      </c>
      <c r="D3101" s="11">
        <v>17642</v>
      </c>
      <c r="E3101" s="11" t="s">
        <v>5472</v>
      </c>
      <c r="F3101" s="11" t="s">
        <v>26</v>
      </c>
      <c r="G3101" s="11">
        <v>112871</v>
      </c>
      <c r="H3101" s="12" t="s">
        <v>4446</v>
      </c>
      <c r="I3101" s="12" t="s">
        <v>27</v>
      </c>
      <c r="J3101" s="12" t="s">
        <v>47</v>
      </c>
      <c r="K3101" s="12" t="s">
        <v>48</v>
      </c>
      <c r="L3101" s="13">
        <v>34.56</v>
      </c>
      <c r="M3101" s="13">
        <v>25</v>
      </c>
      <c r="N3101" s="13">
        <f t="shared" si="974"/>
        <v>1.3824000000000001</v>
      </c>
      <c r="O3101" s="13">
        <v>44</v>
      </c>
      <c r="P3101" s="13" t="s">
        <v>30</v>
      </c>
      <c r="Q3101" s="13">
        <v>0</v>
      </c>
      <c r="R3101" s="70">
        <f t="shared" si="999"/>
        <v>1520.64</v>
      </c>
      <c r="S3101" s="70">
        <v>0</v>
      </c>
      <c r="T3101" s="70">
        <f>+L3101*S3101</f>
        <v>0</v>
      </c>
      <c r="U3101" s="70">
        <f>+R3101-T3101</f>
        <v>1520.64</v>
      </c>
      <c r="V3101" s="70">
        <f>+U3101*1</f>
        <v>1520.64</v>
      </c>
      <c r="W3101" s="70">
        <f>+U3101-V3101</f>
        <v>0</v>
      </c>
      <c r="X3101" s="70">
        <v>0</v>
      </c>
      <c r="Y3101" s="14">
        <f t="shared" si="997"/>
        <v>0</v>
      </c>
      <c r="Z3101" s="11" t="s">
        <v>26</v>
      </c>
      <c r="AA3101" s="12" t="s">
        <v>31</v>
      </c>
    </row>
    <row r="3102" spans="1:27" x14ac:dyDescent="0.25">
      <c r="A3102" s="10">
        <v>45702</v>
      </c>
      <c r="B3102" s="11" t="s">
        <v>5641</v>
      </c>
      <c r="C3102" s="11" t="s">
        <v>5642</v>
      </c>
      <c r="D3102" s="11">
        <v>17643</v>
      </c>
      <c r="E3102" s="11" t="s">
        <v>1281</v>
      </c>
      <c r="F3102" s="11" t="s">
        <v>26</v>
      </c>
      <c r="G3102" s="11">
        <v>1017</v>
      </c>
      <c r="H3102" s="12" t="s">
        <v>141</v>
      </c>
      <c r="I3102" s="12" t="s">
        <v>27</v>
      </c>
      <c r="J3102" s="12" t="s">
        <v>33</v>
      </c>
      <c r="K3102" s="12" t="s">
        <v>34</v>
      </c>
      <c r="L3102" s="13">
        <v>36.86</v>
      </c>
      <c r="M3102" s="13">
        <v>25</v>
      </c>
      <c r="N3102" s="13">
        <f t="shared" si="974"/>
        <v>1.4743999999999999</v>
      </c>
      <c r="O3102" s="13">
        <v>40</v>
      </c>
      <c r="P3102" s="13" t="s">
        <v>30</v>
      </c>
      <c r="Q3102" s="13">
        <v>0</v>
      </c>
      <c r="R3102" s="70">
        <f>L3102*O3102</f>
        <v>1474.4</v>
      </c>
      <c r="S3102" s="70">
        <v>0</v>
      </c>
      <c r="T3102" s="70">
        <f>L3102*S3102</f>
        <v>0</v>
      </c>
      <c r="U3102" s="70">
        <f>R3102-T3102</f>
        <v>1474.4</v>
      </c>
      <c r="V3102" s="70">
        <f>U3102*0</f>
        <v>0</v>
      </c>
      <c r="W3102" s="70">
        <f>U3102-V3102</f>
        <v>1474.4</v>
      </c>
      <c r="X3102" s="70">
        <v>0</v>
      </c>
      <c r="Y3102" s="14">
        <f t="shared" si="997"/>
        <v>0</v>
      </c>
      <c r="Z3102" s="11" t="s">
        <v>26</v>
      </c>
      <c r="AA3102" s="12" t="s">
        <v>31</v>
      </c>
    </row>
    <row r="3103" spans="1:27" x14ac:dyDescent="0.25">
      <c r="A3103" s="10">
        <v>45703</v>
      </c>
      <c r="B3103" s="11" t="s">
        <v>462</v>
      </c>
      <c r="C3103" s="11" t="s">
        <v>5643</v>
      </c>
      <c r="D3103" s="11">
        <v>17644</v>
      </c>
      <c r="E3103" s="11" t="s">
        <v>68</v>
      </c>
      <c r="F3103" s="11" t="s">
        <v>26</v>
      </c>
      <c r="G3103" s="11">
        <v>76370</v>
      </c>
      <c r="H3103" s="12" t="s">
        <v>4448</v>
      </c>
      <c r="I3103" s="12" t="s">
        <v>27</v>
      </c>
      <c r="J3103" s="12" t="s">
        <v>47</v>
      </c>
      <c r="K3103" s="12" t="s">
        <v>48</v>
      </c>
      <c r="L3103" s="13">
        <v>39.94</v>
      </c>
      <c r="M3103" s="13">
        <v>27</v>
      </c>
      <c r="N3103" s="13">
        <f t="shared" si="974"/>
        <v>1.4792592592592593</v>
      </c>
      <c r="O3103" s="13">
        <v>46.66</v>
      </c>
      <c r="P3103" s="13" t="s">
        <v>30</v>
      </c>
      <c r="Q3103" s="13">
        <v>0</v>
      </c>
      <c r="R3103" s="70">
        <f>+L3103*O3103</f>
        <v>1863.6003999999998</v>
      </c>
      <c r="S3103" s="70">
        <v>0</v>
      </c>
      <c r="T3103" s="70">
        <f>+L3103*S3103</f>
        <v>0</v>
      </c>
      <c r="U3103" s="70">
        <f>+R3103-T3103</f>
        <v>1863.6003999999998</v>
      </c>
      <c r="V3103" s="70">
        <f>+U3103*0.75</f>
        <v>1397.7003</v>
      </c>
      <c r="W3103" s="70">
        <f>+U3103-V3103</f>
        <v>465.90009999999984</v>
      </c>
      <c r="X3103" s="70">
        <v>0</v>
      </c>
      <c r="Y3103" s="14">
        <f t="shared" si="997"/>
        <v>0</v>
      </c>
      <c r="Z3103" s="11" t="s">
        <v>26</v>
      </c>
      <c r="AA3103" s="12" t="s">
        <v>31</v>
      </c>
    </row>
    <row r="3104" spans="1:27" x14ac:dyDescent="0.25">
      <c r="A3104" s="10">
        <v>45703</v>
      </c>
      <c r="B3104" s="11" t="s">
        <v>5644</v>
      </c>
      <c r="C3104" s="11" t="s">
        <v>5645</v>
      </c>
      <c r="D3104" s="11">
        <v>17645</v>
      </c>
      <c r="E3104" s="11" t="s">
        <v>100</v>
      </c>
      <c r="F3104" s="11" t="s">
        <v>26</v>
      </c>
      <c r="G3104" s="11">
        <v>78252</v>
      </c>
      <c r="H3104" s="12" t="s">
        <v>4448</v>
      </c>
      <c r="I3104" s="12" t="s">
        <v>27</v>
      </c>
      <c r="J3104" s="12" t="s">
        <v>33</v>
      </c>
      <c r="K3104" s="12" t="s">
        <v>34</v>
      </c>
      <c r="L3104" s="13">
        <v>37.119999999999997</v>
      </c>
      <c r="M3104" s="13">
        <v>25</v>
      </c>
      <c r="N3104" s="13">
        <f t="shared" si="974"/>
        <v>1.4847999999999999</v>
      </c>
      <c r="O3104" s="13">
        <v>45.33</v>
      </c>
      <c r="P3104" s="13" t="s">
        <v>30</v>
      </c>
      <c r="Q3104" s="13">
        <v>0</v>
      </c>
      <c r="R3104" s="70">
        <f>+L3104*O3104</f>
        <v>1682.6495999999997</v>
      </c>
      <c r="S3104" s="70">
        <v>0</v>
      </c>
      <c r="T3104" s="70">
        <f>+L3104*S3104</f>
        <v>0</v>
      </c>
      <c r="U3104" s="70">
        <f>+R3104-T3104</f>
        <v>1682.6495999999997</v>
      </c>
      <c r="V3104" s="70">
        <f>+U3104*0.75</f>
        <v>1261.9871999999998</v>
      </c>
      <c r="W3104" s="70">
        <f>+U3104-V3104</f>
        <v>420.66239999999993</v>
      </c>
      <c r="X3104" s="70">
        <v>0</v>
      </c>
      <c r="Y3104" s="14">
        <f t="shared" si="997"/>
        <v>0</v>
      </c>
      <c r="Z3104" s="11" t="s">
        <v>26</v>
      </c>
      <c r="AA3104" s="12" t="s">
        <v>31</v>
      </c>
    </row>
    <row r="3105" spans="1:27" x14ac:dyDescent="0.25">
      <c r="A3105" s="10">
        <v>45703</v>
      </c>
      <c r="B3105" s="11" t="s">
        <v>2231</v>
      </c>
      <c r="C3105" s="11" t="s">
        <v>5646</v>
      </c>
      <c r="D3105" s="11">
        <v>17646</v>
      </c>
      <c r="E3105" s="11" t="s">
        <v>496</v>
      </c>
      <c r="F3105" s="11" t="s">
        <v>26</v>
      </c>
      <c r="G3105" s="11">
        <v>78958</v>
      </c>
      <c r="H3105" s="12" t="s">
        <v>4448</v>
      </c>
      <c r="I3105" s="12" t="s">
        <v>27</v>
      </c>
      <c r="J3105" s="12" t="s">
        <v>42</v>
      </c>
      <c r="K3105" s="12" t="s">
        <v>43</v>
      </c>
      <c r="L3105" s="13">
        <v>45</v>
      </c>
      <c r="M3105" s="13">
        <v>25</v>
      </c>
      <c r="N3105" s="13">
        <f t="shared" si="974"/>
        <v>1.8</v>
      </c>
      <c r="O3105" s="13">
        <v>42.5</v>
      </c>
      <c r="P3105" s="13"/>
      <c r="Q3105" s="13">
        <v>0</v>
      </c>
      <c r="R3105" s="70">
        <f>+L3105*O3105</f>
        <v>1912.5</v>
      </c>
      <c r="S3105" s="70">
        <v>0</v>
      </c>
      <c r="T3105" s="70">
        <f>+L3105*S3105</f>
        <v>0</v>
      </c>
      <c r="U3105" s="70">
        <f>+R3105-T3105</f>
        <v>1912.5</v>
      </c>
      <c r="V3105" s="70">
        <f>+U3105*0.75</f>
        <v>1434.375</v>
      </c>
      <c r="W3105" s="70">
        <f>+U3105-V3105</f>
        <v>478.125</v>
      </c>
      <c r="X3105" s="70">
        <v>0</v>
      </c>
      <c r="Y3105" s="14">
        <f t="shared" si="997"/>
        <v>0</v>
      </c>
      <c r="Z3105" s="11" t="s">
        <v>26</v>
      </c>
      <c r="AA3105" s="12" t="s">
        <v>31</v>
      </c>
    </row>
    <row r="3106" spans="1:27" x14ac:dyDescent="0.25">
      <c r="A3106" s="10">
        <v>45703</v>
      </c>
      <c r="B3106" s="11" t="s">
        <v>470</v>
      </c>
      <c r="C3106" s="11" t="s">
        <v>5647</v>
      </c>
      <c r="D3106" s="11">
        <v>17647</v>
      </c>
      <c r="E3106" s="11" t="s">
        <v>184</v>
      </c>
      <c r="F3106" s="11" t="s">
        <v>26</v>
      </c>
      <c r="G3106" s="11" t="s">
        <v>26</v>
      </c>
      <c r="H3106" s="12" t="s">
        <v>4422</v>
      </c>
      <c r="I3106" s="12" t="s">
        <v>27</v>
      </c>
      <c r="J3106" s="12" t="s">
        <v>47</v>
      </c>
      <c r="K3106" s="12" t="s">
        <v>48</v>
      </c>
      <c r="L3106" s="13">
        <v>40.36</v>
      </c>
      <c r="M3106" s="13">
        <v>28</v>
      </c>
      <c r="N3106" s="13">
        <f t="shared" si="974"/>
        <v>1.4414285714285715</v>
      </c>
      <c r="O3106" s="13">
        <v>87</v>
      </c>
      <c r="P3106" s="13" t="s">
        <v>30</v>
      </c>
      <c r="Q3106" s="13">
        <v>0</v>
      </c>
      <c r="R3106" s="70">
        <f t="shared" ref="R3106:R3111" si="1002">L3106*O3106</f>
        <v>3511.32</v>
      </c>
      <c r="S3106" s="70">
        <v>38</v>
      </c>
      <c r="T3106" s="70">
        <f>L3106*S3106</f>
        <v>1533.68</v>
      </c>
      <c r="U3106" s="70">
        <f>R3106-T3106</f>
        <v>1977.64</v>
      </c>
      <c r="V3106" s="70">
        <f>U3106*1</f>
        <v>1977.64</v>
      </c>
      <c r="W3106" s="70">
        <f>U3106-V3106</f>
        <v>0</v>
      </c>
      <c r="X3106" s="70">
        <f>L3106*36</f>
        <v>1452.96</v>
      </c>
      <c r="Y3106" s="71">
        <f>+T3106-X3106</f>
        <v>80.720000000000027</v>
      </c>
      <c r="Z3106" s="12" t="s">
        <v>141</v>
      </c>
      <c r="AA3106" s="12" t="s">
        <v>78</v>
      </c>
    </row>
    <row r="3107" spans="1:27" x14ac:dyDescent="0.25">
      <c r="A3107" s="10">
        <v>45703</v>
      </c>
      <c r="B3107" s="11" t="s">
        <v>3682</v>
      </c>
      <c r="C3107" s="11" t="s">
        <v>5648</v>
      </c>
      <c r="D3107" s="11">
        <v>17648</v>
      </c>
      <c r="E3107" s="11" t="s">
        <v>431</v>
      </c>
      <c r="F3107" s="11" t="s">
        <v>26</v>
      </c>
      <c r="G3107" s="11">
        <v>1052</v>
      </c>
      <c r="H3107" s="12" t="s">
        <v>6328</v>
      </c>
      <c r="I3107" s="12" t="s">
        <v>27</v>
      </c>
      <c r="J3107" s="12" t="s">
        <v>42</v>
      </c>
      <c r="K3107" s="12" t="s">
        <v>43</v>
      </c>
      <c r="L3107" s="13">
        <v>40.22</v>
      </c>
      <c r="M3107" s="13">
        <v>25</v>
      </c>
      <c r="N3107" s="13">
        <f t="shared" si="974"/>
        <v>1.6088</v>
      </c>
      <c r="O3107" s="13">
        <v>42.5</v>
      </c>
      <c r="P3107" s="13"/>
      <c r="Q3107" s="13">
        <v>0</v>
      </c>
      <c r="R3107" s="70">
        <f t="shared" si="1002"/>
        <v>1709.35</v>
      </c>
      <c r="S3107" s="70">
        <v>0</v>
      </c>
      <c r="T3107" s="70">
        <f>+L3107*S3107</f>
        <v>0</v>
      </c>
      <c r="U3107" s="70">
        <f>R3107-T3107</f>
        <v>1709.35</v>
      </c>
      <c r="V3107" s="70">
        <f>U3107*0</f>
        <v>0</v>
      </c>
      <c r="W3107" s="70">
        <f>U3107-V3107</f>
        <v>1709.35</v>
      </c>
      <c r="X3107" s="70"/>
      <c r="Y3107" s="14">
        <f t="shared" ref="Y3107" si="1003">T3107-X3107</f>
        <v>0</v>
      </c>
      <c r="Z3107" s="11" t="s">
        <v>26</v>
      </c>
      <c r="AA3107" s="12" t="s">
        <v>31</v>
      </c>
    </row>
    <row r="3108" spans="1:27" x14ac:dyDescent="0.25">
      <c r="A3108" s="10">
        <v>45703</v>
      </c>
      <c r="B3108" s="11" t="s">
        <v>5649</v>
      </c>
      <c r="C3108" s="11" t="s">
        <v>5650</v>
      </c>
      <c r="D3108" s="11">
        <v>17649</v>
      </c>
      <c r="E3108" s="11" t="s">
        <v>483</v>
      </c>
      <c r="F3108" s="11" t="s">
        <v>26</v>
      </c>
      <c r="G3108" s="11" t="s">
        <v>26</v>
      </c>
      <c r="H3108" s="12" t="s">
        <v>4422</v>
      </c>
      <c r="I3108" s="12" t="s">
        <v>27</v>
      </c>
      <c r="J3108" s="12" t="s">
        <v>42</v>
      </c>
      <c r="K3108" s="12" t="s">
        <v>43</v>
      </c>
      <c r="L3108" s="13">
        <v>43.22</v>
      </c>
      <c r="M3108" s="13">
        <v>25</v>
      </c>
      <c r="N3108" s="13">
        <f t="shared" si="974"/>
        <v>1.7287999999999999</v>
      </c>
      <c r="O3108" s="13">
        <v>83</v>
      </c>
      <c r="P3108" s="13" t="s">
        <v>30</v>
      </c>
      <c r="Q3108" s="13">
        <v>0</v>
      </c>
      <c r="R3108" s="70">
        <f t="shared" si="1002"/>
        <v>3587.2599999999998</v>
      </c>
      <c r="S3108" s="70">
        <v>38</v>
      </c>
      <c r="T3108" s="70">
        <f>L3108*S3108</f>
        <v>1642.36</v>
      </c>
      <c r="U3108" s="70">
        <f>R3108-T3108</f>
        <v>1944.8999999999999</v>
      </c>
      <c r="V3108" s="70">
        <f>U3108*1</f>
        <v>1944.8999999999999</v>
      </c>
      <c r="W3108" s="70">
        <f>U3108-V3108</f>
        <v>0</v>
      </c>
      <c r="X3108" s="70">
        <f>L3108*37</f>
        <v>1599.1399999999999</v>
      </c>
      <c r="Y3108" s="71">
        <f>+T3108-X3108</f>
        <v>43.220000000000027</v>
      </c>
      <c r="Z3108" s="12" t="s">
        <v>41</v>
      </c>
      <c r="AA3108" s="12" t="s">
        <v>78</v>
      </c>
    </row>
    <row r="3109" spans="1:27" x14ac:dyDescent="0.25">
      <c r="A3109" s="10">
        <v>45703</v>
      </c>
      <c r="B3109" s="11" t="s">
        <v>5651</v>
      </c>
      <c r="C3109" s="11" t="s">
        <v>5652</v>
      </c>
      <c r="D3109" s="11">
        <v>17650</v>
      </c>
      <c r="E3109" s="11" t="s">
        <v>81</v>
      </c>
      <c r="F3109" s="11" t="s">
        <v>26</v>
      </c>
      <c r="G3109" s="11" t="s">
        <v>26</v>
      </c>
      <c r="H3109" s="12" t="s">
        <v>4422</v>
      </c>
      <c r="I3109" s="12" t="s">
        <v>27</v>
      </c>
      <c r="J3109" s="12" t="s">
        <v>33</v>
      </c>
      <c r="K3109" s="12" t="s">
        <v>34</v>
      </c>
      <c r="L3109" s="13">
        <v>42.18</v>
      </c>
      <c r="M3109" s="13">
        <v>29</v>
      </c>
      <c r="N3109" s="13">
        <f t="shared" si="974"/>
        <v>1.4544827586206897</v>
      </c>
      <c r="O3109" s="13">
        <v>85</v>
      </c>
      <c r="P3109" s="13" t="s">
        <v>30</v>
      </c>
      <c r="Q3109" s="13">
        <v>0</v>
      </c>
      <c r="R3109" s="70">
        <f t="shared" si="1002"/>
        <v>3585.3</v>
      </c>
      <c r="S3109" s="70">
        <v>38</v>
      </c>
      <c r="T3109" s="70">
        <f t="shared" ref="T3109" si="1004">L3109*S3109</f>
        <v>1602.84</v>
      </c>
      <c r="U3109" s="70">
        <f t="shared" ref="U3109" si="1005">R3109-T3109</f>
        <v>1982.4600000000003</v>
      </c>
      <c r="V3109" s="70">
        <f>U3109*1</f>
        <v>1982.4600000000003</v>
      </c>
      <c r="W3109" s="70">
        <f t="shared" ref="W3109" si="1006">U3109-V3109</f>
        <v>0</v>
      </c>
      <c r="X3109" s="70">
        <f>L3109*36</f>
        <v>1518.48</v>
      </c>
      <c r="Y3109" s="71">
        <f>+T3109-X3109</f>
        <v>84.3599999999999</v>
      </c>
      <c r="Z3109" s="12" t="s">
        <v>141</v>
      </c>
      <c r="AA3109" s="12" t="s">
        <v>78</v>
      </c>
    </row>
    <row r="3110" spans="1:27" x14ac:dyDescent="0.25">
      <c r="A3110" s="10">
        <v>45703</v>
      </c>
      <c r="B3110" s="11" t="s">
        <v>5653</v>
      </c>
      <c r="C3110" s="11" t="s">
        <v>5654</v>
      </c>
      <c r="D3110" s="11">
        <v>17651</v>
      </c>
      <c r="E3110" s="11" t="s">
        <v>57</v>
      </c>
      <c r="F3110" s="11" t="s">
        <v>26</v>
      </c>
      <c r="G3110" s="11" t="s">
        <v>26</v>
      </c>
      <c r="H3110" s="12" t="s">
        <v>4422</v>
      </c>
      <c r="I3110" s="12" t="s">
        <v>27</v>
      </c>
      <c r="J3110" s="12" t="s">
        <v>42</v>
      </c>
      <c r="K3110" s="12" t="s">
        <v>43</v>
      </c>
      <c r="L3110" s="13">
        <v>45.2</v>
      </c>
      <c r="M3110" s="13">
        <v>28</v>
      </c>
      <c r="N3110" s="13">
        <f t="shared" si="974"/>
        <v>1.6142857142857143</v>
      </c>
      <c r="O3110" s="13">
        <v>83</v>
      </c>
      <c r="P3110" s="13" t="s">
        <v>30</v>
      </c>
      <c r="Q3110" s="13">
        <v>0</v>
      </c>
      <c r="R3110" s="70">
        <f t="shared" si="1002"/>
        <v>3751.6000000000004</v>
      </c>
      <c r="S3110" s="70">
        <v>38</v>
      </c>
      <c r="T3110" s="70">
        <f>L3110*S3110</f>
        <v>1717.6000000000001</v>
      </c>
      <c r="U3110" s="70">
        <f>R3110-T3110</f>
        <v>2034.0000000000002</v>
      </c>
      <c r="V3110" s="70">
        <f>U3110*1</f>
        <v>2034.0000000000002</v>
      </c>
      <c r="W3110" s="70">
        <f>U3110-V3110</f>
        <v>0</v>
      </c>
      <c r="X3110" s="70">
        <f>L3110*37</f>
        <v>1672.4</v>
      </c>
      <c r="Y3110" s="71">
        <f>+T3110-X3110</f>
        <v>45.200000000000045</v>
      </c>
      <c r="Z3110" s="12" t="s">
        <v>41</v>
      </c>
      <c r="AA3110" s="12" t="s">
        <v>78</v>
      </c>
    </row>
    <row r="3111" spans="1:27" x14ac:dyDescent="0.25">
      <c r="A3111" s="10">
        <v>45703</v>
      </c>
      <c r="B3111" s="11" t="s">
        <v>5655</v>
      </c>
      <c r="C3111" s="11" t="s">
        <v>5656</v>
      </c>
      <c r="D3111" s="11">
        <v>17652</v>
      </c>
      <c r="E3111" s="11" t="s">
        <v>501</v>
      </c>
      <c r="F3111" s="11" t="s">
        <v>26</v>
      </c>
      <c r="G3111" s="11" t="s">
        <v>26</v>
      </c>
      <c r="H3111" s="12" t="s">
        <v>4422</v>
      </c>
      <c r="I3111" s="12" t="s">
        <v>27</v>
      </c>
      <c r="J3111" s="12" t="s">
        <v>33</v>
      </c>
      <c r="K3111" s="12" t="s">
        <v>34</v>
      </c>
      <c r="L3111" s="13">
        <v>43.8</v>
      </c>
      <c r="M3111" s="13">
        <v>30</v>
      </c>
      <c r="N3111" s="13">
        <f t="shared" si="974"/>
        <v>1.46</v>
      </c>
      <c r="O3111" s="13">
        <v>85</v>
      </c>
      <c r="P3111" s="13" t="s">
        <v>30</v>
      </c>
      <c r="Q3111" s="13">
        <v>0</v>
      </c>
      <c r="R3111" s="70">
        <f t="shared" si="1002"/>
        <v>3722.9999999999995</v>
      </c>
      <c r="S3111" s="70">
        <v>38</v>
      </c>
      <c r="T3111" s="70">
        <f t="shared" ref="T3111" si="1007">L3111*S3111</f>
        <v>1664.3999999999999</v>
      </c>
      <c r="U3111" s="70">
        <f t="shared" ref="U3111" si="1008">R3111-T3111</f>
        <v>2058.5999999999995</v>
      </c>
      <c r="V3111" s="70">
        <f>U3111*1</f>
        <v>2058.5999999999995</v>
      </c>
      <c r="W3111" s="70">
        <f t="shared" ref="W3111" si="1009">U3111-V3111</f>
        <v>0</v>
      </c>
      <c r="X3111" s="70">
        <f>L3111*36</f>
        <v>1576.8</v>
      </c>
      <c r="Y3111" s="71">
        <f>+T3111-X3111</f>
        <v>87.599999999999909</v>
      </c>
      <c r="Z3111" s="12" t="s">
        <v>141</v>
      </c>
      <c r="AA3111" s="12" t="s">
        <v>78</v>
      </c>
    </row>
    <row r="3112" spans="1:27" x14ac:dyDescent="0.25">
      <c r="A3112" s="10">
        <v>45703</v>
      </c>
      <c r="B3112" s="11" t="s">
        <v>5657</v>
      </c>
      <c r="C3112" s="11" t="s">
        <v>5658</v>
      </c>
      <c r="D3112" s="11">
        <v>17653</v>
      </c>
      <c r="E3112" s="11" t="s">
        <v>5103</v>
      </c>
      <c r="F3112" s="11" t="s">
        <v>26</v>
      </c>
      <c r="G3112" s="11">
        <v>78104</v>
      </c>
      <c r="H3112" s="12" t="s">
        <v>4448</v>
      </c>
      <c r="I3112" s="12" t="s">
        <v>27</v>
      </c>
      <c r="J3112" s="12" t="s">
        <v>42</v>
      </c>
      <c r="K3112" s="12" t="s">
        <v>43</v>
      </c>
      <c r="L3112" s="13">
        <v>43.18</v>
      </c>
      <c r="M3112" s="13">
        <v>25</v>
      </c>
      <c r="N3112" s="13">
        <f t="shared" si="974"/>
        <v>1.7272000000000001</v>
      </c>
      <c r="O3112" s="13">
        <v>42.5</v>
      </c>
      <c r="P3112" s="13"/>
      <c r="Q3112" s="13">
        <v>0</v>
      </c>
      <c r="R3112" s="70">
        <f>+L3112*O3112</f>
        <v>1835.15</v>
      </c>
      <c r="S3112" s="70">
        <v>0</v>
      </c>
      <c r="T3112" s="70">
        <f>+L3112*S3112</f>
        <v>0</v>
      </c>
      <c r="U3112" s="70">
        <f>+R3112-T3112</f>
        <v>1835.15</v>
      </c>
      <c r="V3112" s="70">
        <f>+U3112*0.75</f>
        <v>1376.3625000000002</v>
      </c>
      <c r="W3112" s="70">
        <f>+U3112-V3112</f>
        <v>458.78749999999991</v>
      </c>
      <c r="X3112" s="70">
        <v>0</v>
      </c>
      <c r="Y3112" s="14">
        <f t="shared" ref="Y3112" si="1010">T3112-X3112</f>
        <v>0</v>
      </c>
      <c r="Z3112" s="11" t="s">
        <v>26</v>
      </c>
      <c r="AA3112" s="12" t="s">
        <v>31</v>
      </c>
    </row>
    <row r="3113" spans="1:27" x14ac:dyDescent="0.25">
      <c r="A3113" s="10">
        <v>45703</v>
      </c>
      <c r="B3113" s="11" t="s">
        <v>5659</v>
      </c>
      <c r="C3113" s="11" t="s">
        <v>5660</v>
      </c>
      <c r="D3113" s="11">
        <v>17654</v>
      </c>
      <c r="E3113" s="11" t="s">
        <v>539</v>
      </c>
      <c r="F3113" s="11" t="s">
        <v>26</v>
      </c>
      <c r="G3113" s="11" t="s">
        <v>26</v>
      </c>
      <c r="H3113" s="12" t="s">
        <v>4422</v>
      </c>
      <c r="I3113" s="12" t="s">
        <v>27</v>
      </c>
      <c r="J3113" s="12" t="s">
        <v>42</v>
      </c>
      <c r="K3113" s="12" t="s">
        <v>43</v>
      </c>
      <c r="L3113" s="13">
        <v>44.22</v>
      </c>
      <c r="M3113" s="13">
        <v>25</v>
      </c>
      <c r="N3113" s="13">
        <f t="shared" si="974"/>
        <v>1.7687999999999999</v>
      </c>
      <c r="O3113" s="13">
        <v>83</v>
      </c>
      <c r="P3113" s="13" t="s">
        <v>30</v>
      </c>
      <c r="Q3113" s="13">
        <v>0</v>
      </c>
      <c r="R3113" s="70">
        <f>L3113*O3113</f>
        <v>3670.2599999999998</v>
      </c>
      <c r="S3113" s="70">
        <v>38</v>
      </c>
      <c r="T3113" s="70">
        <f>L3113*S3113</f>
        <v>1680.36</v>
      </c>
      <c r="U3113" s="70">
        <f>R3113-T3113</f>
        <v>1989.8999999999999</v>
      </c>
      <c r="V3113" s="70">
        <f>U3113*1</f>
        <v>1989.8999999999999</v>
      </c>
      <c r="W3113" s="70">
        <f>U3113-V3113</f>
        <v>0</v>
      </c>
      <c r="X3113" s="70">
        <f>L3113*37</f>
        <v>1636.1399999999999</v>
      </c>
      <c r="Y3113" s="71">
        <f>+T3113-X3113</f>
        <v>44.220000000000027</v>
      </c>
      <c r="Z3113" s="12" t="s">
        <v>41</v>
      </c>
      <c r="AA3113" s="12" t="s">
        <v>78</v>
      </c>
    </row>
    <row r="3114" spans="1:27" x14ac:dyDescent="0.25">
      <c r="A3114" s="10">
        <v>45703</v>
      </c>
      <c r="B3114" s="11" t="s">
        <v>5661</v>
      </c>
      <c r="C3114" s="11" t="s">
        <v>5662</v>
      </c>
      <c r="D3114" s="11">
        <v>17655</v>
      </c>
      <c r="E3114" s="11" t="s">
        <v>246</v>
      </c>
      <c r="F3114" s="11" t="s">
        <v>26</v>
      </c>
      <c r="G3114" s="11" t="s">
        <v>26</v>
      </c>
      <c r="H3114" s="12" t="s">
        <v>4422</v>
      </c>
      <c r="I3114" s="12" t="s">
        <v>27</v>
      </c>
      <c r="J3114" s="12" t="s">
        <v>42</v>
      </c>
      <c r="K3114" s="12" t="s">
        <v>43</v>
      </c>
      <c r="L3114" s="13">
        <v>44.38</v>
      </c>
      <c r="M3114" s="13">
        <v>25</v>
      </c>
      <c r="N3114" s="13">
        <f t="shared" si="974"/>
        <v>1.7752000000000001</v>
      </c>
      <c r="O3114" s="13">
        <v>83</v>
      </c>
      <c r="P3114" s="13" t="s">
        <v>30</v>
      </c>
      <c r="Q3114" s="13">
        <v>0</v>
      </c>
      <c r="R3114" s="70">
        <f>L3114*O3114</f>
        <v>3683.5400000000004</v>
      </c>
      <c r="S3114" s="70">
        <v>38</v>
      </c>
      <c r="T3114" s="70">
        <f>L3114*S3114</f>
        <v>1686.44</v>
      </c>
      <c r="U3114" s="70">
        <f>R3114-T3114</f>
        <v>1997.1000000000004</v>
      </c>
      <c r="V3114" s="70">
        <f>U3114*1</f>
        <v>1997.1000000000004</v>
      </c>
      <c r="W3114" s="70">
        <f>U3114-V3114</f>
        <v>0</v>
      </c>
      <c r="X3114" s="70">
        <f>L3114*37</f>
        <v>1642.0600000000002</v>
      </c>
      <c r="Y3114" s="71">
        <f>+T3114-X3114</f>
        <v>44.379999999999882</v>
      </c>
      <c r="Z3114" s="12" t="s">
        <v>41</v>
      </c>
      <c r="AA3114" s="12" t="s">
        <v>78</v>
      </c>
    </row>
    <row r="3115" spans="1:27" x14ac:dyDescent="0.25">
      <c r="A3115" s="10">
        <v>45703</v>
      </c>
      <c r="B3115" s="11" t="s">
        <v>692</v>
      </c>
      <c r="C3115" s="11" t="s">
        <v>5663</v>
      </c>
      <c r="D3115" s="11">
        <v>17656</v>
      </c>
      <c r="E3115" s="11" t="s">
        <v>435</v>
      </c>
      <c r="F3115" s="11" t="s">
        <v>26</v>
      </c>
      <c r="G3115" s="11">
        <v>2783</v>
      </c>
      <c r="H3115" s="12" t="s">
        <v>41</v>
      </c>
      <c r="I3115" s="12" t="s">
        <v>55</v>
      </c>
      <c r="J3115" s="12" t="s">
        <v>566</v>
      </c>
      <c r="K3115" s="12" t="s">
        <v>550</v>
      </c>
      <c r="L3115" s="13">
        <v>44.3</v>
      </c>
      <c r="M3115" s="13">
        <v>25</v>
      </c>
      <c r="N3115" s="13">
        <f t="shared" si="974"/>
        <v>1.7719999999999998</v>
      </c>
      <c r="O3115" s="13">
        <v>25</v>
      </c>
      <c r="P3115" s="13"/>
      <c r="Q3115" s="13">
        <v>0</v>
      </c>
      <c r="R3115" s="70">
        <f>L3115*O3115</f>
        <v>1107.5</v>
      </c>
      <c r="S3115" s="70">
        <v>0</v>
      </c>
      <c r="T3115" s="70">
        <f t="shared" ref="T3115" si="1011">L3115*S3115</f>
        <v>0</v>
      </c>
      <c r="U3115" s="70">
        <f>R3115-T3115</f>
        <v>1107.5</v>
      </c>
      <c r="V3115" s="70">
        <f>U3115*0</f>
        <v>0</v>
      </c>
      <c r="W3115" s="70">
        <f>U3115-V3115</f>
        <v>1107.5</v>
      </c>
      <c r="X3115" s="70">
        <v>0</v>
      </c>
      <c r="Y3115" s="14">
        <f t="shared" ref="Y3115:Y3137" si="1012">T3115-X3115</f>
        <v>0</v>
      </c>
      <c r="Z3115" s="11" t="s">
        <v>26</v>
      </c>
      <c r="AA3115" s="12" t="s">
        <v>31</v>
      </c>
    </row>
    <row r="3116" spans="1:27" x14ac:dyDescent="0.25">
      <c r="A3116" s="10">
        <v>45703</v>
      </c>
      <c r="B3116" s="11" t="s">
        <v>5664</v>
      </c>
      <c r="C3116" s="11" t="s">
        <v>5665</v>
      </c>
      <c r="D3116" s="11">
        <v>17657</v>
      </c>
      <c r="E3116" s="11" t="s">
        <v>1200</v>
      </c>
      <c r="F3116" s="11" t="s">
        <v>26</v>
      </c>
      <c r="G3116" s="11">
        <v>2970</v>
      </c>
      <c r="H3116" s="12" t="s">
        <v>163</v>
      </c>
      <c r="I3116" s="12" t="s">
        <v>27</v>
      </c>
      <c r="J3116" s="12" t="s">
        <v>42</v>
      </c>
      <c r="K3116" s="12" t="s">
        <v>43</v>
      </c>
      <c r="L3116" s="13">
        <v>44.94</v>
      </c>
      <c r="M3116" s="13">
        <v>25</v>
      </c>
      <c r="N3116" s="13">
        <f t="shared" si="974"/>
        <v>1.7975999999999999</v>
      </c>
      <c r="O3116" s="13" t="s">
        <v>30</v>
      </c>
      <c r="P3116" s="13">
        <v>64</v>
      </c>
      <c r="Q3116" s="13">
        <v>0</v>
      </c>
      <c r="R3116" s="70">
        <f>M3116*P3116</f>
        <v>1600</v>
      </c>
      <c r="S3116" s="70">
        <v>0</v>
      </c>
      <c r="T3116" s="70">
        <f>M3116*S3116</f>
        <v>0</v>
      </c>
      <c r="U3116" s="70">
        <f>R3116-T3116</f>
        <v>1600</v>
      </c>
      <c r="V3116" s="70">
        <f t="shared" ref="V3116" si="1013">U3116*0</f>
        <v>0</v>
      </c>
      <c r="W3116" s="70">
        <f t="shared" ref="W3116" si="1014">U3116-V3116</f>
        <v>1600</v>
      </c>
      <c r="X3116" s="70">
        <v>0</v>
      </c>
      <c r="Y3116" s="14">
        <f t="shared" si="1012"/>
        <v>0</v>
      </c>
      <c r="Z3116" s="11" t="s">
        <v>26</v>
      </c>
      <c r="AA3116" s="12" t="s">
        <v>31</v>
      </c>
    </row>
    <row r="3117" spans="1:27" x14ac:dyDescent="0.25">
      <c r="A3117" s="10">
        <v>45703</v>
      </c>
      <c r="B3117" s="11" t="s">
        <v>3317</v>
      </c>
      <c r="C3117" s="11" t="s">
        <v>5666</v>
      </c>
      <c r="D3117" s="11">
        <v>17658</v>
      </c>
      <c r="E3117" s="11" t="s">
        <v>91</v>
      </c>
      <c r="F3117" s="11" t="s">
        <v>26</v>
      </c>
      <c r="G3117" s="11">
        <v>2474</v>
      </c>
      <c r="H3117" s="12" t="s">
        <v>41</v>
      </c>
      <c r="I3117" s="12" t="s">
        <v>55</v>
      </c>
      <c r="J3117" s="12" t="s">
        <v>55</v>
      </c>
      <c r="K3117" s="12" t="s">
        <v>56</v>
      </c>
      <c r="L3117" s="13">
        <v>31.78</v>
      </c>
      <c r="M3117" s="13">
        <v>19</v>
      </c>
      <c r="N3117" s="13">
        <f t="shared" si="974"/>
        <v>1.6726315789473685</v>
      </c>
      <c r="O3117" s="13" t="s">
        <v>30</v>
      </c>
      <c r="P3117" s="13">
        <v>24</v>
      </c>
      <c r="Q3117" s="13">
        <v>0</v>
      </c>
      <c r="R3117" s="70">
        <f>+M3117*P3117</f>
        <v>456</v>
      </c>
      <c r="S3117" s="70">
        <v>0</v>
      </c>
      <c r="T3117" s="70">
        <f>+M3117*S3117</f>
        <v>0</v>
      </c>
      <c r="U3117" s="70">
        <f t="shared" ref="U3117" si="1015">+R3117-T3117</f>
        <v>456</v>
      </c>
      <c r="V3117" s="70">
        <f>+U3117*0</f>
        <v>0</v>
      </c>
      <c r="W3117" s="70">
        <f t="shared" ref="W3117" si="1016">+U3117-V3117</f>
        <v>456</v>
      </c>
      <c r="X3117" s="70">
        <v>0</v>
      </c>
      <c r="Y3117" s="14">
        <f t="shared" si="1012"/>
        <v>0</v>
      </c>
      <c r="Z3117" s="11" t="s">
        <v>26</v>
      </c>
      <c r="AA3117" s="12" t="s">
        <v>31</v>
      </c>
    </row>
    <row r="3118" spans="1:27" x14ac:dyDescent="0.25">
      <c r="A3118" s="10">
        <v>45703</v>
      </c>
      <c r="B3118" s="11" t="s">
        <v>4261</v>
      </c>
      <c r="C3118" s="11" t="s">
        <v>5667</v>
      </c>
      <c r="D3118" s="11">
        <v>17659</v>
      </c>
      <c r="E3118" s="11" t="s">
        <v>240</v>
      </c>
      <c r="F3118" s="11" t="s">
        <v>26</v>
      </c>
      <c r="G3118" s="11">
        <v>3004</v>
      </c>
      <c r="H3118" s="12" t="s">
        <v>41</v>
      </c>
      <c r="I3118" s="12" t="s">
        <v>27</v>
      </c>
      <c r="J3118" s="12" t="s">
        <v>42</v>
      </c>
      <c r="K3118" s="12" t="s">
        <v>43</v>
      </c>
      <c r="L3118" s="13">
        <v>42.58</v>
      </c>
      <c r="M3118" s="13">
        <v>25</v>
      </c>
      <c r="N3118" s="13">
        <f t="shared" si="974"/>
        <v>1.7031999999999998</v>
      </c>
      <c r="O3118" s="13" t="s">
        <v>30</v>
      </c>
      <c r="P3118" s="13">
        <v>64</v>
      </c>
      <c r="Q3118" s="13">
        <v>0</v>
      </c>
      <c r="R3118" s="70">
        <f>M3118*P3118</f>
        <v>1600</v>
      </c>
      <c r="S3118" s="70">
        <v>0</v>
      </c>
      <c r="T3118" s="70">
        <f>M3118*S3118</f>
        <v>0</v>
      </c>
      <c r="U3118" s="70">
        <f>+R3118-T3118</f>
        <v>1600</v>
      </c>
      <c r="V3118" s="70">
        <f t="shared" ref="V3118:V3120" si="1017">+U3118*0</f>
        <v>0</v>
      </c>
      <c r="W3118" s="70">
        <f>+U3118-V3118</f>
        <v>1600</v>
      </c>
      <c r="X3118" s="70">
        <v>0</v>
      </c>
      <c r="Y3118" s="14">
        <f t="shared" si="1012"/>
        <v>0</v>
      </c>
      <c r="Z3118" s="11" t="s">
        <v>26</v>
      </c>
      <c r="AA3118" s="12" t="s">
        <v>31</v>
      </c>
    </row>
    <row r="3119" spans="1:27" x14ac:dyDescent="0.25">
      <c r="A3119" s="10">
        <v>45703</v>
      </c>
      <c r="B3119" s="11" t="s">
        <v>5668</v>
      </c>
      <c r="C3119" s="11" t="s">
        <v>5669</v>
      </c>
      <c r="D3119" s="11">
        <v>17660</v>
      </c>
      <c r="E3119" s="11" t="s">
        <v>446</v>
      </c>
      <c r="F3119" s="11" t="s">
        <v>26</v>
      </c>
      <c r="G3119" s="11" t="s">
        <v>35</v>
      </c>
      <c r="H3119" s="12" t="s">
        <v>36</v>
      </c>
      <c r="I3119" s="12" t="s">
        <v>55</v>
      </c>
      <c r="J3119" s="12" t="s">
        <v>55</v>
      </c>
      <c r="K3119" s="12" t="s">
        <v>56</v>
      </c>
      <c r="L3119" s="13">
        <v>33.299999999999997</v>
      </c>
      <c r="M3119" s="13">
        <v>20</v>
      </c>
      <c r="N3119" s="13">
        <f t="shared" si="974"/>
        <v>1.6649999999999998</v>
      </c>
      <c r="O3119" s="13">
        <v>20</v>
      </c>
      <c r="P3119" s="13" t="s">
        <v>30</v>
      </c>
      <c r="Q3119" s="13">
        <v>0</v>
      </c>
      <c r="R3119" s="70">
        <f>(L3119*O3119)-Q3119</f>
        <v>666</v>
      </c>
      <c r="S3119" s="70">
        <v>0</v>
      </c>
      <c r="T3119" s="70">
        <f t="shared" ref="T3119" si="1018">+L3119*S3119</f>
        <v>0</v>
      </c>
      <c r="U3119" s="70">
        <f t="shared" ref="U3119" si="1019">+R3119-T3119</f>
        <v>666</v>
      </c>
      <c r="V3119" s="70">
        <f t="shared" si="1017"/>
        <v>0</v>
      </c>
      <c r="W3119" s="70">
        <f t="shared" ref="W3119" si="1020">+U3119-V3119</f>
        <v>666</v>
      </c>
      <c r="X3119" s="70">
        <v>0</v>
      </c>
      <c r="Y3119" s="14">
        <f t="shared" si="1012"/>
        <v>0</v>
      </c>
      <c r="Z3119" s="11" t="s">
        <v>26</v>
      </c>
      <c r="AA3119" s="12" t="s">
        <v>31</v>
      </c>
    </row>
    <row r="3120" spans="1:27" x14ac:dyDescent="0.25">
      <c r="A3120" s="10">
        <v>45703</v>
      </c>
      <c r="B3120" s="11" t="s">
        <v>5670</v>
      </c>
      <c r="C3120" s="11" t="s">
        <v>5671</v>
      </c>
      <c r="D3120" s="11">
        <v>17661</v>
      </c>
      <c r="E3120" s="11" t="s">
        <v>53</v>
      </c>
      <c r="F3120" s="11" t="s">
        <v>26</v>
      </c>
      <c r="G3120" s="11">
        <v>3962</v>
      </c>
      <c r="H3120" s="12" t="s">
        <v>41</v>
      </c>
      <c r="I3120" s="12" t="s">
        <v>27</v>
      </c>
      <c r="J3120" s="12" t="s">
        <v>42</v>
      </c>
      <c r="K3120" s="12" t="s">
        <v>43</v>
      </c>
      <c r="L3120" s="13">
        <v>44.58</v>
      </c>
      <c r="M3120" s="13">
        <v>25</v>
      </c>
      <c r="N3120" s="13">
        <f t="shared" si="974"/>
        <v>1.7831999999999999</v>
      </c>
      <c r="O3120" s="13" t="s">
        <v>30</v>
      </c>
      <c r="P3120" s="13">
        <v>64</v>
      </c>
      <c r="Q3120" s="13">
        <v>0</v>
      </c>
      <c r="R3120" s="70">
        <f>M3120*P3120</f>
        <v>1600</v>
      </c>
      <c r="S3120" s="70">
        <v>0</v>
      </c>
      <c r="T3120" s="70">
        <f>M3120*S3120</f>
        <v>0</v>
      </c>
      <c r="U3120" s="70">
        <f>+R3120-T3120</f>
        <v>1600</v>
      </c>
      <c r="V3120" s="70">
        <f t="shared" si="1017"/>
        <v>0</v>
      </c>
      <c r="W3120" s="70">
        <f>+U3120-V3120</f>
        <v>1600</v>
      </c>
      <c r="X3120" s="70">
        <v>0</v>
      </c>
      <c r="Y3120" s="14">
        <f t="shared" si="1012"/>
        <v>0</v>
      </c>
      <c r="Z3120" s="11" t="s">
        <v>26</v>
      </c>
      <c r="AA3120" s="12" t="s">
        <v>31</v>
      </c>
    </row>
    <row r="3121" spans="1:27" x14ac:dyDescent="0.25">
      <c r="A3121" s="10">
        <v>45703</v>
      </c>
      <c r="B3121" s="11" t="s">
        <v>5672</v>
      </c>
      <c r="C3121" s="11" t="s">
        <v>5673</v>
      </c>
      <c r="D3121" s="11">
        <v>17662</v>
      </c>
      <c r="E3121" s="11" t="s">
        <v>605</v>
      </c>
      <c r="F3121" s="11" t="s">
        <v>26</v>
      </c>
      <c r="G3121" s="11">
        <v>1067</v>
      </c>
      <c r="H3121" s="12" t="s">
        <v>141</v>
      </c>
      <c r="I3121" s="12" t="s">
        <v>37</v>
      </c>
      <c r="J3121" s="12" t="s">
        <v>85</v>
      </c>
      <c r="K3121" s="12" t="s">
        <v>86</v>
      </c>
      <c r="L3121" s="13">
        <v>39.18</v>
      </c>
      <c r="M3121" s="13">
        <v>25</v>
      </c>
      <c r="N3121" s="13">
        <f t="shared" si="974"/>
        <v>1.5671999999999999</v>
      </c>
      <c r="O3121" s="13">
        <v>29</v>
      </c>
      <c r="P3121" s="13" t="s">
        <v>30</v>
      </c>
      <c r="Q3121" s="13">
        <v>0</v>
      </c>
      <c r="R3121" s="70">
        <f>L3121*O3121</f>
        <v>1136.22</v>
      </c>
      <c r="S3121" s="70">
        <v>0</v>
      </c>
      <c r="T3121" s="70">
        <f>L3121*S3121</f>
        <v>0</v>
      </c>
      <c r="U3121" s="70">
        <f>R3121-T3121</f>
        <v>1136.22</v>
      </c>
      <c r="V3121" s="70">
        <f>U3121*0</f>
        <v>0</v>
      </c>
      <c r="W3121" s="70">
        <f>U3121-V3121</f>
        <v>1136.22</v>
      </c>
      <c r="X3121" s="70">
        <v>0</v>
      </c>
      <c r="Y3121" s="14">
        <f t="shared" si="1012"/>
        <v>0</v>
      </c>
      <c r="Z3121" s="11" t="s">
        <v>26</v>
      </c>
      <c r="AA3121" s="12" t="s">
        <v>31</v>
      </c>
    </row>
    <row r="3122" spans="1:27" x14ac:dyDescent="0.25">
      <c r="A3122" s="10">
        <v>45703</v>
      </c>
      <c r="B3122" s="11" t="s">
        <v>5273</v>
      </c>
      <c r="C3122" s="11" t="s">
        <v>5674</v>
      </c>
      <c r="D3122" s="11">
        <v>17663</v>
      </c>
      <c r="E3122" s="11" t="s">
        <v>40</v>
      </c>
      <c r="F3122" s="11" t="s">
        <v>26</v>
      </c>
      <c r="G3122" s="11">
        <v>3273</v>
      </c>
      <c r="H3122" s="12" t="s">
        <v>41</v>
      </c>
      <c r="I3122" s="12" t="s">
        <v>27</v>
      </c>
      <c r="J3122" s="12" t="s">
        <v>28</v>
      </c>
      <c r="K3122" s="12" t="s">
        <v>29</v>
      </c>
      <c r="L3122" s="13">
        <v>37.1</v>
      </c>
      <c r="M3122" s="13">
        <v>25</v>
      </c>
      <c r="N3122" s="13">
        <f t="shared" si="974"/>
        <v>1.484</v>
      </c>
      <c r="O3122" s="13" t="s">
        <v>30</v>
      </c>
      <c r="P3122" s="13">
        <v>40.5</v>
      </c>
      <c r="Q3122" s="13">
        <v>0</v>
      </c>
      <c r="R3122" s="70">
        <f>M3122*P3122</f>
        <v>1012.5</v>
      </c>
      <c r="S3122" s="70">
        <v>0</v>
      </c>
      <c r="T3122" s="70">
        <f>M3122*S3122</f>
        <v>0</v>
      </c>
      <c r="U3122" s="70">
        <f>+R3122-T3122</f>
        <v>1012.5</v>
      </c>
      <c r="V3122" s="70">
        <f t="shared" ref="V3122" si="1021">+U3122*0</f>
        <v>0</v>
      </c>
      <c r="W3122" s="70">
        <f>+U3122-V3122</f>
        <v>1012.5</v>
      </c>
      <c r="X3122" s="70">
        <v>0</v>
      </c>
      <c r="Y3122" s="14">
        <f t="shared" si="1012"/>
        <v>0</v>
      </c>
      <c r="Z3122" s="11" t="s">
        <v>26</v>
      </c>
      <c r="AA3122" s="12" t="s">
        <v>31</v>
      </c>
    </row>
    <row r="3123" spans="1:27" x14ac:dyDescent="0.25">
      <c r="A3123" s="10">
        <v>45703</v>
      </c>
      <c r="B3123" s="11" t="s">
        <v>5675</v>
      </c>
      <c r="C3123" s="11" t="s">
        <v>5676</v>
      </c>
      <c r="D3123" s="11">
        <v>17664</v>
      </c>
      <c r="E3123" s="11" t="s">
        <v>61</v>
      </c>
      <c r="F3123" s="11" t="s">
        <v>26</v>
      </c>
      <c r="G3123" s="11" t="s">
        <v>35</v>
      </c>
      <c r="H3123" s="12" t="s">
        <v>36</v>
      </c>
      <c r="I3123" s="12" t="s">
        <v>27</v>
      </c>
      <c r="J3123" s="12" t="s">
        <v>42</v>
      </c>
      <c r="K3123" s="12" t="s">
        <v>43</v>
      </c>
      <c r="L3123" s="13">
        <v>9.8000000000000007</v>
      </c>
      <c r="M3123" s="13">
        <v>6</v>
      </c>
      <c r="N3123" s="13">
        <f t="shared" si="974"/>
        <v>1.6333333333333335</v>
      </c>
      <c r="O3123" s="13">
        <v>45</v>
      </c>
      <c r="P3123" s="13" t="s">
        <v>30</v>
      </c>
      <c r="Q3123" s="13">
        <v>0</v>
      </c>
      <c r="R3123" s="70">
        <f>(L3123*O3123)-Q3123</f>
        <v>441.00000000000006</v>
      </c>
      <c r="S3123" s="70">
        <v>0</v>
      </c>
      <c r="T3123" s="70">
        <f t="shared" ref="T3123" si="1022">+L3123*S3123</f>
        <v>0</v>
      </c>
      <c r="U3123" s="70">
        <f t="shared" ref="U3123:U3124" si="1023">+R3123-T3123</f>
        <v>441.00000000000006</v>
      </c>
      <c r="V3123" s="70">
        <f>+U3123*0</f>
        <v>0</v>
      </c>
      <c r="W3123" s="70">
        <f t="shared" ref="W3123:W3124" si="1024">+U3123-V3123</f>
        <v>441.00000000000006</v>
      </c>
      <c r="X3123" s="70">
        <v>0</v>
      </c>
      <c r="Y3123" s="14">
        <f t="shared" si="1012"/>
        <v>0</v>
      </c>
      <c r="Z3123" s="11" t="s">
        <v>26</v>
      </c>
      <c r="AA3123" s="12" t="s">
        <v>31</v>
      </c>
    </row>
    <row r="3124" spans="1:27" x14ac:dyDescent="0.25">
      <c r="A3124" s="10">
        <v>45703</v>
      </c>
      <c r="B3124" s="11" t="s">
        <v>5677</v>
      </c>
      <c r="C3124" s="11" t="s">
        <v>5678</v>
      </c>
      <c r="D3124" s="11">
        <v>17665</v>
      </c>
      <c r="E3124" s="11" t="s">
        <v>561</v>
      </c>
      <c r="F3124" s="11" t="s">
        <v>26</v>
      </c>
      <c r="G3124" s="11">
        <v>112876</v>
      </c>
      <c r="H3124" s="12" t="s">
        <v>4446</v>
      </c>
      <c r="I3124" s="12" t="s">
        <v>27</v>
      </c>
      <c r="J3124" s="12" t="s">
        <v>42</v>
      </c>
      <c r="K3124" s="12" t="s">
        <v>43</v>
      </c>
      <c r="L3124" s="13">
        <v>39.659999999999997</v>
      </c>
      <c r="M3124" s="13">
        <v>25</v>
      </c>
      <c r="N3124" s="13">
        <f t="shared" si="974"/>
        <v>1.5863999999999998</v>
      </c>
      <c r="O3124" s="13">
        <v>42</v>
      </c>
      <c r="P3124" s="13" t="s">
        <v>30</v>
      </c>
      <c r="Q3124" s="13">
        <v>0</v>
      </c>
      <c r="R3124" s="70">
        <f t="shared" ref="R3124:R3125" si="1025">+L3124*O3124</f>
        <v>1665.7199999999998</v>
      </c>
      <c r="S3124" s="70">
        <v>0</v>
      </c>
      <c r="T3124" s="70">
        <f>+L3124*S3124</f>
        <v>0</v>
      </c>
      <c r="U3124" s="70">
        <f t="shared" si="1023"/>
        <v>1665.7199999999998</v>
      </c>
      <c r="V3124" s="70">
        <f>+U3124*1</f>
        <v>1665.7199999999998</v>
      </c>
      <c r="W3124" s="70">
        <f t="shared" si="1024"/>
        <v>0</v>
      </c>
      <c r="X3124" s="70">
        <v>0</v>
      </c>
      <c r="Y3124" s="14">
        <f t="shared" si="1012"/>
        <v>0</v>
      </c>
      <c r="Z3124" s="11" t="s">
        <v>26</v>
      </c>
      <c r="AA3124" s="12" t="s">
        <v>31</v>
      </c>
    </row>
    <row r="3125" spans="1:27" x14ac:dyDescent="0.25">
      <c r="A3125" s="10">
        <v>45703</v>
      </c>
      <c r="B3125" s="11" t="s">
        <v>5679</v>
      </c>
      <c r="C3125" s="11" t="s">
        <v>5680</v>
      </c>
      <c r="D3125" s="11">
        <v>17666</v>
      </c>
      <c r="E3125" s="11" t="s">
        <v>322</v>
      </c>
      <c r="F3125" s="11" t="s">
        <v>26</v>
      </c>
      <c r="G3125" s="11">
        <v>112870</v>
      </c>
      <c r="H3125" s="12" t="s">
        <v>4446</v>
      </c>
      <c r="I3125" s="12" t="s">
        <v>27</v>
      </c>
      <c r="J3125" s="12" t="s">
        <v>33</v>
      </c>
      <c r="K3125" s="12" t="s">
        <v>34</v>
      </c>
      <c r="L3125" s="13">
        <v>35.86</v>
      </c>
      <c r="M3125" s="13">
        <v>25</v>
      </c>
      <c r="N3125" s="13">
        <f t="shared" si="974"/>
        <v>1.4343999999999999</v>
      </c>
      <c r="O3125" s="13">
        <v>44</v>
      </c>
      <c r="P3125" s="13" t="s">
        <v>30</v>
      </c>
      <c r="Q3125" s="13">
        <v>0</v>
      </c>
      <c r="R3125" s="70">
        <f t="shared" si="1025"/>
        <v>1577.84</v>
      </c>
      <c r="S3125" s="70">
        <v>0</v>
      </c>
      <c r="T3125" s="70">
        <f>+L3125*S3125</f>
        <v>0</v>
      </c>
      <c r="U3125" s="70">
        <f>+R3125-T3125</f>
        <v>1577.84</v>
      </c>
      <c r="V3125" s="70">
        <f>+U3125*1</f>
        <v>1577.84</v>
      </c>
      <c r="W3125" s="70">
        <f>+U3125-V3125</f>
        <v>0</v>
      </c>
      <c r="X3125" s="70">
        <v>0</v>
      </c>
      <c r="Y3125" s="14">
        <f t="shared" si="1012"/>
        <v>0</v>
      </c>
      <c r="Z3125" s="11" t="s">
        <v>26</v>
      </c>
      <c r="AA3125" s="12" t="s">
        <v>31</v>
      </c>
    </row>
    <row r="3126" spans="1:27" x14ac:dyDescent="0.25">
      <c r="A3126" s="10">
        <v>45703</v>
      </c>
      <c r="B3126" s="11" t="s">
        <v>5681</v>
      </c>
      <c r="C3126" s="11" t="s">
        <v>5682</v>
      </c>
      <c r="D3126" s="11">
        <v>17667</v>
      </c>
      <c r="E3126" s="11" t="s">
        <v>60</v>
      </c>
      <c r="F3126" s="11" t="s">
        <v>26</v>
      </c>
      <c r="G3126" s="11" t="s">
        <v>35</v>
      </c>
      <c r="H3126" s="12" t="s">
        <v>36</v>
      </c>
      <c r="I3126" s="12" t="s">
        <v>27</v>
      </c>
      <c r="J3126" s="12" t="s">
        <v>42</v>
      </c>
      <c r="K3126" s="12" t="s">
        <v>43</v>
      </c>
      <c r="L3126" s="13">
        <v>6.5</v>
      </c>
      <c r="M3126" s="13">
        <v>4</v>
      </c>
      <c r="N3126" s="13">
        <f t="shared" si="974"/>
        <v>1.625</v>
      </c>
      <c r="O3126" s="13">
        <v>45</v>
      </c>
      <c r="P3126" s="13" t="s">
        <v>30</v>
      </c>
      <c r="Q3126" s="13">
        <v>0</v>
      </c>
      <c r="R3126" s="70">
        <f>(L3126*O3126)-Q3126</f>
        <v>292.5</v>
      </c>
      <c r="S3126" s="70">
        <v>0</v>
      </c>
      <c r="T3126" s="70">
        <f t="shared" ref="T3126" si="1026">+L3126*S3126</f>
        <v>0</v>
      </c>
      <c r="U3126" s="70">
        <f t="shared" ref="U3126" si="1027">+R3126-T3126</f>
        <v>292.5</v>
      </c>
      <c r="V3126" s="70">
        <f>+U3126*0</f>
        <v>0</v>
      </c>
      <c r="W3126" s="70">
        <f t="shared" ref="W3126" si="1028">+U3126-V3126</f>
        <v>292.5</v>
      </c>
      <c r="X3126" s="70">
        <v>0</v>
      </c>
      <c r="Y3126" s="14">
        <f t="shared" si="1012"/>
        <v>0</v>
      </c>
      <c r="Z3126" s="11" t="s">
        <v>26</v>
      </c>
      <c r="AA3126" s="12" t="s">
        <v>31</v>
      </c>
    </row>
    <row r="3127" spans="1:27" x14ac:dyDescent="0.25">
      <c r="A3127" s="10">
        <v>45703</v>
      </c>
      <c r="B3127" s="11" t="s">
        <v>1105</v>
      </c>
      <c r="C3127" s="11" t="s">
        <v>5683</v>
      </c>
      <c r="D3127" s="11">
        <v>17668</v>
      </c>
      <c r="E3127" s="11" t="s">
        <v>80</v>
      </c>
      <c r="F3127" s="11" t="s">
        <v>26</v>
      </c>
      <c r="G3127" s="11">
        <v>10688</v>
      </c>
      <c r="H3127" s="12" t="s">
        <v>140</v>
      </c>
      <c r="I3127" s="12" t="s">
        <v>27</v>
      </c>
      <c r="J3127" s="12" t="s">
        <v>42</v>
      </c>
      <c r="K3127" s="12" t="s">
        <v>43</v>
      </c>
      <c r="L3127" s="13">
        <v>43.6</v>
      </c>
      <c r="M3127" s="13">
        <v>25</v>
      </c>
      <c r="N3127" s="13">
        <f t="shared" si="974"/>
        <v>1.744</v>
      </c>
      <c r="O3127" s="13">
        <v>35</v>
      </c>
      <c r="P3127" s="13"/>
      <c r="Q3127" s="13">
        <v>0</v>
      </c>
      <c r="R3127" s="70">
        <f>+L3127*O3127</f>
        <v>1526</v>
      </c>
      <c r="S3127" s="70">
        <v>0</v>
      </c>
      <c r="T3127" s="70">
        <f>+L3127*S3127</f>
        <v>0</v>
      </c>
      <c r="U3127" s="70">
        <f>+R3127-T3127</f>
        <v>1526</v>
      </c>
      <c r="V3127" s="70">
        <f t="shared" ref="V3127" si="1029">+U3127*0</f>
        <v>0</v>
      </c>
      <c r="W3127" s="70">
        <f>+U3127-V3127</f>
        <v>1526</v>
      </c>
      <c r="X3127" s="70">
        <v>0</v>
      </c>
      <c r="Y3127" s="14">
        <f t="shared" si="1012"/>
        <v>0</v>
      </c>
      <c r="Z3127" s="11" t="s">
        <v>26</v>
      </c>
      <c r="AA3127" s="12" t="s">
        <v>31</v>
      </c>
    </row>
    <row r="3128" spans="1:27" x14ac:dyDescent="0.25">
      <c r="A3128" s="10">
        <v>45703</v>
      </c>
      <c r="B3128" s="11" t="s">
        <v>5684</v>
      </c>
      <c r="C3128" s="11" t="s">
        <v>5685</v>
      </c>
      <c r="D3128" s="11">
        <v>17669</v>
      </c>
      <c r="E3128" s="11" t="s">
        <v>5209</v>
      </c>
      <c r="F3128" s="11" t="s">
        <v>26</v>
      </c>
      <c r="G3128" s="11" t="s">
        <v>35</v>
      </c>
      <c r="H3128" s="12" t="s">
        <v>36</v>
      </c>
      <c r="I3128" s="12" t="s">
        <v>37</v>
      </c>
      <c r="J3128" s="12" t="s">
        <v>85</v>
      </c>
      <c r="K3128" s="12" t="s">
        <v>86</v>
      </c>
      <c r="L3128" s="13">
        <v>15.48</v>
      </c>
      <c r="M3128" s="13">
        <v>9</v>
      </c>
      <c r="N3128" s="13">
        <f t="shared" si="974"/>
        <v>1.72</v>
      </c>
      <c r="O3128" s="13">
        <v>37</v>
      </c>
      <c r="P3128" s="13" t="s">
        <v>30</v>
      </c>
      <c r="Q3128" s="13">
        <v>0</v>
      </c>
      <c r="R3128" s="70">
        <f>(L3128*O3128)-Q3128</f>
        <v>572.76</v>
      </c>
      <c r="S3128" s="70">
        <v>0</v>
      </c>
      <c r="T3128" s="70">
        <f t="shared" ref="T3128" si="1030">+L3128*S3128</f>
        <v>0</v>
      </c>
      <c r="U3128" s="70">
        <f t="shared" ref="U3128:U3129" si="1031">+R3128-T3128</f>
        <v>572.76</v>
      </c>
      <c r="V3128" s="70">
        <f>+U3128*0</f>
        <v>0</v>
      </c>
      <c r="W3128" s="70">
        <f t="shared" ref="W3128:W3129" si="1032">+U3128-V3128</f>
        <v>572.76</v>
      </c>
      <c r="X3128" s="70">
        <v>0</v>
      </c>
      <c r="Y3128" s="14">
        <f t="shared" si="1012"/>
        <v>0</v>
      </c>
      <c r="Z3128" s="11" t="s">
        <v>26</v>
      </c>
      <c r="AA3128" s="12" t="s">
        <v>31</v>
      </c>
    </row>
    <row r="3129" spans="1:27" x14ac:dyDescent="0.25">
      <c r="A3129" s="10">
        <v>45703</v>
      </c>
      <c r="B3129" s="11" t="s">
        <v>5686</v>
      </c>
      <c r="C3129" s="11" t="s">
        <v>5687</v>
      </c>
      <c r="D3129" s="11">
        <v>17670</v>
      </c>
      <c r="E3129" s="11" t="s">
        <v>224</v>
      </c>
      <c r="F3129" s="11" t="s">
        <v>26</v>
      </c>
      <c r="G3129" s="11">
        <v>3219</v>
      </c>
      <c r="H3129" s="12" t="s">
        <v>4423</v>
      </c>
      <c r="I3129" s="12" t="s">
        <v>27</v>
      </c>
      <c r="J3129" s="12" t="s">
        <v>33</v>
      </c>
      <c r="K3129" s="12" t="s">
        <v>34</v>
      </c>
      <c r="L3129" s="13">
        <v>35.56</v>
      </c>
      <c r="M3129" s="13">
        <v>25</v>
      </c>
      <c r="N3129" s="13">
        <f t="shared" si="974"/>
        <v>1.4224000000000001</v>
      </c>
      <c r="O3129" s="13">
        <v>45</v>
      </c>
      <c r="P3129" s="13" t="s">
        <v>30</v>
      </c>
      <c r="Q3129" s="13">
        <v>0</v>
      </c>
      <c r="R3129" s="70">
        <f>+L3129*O3129</f>
        <v>1600.2</v>
      </c>
      <c r="S3129" s="70">
        <v>0</v>
      </c>
      <c r="T3129" s="70">
        <f>+L3129*S3129</f>
        <v>0</v>
      </c>
      <c r="U3129" s="70">
        <f t="shared" si="1031"/>
        <v>1600.2</v>
      </c>
      <c r="V3129" s="70">
        <f>+U3129*1</f>
        <v>1600.2</v>
      </c>
      <c r="W3129" s="70">
        <f t="shared" si="1032"/>
        <v>0</v>
      </c>
      <c r="X3129" s="70">
        <v>0</v>
      </c>
      <c r="Y3129" s="14">
        <f t="shared" si="1012"/>
        <v>0</v>
      </c>
      <c r="Z3129" s="11" t="s">
        <v>26</v>
      </c>
      <c r="AA3129" s="12" t="s">
        <v>31</v>
      </c>
    </row>
    <row r="3130" spans="1:27" x14ac:dyDescent="0.25">
      <c r="A3130" s="10">
        <v>45703</v>
      </c>
      <c r="B3130" s="11" t="s">
        <v>5688</v>
      </c>
      <c r="C3130" s="11" t="s">
        <v>5689</v>
      </c>
      <c r="D3130" s="11">
        <v>17671</v>
      </c>
      <c r="E3130" s="11" t="s">
        <v>184</v>
      </c>
      <c r="F3130" s="11" t="s">
        <v>26</v>
      </c>
      <c r="G3130" s="11">
        <v>1018</v>
      </c>
      <c r="H3130" s="12" t="s">
        <v>141</v>
      </c>
      <c r="I3130" s="12" t="s">
        <v>37</v>
      </c>
      <c r="J3130" s="12" t="s">
        <v>85</v>
      </c>
      <c r="K3130" s="12" t="s">
        <v>86</v>
      </c>
      <c r="L3130" s="13">
        <v>37.46</v>
      </c>
      <c r="M3130" s="13">
        <v>25</v>
      </c>
      <c r="N3130" s="13">
        <f t="shared" si="974"/>
        <v>1.4984</v>
      </c>
      <c r="O3130" s="13">
        <v>29</v>
      </c>
      <c r="P3130" s="13" t="s">
        <v>30</v>
      </c>
      <c r="Q3130" s="13">
        <v>0</v>
      </c>
      <c r="R3130" s="70">
        <f>L3130*O3130</f>
        <v>1086.3399999999999</v>
      </c>
      <c r="S3130" s="70">
        <v>0</v>
      </c>
      <c r="T3130" s="70">
        <f>L3130*S3130</f>
        <v>0</v>
      </c>
      <c r="U3130" s="70">
        <f>R3130-T3130</f>
        <v>1086.3399999999999</v>
      </c>
      <c r="V3130" s="70">
        <f>U3130*0</f>
        <v>0</v>
      </c>
      <c r="W3130" s="70">
        <f>U3130-V3130</f>
        <v>1086.3399999999999</v>
      </c>
      <c r="X3130" s="70">
        <v>0</v>
      </c>
      <c r="Y3130" s="14">
        <f t="shared" si="1012"/>
        <v>0</v>
      </c>
      <c r="Z3130" s="11" t="s">
        <v>26</v>
      </c>
      <c r="AA3130" s="12" t="s">
        <v>31</v>
      </c>
    </row>
    <row r="3131" spans="1:27" x14ac:dyDescent="0.25">
      <c r="A3131" s="10">
        <v>45703</v>
      </c>
      <c r="B3131" s="11" t="s">
        <v>5690</v>
      </c>
      <c r="C3131" s="11" t="s">
        <v>5691</v>
      </c>
      <c r="D3131" s="11">
        <v>17672</v>
      </c>
      <c r="E3131" s="11" t="s">
        <v>593</v>
      </c>
      <c r="F3131" s="11" t="s">
        <v>26</v>
      </c>
      <c r="G3131" s="11">
        <v>44336</v>
      </c>
      <c r="H3131" s="12" t="s">
        <v>4423</v>
      </c>
      <c r="I3131" s="12" t="s">
        <v>27</v>
      </c>
      <c r="J3131" s="12" t="s">
        <v>47</v>
      </c>
      <c r="K3131" s="12" t="s">
        <v>48</v>
      </c>
      <c r="L3131" s="13">
        <v>33.46</v>
      </c>
      <c r="M3131" s="13">
        <v>25</v>
      </c>
      <c r="N3131" s="13">
        <f t="shared" si="974"/>
        <v>1.3384</v>
      </c>
      <c r="O3131" s="13">
        <v>46</v>
      </c>
      <c r="P3131" s="13" t="s">
        <v>30</v>
      </c>
      <c r="Q3131" s="13">
        <v>0</v>
      </c>
      <c r="R3131" s="70">
        <f t="shared" ref="R3131" si="1033">+L3131*O3131</f>
        <v>1539.16</v>
      </c>
      <c r="S3131" s="70">
        <v>0</v>
      </c>
      <c r="T3131" s="70">
        <f t="shared" ref="T3131" si="1034">+L3131*S3131</f>
        <v>0</v>
      </c>
      <c r="U3131" s="70">
        <f t="shared" ref="U3131" si="1035">+R3131-T3131</f>
        <v>1539.16</v>
      </c>
      <c r="V3131" s="70">
        <f>+U3131*1</f>
        <v>1539.16</v>
      </c>
      <c r="W3131" s="70">
        <f t="shared" ref="W3131" si="1036">+U3131-V3131</f>
        <v>0</v>
      </c>
      <c r="X3131" s="70">
        <v>0</v>
      </c>
      <c r="Y3131" s="14">
        <f t="shared" si="1012"/>
        <v>0</v>
      </c>
      <c r="Z3131" s="11" t="s">
        <v>26</v>
      </c>
      <c r="AA3131" s="12" t="s">
        <v>31</v>
      </c>
    </row>
    <row r="3132" spans="1:27" x14ac:dyDescent="0.25">
      <c r="A3132" s="10">
        <v>45703</v>
      </c>
      <c r="B3132" s="11" t="s">
        <v>2549</v>
      </c>
      <c r="C3132" s="11" t="s">
        <v>5692</v>
      </c>
      <c r="D3132" s="11">
        <v>17673</v>
      </c>
      <c r="E3132" s="11" t="s">
        <v>81</v>
      </c>
      <c r="F3132" s="11" t="s">
        <v>26</v>
      </c>
      <c r="G3132" s="11">
        <v>1218</v>
      </c>
      <c r="H3132" s="12" t="s">
        <v>141</v>
      </c>
      <c r="I3132" s="12" t="s">
        <v>37</v>
      </c>
      <c r="J3132" s="12" t="s">
        <v>85</v>
      </c>
      <c r="K3132" s="12" t="s">
        <v>86</v>
      </c>
      <c r="L3132" s="13">
        <v>38.04</v>
      </c>
      <c r="M3132" s="13">
        <v>25</v>
      </c>
      <c r="N3132" s="13">
        <f t="shared" si="974"/>
        <v>1.5216000000000001</v>
      </c>
      <c r="O3132" s="13">
        <v>29</v>
      </c>
      <c r="P3132" s="13" t="s">
        <v>30</v>
      </c>
      <c r="Q3132" s="13">
        <v>0</v>
      </c>
      <c r="R3132" s="70">
        <f>L3132*O3132</f>
        <v>1103.1600000000001</v>
      </c>
      <c r="S3132" s="70">
        <v>0</v>
      </c>
      <c r="T3132" s="70">
        <f>L3132*S3132</f>
        <v>0</v>
      </c>
      <c r="U3132" s="70">
        <f>R3132-T3132</f>
        <v>1103.1600000000001</v>
      </c>
      <c r="V3132" s="70">
        <f>U3132*0</f>
        <v>0</v>
      </c>
      <c r="W3132" s="70">
        <f>U3132-V3132</f>
        <v>1103.1600000000001</v>
      </c>
      <c r="X3132" s="70">
        <v>0</v>
      </c>
      <c r="Y3132" s="14">
        <f t="shared" si="1012"/>
        <v>0</v>
      </c>
      <c r="Z3132" s="11" t="s">
        <v>26</v>
      </c>
      <c r="AA3132" s="12" t="s">
        <v>31</v>
      </c>
    </row>
    <row r="3133" spans="1:27" x14ac:dyDescent="0.25">
      <c r="A3133" s="10">
        <v>45703</v>
      </c>
      <c r="B3133" s="11" t="s">
        <v>5693</v>
      </c>
      <c r="C3133" s="11" t="s">
        <v>5694</v>
      </c>
      <c r="D3133" s="11">
        <v>17674</v>
      </c>
      <c r="E3133" s="11" t="s">
        <v>5209</v>
      </c>
      <c r="F3133" s="11" t="s">
        <v>26</v>
      </c>
      <c r="G3133" s="11" t="s">
        <v>35</v>
      </c>
      <c r="H3133" s="12" t="s">
        <v>36</v>
      </c>
      <c r="I3133" s="12" t="s">
        <v>37</v>
      </c>
      <c r="J3133" s="12" t="s">
        <v>85</v>
      </c>
      <c r="K3133" s="12" t="s">
        <v>86</v>
      </c>
      <c r="L3133" s="13">
        <v>16.100000000000001</v>
      </c>
      <c r="M3133" s="13">
        <v>9</v>
      </c>
      <c r="N3133" s="13">
        <f t="shared" si="974"/>
        <v>1.788888888888889</v>
      </c>
      <c r="O3133" s="13">
        <v>37</v>
      </c>
      <c r="P3133" s="13" t="s">
        <v>30</v>
      </c>
      <c r="Q3133" s="13">
        <v>0</v>
      </c>
      <c r="R3133" s="70">
        <f>(L3133*O3133)-Q3133</f>
        <v>595.70000000000005</v>
      </c>
      <c r="S3133" s="70">
        <v>0</v>
      </c>
      <c r="T3133" s="70">
        <f t="shared" ref="T3133" si="1037">+L3133*S3133</f>
        <v>0</v>
      </c>
      <c r="U3133" s="70">
        <f t="shared" ref="U3133" si="1038">+R3133-T3133</f>
        <v>595.70000000000005</v>
      </c>
      <c r="V3133" s="70">
        <f>+U3133*0</f>
        <v>0</v>
      </c>
      <c r="W3133" s="70">
        <f t="shared" ref="W3133" si="1039">+U3133-V3133</f>
        <v>595.70000000000005</v>
      </c>
      <c r="X3133" s="70">
        <v>0</v>
      </c>
      <c r="Y3133" s="14">
        <f t="shared" si="1012"/>
        <v>0</v>
      </c>
      <c r="Z3133" s="11" t="s">
        <v>26</v>
      </c>
      <c r="AA3133" s="12" t="s">
        <v>31</v>
      </c>
    </row>
    <row r="3134" spans="1:27" x14ac:dyDescent="0.25">
      <c r="A3134" s="10">
        <v>45703</v>
      </c>
      <c r="B3134" s="11" t="s">
        <v>5695</v>
      </c>
      <c r="C3134" s="11" t="s">
        <v>5696</v>
      </c>
      <c r="D3134" s="11">
        <v>17675</v>
      </c>
      <c r="E3134" s="11" t="s">
        <v>570</v>
      </c>
      <c r="F3134" s="11" t="s">
        <v>26</v>
      </c>
      <c r="G3134" s="11">
        <v>10757</v>
      </c>
      <c r="H3134" s="12" t="s">
        <v>140</v>
      </c>
      <c r="I3134" s="12" t="s">
        <v>27</v>
      </c>
      <c r="J3134" s="12" t="s">
        <v>33</v>
      </c>
      <c r="K3134" s="12" t="s">
        <v>34</v>
      </c>
      <c r="L3134" s="13">
        <v>42.64</v>
      </c>
      <c r="M3134" s="13">
        <v>29</v>
      </c>
      <c r="N3134" s="13">
        <f t="shared" si="974"/>
        <v>1.470344827586207</v>
      </c>
      <c r="O3134" s="13">
        <v>40</v>
      </c>
      <c r="P3134" s="13"/>
      <c r="Q3134" s="13">
        <v>0</v>
      </c>
      <c r="R3134" s="70">
        <f>+L3134*O3134</f>
        <v>1705.6</v>
      </c>
      <c r="S3134" s="70">
        <v>0</v>
      </c>
      <c r="T3134" s="70">
        <f>+L3134*S3134</f>
        <v>0</v>
      </c>
      <c r="U3134" s="70">
        <f>+R3134-T3134</f>
        <v>1705.6</v>
      </c>
      <c r="V3134" s="70">
        <f t="shared" ref="V3134" si="1040">+U3134*0</f>
        <v>0</v>
      </c>
      <c r="W3134" s="70">
        <f>+U3134-V3134</f>
        <v>1705.6</v>
      </c>
      <c r="X3134" s="70">
        <v>0</v>
      </c>
      <c r="Y3134" s="14">
        <f t="shared" si="1012"/>
        <v>0</v>
      </c>
      <c r="Z3134" s="11" t="s">
        <v>26</v>
      </c>
      <c r="AA3134" s="12" t="s">
        <v>31</v>
      </c>
    </row>
    <row r="3135" spans="1:27" x14ac:dyDescent="0.25">
      <c r="A3135" s="10">
        <v>45703</v>
      </c>
      <c r="B3135" s="11" t="s">
        <v>5697</v>
      </c>
      <c r="C3135" s="11" t="s">
        <v>5698</v>
      </c>
      <c r="D3135" s="11">
        <v>17676</v>
      </c>
      <c r="E3135" s="11" t="s">
        <v>589</v>
      </c>
      <c r="F3135" s="11" t="s">
        <v>26</v>
      </c>
      <c r="G3135" s="11">
        <v>56924</v>
      </c>
      <c r="H3135" s="12" t="s">
        <v>4423</v>
      </c>
      <c r="I3135" s="12" t="s">
        <v>27</v>
      </c>
      <c r="J3135" s="12" t="s">
        <v>33</v>
      </c>
      <c r="K3135" s="12" t="s">
        <v>34</v>
      </c>
      <c r="L3135" s="13">
        <v>35.22</v>
      </c>
      <c r="M3135" s="13">
        <v>25</v>
      </c>
      <c r="N3135" s="13">
        <f t="shared" si="974"/>
        <v>1.4088000000000001</v>
      </c>
      <c r="O3135" s="13">
        <v>45</v>
      </c>
      <c r="P3135" s="13" t="s">
        <v>30</v>
      </c>
      <c r="Q3135" s="13">
        <v>0</v>
      </c>
      <c r="R3135" s="70">
        <f>+L3135*O3135</f>
        <v>1584.8999999999999</v>
      </c>
      <c r="S3135" s="70">
        <v>0</v>
      </c>
      <c r="T3135" s="70">
        <f>+L3135*S3135</f>
        <v>0</v>
      </c>
      <c r="U3135" s="70">
        <f t="shared" ref="U3135" si="1041">+R3135-T3135</f>
        <v>1584.8999999999999</v>
      </c>
      <c r="V3135" s="70">
        <f>+U3135*1</f>
        <v>1584.8999999999999</v>
      </c>
      <c r="W3135" s="70">
        <f t="shared" ref="W3135" si="1042">+U3135-V3135</f>
        <v>0</v>
      </c>
      <c r="X3135" s="70">
        <v>0</v>
      </c>
      <c r="Y3135" s="14">
        <f t="shared" si="1012"/>
        <v>0</v>
      </c>
      <c r="Z3135" s="11" t="s">
        <v>26</v>
      </c>
      <c r="AA3135" s="12" t="s">
        <v>31</v>
      </c>
    </row>
    <row r="3136" spans="1:27" x14ac:dyDescent="0.25">
      <c r="A3136" s="10">
        <v>45703</v>
      </c>
      <c r="B3136" s="11" t="s">
        <v>5699</v>
      </c>
      <c r="C3136" s="11" t="s">
        <v>5700</v>
      </c>
      <c r="D3136" s="11">
        <v>17677</v>
      </c>
      <c r="E3136" s="11" t="s">
        <v>431</v>
      </c>
      <c r="F3136" s="11" t="s">
        <v>26</v>
      </c>
      <c r="G3136" s="11">
        <v>1053</v>
      </c>
      <c r="H3136" s="12" t="s">
        <v>6328</v>
      </c>
      <c r="I3136" s="12" t="s">
        <v>27</v>
      </c>
      <c r="J3136" s="12" t="s">
        <v>42</v>
      </c>
      <c r="K3136" s="12" t="s">
        <v>43</v>
      </c>
      <c r="L3136" s="13">
        <v>40.9</v>
      </c>
      <c r="M3136" s="13">
        <v>25</v>
      </c>
      <c r="N3136" s="13">
        <f t="shared" si="974"/>
        <v>1.6359999999999999</v>
      </c>
      <c r="O3136" s="13">
        <v>42.5</v>
      </c>
      <c r="P3136" s="13"/>
      <c r="Q3136" s="13">
        <v>0</v>
      </c>
      <c r="R3136" s="70">
        <f>L3136*O3136</f>
        <v>1738.25</v>
      </c>
      <c r="S3136" s="70">
        <v>0</v>
      </c>
      <c r="T3136" s="70">
        <f>+L3136*S3136</f>
        <v>0</v>
      </c>
      <c r="U3136" s="70">
        <f>R3136-T3136</f>
        <v>1738.25</v>
      </c>
      <c r="V3136" s="70">
        <f>U3136*0</f>
        <v>0</v>
      </c>
      <c r="W3136" s="70">
        <f>U3136-V3136</f>
        <v>1738.25</v>
      </c>
      <c r="X3136" s="70"/>
      <c r="Y3136" s="14">
        <f t="shared" si="1012"/>
        <v>0</v>
      </c>
      <c r="Z3136" s="11" t="s">
        <v>26</v>
      </c>
      <c r="AA3136" s="12" t="s">
        <v>31</v>
      </c>
    </row>
    <row r="3137" spans="1:27" x14ac:dyDescent="0.25">
      <c r="A3137" s="10">
        <v>45703</v>
      </c>
      <c r="B3137" s="11" t="s">
        <v>5701</v>
      </c>
      <c r="C3137" s="11" t="s">
        <v>5702</v>
      </c>
      <c r="D3137" s="11">
        <v>17678</v>
      </c>
      <c r="E3137" s="11" t="s">
        <v>65</v>
      </c>
      <c r="F3137" s="11" t="s">
        <v>26</v>
      </c>
      <c r="G3137" s="11">
        <v>1707</v>
      </c>
      <c r="H3137" s="12" t="s">
        <v>66</v>
      </c>
      <c r="I3137" s="12" t="s">
        <v>37</v>
      </c>
      <c r="J3137" s="12" t="s">
        <v>1909</v>
      </c>
      <c r="K3137" s="12" t="s">
        <v>82</v>
      </c>
      <c r="L3137" s="13">
        <v>39.82</v>
      </c>
      <c r="M3137" s="13">
        <v>25</v>
      </c>
      <c r="N3137" s="13">
        <f t="shared" si="974"/>
        <v>1.5928</v>
      </c>
      <c r="O3137" s="13" t="s">
        <v>30</v>
      </c>
      <c r="P3137" s="13">
        <v>54</v>
      </c>
      <c r="Q3137" s="13">
        <v>0</v>
      </c>
      <c r="R3137" s="70">
        <f>M3137*P3137</f>
        <v>1350</v>
      </c>
      <c r="S3137" s="70">
        <v>0</v>
      </c>
      <c r="T3137" s="70">
        <f>M3137*S3137</f>
        <v>0</v>
      </c>
      <c r="U3137" s="70">
        <f t="shared" ref="U3137:U3138" si="1043">R3137-T3137</f>
        <v>1350</v>
      </c>
      <c r="V3137" s="70">
        <f>U3137*1</f>
        <v>1350</v>
      </c>
      <c r="W3137" s="70">
        <f>U3137-V3137</f>
        <v>0</v>
      </c>
      <c r="X3137" s="70">
        <v>0</v>
      </c>
      <c r="Y3137" s="14">
        <f t="shared" si="1012"/>
        <v>0</v>
      </c>
      <c r="Z3137" s="11" t="s">
        <v>26</v>
      </c>
      <c r="AA3137" s="12" t="s">
        <v>31</v>
      </c>
    </row>
    <row r="3138" spans="1:27" x14ac:dyDescent="0.25">
      <c r="A3138" s="10">
        <v>45703</v>
      </c>
      <c r="B3138" s="11" t="s">
        <v>5703</v>
      </c>
      <c r="C3138" s="11" t="s">
        <v>5704</v>
      </c>
      <c r="D3138" s="11">
        <v>17679</v>
      </c>
      <c r="E3138" s="11" t="s">
        <v>483</v>
      </c>
      <c r="F3138" s="11" t="s">
        <v>26</v>
      </c>
      <c r="G3138" s="11" t="s">
        <v>26</v>
      </c>
      <c r="H3138" s="12" t="s">
        <v>146</v>
      </c>
      <c r="I3138" s="12" t="s">
        <v>27</v>
      </c>
      <c r="J3138" s="12" t="s">
        <v>47</v>
      </c>
      <c r="K3138" s="12" t="s">
        <v>48</v>
      </c>
      <c r="L3138" s="13">
        <v>42.72</v>
      </c>
      <c r="M3138" s="13">
        <v>29</v>
      </c>
      <c r="N3138" s="13">
        <f t="shared" si="974"/>
        <v>1.473103448275862</v>
      </c>
      <c r="O3138" s="13">
        <v>91</v>
      </c>
      <c r="P3138" s="13" t="s">
        <v>30</v>
      </c>
      <c r="Q3138" s="13">
        <v>0</v>
      </c>
      <c r="R3138" s="70">
        <f>+L3138*O3138</f>
        <v>3887.52</v>
      </c>
      <c r="S3138" s="70">
        <v>40</v>
      </c>
      <c r="T3138" s="70">
        <f>L3138*S3138</f>
        <v>1708.8</v>
      </c>
      <c r="U3138" s="70">
        <f t="shared" si="1043"/>
        <v>2178.7200000000003</v>
      </c>
      <c r="V3138" s="70">
        <f>U3138*1</f>
        <v>2178.7200000000003</v>
      </c>
      <c r="W3138" s="70">
        <f t="shared" ref="W3138" si="1044">U3138-V3138</f>
        <v>0</v>
      </c>
      <c r="X3138" s="70">
        <f>L3138*37</f>
        <v>1580.6399999999999</v>
      </c>
      <c r="Y3138" s="71">
        <f>+T3138-X3138</f>
        <v>128.16000000000008</v>
      </c>
      <c r="Z3138" s="12" t="s">
        <v>41</v>
      </c>
      <c r="AA3138" s="12" t="s">
        <v>79</v>
      </c>
    </row>
    <row r="3139" spans="1:27" x14ac:dyDescent="0.25">
      <c r="A3139" s="10">
        <v>45703</v>
      </c>
      <c r="B3139" s="11" t="s">
        <v>3915</v>
      </c>
      <c r="C3139" s="11" t="s">
        <v>5705</v>
      </c>
      <c r="D3139" s="11">
        <v>17680</v>
      </c>
      <c r="E3139" s="11" t="s">
        <v>5194</v>
      </c>
      <c r="F3139" s="11" t="s">
        <v>26</v>
      </c>
      <c r="G3139" s="11">
        <v>78005</v>
      </c>
      <c r="H3139" s="12" t="s">
        <v>4448</v>
      </c>
      <c r="I3139" s="12" t="s">
        <v>27</v>
      </c>
      <c r="J3139" s="12" t="s">
        <v>42</v>
      </c>
      <c r="K3139" s="12" t="s">
        <v>43</v>
      </c>
      <c r="L3139" s="13">
        <v>41.8</v>
      </c>
      <c r="M3139" s="13">
        <v>25</v>
      </c>
      <c r="N3139" s="13">
        <f t="shared" si="974"/>
        <v>1.6719999999999999</v>
      </c>
      <c r="O3139" s="13">
        <v>42.5</v>
      </c>
      <c r="P3139" s="13"/>
      <c r="Q3139" s="13">
        <v>0</v>
      </c>
      <c r="R3139" s="70">
        <f>+L3139*O3139</f>
        <v>1776.4999999999998</v>
      </c>
      <c r="S3139" s="70">
        <v>0</v>
      </c>
      <c r="T3139" s="70">
        <f>+L3139*S3139</f>
        <v>0</v>
      </c>
      <c r="U3139" s="70">
        <f>+R3139-T3139</f>
        <v>1776.4999999999998</v>
      </c>
      <c r="V3139" s="70">
        <f>+U3139*0.75</f>
        <v>1332.3749999999998</v>
      </c>
      <c r="W3139" s="70">
        <f>+U3139-V3139</f>
        <v>444.125</v>
      </c>
      <c r="X3139" s="70">
        <v>0</v>
      </c>
      <c r="Y3139" s="14">
        <f t="shared" ref="Y3139:Y3154" si="1045">T3139-X3139</f>
        <v>0</v>
      </c>
      <c r="Z3139" s="11" t="s">
        <v>26</v>
      </c>
      <c r="AA3139" s="12" t="s">
        <v>31</v>
      </c>
    </row>
    <row r="3140" spans="1:27" x14ac:dyDescent="0.25">
      <c r="A3140" s="10">
        <v>45703</v>
      </c>
      <c r="B3140" s="11" t="s">
        <v>5706</v>
      </c>
      <c r="C3140" s="11" t="s">
        <v>5707</v>
      </c>
      <c r="D3140" s="11">
        <v>17681</v>
      </c>
      <c r="E3140" s="11" t="s">
        <v>40</v>
      </c>
      <c r="F3140" s="11" t="s">
        <v>26</v>
      </c>
      <c r="G3140" s="11">
        <v>3274</v>
      </c>
      <c r="H3140" s="12" t="s">
        <v>41</v>
      </c>
      <c r="I3140" s="12" t="s">
        <v>27</v>
      </c>
      <c r="J3140" s="12" t="s">
        <v>33</v>
      </c>
      <c r="K3140" s="12" t="s">
        <v>34</v>
      </c>
      <c r="L3140" s="13">
        <v>42.16</v>
      </c>
      <c r="M3140" s="13">
        <v>29</v>
      </c>
      <c r="N3140" s="13">
        <f t="shared" si="974"/>
        <v>1.4537931034482758</v>
      </c>
      <c r="O3140" s="13" t="s">
        <v>30</v>
      </c>
      <c r="P3140" s="13">
        <v>60</v>
      </c>
      <c r="Q3140" s="13">
        <v>0</v>
      </c>
      <c r="R3140" s="70">
        <f>M3140*P3140</f>
        <v>1740</v>
      </c>
      <c r="S3140" s="70">
        <v>0</v>
      </c>
      <c r="T3140" s="70">
        <f>M3140*S3140</f>
        <v>0</v>
      </c>
      <c r="U3140" s="70">
        <f t="shared" ref="U3140:U3141" si="1046">+R3140-T3140</f>
        <v>1740</v>
      </c>
      <c r="V3140" s="70">
        <f>+U3140*0</f>
        <v>0</v>
      </c>
      <c r="W3140" s="70">
        <f t="shared" ref="W3140:W3141" si="1047">+U3140-V3140</f>
        <v>1740</v>
      </c>
      <c r="X3140" s="70">
        <v>0</v>
      </c>
      <c r="Y3140" s="14">
        <f t="shared" si="1045"/>
        <v>0</v>
      </c>
      <c r="Z3140" s="11" t="s">
        <v>26</v>
      </c>
      <c r="AA3140" s="12" t="s">
        <v>31</v>
      </c>
    </row>
    <row r="3141" spans="1:27" x14ac:dyDescent="0.25">
      <c r="A3141" s="10">
        <v>45703</v>
      </c>
      <c r="B3141" s="11" t="s">
        <v>5708</v>
      </c>
      <c r="C3141" s="11" t="s">
        <v>5709</v>
      </c>
      <c r="D3141" s="11">
        <v>17682</v>
      </c>
      <c r="E3141" s="11" t="s">
        <v>5209</v>
      </c>
      <c r="F3141" s="11" t="s">
        <v>26</v>
      </c>
      <c r="G3141" s="11" t="s">
        <v>35</v>
      </c>
      <c r="H3141" s="12" t="s">
        <v>36</v>
      </c>
      <c r="I3141" s="12" t="s">
        <v>37</v>
      </c>
      <c r="J3141" s="12" t="s">
        <v>85</v>
      </c>
      <c r="K3141" s="12" t="s">
        <v>86</v>
      </c>
      <c r="L3141" s="13">
        <v>15.52</v>
      </c>
      <c r="M3141" s="13">
        <v>9</v>
      </c>
      <c r="N3141" s="13">
        <f t="shared" si="974"/>
        <v>1.7244444444444444</v>
      </c>
      <c r="O3141" s="13">
        <v>37</v>
      </c>
      <c r="P3141" s="13" t="s">
        <v>30</v>
      </c>
      <c r="Q3141" s="13">
        <v>0</v>
      </c>
      <c r="R3141" s="70">
        <f>(L3141*O3141)-Q3141</f>
        <v>574.24</v>
      </c>
      <c r="S3141" s="70">
        <v>0</v>
      </c>
      <c r="T3141" s="70">
        <f t="shared" ref="T3141" si="1048">+L3141*S3141</f>
        <v>0</v>
      </c>
      <c r="U3141" s="70">
        <f t="shared" si="1046"/>
        <v>574.24</v>
      </c>
      <c r="V3141" s="70">
        <f>+U3141*0</f>
        <v>0</v>
      </c>
      <c r="W3141" s="70">
        <f t="shared" si="1047"/>
        <v>574.24</v>
      </c>
      <c r="X3141" s="70">
        <v>0</v>
      </c>
      <c r="Y3141" s="14">
        <f t="shared" si="1045"/>
        <v>0</v>
      </c>
      <c r="Z3141" s="11" t="s">
        <v>26</v>
      </c>
      <c r="AA3141" s="12" t="s">
        <v>31</v>
      </c>
    </row>
    <row r="3142" spans="1:27" x14ac:dyDescent="0.25">
      <c r="A3142" s="10">
        <v>45703</v>
      </c>
      <c r="B3142" s="11" t="s">
        <v>2278</v>
      </c>
      <c r="C3142" s="11" t="s">
        <v>5710</v>
      </c>
      <c r="D3142" s="11">
        <v>17683</v>
      </c>
      <c r="E3142" s="11" t="s">
        <v>4559</v>
      </c>
      <c r="F3142" s="11" t="s">
        <v>26</v>
      </c>
      <c r="G3142" s="11">
        <v>2723</v>
      </c>
      <c r="H3142" s="12" t="s">
        <v>204</v>
      </c>
      <c r="I3142" s="12" t="s">
        <v>37</v>
      </c>
      <c r="J3142" s="12" t="s">
        <v>5711</v>
      </c>
      <c r="K3142" s="12" t="s">
        <v>82</v>
      </c>
      <c r="L3142" s="13">
        <v>15.74</v>
      </c>
      <c r="M3142" s="13">
        <v>10</v>
      </c>
      <c r="N3142" s="13">
        <f t="shared" si="974"/>
        <v>1.5740000000000001</v>
      </c>
      <c r="O3142" s="13"/>
      <c r="P3142" s="13">
        <v>51</v>
      </c>
      <c r="Q3142" s="73">
        <v>0</v>
      </c>
      <c r="R3142" s="74">
        <f>M3142*P3142</f>
        <v>510</v>
      </c>
      <c r="S3142" s="74">
        <v>0</v>
      </c>
      <c r="T3142" s="74">
        <f>M3142*S3142</f>
        <v>0</v>
      </c>
      <c r="U3142" s="74">
        <f>R3142-T3142</f>
        <v>510</v>
      </c>
      <c r="V3142" s="74">
        <f>U3142*0</f>
        <v>0</v>
      </c>
      <c r="W3142" s="74">
        <f>U3142-V3142</f>
        <v>510</v>
      </c>
      <c r="X3142" s="12"/>
      <c r="Y3142" s="14">
        <f t="shared" si="1045"/>
        <v>0</v>
      </c>
      <c r="Z3142" s="11" t="s">
        <v>26</v>
      </c>
      <c r="AA3142" s="12" t="s">
        <v>31</v>
      </c>
    </row>
    <row r="3143" spans="1:27" x14ac:dyDescent="0.25">
      <c r="A3143" s="10">
        <v>45703</v>
      </c>
      <c r="B3143" s="11" t="s">
        <v>5712</v>
      </c>
      <c r="C3143" s="11" t="s">
        <v>5713</v>
      </c>
      <c r="D3143" s="11">
        <v>17684</v>
      </c>
      <c r="E3143" s="11" t="s">
        <v>53</v>
      </c>
      <c r="F3143" s="11" t="s">
        <v>26</v>
      </c>
      <c r="G3143" s="11">
        <v>3963</v>
      </c>
      <c r="H3143" s="12" t="s">
        <v>41</v>
      </c>
      <c r="I3143" s="12" t="s">
        <v>27</v>
      </c>
      <c r="J3143" s="12" t="s">
        <v>33</v>
      </c>
      <c r="K3143" s="12" t="s">
        <v>34</v>
      </c>
      <c r="L3143" s="13">
        <v>41.84</v>
      </c>
      <c r="M3143" s="13">
        <v>28</v>
      </c>
      <c r="N3143" s="13">
        <f t="shared" si="974"/>
        <v>1.4942857142857144</v>
      </c>
      <c r="O3143" s="13" t="s">
        <v>30</v>
      </c>
      <c r="P3143" s="13">
        <v>60</v>
      </c>
      <c r="Q3143" s="13">
        <v>0</v>
      </c>
      <c r="R3143" s="70">
        <f>M3143*P3143</f>
        <v>1680</v>
      </c>
      <c r="S3143" s="70">
        <v>0</v>
      </c>
      <c r="T3143" s="70">
        <f>M3143*S3143</f>
        <v>0</v>
      </c>
      <c r="U3143" s="70">
        <f t="shared" ref="U3143" si="1049">+R3143-T3143</f>
        <v>1680</v>
      </c>
      <c r="V3143" s="70">
        <f>+U3143*0</f>
        <v>0</v>
      </c>
      <c r="W3143" s="70">
        <f t="shared" ref="W3143" si="1050">+U3143-V3143</f>
        <v>1680</v>
      </c>
      <c r="X3143" s="70">
        <v>0</v>
      </c>
      <c r="Y3143" s="14">
        <f t="shared" si="1045"/>
        <v>0</v>
      </c>
      <c r="Z3143" s="11" t="s">
        <v>26</v>
      </c>
      <c r="AA3143" s="12" t="s">
        <v>31</v>
      </c>
    </row>
    <row r="3144" spans="1:27" x14ac:dyDescent="0.25">
      <c r="A3144" s="10">
        <v>45703</v>
      </c>
      <c r="B3144" s="11" t="s">
        <v>5714</v>
      </c>
      <c r="C3144" s="11" t="s">
        <v>5715</v>
      </c>
      <c r="D3144" s="11">
        <v>17685</v>
      </c>
      <c r="E3144" s="11" t="s">
        <v>561</v>
      </c>
      <c r="F3144" s="11" t="s">
        <v>26</v>
      </c>
      <c r="G3144" s="11">
        <v>112878</v>
      </c>
      <c r="H3144" s="12" t="s">
        <v>4446</v>
      </c>
      <c r="I3144" s="12" t="s">
        <v>27</v>
      </c>
      <c r="J3144" s="12" t="s">
        <v>33</v>
      </c>
      <c r="K3144" s="12" t="s">
        <v>34</v>
      </c>
      <c r="L3144" s="13">
        <v>35.840000000000003</v>
      </c>
      <c r="M3144" s="13">
        <v>25</v>
      </c>
      <c r="N3144" s="13">
        <f t="shared" ref="N3144:N3166" si="1051">L3144/M3144</f>
        <v>1.4336000000000002</v>
      </c>
      <c r="O3144" s="13">
        <v>44</v>
      </c>
      <c r="P3144" s="13" t="s">
        <v>30</v>
      </c>
      <c r="Q3144" s="13">
        <v>0</v>
      </c>
      <c r="R3144" s="70">
        <f t="shared" ref="R3144" si="1052">+L3144*O3144</f>
        <v>1576.96</v>
      </c>
      <c r="S3144" s="70">
        <v>0</v>
      </c>
      <c r="T3144" s="70">
        <f>+L3144*S3144</f>
        <v>0</v>
      </c>
      <c r="U3144" s="70">
        <f>+R3144-T3144</f>
        <v>1576.96</v>
      </c>
      <c r="V3144" s="70">
        <f>+U3144*1</f>
        <v>1576.96</v>
      </c>
      <c r="W3144" s="70">
        <f>+U3144-V3144</f>
        <v>0</v>
      </c>
      <c r="X3144" s="70">
        <v>0</v>
      </c>
      <c r="Y3144" s="14">
        <f t="shared" si="1045"/>
        <v>0</v>
      </c>
      <c r="Z3144" s="11" t="s">
        <v>26</v>
      </c>
      <c r="AA3144" s="12" t="s">
        <v>31</v>
      </c>
    </row>
    <row r="3145" spans="1:27" x14ac:dyDescent="0.25">
      <c r="A3145" s="10">
        <v>45703</v>
      </c>
      <c r="B3145" s="11" t="s">
        <v>5560</v>
      </c>
      <c r="C3145" s="11" t="s">
        <v>5716</v>
      </c>
      <c r="D3145" s="11">
        <v>17686</v>
      </c>
      <c r="E3145" s="11" t="s">
        <v>440</v>
      </c>
      <c r="F3145" s="11" t="s">
        <v>26</v>
      </c>
      <c r="G3145" s="11" t="s">
        <v>35</v>
      </c>
      <c r="H3145" s="12" t="s">
        <v>36</v>
      </c>
      <c r="I3145" s="12" t="s">
        <v>55</v>
      </c>
      <c r="J3145" s="12" t="s">
        <v>55</v>
      </c>
      <c r="K3145" s="12" t="s">
        <v>56</v>
      </c>
      <c r="L3145" s="13">
        <v>31.14</v>
      </c>
      <c r="M3145" s="13">
        <v>22</v>
      </c>
      <c r="N3145" s="13">
        <f t="shared" si="1051"/>
        <v>1.4154545454545455</v>
      </c>
      <c r="O3145" s="13">
        <v>20</v>
      </c>
      <c r="P3145" s="13" t="s">
        <v>30</v>
      </c>
      <c r="Q3145" s="13">
        <v>0</v>
      </c>
      <c r="R3145" s="70">
        <f>(L3145*O3145)-Q3145</f>
        <v>622.79999999999995</v>
      </c>
      <c r="S3145" s="70">
        <v>0</v>
      </c>
      <c r="T3145" s="70">
        <f t="shared" ref="T3145:T3146" si="1053">+L3145*S3145</f>
        <v>0</v>
      </c>
      <c r="U3145" s="70">
        <f t="shared" ref="U3145:U3146" si="1054">+R3145-T3145</f>
        <v>622.79999999999995</v>
      </c>
      <c r="V3145" s="70">
        <f t="shared" ref="V3145:V3146" si="1055">+U3145*0</f>
        <v>0</v>
      </c>
      <c r="W3145" s="70">
        <f t="shared" ref="W3145:W3146" si="1056">+U3145-V3145</f>
        <v>622.79999999999995</v>
      </c>
      <c r="X3145" s="70">
        <v>0</v>
      </c>
      <c r="Y3145" s="14">
        <f t="shared" si="1045"/>
        <v>0</v>
      </c>
      <c r="Z3145" s="11" t="s">
        <v>26</v>
      </c>
      <c r="AA3145" s="12" t="s">
        <v>31</v>
      </c>
    </row>
    <row r="3146" spans="1:27" x14ac:dyDescent="0.25">
      <c r="A3146" s="10">
        <v>45703</v>
      </c>
      <c r="B3146" s="11" t="s">
        <v>5449</v>
      </c>
      <c r="C3146" s="11" t="s">
        <v>5717</v>
      </c>
      <c r="D3146" s="11">
        <v>17687</v>
      </c>
      <c r="E3146" s="11" t="s">
        <v>651</v>
      </c>
      <c r="F3146" s="11" t="s">
        <v>26</v>
      </c>
      <c r="G3146" s="11" t="s">
        <v>35</v>
      </c>
      <c r="H3146" s="12" t="s">
        <v>36</v>
      </c>
      <c r="I3146" s="12" t="s">
        <v>55</v>
      </c>
      <c r="J3146" s="12" t="s">
        <v>55</v>
      </c>
      <c r="K3146" s="12" t="s">
        <v>56</v>
      </c>
      <c r="L3146" s="13">
        <v>36.200000000000003</v>
      </c>
      <c r="M3146" s="13">
        <v>22</v>
      </c>
      <c r="N3146" s="13">
        <f t="shared" si="1051"/>
        <v>1.6454545454545455</v>
      </c>
      <c r="O3146" s="13">
        <v>20</v>
      </c>
      <c r="P3146" s="13" t="s">
        <v>30</v>
      </c>
      <c r="Q3146" s="13">
        <v>0</v>
      </c>
      <c r="R3146" s="70">
        <f>(L3146*O3146)-Q3146</f>
        <v>724</v>
      </c>
      <c r="S3146" s="70">
        <v>0</v>
      </c>
      <c r="T3146" s="70">
        <f t="shared" si="1053"/>
        <v>0</v>
      </c>
      <c r="U3146" s="70">
        <f t="shared" si="1054"/>
        <v>724</v>
      </c>
      <c r="V3146" s="70">
        <f t="shared" si="1055"/>
        <v>0</v>
      </c>
      <c r="W3146" s="70">
        <f t="shared" si="1056"/>
        <v>724</v>
      </c>
      <c r="X3146" s="70">
        <v>0</v>
      </c>
      <c r="Y3146" s="14">
        <f t="shared" si="1045"/>
        <v>0</v>
      </c>
      <c r="Z3146" s="11" t="s">
        <v>26</v>
      </c>
      <c r="AA3146" s="12" t="s">
        <v>31</v>
      </c>
    </row>
    <row r="3147" spans="1:27" x14ac:dyDescent="0.25">
      <c r="A3147" s="10">
        <v>45703</v>
      </c>
      <c r="B3147" s="11" t="s">
        <v>5718</v>
      </c>
      <c r="C3147" s="11" t="s">
        <v>5719</v>
      </c>
      <c r="D3147" s="11">
        <v>17688</v>
      </c>
      <c r="E3147" s="11" t="s">
        <v>1200</v>
      </c>
      <c r="F3147" s="11" t="s">
        <v>26</v>
      </c>
      <c r="G3147" s="11">
        <v>2971</v>
      </c>
      <c r="H3147" s="12" t="s">
        <v>163</v>
      </c>
      <c r="I3147" s="12" t="s">
        <v>27</v>
      </c>
      <c r="J3147" s="12" t="s">
        <v>47</v>
      </c>
      <c r="K3147" s="12" t="s">
        <v>48</v>
      </c>
      <c r="L3147" s="13">
        <v>38.58</v>
      </c>
      <c r="M3147" s="13">
        <v>25</v>
      </c>
      <c r="N3147" s="13">
        <f t="shared" si="1051"/>
        <v>1.5431999999999999</v>
      </c>
      <c r="O3147" s="13" t="s">
        <v>30</v>
      </c>
      <c r="P3147" s="13">
        <v>60</v>
      </c>
      <c r="Q3147" s="13">
        <v>0</v>
      </c>
      <c r="R3147" s="70">
        <f>M3147*P3147</f>
        <v>1500</v>
      </c>
      <c r="S3147" s="70">
        <v>0</v>
      </c>
      <c r="T3147" s="70">
        <f>M3147*S3147</f>
        <v>0</v>
      </c>
      <c r="U3147" s="70">
        <f>R3147-T3147</f>
        <v>1500</v>
      </c>
      <c r="V3147" s="70">
        <f>U3147*0</f>
        <v>0</v>
      </c>
      <c r="W3147" s="70">
        <f>U3147-V3147</f>
        <v>1500</v>
      </c>
      <c r="X3147" s="70">
        <v>0</v>
      </c>
      <c r="Y3147" s="14">
        <f t="shared" si="1045"/>
        <v>0</v>
      </c>
      <c r="Z3147" s="11" t="s">
        <v>26</v>
      </c>
      <c r="AA3147" s="12" t="s">
        <v>31</v>
      </c>
    </row>
    <row r="3148" spans="1:27" x14ac:dyDescent="0.25">
      <c r="A3148" s="10">
        <v>45703</v>
      </c>
      <c r="B3148" s="11" t="s">
        <v>5720</v>
      </c>
      <c r="C3148" s="11" t="s">
        <v>5721</v>
      </c>
      <c r="D3148" s="11">
        <v>17689</v>
      </c>
      <c r="E3148" s="11" t="s">
        <v>80</v>
      </c>
      <c r="F3148" s="11" t="s">
        <v>26</v>
      </c>
      <c r="G3148" s="11">
        <v>10690</v>
      </c>
      <c r="H3148" s="12" t="s">
        <v>140</v>
      </c>
      <c r="I3148" s="12" t="s">
        <v>27</v>
      </c>
      <c r="J3148" s="12" t="s">
        <v>33</v>
      </c>
      <c r="K3148" s="12" t="s">
        <v>34</v>
      </c>
      <c r="L3148" s="13">
        <v>41.9</v>
      </c>
      <c r="M3148" s="13">
        <v>28</v>
      </c>
      <c r="N3148" s="13">
        <f t="shared" si="1051"/>
        <v>1.4964285714285714</v>
      </c>
      <c r="O3148" s="13">
        <v>40</v>
      </c>
      <c r="P3148" s="13"/>
      <c r="Q3148" s="13">
        <v>0</v>
      </c>
      <c r="R3148" s="70">
        <f>+L3148*O3148</f>
        <v>1676</v>
      </c>
      <c r="S3148" s="70">
        <v>0</v>
      </c>
      <c r="T3148" s="70">
        <f>+L3148*S3148</f>
        <v>0</v>
      </c>
      <c r="U3148" s="70">
        <f>+R3148-T3148</f>
        <v>1676</v>
      </c>
      <c r="V3148" s="70">
        <f t="shared" ref="V3148" si="1057">+U3148*0</f>
        <v>0</v>
      </c>
      <c r="W3148" s="70">
        <f>+U3148-V3148</f>
        <v>1676</v>
      </c>
      <c r="X3148" s="70">
        <v>0</v>
      </c>
      <c r="Y3148" s="14">
        <f t="shared" si="1045"/>
        <v>0</v>
      </c>
      <c r="Z3148" s="11" t="s">
        <v>26</v>
      </c>
      <c r="AA3148" s="12" t="s">
        <v>31</v>
      </c>
    </row>
    <row r="3149" spans="1:27" x14ac:dyDescent="0.25">
      <c r="A3149" s="10">
        <v>45703</v>
      </c>
      <c r="B3149" s="11" t="s">
        <v>5722</v>
      </c>
      <c r="C3149" s="11" t="s">
        <v>5723</v>
      </c>
      <c r="D3149" s="11">
        <v>17690</v>
      </c>
      <c r="E3149" s="11" t="s">
        <v>658</v>
      </c>
      <c r="F3149" s="11" t="s">
        <v>26</v>
      </c>
      <c r="G3149" s="11">
        <v>871</v>
      </c>
      <c r="H3149" s="12" t="s">
        <v>141</v>
      </c>
      <c r="I3149" s="12" t="s">
        <v>37</v>
      </c>
      <c r="J3149" s="12" t="s">
        <v>85</v>
      </c>
      <c r="K3149" s="12" t="s">
        <v>86</v>
      </c>
      <c r="L3149" s="13">
        <v>38.58</v>
      </c>
      <c r="M3149" s="13">
        <v>25</v>
      </c>
      <c r="N3149" s="13">
        <f t="shared" si="1051"/>
        <v>1.5431999999999999</v>
      </c>
      <c r="O3149" s="13">
        <v>29</v>
      </c>
      <c r="P3149" s="13" t="s">
        <v>30</v>
      </c>
      <c r="Q3149" s="13">
        <v>0</v>
      </c>
      <c r="R3149" s="70">
        <f>L3149*O3149</f>
        <v>1118.82</v>
      </c>
      <c r="S3149" s="70">
        <v>0</v>
      </c>
      <c r="T3149" s="70">
        <f>L3149*S3149</f>
        <v>0</v>
      </c>
      <c r="U3149" s="70">
        <f>R3149-T3149</f>
        <v>1118.82</v>
      </c>
      <c r="V3149" s="70">
        <f>U3149*0</f>
        <v>0</v>
      </c>
      <c r="W3149" s="70">
        <f>U3149-V3149</f>
        <v>1118.82</v>
      </c>
      <c r="X3149" s="70">
        <v>0</v>
      </c>
      <c r="Y3149" s="14">
        <f t="shared" si="1045"/>
        <v>0</v>
      </c>
      <c r="Z3149" s="11" t="s">
        <v>26</v>
      </c>
      <c r="AA3149" s="12" t="s">
        <v>31</v>
      </c>
    </row>
    <row r="3150" spans="1:27" x14ac:dyDescent="0.25">
      <c r="A3150" s="10">
        <v>45703</v>
      </c>
      <c r="B3150" s="11" t="s">
        <v>5724</v>
      </c>
      <c r="C3150" s="11" t="s">
        <v>5725</v>
      </c>
      <c r="D3150" s="11">
        <v>17691</v>
      </c>
      <c r="E3150" s="11" t="s">
        <v>5726</v>
      </c>
      <c r="F3150" s="11" t="s">
        <v>26</v>
      </c>
      <c r="G3150" s="11" t="s">
        <v>35</v>
      </c>
      <c r="H3150" s="12" t="s">
        <v>36</v>
      </c>
      <c r="I3150" s="12" t="s">
        <v>27</v>
      </c>
      <c r="J3150" s="12" t="s">
        <v>47</v>
      </c>
      <c r="K3150" s="12" t="s">
        <v>48</v>
      </c>
      <c r="L3150" s="13">
        <v>10.72</v>
      </c>
      <c r="M3150" s="13">
        <v>7</v>
      </c>
      <c r="N3150" s="13">
        <f t="shared" si="1051"/>
        <v>1.5314285714285716</v>
      </c>
      <c r="O3150" s="13">
        <v>50</v>
      </c>
      <c r="P3150" s="13" t="s">
        <v>30</v>
      </c>
      <c r="Q3150" s="13">
        <v>0</v>
      </c>
      <c r="R3150" s="70">
        <f>(L3150*O3150)-Q3150</f>
        <v>536</v>
      </c>
      <c r="S3150" s="70">
        <v>0</v>
      </c>
      <c r="T3150" s="70">
        <f t="shared" ref="T3150" si="1058">+L3150*S3150</f>
        <v>0</v>
      </c>
      <c r="U3150" s="70">
        <f t="shared" ref="U3150:U3154" si="1059">+R3150-T3150</f>
        <v>536</v>
      </c>
      <c r="V3150" s="70">
        <f t="shared" ref="V3150" si="1060">+U3150*0</f>
        <v>0</v>
      </c>
      <c r="W3150" s="70">
        <f t="shared" ref="W3150:W3154" si="1061">+U3150-V3150</f>
        <v>536</v>
      </c>
      <c r="X3150" s="70">
        <v>0</v>
      </c>
      <c r="Y3150" s="14">
        <f t="shared" si="1045"/>
        <v>0</v>
      </c>
      <c r="Z3150" s="11" t="s">
        <v>26</v>
      </c>
      <c r="AA3150" s="12" t="s">
        <v>31</v>
      </c>
    </row>
    <row r="3151" spans="1:27" x14ac:dyDescent="0.25">
      <c r="A3151" s="10">
        <v>45703</v>
      </c>
      <c r="B3151" s="11" t="s">
        <v>5727</v>
      </c>
      <c r="C3151" s="11" t="s">
        <v>5728</v>
      </c>
      <c r="D3151" s="11">
        <v>17692</v>
      </c>
      <c r="E3151" s="11" t="s">
        <v>97</v>
      </c>
      <c r="F3151" s="11" t="s">
        <v>26</v>
      </c>
      <c r="G3151" s="11">
        <v>9858</v>
      </c>
      <c r="H3151" s="12" t="s">
        <v>4447</v>
      </c>
      <c r="I3151" s="12" t="s">
        <v>27</v>
      </c>
      <c r="J3151" s="12" t="s">
        <v>42</v>
      </c>
      <c r="K3151" s="12" t="s">
        <v>43</v>
      </c>
      <c r="L3151" s="13">
        <v>22.24</v>
      </c>
      <c r="M3151" s="13">
        <v>13</v>
      </c>
      <c r="N3151" s="13">
        <f t="shared" si="1051"/>
        <v>1.7107692307692306</v>
      </c>
      <c r="O3151" s="13" t="s">
        <v>30</v>
      </c>
      <c r="P3151" s="13">
        <v>65.599999999999994</v>
      </c>
      <c r="Q3151" s="13">
        <v>0</v>
      </c>
      <c r="R3151" s="70">
        <f>+M3151*P3151</f>
        <v>852.8</v>
      </c>
      <c r="S3151" s="70">
        <v>0</v>
      </c>
      <c r="T3151" s="70">
        <f>+M3151*S3151</f>
        <v>0</v>
      </c>
      <c r="U3151" s="70">
        <f t="shared" si="1059"/>
        <v>852.8</v>
      </c>
      <c r="V3151" s="70">
        <f>+U3151*1</f>
        <v>852.8</v>
      </c>
      <c r="W3151" s="70">
        <f t="shared" si="1061"/>
        <v>0</v>
      </c>
      <c r="X3151" s="70">
        <v>0</v>
      </c>
      <c r="Y3151" s="14">
        <f t="shared" si="1045"/>
        <v>0</v>
      </c>
      <c r="Z3151" s="11" t="s">
        <v>26</v>
      </c>
      <c r="AA3151" s="12" t="s">
        <v>31</v>
      </c>
    </row>
    <row r="3152" spans="1:27" x14ac:dyDescent="0.25">
      <c r="A3152" s="10">
        <v>45703</v>
      </c>
      <c r="B3152" s="11" t="s">
        <v>640</v>
      </c>
      <c r="C3152" s="11" t="s">
        <v>5729</v>
      </c>
      <c r="D3152" s="11">
        <v>17693</v>
      </c>
      <c r="E3152" s="11" t="s">
        <v>69</v>
      </c>
      <c r="F3152" s="11" t="s">
        <v>26</v>
      </c>
      <c r="G3152" s="11">
        <v>2121</v>
      </c>
      <c r="H3152" s="12" t="s">
        <v>70</v>
      </c>
      <c r="I3152" s="12" t="s">
        <v>27</v>
      </c>
      <c r="J3152" s="12" t="s">
        <v>33</v>
      </c>
      <c r="K3152" s="12" t="s">
        <v>34</v>
      </c>
      <c r="L3152" s="13">
        <v>37.619999999999997</v>
      </c>
      <c r="M3152" s="13">
        <v>25</v>
      </c>
      <c r="N3152" s="13">
        <f t="shared" si="1051"/>
        <v>1.5047999999999999</v>
      </c>
      <c r="O3152" s="13" t="s">
        <v>30</v>
      </c>
      <c r="P3152" s="13">
        <v>60</v>
      </c>
      <c r="Q3152" s="13">
        <v>0</v>
      </c>
      <c r="R3152" s="70">
        <f>+M3152*P3152</f>
        <v>1500</v>
      </c>
      <c r="S3152" s="70">
        <v>0</v>
      </c>
      <c r="T3152" s="70">
        <f>+M3152*S3152</f>
        <v>0</v>
      </c>
      <c r="U3152" s="70">
        <f t="shared" si="1059"/>
        <v>1500</v>
      </c>
      <c r="V3152" s="70">
        <f>+U3152*0</f>
        <v>0</v>
      </c>
      <c r="W3152" s="70">
        <f t="shared" si="1061"/>
        <v>1500</v>
      </c>
      <c r="X3152" s="70">
        <v>0</v>
      </c>
      <c r="Y3152" s="14">
        <f t="shared" si="1045"/>
        <v>0</v>
      </c>
      <c r="Z3152" s="11" t="s">
        <v>26</v>
      </c>
      <c r="AA3152" s="12" t="s">
        <v>31</v>
      </c>
    </row>
    <row r="3153" spans="1:27" x14ac:dyDescent="0.25">
      <c r="A3153" s="10">
        <v>45703</v>
      </c>
      <c r="B3153" s="11" t="s">
        <v>2738</v>
      </c>
      <c r="C3153" s="11" t="s">
        <v>5730</v>
      </c>
      <c r="D3153" s="11">
        <v>17694</v>
      </c>
      <c r="E3153" s="11" t="s">
        <v>5209</v>
      </c>
      <c r="F3153" s="11" t="s">
        <v>26</v>
      </c>
      <c r="G3153" s="11" t="s">
        <v>35</v>
      </c>
      <c r="H3153" s="12" t="s">
        <v>36</v>
      </c>
      <c r="I3153" s="12" t="s">
        <v>37</v>
      </c>
      <c r="J3153" s="12" t="s">
        <v>85</v>
      </c>
      <c r="K3153" s="12" t="s">
        <v>86</v>
      </c>
      <c r="L3153" s="13">
        <v>15.04</v>
      </c>
      <c r="M3153" s="13">
        <v>9</v>
      </c>
      <c r="N3153" s="13">
        <f t="shared" si="1051"/>
        <v>1.671111111111111</v>
      </c>
      <c r="O3153" s="13">
        <v>37</v>
      </c>
      <c r="P3153" s="13" t="s">
        <v>30</v>
      </c>
      <c r="Q3153" s="13">
        <v>0</v>
      </c>
      <c r="R3153" s="70">
        <f>(L3153*O3153)-Q3153</f>
        <v>556.48</v>
      </c>
      <c r="S3153" s="70">
        <v>0</v>
      </c>
      <c r="T3153" s="70">
        <f t="shared" ref="T3153" si="1062">+L3153*S3153</f>
        <v>0</v>
      </c>
      <c r="U3153" s="70">
        <f t="shared" si="1059"/>
        <v>556.48</v>
      </c>
      <c r="V3153" s="70">
        <f>+U3153*0</f>
        <v>0</v>
      </c>
      <c r="W3153" s="70">
        <f t="shared" si="1061"/>
        <v>556.48</v>
      </c>
      <c r="X3153" s="70">
        <v>0</v>
      </c>
      <c r="Y3153" s="14">
        <f t="shared" si="1045"/>
        <v>0</v>
      </c>
      <c r="Z3153" s="11" t="s">
        <v>26</v>
      </c>
      <c r="AA3153" s="12" t="s">
        <v>31</v>
      </c>
    </row>
    <row r="3154" spans="1:27" x14ac:dyDescent="0.25">
      <c r="A3154" s="10">
        <v>45703</v>
      </c>
      <c r="B3154" s="11" t="s">
        <v>268</v>
      </c>
      <c r="C3154" s="11" t="s">
        <v>5731</v>
      </c>
      <c r="D3154" s="11">
        <v>17695</v>
      </c>
      <c r="E3154" s="11" t="s">
        <v>74</v>
      </c>
      <c r="F3154" s="11" t="s">
        <v>26</v>
      </c>
      <c r="G3154" s="11">
        <v>1337</v>
      </c>
      <c r="H3154" s="12" t="s">
        <v>70</v>
      </c>
      <c r="I3154" s="12" t="s">
        <v>27</v>
      </c>
      <c r="J3154" s="12" t="s">
        <v>33</v>
      </c>
      <c r="K3154" s="12" t="s">
        <v>34</v>
      </c>
      <c r="L3154" s="13">
        <v>39.56</v>
      </c>
      <c r="M3154" s="13">
        <v>27</v>
      </c>
      <c r="N3154" s="13">
        <f t="shared" si="1051"/>
        <v>1.4651851851851854</v>
      </c>
      <c r="O3154" s="13" t="s">
        <v>30</v>
      </c>
      <c r="P3154" s="13">
        <v>60</v>
      </c>
      <c r="Q3154" s="13">
        <v>0</v>
      </c>
      <c r="R3154" s="70">
        <f>+M3154*P3154</f>
        <v>1620</v>
      </c>
      <c r="S3154" s="70">
        <v>0</v>
      </c>
      <c r="T3154" s="70">
        <f>+M3154*S3154</f>
        <v>0</v>
      </c>
      <c r="U3154" s="70">
        <f t="shared" si="1059"/>
        <v>1620</v>
      </c>
      <c r="V3154" s="70">
        <f>+U3154*0</f>
        <v>0</v>
      </c>
      <c r="W3154" s="70">
        <f t="shared" si="1061"/>
        <v>1620</v>
      </c>
      <c r="X3154" s="70">
        <v>0</v>
      </c>
      <c r="Y3154" s="14">
        <f t="shared" si="1045"/>
        <v>0</v>
      </c>
      <c r="Z3154" s="11" t="s">
        <v>26</v>
      </c>
      <c r="AA3154" s="12" t="s">
        <v>31</v>
      </c>
    </row>
    <row r="3155" spans="1:27" x14ac:dyDescent="0.25">
      <c r="A3155" s="10">
        <v>45703</v>
      </c>
      <c r="B3155" s="11" t="s">
        <v>5732</v>
      </c>
      <c r="C3155" s="11" t="s">
        <v>5733</v>
      </c>
      <c r="D3155" s="11">
        <v>17696</v>
      </c>
      <c r="E3155" s="11" t="s">
        <v>501</v>
      </c>
      <c r="F3155" s="11" t="s">
        <v>26</v>
      </c>
      <c r="G3155" s="11" t="s">
        <v>26</v>
      </c>
      <c r="H3155" s="12" t="s">
        <v>4422</v>
      </c>
      <c r="I3155" s="12" t="s">
        <v>27</v>
      </c>
      <c r="J3155" s="12" t="s">
        <v>47</v>
      </c>
      <c r="K3155" s="12" t="s">
        <v>48</v>
      </c>
      <c r="L3155" s="13">
        <v>41.34</v>
      </c>
      <c r="M3155" s="13">
        <v>28</v>
      </c>
      <c r="N3155" s="13">
        <f t="shared" si="1051"/>
        <v>1.4764285714285716</v>
      </c>
      <c r="O3155" s="13">
        <v>87</v>
      </c>
      <c r="P3155" s="13" t="s">
        <v>30</v>
      </c>
      <c r="Q3155" s="13">
        <v>0</v>
      </c>
      <c r="R3155" s="70">
        <f>L3155*O3155</f>
        <v>3596.5800000000004</v>
      </c>
      <c r="S3155" s="70">
        <v>38</v>
      </c>
      <c r="T3155" s="70">
        <f>L3155*S3155</f>
        <v>1570.92</v>
      </c>
      <c r="U3155" s="70">
        <f>R3155-T3155</f>
        <v>2025.6600000000003</v>
      </c>
      <c r="V3155" s="70">
        <f>U3155*1</f>
        <v>2025.6600000000003</v>
      </c>
      <c r="W3155" s="70">
        <f>U3155-V3155</f>
        <v>0</v>
      </c>
      <c r="X3155" s="70">
        <f>L3155*36</f>
        <v>1488.2400000000002</v>
      </c>
      <c r="Y3155" s="71">
        <f>+T3155-X3155</f>
        <v>82.679999999999836</v>
      </c>
      <c r="Z3155" s="12" t="s">
        <v>141</v>
      </c>
      <c r="AA3155" s="12" t="s">
        <v>78</v>
      </c>
    </row>
    <row r="3156" spans="1:27" x14ac:dyDescent="0.25">
      <c r="A3156" s="10">
        <v>45703</v>
      </c>
      <c r="B3156" s="11" t="s">
        <v>5734</v>
      </c>
      <c r="C3156" s="11" t="s">
        <v>5735</v>
      </c>
      <c r="D3156" s="11">
        <v>17697</v>
      </c>
      <c r="E3156" s="11" t="s">
        <v>81</v>
      </c>
      <c r="F3156" s="11" t="s">
        <v>26</v>
      </c>
      <c r="G3156" s="11" t="s">
        <v>26</v>
      </c>
      <c r="H3156" s="12" t="s">
        <v>4422</v>
      </c>
      <c r="I3156" s="12" t="s">
        <v>27</v>
      </c>
      <c r="J3156" s="12" t="s">
        <v>42</v>
      </c>
      <c r="K3156" s="12" t="s">
        <v>43</v>
      </c>
      <c r="L3156" s="13">
        <v>41.38</v>
      </c>
      <c r="M3156" s="13">
        <v>25</v>
      </c>
      <c r="N3156" s="13">
        <f t="shared" si="1051"/>
        <v>1.6552</v>
      </c>
      <c r="O3156" s="13">
        <v>83</v>
      </c>
      <c r="P3156" s="13" t="s">
        <v>30</v>
      </c>
      <c r="Q3156" s="13">
        <v>0</v>
      </c>
      <c r="R3156" s="70">
        <f>L3156*O3156</f>
        <v>3434.5400000000004</v>
      </c>
      <c r="S3156" s="70">
        <v>38</v>
      </c>
      <c r="T3156" s="70">
        <f>L3156*S3156</f>
        <v>1572.44</v>
      </c>
      <c r="U3156" s="70">
        <f>R3156-T3156</f>
        <v>1862.1000000000004</v>
      </c>
      <c r="V3156" s="70">
        <f>U3156*1</f>
        <v>1862.1000000000004</v>
      </c>
      <c r="W3156" s="70">
        <f>U3156-V3156</f>
        <v>0</v>
      </c>
      <c r="X3156" s="70">
        <f>L3156*36</f>
        <v>1489.68</v>
      </c>
      <c r="Y3156" s="71">
        <f>+T3156-X3156</f>
        <v>82.759999999999991</v>
      </c>
      <c r="Z3156" s="12" t="s">
        <v>141</v>
      </c>
      <c r="AA3156" s="12" t="s">
        <v>78</v>
      </c>
    </row>
    <row r="3157" spans="1:27" x14ac:dyDescent="0.25">
      <c r="A3157" s="10">
        <v>45703</v>
      </c>
      <c r="B3157" s="11" t="s">
        <v>380</v>
      </c>
      <c r="C3157" s="11" t="s">
        <v>5736</v>
      </c>
      <c r="D3157" s="11">
        <v>17698</v>
      </c>
      <c r="E3157" s="11" t="s">
        <v>509</v>
      </c>
      <c r="F3157" s="11" t="s">
        <v>26</v>
      </c>
      <c r="G3157" s="11">
        <v>1317</v>
      </c>
      <c r="H3157" s="12" t="s">
        <v>141</v>
      </c>
      <c r="I3157" s="12" t="s">
        <v>37</v>
      </c>
      <c r="J3157" s="12" t="s">
        <v>85</v>
      </c>
      <c r="K3157" s="12" t="s">
        <v>86</v>
      </c>
      <c r="L3157" s="13">
        <v>39.96</v>
      </c>
      <c r="M3157" s="13">
        <v>25</v>
      </c>
      <c r="N3157" s="13">
        <f t="shared" si="1051"/>
        <v>1.5984</v>
      </c>
      <c r="O3157" s="13">
        <v>29</v>
      </c>
      <c r="P3157" s="13" t="s">
        <v>30</v>
      </c>
      <c r="Q3157" s="13">
        <v>0</v>
      </c>
      <c r="R3157" s="70">
        <f>L3157*O3157</f>
        <v>1158.8399999999999</v>
      </c>
      <c r="S3157" s="70">
        <v>0</v>
      </c>
      <c r="T3157" s="70">
        <f>L3157*S3157</f>
        <v>0</v>
      </c>
      <c r="U3157" s="70">
        <f>R3157-T3157</f>
        <v>1158.8399999999999</v>
      </c>
      <c r="V3157" s="70">
        <f>U3157*0</f>
        <v>0</v>
      </c>
      <c r="W3157" s="70">
        <f>U3157-V3157</f>
        <v>1158.8399999999999</v>
      </c>
      <c r="X3157" s="70">
        <v>0</v>
      </c>
      <c r="Y3157" s="14">
        <f t="shared" ref="Y3157:Y3171" si="1063">T3157-X3157</f>
        <v>0</v>
      </c>
      <c r="Z3157" s="11" t="s">
        <v>26</v>
      </c>
      <c r="AA3157" s="12" t="s">
        <v>31</v>
      </c>
    </row>
    <row r="3158" spans="1:27" x14ac:dyDescent="0.25">
      <c r="A3158" s="10">
        <v>45703</v>
      </c>
      <c r="B3158" s="11" t="s">
        <v>5453</v>
      </c>
      <c r="C3158" s="11" t="s">
        <v>5737</v>
      </c>
      <c r="D3158" s="11">
        <v>17699</v>
      </c>
      <c r="E3158" s="11" t="s">
        <v>442</v>
      </c>
      <c r="F3158" s="11" t="s">
        <v>26</v>
      </c>
      <c r="G3158" s="11">
        <v>4736</v>
      </c>
      <c r="H3158" s="12" t="s">
        <v>41</v>
      </c>
      <c r="I3158" s="12" t="s">
        <v>55</v>
      </c>
      <c r="J3158" s="12" t="s">
        <v>55</v>
      </c>
      <c r="K3158" s="12" t="s">
        <v>56</v>
      </c>
      <c r="L3158" s="13">
        <v>34.6</v>
      </c>
      <c r="M3158" s="13">
        <v>20</v>
      </c>
      <c r="N3158" s="13">
        <f t="shared" si="1051"/>
        <v>1.73</v>
      </c>
      <c r="O3158" s="13" t="s">
        <v>30</v>
      </c>
      <c r="P3158" s="13">
        <v>24</v>
      </c>
      <c r="Q3158" s="13">
        <v>0</v>
      </c>
      <c r="R3158" s="70">
        <f>+M3158*P3158</f>
        <v>480</v>
      </c>
      <c r="S3158" s="70">
        <v>0</v>
      </c>
      <c r="T3158" s="70">
        <f>+M3158*S3158</f>
        <v>0</v>
      </c>
      <c r="U3158" s="70">
        <f t="shared" ref="U3158:U3161" si="1064">+R3158-T3158</f>
        <v>480</v>
      </c>
      <c r="V3158" s="70">
        <f>+U3158*0</f>
        <v>0</v>
      </c>
      <c r="W3158" s="70">
        <f t="shared" ref="W3158:W3161" si="1065">+U3158-V3158</f>
        <v>480</v>
      </c>
      <c r="X3158" s="70">
        <v>0</v>
      </c>
      <c r="Y3158" s="14">
        <f t="shared" si="1063"/>
        <v>0</v>
      </c>
      <c r="Z3158" s="11" t="s">
        <v>26</v>
      </c>
      <c r="AA3158" s="12" t="s">
        <v>31</v>
      </c>
    </row>
    <row r="3159" spans="1:27" x14ac:dyDescent="0.25">
      <c r="A3159" s="10">
        <v>45703</v>
      </c>
      <c r="B3159" s="11" t="s">
        <v>3878</v>
      </c>
      <c r="C3159" s="11" t="s">
        <v>5738</v>
      </c>
      <c r="D3159" s="11">
        <v>17700</v>
      </c>
      <c r="E3159" s="11" t="s">
        <v>5739</v>
      </c>
      <c r="F3159" s="11" t="s">
        <v>26</v>
      </c>
      <c r="G3159" s="11">
        <v>4737</v>
      </c>
      <c r="H3159" s="12" t="s">
        <v>41</v>
      </c>
      <c r="I3159" s="12" t="s">
        <v>55</v>
      </c>
      <c r="J3159" s="12" t="s">
        <v>55</v>
      </c>
      <c r="K3159" s="12" t="s">
        <v>56</v>
      </c>
      <c r="L3159" s="13">
        <v>32.64</v>
      </c>
      <c r="M3159" s="13">
        <v>20</v>
      </c>
      <c r="N3159" s="13">
        <f t="shared" si="1051"/>
        <v>1.6320000000000001</v>
      </c>
      <c r="O3159" s="13" t="s">
        <v>30</v>
      </c>
      <c r="P3159" s="13">
        <v>24</v>
      </c>
      <c r="Q3159" s="13">
        <v>0</v>
      </c>
      <c r="R3159" s="70">
        <f>+M3159*P3159</f>
        <v>480</v>
      </c>
      <c r="S3159" s="70">
        <v>0</v>
      </c>
      <c r="T3159" s="70">
        <f>+M3159*S3159</f>
        <v>0</v>
      </c>
      <c r="U3159" s="70">
        <f t="shared" si="1064"/>
        <v>480</v>
      </c>
      <c r="V3159" s="70">
        <f>+U3159*0</f>
        <v>0</v>
      </c>
      <c r="W3159" s="70">
        <f t="shared" si="1065"/>
        <v>480</v>
      </c>
      <c r="X3159" s="70">
        <v>0</v>
      </c>
      <c r="Y3159" s="14">
        <f t="shared" si="1063"/>
        <v>0</v>
      </c>
      <c r="Z3159" s="11" t="s">
        <v>26</v>
      </c>
      <c r="AA3159" s="12" t="s">
        <v>31</v>
      </c>
    </row>
    <row r="3160" spans="1:27" x14ac:dyDescent="0.25">
      <c r="A3160" s="10">
        <v>45703</v>
      </c>
      <c r="B3160" s="11" t="s">
        <v>5740</v>
      </c>
      <c r="C3160" s="11" t="s">
        <v>5741</v>
      </c>
      <c r="D3160" s="11">
        <v>17701</v>
      </c>
      <c r="E3160" s="11" t="s">
        <v>5742</v>
      </c>
      <c r="F3160" s="11" t="s">
        <v>26</v>
      </c>
      <c r="G3160" s="11">
        <v>4738</v>
      </c>
      <c r="H3160" s="12" t="s">
        <v>41</v>
      </c>
      <c r="I3160" s="12" t="s">
        <v>55</v>
      </c>
      <c r="J3160" s="12" t="s">
        <v>55</v>
      </c>
      <c r="K3160" s="12" t="s">
        <v>56</v>
      </c>
      <c r="L3160" s="13">
        <v>32.54</v>
      </c>
      <c r="M3160" s="13">
        <v>20</v>
      </c>
      <c r="N3160" s="13">
        <f t="shared" si="1051"/>
        <v>1.627</v>
      </c>
      <c r="O3160" s="13" t="s">
        <v>30</v>
      </c>
      <c r="P3160" s="13">
        <v>24</v>
      </c>
      <c r="Q3160" s="13">
        <v>0</v>
      </c>
      <c r="R3160" s="70">
        <f>+M3160*P3160</f>
        <v>480</v>
      </c>
      <c r="S3160" s="70">
        <v>0</v>
      </c>
      <c r="T3160" s="70">
        <f>+M3160*S3160</f>
        <v>0</v>
      </c>
      <c r="U3160" s="70">
        <f t="shared" si="1064"/>
        <v>480</v>
      </c>
      <c r="V3160" s="70">
        <f>+U3160*0</f>
        <v>0</v>
      </c>
      <c r="W3160" s="70">
        <f t="shared" si="1065"/>
        <v>480</v>
      </c>
      <c r="X3160" s="70">
        <v>0</v>
      </c>
      <c r="Y3160" s="14">
        <f t="shared" si="1063"/>
        <v>0</v>
      </c>
      <c r="Z3160" s="11" t="s">
        <v>26</v>
      </c>
      <c r="AA3160" s="12" t="s">
        <v>31</v>
      </c>
    </row>
    <row r="3161" spans="1:27" x14ac:dyDescent="0.25">
      <c r="A3161" s="10">
        <v>45703</v>
      </c>
      <c r="B3161" s="11" t="s">
        <v>5743</v>
      </c>
      <c r="C3161" s="11" t="s">
        <v>5744</v>
      </c>
      <c r="D3161" s="11">
        <v>17702</v>
      </c>
      <c r="E3161" s="11" t="s">
        <v>5745</v>
      </c>
      <c r="F3161" s="11" t="s">
        <v>26</v>
      </c>
      <c r="G3161" s="11">
        <v>4739</v>
      </c>
      <c r="H3161" s="12" t="s">
        <v>41</v>
      </c>
      <c r="I3161" s="12" t="s">
        <v>55</v>
      </c>
      <c r="J3161" s="12" t="s">
        <v>55</v>
      </c>
      <c r="K3161" s="12" t="s">
        <v>56</v>
      </c>
      <c r="L3161" s="13">
        <v>32.24</v>
      </c>
      <c r="M3161" s="13">
        <v>20</v>
      </c>
      <c r="N3161" s="13">
        <f t="shared" si="1051"/>
        <v>1.6120000000000001</v>
      </c>
      <c r="O3161" s="13" t="s">
        <v>30</v>
      </c>
      <c r="P3161" s="13">
        <v>24</v>
      </c>
      <c r="Q3161" s="13">
        <v>0</v>
      </c>
      <c r="R3161" s="70">
        <f>+M3161*P3161</f>
        <v>480</v>
      </c>
      <c r="S3161" s="70">
        <v>0</v>
      </c>
      <c r="T3161" s="70">
        <f>+M3161*S3161</f>
        <v>0</v>
      </c>
      <c r="U3161" s="70">
        <f t="shared" si="1064"/>
        <v>480</v>
      </c>
      <c r="V3161" s="70">
        <f>+U3161*0</f>
        <v>0</v>
      </c>
      <c r="W3161" s="70">
        <f t="shared" si="1065"/>
        <v>480</v>
      </c>
      <c r="X3161" s="70">
        <v>0</v>
      </c>
      <c r="Y3161" s="14">
        <f t="shared" si="1063"/>
        <v>0</v>
      </c>
      <c r="Z3161" s="11" t="s">
        <v>26</v>
      </c>
      <c r="AA3161" s="12" t="s">
        <v>31</v>
      </c>
    </row>
    <row r="3162" spans="1:27" x14ac:dyDescent="0.25">
      <c r="A3162" s="10">
        <v>45703</v>
      </c>
      <c r="B3162" s="11" t="s">
        <v>252</v>
      </c>
      <c r="C3162" s="11" t="s">
        <v>5746</v>
      </c>
      <c r="D3162" s="11">
        <v>17703</v>
      </c>
      <c r="E3162" s="11" t="s">
        <v>570</v>
      </c>
      <c r="F3162" s="11" t="s">
        <v>26</v>
      </c>
      <c r="G3162" s="11">
        <v>10758</v>
      </c>
      <c r="H3162" s="12" t="s">
        <v>140</v>
      </c>
      <c r="I3162" s="12" t="s">
        <v>27</v>
      </c>
      <c r="J3162" s="12" t="s">
        <v>33</v>
      </c>
      <c r="K3162" s="12" t="s">
        <v>34</v>
      </c>
      <c r="L3162" s="13">
        <v>43.14</v>
      </c>
      <c r="M3162" s="13">
        <v>29</v>
      </c>
      <c r="N3162" s="13">
        <f t="shared" si="1051"/>
        <v>1.4875862068965517</v>
      </c>
      <c r="O3162" s="13">
        <v>40</v>
      </c>
      <c r="P3162" s="13"/>
      <c r="Q3162" s="13">
        <v>0</v>
      </c>
      <c r="R3162" s="70">
        <f>+L3162*O3162</f>
        <v>1725.6</v>
      </c>
      <c r="S3162" s="70">
        <v>0</v>
      </c>
      <c r="T3162" s="70">
        <f>+L3162*S3162</f>
        <v>0</v>
      </c>
      <c r="U3162" s="70">
        <f>+R3162-T3162</f>
        <v>1725.6</v>
      </c>
      <c r="V3162" s="70">
        <f t="shared" ref="V3162" si="1066">+U3162*0</f>
        <v>0</v>
      </c>
      <c r="W3162" s="70">
        <f>+U3162-V3162</f>
        <v>1725.6</v>
      </c>
      <c r="X3162" s="70">
        <v>0</v>
      </c>
      <c r="Y3162" s="14">
        <f t="shared" si="1063"/>
        <v>0</v>
      </c>
      <c r="Z3162" s="11" t="s">
        <v>26</v>
      </c>
      <c r="AA3162" s="12" t="s">
        <v>31</v>
      </c>
    </row>
    <row r="3163" spans="1:27" x14ac:dyDescent="0.25">
      <c r="A3163" s="10">
        <v>45703</v>
      </c>
      <c r="B3163" s="11" t="s">
        <v>175</v>
      </c>
      <c r="C3163" s="11" t="s">
        <v>5747</v>
      </c>
      <c r="D3163" s="11">
        <v>17704</v>
      </c>
      <c r="E3163" s="11" t="s">
        <v>605</v>
      </c>
      <c r="F3163" s="11" t="s">
        <v>26</v>
      </c>
      <c r="G3163" s="11">
        <v>1068</v>
      </c>
      <c r="H3163" s="12" t="s">
        <v>141</v>
      </c>
      <c r="I3163" s="12" t="s">
        <v>37</v>
      </c>
      <c r="J3163" s="12" t="s">
        <v>85</v>
      </c>
      <c r="K3163" s="12" t="s">
        <v>86</v>
      </c>
      <c r="L3163" s="13">
        <v>37.74</v>
      </c>
      <c r="M3163" s="13">
        <v>25</v>
      </c>
      <c r="N3163" s="13">
        <f t="shared" si="1051"/>
        <v>1.5096000000000001</v>
      </c>
      <c r="O3163" s="13">
        <v>29</v>
      </c>
      <c r="P3163" s="13" t="s">
        <v>30</v>
      </c>
      <c r="Q3163" s="13">
        <v>0</v>
      </c>
      <c r="R3163" s="70">
        <f>L3163*O3163</f>
        <v>1094.46</v>
      </c>
      <c r="S3163" s="70">
        <v>0</v>
      </c>
      <c r="T3163" s="70">
        <f>L3163*S3163</f>
        <v>0</v>
      </c>
      <c r="U3163" s="70">
        <f>R3163-T3163</f>
        <v>1094.46</v>
      </c>
      <c r="V3163" s="70">
        <f>U3163*0</f>
        <v>0</v>
      </c>
      <c r="W3163" s="70">
        <f>U3163-V3163</f>
        <v>1094.46</v>
      </c>
      <c r="X3163" s="70">
        <v>0</v>
      </c>
      <c r="Y3163" s="14">
        <f t="shared" si="1063"/>
        <v>0</v>
      </c>
      <c r="Z3163" s="11" t="s">
        <v>26</v>
      </c>
      <c r="AA3163" s="12" t="s">
        <v>31</v>
      </c>
    </row>
    <row r="3164" spans="1:27" x14ac:dyDescent="0.25">
      <c r="A3164" s="10">
        <v>45703</v>
      </c>
      <c r="B3164" s="11" t="s">
        <v>5748</v>
      </c>
      <c r="C3164" s="11" t="s">
        <v>5749</v>
      </c>
      <c r="D3164" s="11">
        <v>17705</v>
      </c>
      <c r="E3164" s="11" t="s">
        <v>60</v>
      </c>
      <c r="F3164" s="11" t="s">
        <v>26</v>
      </c>
      <c r="G3164" s="11" t="s">
        <v>35</v>
      </c>
      <c r="H3164" s="12" t="s">
        <v>36</v>
      </c>
      <c r="I3164" s="12" t="s">
        <v>27</v>
      </c>
      <c r="J3164" s="12" t="s">
        <v>33</v>
      </c>
      <c r="K3164" s="12" t="s">
        <v>34</v>
      </c>
      <c r="L3164" s="13">
        <v>5.76</v>
      </c>
      <c r="M3164" s="13">
        <v>5</v>
      </c>
      <c r="N3164" s="13">
        <f t="shared" si="1051"/>
        <v>1.1519999999999999</v>
      </c>
      <c r="O3164" s="13">
        <v>50</v>
      </c>
      <c r="P3164" s="13" t="s">
        <v>30</v>
      </c>
      <c r="Q3164" s="13">
        <v>0</v>
      </c>
      <c r="R3164" s="70">
        <f>(L3164*O3164)-Q3164</f>
        <v>288</v>
      </c>
      <c r="S3164" s="70">
        <v>0</v>
      </c>
      <c r="T3164" s="70">
        <f t="shared" ref="T3164" si="1067">+L3164*S3164</f>
        <v>0</v>
      </c>
      <c r="U3164" s="70">
        <f t="shared" ref="U3164" si="1068">+R3164-T3164</f>
        <v>288</v>
      </c>
      <c r="V3164" s="70">
        <f t="shared" ref="V3164:V3165" si="1069">+U3164*0</f>
        <v>0</v>
      </c>
      <c r="W3164" s="70">
        <f t="shared" ref="W3164" si="1070">+U3164-V3164</f>
        <v>288</v>
      </c>
      <c r="X3164" s="70">
        <v>0</v>
      </c>
      <c r="Y3164" s="14">
        <f t="shared" si="1063"/>
        <v>0</v>
      </c>
      <c r="Z3164" s="11" t="s">
        <v>26</v>
      </c>
      <c r="AA3164" s="12" t="s">
        <v>31</v>
      </c>
    </row>
    <row r="3165" spans="1:27" x14ac:dyDescent="0.25">
      <c r="A3165" s="10">
        <v>45703</v>
      </c>
      <c r="B3165" s="11" t="s">
        <v>4046</v>
      </c>
      <c r="C3165" s="11" t="s">
        <v>5750</v>
      </c>
      <c r="D3165" s="11">
        <v>17706</v>
      </c>
      <c r="E3165" s="11" t="s">
        <v>5369</v>
      </c>
      <c r="F3165" s="11" t="s">
        <v>26</v>
      </c>
      <c r="G3165" s="11">
        <v>10195</v>
      </c>
      <c r="H3165" s="12" t="s">
        <v>140</v>
      </c>
      <c r="I3165" s="12" t="s">
        <v>27</v>
      </c>
      <c r="J3165" s="12" t="s">
        <v>33</v>
      </c>
      <c r="K3165" s="12" t="s">
        <v>34</v>
      </c>
      <c r="L3165" s="13">
        <v>41.28</v>
      </c>
      <c r="M3165" s="13">
        <v>25</v>
      </c>
      <c r="N3165" s="13">
        <f t="shared" si="1051"/>
        <v>1.6512</v>
      </c>
      <c r="O3165" s="13">
        <v>40</v>
      </c>
      <c r="P3165" s="13"/>
      <c r="Q3165" s="13">
        <v>0</v>
      </c>
      <c r="R3165" s="70">
        <f>+L3165*O3165</f>
        <v>1651.2</v>
      </c>
      <c r="S3165" s="70">
        <v>0</v>
      </c>
      <c r="T3165" s="70">
        <f>+L3165*S3165</f>
        <v>0</v>
      </c>
      <c r="U3165" s="70">
        <f>+R3165-T3165</f>
        <v>1651.2</v>
      </c>
      <c r="V3165" s="70">
        <f t="shared" si="1069"/>
        <v>0</v>
      </c>
      <c r="W3165" s="70">
        <f>+U3165-V3165</f>
        <v>1651.2</v>
      </c>
      <c r="X3165" s="70">
        <v>0</v>
      </c>
      <c r="Y3165" s="14">
        <f t="shared" si="1063"/>
        <v>0</v>
      </c>
      <c r="Z3165" s="11" t="s">
        <v>26</v>
      </c>
      <c r="AA3165" s="12" t="s">
        <v>31</v>
      </c>
    </row>
    <row r="3166" spans="1:27" x14ac:dyDescent="0.25">
      <c r="A3166" s="10">
        <v>45703</v>
      </c>
      <c r="B3166" s="11" t="s">
        <v>5751</v>
      </c>
      <c r="C3166" s="11" t="s">
        <v>5752</v>
      </c>
      <c r="D3166" s="11">
        <v>17707</v>
      </c>
      <c r="E3166" s="11" t="s">
        <v>5495</v>
      </c>
      <c r="F3166" s="11" t="s">
        <v>26</v>
      </c>
      <c r="G3166" s="11">
        <v>1264</v>
      </c>
      <c r="H3166" s="12" t="s">
        <v>141</v>
      </c>
      <c r="I3166" s="12" t="s">
        <v>37</v>
      </c>
      <c r="J3166" s="12" t="s">
        <v>85</v>
      </c>
      <c r="K3166" s="12" t="s">
        <v>86</v>
      </c>
      <c r="L3166" s="13">
        <v>38.26</v>
      </c>
      <c r="M3166" s="13">
        <v>25</v>
      </c>
      <c r="N3166" s="13">
        <f t="shared" si="1051"/>
        <v>1.5304</v>
      </c>
      <c r="O3166" s="13">
        <v>29</v>
      </c>
      <c r="P3166" s="13" t="s">
        <v>30</v>
      </c>
      <c r="Q3166" s="13">
        <v>0</v>
      </c>
      <c r="R3166" s="70">
        <f>L3166*O3166</f>
        <v>1109.54</v>
      </c>
      <c r="S3166" s="70">
        <v>0</v>
      </c>
      <c r="T3166" s="70">
        <f>L3166*S3166</f>
        <v>0</v>
      </c>
      <c r="U3166" s="70">
        <f>R3166-T3166</f>
        <v>1109.54</v>
      </c>
      <c r="V3166" s="70">
        <f>U3166*0</f>
        <v>0</v>
      </c>
      <c r="W3166" s="70">
        <f>U3166-V3166</f>
        <v>1109.54</v>
      </c>
      <c r="X3166" s="70">
        <v>0</v>
      </c>
      <c r="Y3166" s="14">
        <f t="shared" si="1063"/>
        <v>0</v>
      </c>
      <c r="Z3166" s="11" t="s">
        <v>26</v>
      </c>
      <c r="AA3166" s="12" t="s">
        <v>31</v>
      </c>
    </row>
    <row r="3167" spans="1:27" x14ac:dyDescent="0.25">
      <c r="A3167" s="10">
        <v>45705</v>
      </c>
      <c r="B3167" s="11" t="s">
        <v>5753</v>
      </c>
      <c r="C3167" s="11" t="s">
        <v>5754</v>
      </c>
      <c r="D3167" s="11">
        <v>17708</v>
      </c>
      <c r="E3167" s="11" t="s">
        <v>32</v>
      </c>
      <c r="F3167" s="11" t="s">
        <v>26</v>
      </c>
      <c r="G3167" s="11">
        <v>75036</v>
      </c>
      <c r="H3167" s="12" t="s">
        <v>4448</v>
      </c>
      <c r="I3167" s="12" t="s">
        <v>27</v>
      </c>
      <c r="J3167" s="12" t="s">
        <v>47</v>
      </c>
      <c r="K3167" s="12" t="s">
        <v>48</v>
      </c>
      <c r="L3167" s="13">
        <v>39.08</v>
      </c>
      <c r="M3167" s="13">
        <v>27</v>
      </c>
      <c r="N3167" s="13">
        <f>L3167/M3167</f>
        <v>1.4474074074074073</v>
      </c>
      <c r="O3167" s="13">
        <v>46.66</v>
      </c>
      <c r="P3167" s="13" t="s">
        <v>30</v>
      </c>
      <c r="Q3167" s="13">
        <v>0</v>
      </c>
      <c r="R3167" s="70">
        <f>+L3167*O3167</f>
        <v>1823.4727999999998</v>
      </c>
      <c r="S3167" s="70">
        <v>0</v>
      </c>
      <c r="T3167" s="70">
        <f>+L3167*S3167</f>
        <v>0</v>
      </c>
      <c r="U3167" s="70">
        <f>+R3167-T3167</f>
        <v>1823.4727999999998</v>
      </c>
      <c r="V3167" s="70">
        <f>+U3167*0.75</f>
        <v>1367.6045999999999</v>
      </c>
      <c r="W3167" s="70">
        <f>+U3167-V3167</f>
        <v>455.86819999999989</v>
      </c>
      <c r="X3167" s="70">
        <v>0</v>
      </c>
      <c r="Y3167" s="14">
        <f t="shared" si="1063"/>
        <v>0</v>
      </c>
      <c r="Z3167" s="11" t="s">
        <v>26</v>
      </c>
      <c r="AA3167" s="12" t="s">
        <v>31</v>
      </c>
    </row>
    <row r="3168" spans="1:27" x14ac:dyDescent="0.25">
      <c r="A3168" s="10">
        <v>45705</v>
      </c>
      <c r="B3168" s="11" t="s">
        <v>5755</v>
      </c>
      <c r="C3168" s="11" t="s">
        <v>5756</v>
      </c>
      <c r="D3168" s="11">
        <v>17709</v>
      </c>
      <c r="E3168" s="11" t="s">
        <v>322</v>
      </c>
      <c r="F3168" s="11" t="s">
        <v>26</v>
      </c>
      <c r="G3168" s="11">
        <v>112883</v>
      </c>
      <c r="H3168" s="12" t="s">
        <v>4446</v>
      </c>
      <c r="I3168" s="12" t="s">
        <v>27</v>
      </c>
      <c r="J3168" s="12" t="s">
        <v>33</v>
      </c>
      <c r="K3168" s="12" t="s">
        <v>34</v>
      </c>
      <c r="L3168" s="13">
        <v>36.159999999999997</v>
      </c>
      <c r="M3168" s="13">
        <v>25</v>
      </c>
      <c r="N3168" s="13">
        <f t="shared" ref="N3168:N3228" si="1071">L3168/M3168</f>
        <v>1.4463999999999999</v>
      </c>
      <c r="O3168" s="13">
        <v>44</v>
      </c>
      <c r="P3168" s="13" t="s">
        <v>30</v>
      </c>
      <c r="Q3168" s="13">
        <v>0</v>
      </c>
      <c r="R3168" s="70">
        <f t="shared" ref="R3168" si="1072">+L3168*O3168</f>
        <v>1591.04</v>
      </c>
      <c r="S3168" s="70">
        <v>0</v>
      </c>
      <c r="T3168" s="70">
        <f>+L3168*S3168</f>
        <v>0</v>
      </c>
      <c r="U3168" s="70">
        <f>+R3168-T3168</f>
        <v>1591.04</v>
      </c>
      <c r="V3168" s="70">
        <f>+U3168*1</f>
        <v>1591.04</v>
      </c>
      <c r="W3168" s="70">
        <f>+U3168-V3168</f>
        <v>0</v>
      </c>
      <c r="X3168" s="70">
        <v>0</v>
      </c>
      <c r="Y3168" s="14">
        <f t="shared" si="1063"/>
        <v>0</v>
      </c>
      <c r="Z3168" s="11" t="s">
        <v>26</v>
      </c>
      <c r="AA3168" s="12" t="s">
        <v>31</v>
      </c>
    </row>
    <row r="3169" spans="1:27" x14ac:dyDescent="0.25">
      <c r="A3169" s="10">
        <v>45705</v>
      </c>
      <c r="B3169" s="11" t="s">
        <v>5757</v>
      </c>
      <c r="C3169" s="11" t="s">
        <v>5758</v>
      </c>
      <c r="D3169" s="11">
        <v>17710</v>
      </c>
      <c r="E3169" s="11" t="s">
        <v>224</v>
      </c>
      <c r="F3169" s="11" t="s">
        <v>26</v>
      </c>
      <c r="G3169" s="11">
        <v>3221</v>
      </c>
      <c r="H3169" s="12" t="s">
        <v>4423</v>
      </c>
      <c r="I3169" s="12" t="s">
        <v>27</v>
      </c>
      <c r="J3169" s="12" t="s">
        <v>33</v>
      </c>
      <c r="K3169" s="12" t="s">
        <v>34</v>
      </c>
      <c r="L3169" s="13">
        <v>35.6</v>
      </c>
      <c r="M3169" s="13">
        <v>25</v>
      </c>
      <c r="N3169" s="13">
        <f t="shared" si="1071"/>
        <v>1.4240000000000002</v>
      </c>
      <c r="O3169" s="13">
        <v>45</v>
      </c>
      <c r="P3169" s="13" t="s">
        <v>30</v>
      </c>
      <c r="Q3169" s="13">
        <v>0</v>
      </c>
      <c r="R3169" s="70">
        <f>+L3169*O3169</f>
        <v>1602</v>
      </c>
      <c r="S3169" s="70">
        <v>0</v>
      </c>
      <c r="T3169" s="70">
        <f>+L3169*S3169</f>
        <v>0</v>
      </c>
      <c r="U3169" s="70">
        <f t="shared" ref="U3169" si="1073">+R3169-T3169</f>
        <v>1602</v>
      </c>
      <c r="V3169" s="70">
        <f>+U3169*1</f>
        <v>1602</v>
      </c>
      <c r="W3169" s="70">
        <f t="shared" ref="W3169" si="1074">+U3169-V3169</f>
        <v>0</v>
      </c>
      <c r="X3169" s="70">
        <v>0</v>
      </c>
      <c r="Y3169" s="14">
        <f t="shared" si="1063"/>
        <v>0</v>
      </c>
      <c r="Z3169" s="11" t="s">
        <v>26</v>
      </c>
      <c r="AA3169" s="12" t="s">
        <v>31</v>
      </c>
    </row>
    <row r="3170" spans="1:27" x14ac:dyDescent="0.25">
      <c r="A3170" s="10">
        <v>45705</v>
      </c>
      <c r="B3170" s="11" t="s">
        <v>3323</v>
      </c>
      <c r="C3170" s="11" t="s">
        <v>5759</v>
      </c>
      <c r="D3170" s="11">
        <v>17711</v>
      </c>
      <c r="E3170" s="11" t="s">
        <v>68</v>
      </c>
      <c r="F3170" s="11" t="s">
        <v>26</v>
      </c>
      <c r="G3170" s="11">
        <v>76371</v>
      </c>
      <c r="H3170" s="12" t="s">
        <v>4448</v>
      </c>
      <c r="I3170" s="12" t="s">
        <v>27</v>
      </c>
      <c r="J3170" s="12" t="s">
        <v>47</v>
      </c>
      <c r="K3170" s="12" t="s">
        <v>48</v>
      </c>
      <c r="L3170" s="13">
        <v>40.46</v>
      </c>
      <c r="M3170" s="13">
        <v>28</v>
      </c>
      <c r="N3170" s="13">
        <f t="shared" si="1071"/>
        <v>1.4450000000000001</v>
      </c>
      <c r="O3170" s="13">
        <v>46.66</v>
      </c>
      <c r="P3170" s="13" t="s">
        <v>30</v>
      </c>
      <c r="Q3170" s="13">
        <v>0</v>
      </c>
      <c r="R3170" s="70">
        <f>+L3170*O3170</f>
        <v>1887.8635999999999</v>
      </c>
      <c r="S3170" s="70">
        <v>0</v>
      </c>
      <c r="T3170" s="70">
        <f>+L3170*S3170</f>
        <v>0</v>
      </c>
      <c r="U3170" s="70">
        <f>+R3170-T3170</f>
        <v>1887.8635999999999</v>
      </c>
      <c r="V3170" s="70">
        <f>+U3170*0.75</f>
        <v>1415.8977</v>
      </c>
      <c r="W3170" s="70">
        <f>+U3170-V3170</f>
        <v>471.96589999999992</v>
      </c>
      <c r="X3170" s="70">
        <v>0</v>
      </c>
      <c r="Y3170" s="14">
        <f t="shared" si="1063"/>
        <v>0</v>
      </c>
      <c r="Z3170" s="11" t="s">
        <v>26</v>
      </c>
      <c r="AA3170" s="12" t="s">
        <v>31</v>
      </c>
    </row>
    <row r="3171" spans="1:27" x14ac:dyDescent="0.25">
      <c r="A3171" s="10">
        <v>45705</v>
      </c>
      <c r="B3171" s="11" t="s">
        <v>5760</v>
      </c>
      <c r="C3171" s="11" t="s">
        <v>5761</v>
      </c>
      <c r="D3171" s="11">
        <v>17712</v>
      </c>
      <c r="E3171" s="11" t="s">
        <v>184</v>
      </c>
      <c r="F3171" s="11" t="s">
        <v>26</v>
      </c>
      <c r="G3171" s="11">
        <v>1019</v>
      </c>
      <c r="H3171" s="12" t="s">
        <v>141</v>
      </c>
      <c r="I3171" s="12" t="s">
        <v>27</v>
      </c>
      <c r="J3171" s="12" t="s">
        <v>42</v>
      </c>
      <c r="K3171" s="12" t="s">
        <v>43</v>
      </c>
      <c r="L3171" s="13">
        <v>44.82</v>
      </c>
      <c r="M3171" s="13">
        <v>25</v>
      </c>
      <c r="N3171" s="13">
        <f t="shared" si="1071"/>
        <v>1.7927999999999999</v>
      </c>
      <c r="O3171" s="13">
        <v>40</v>
      </c>
      <c r="P3171" s="13" t="s">
        <v>30</v>
      </c>
      <c r="Q3171" s="13">
        <v>0</v>
      </c>
      <c r="R3171" s="70">
        <f t="shared" ref="R3171:R3176" si="1075">L3171*O3171</f>
        <v>1792.8</v>
      </c>
      <c r="S3171" s="70">
        <v>0</v>
      </c>
      <c r="T3171" s="70">
        <f t="shared" ref="T3171:T3176" si="1076">L3171*S3171</f>
        <v>0</v>
      </c>
      <c r="U3171" s="70">
        <f t="shared" ref="U3171:U3177" si="1077">R3171-T3171</f>
        <v>1792.8</v>
      </c>
      <c r="V3171" s="70">
        <f>U3171*0</f>
        <v>0</v>
      </c>
      <c r="W3171" s="70">
        <f t="shared" ref="W3171:W3177" si="1078">U3171-V3171</f>
        <v>1792.8</v>
      </c>
      <c r="X3171" s="70">
        <v>0</v>
      </c>
      <c r="Y3171" s="14">
        <f t="shared" si="1063"/>
        <v>0</v>
      </c>
      <c r="Z3171" s="11" t="s">
        <v>26</v>
      </c>
      <c r="AA3171" s="12" t="s">
        <v>31</v>
      </c>
    </row>
    <row r="3172" spans="1:27" x14ac:dyDescent="0.25">
      <c r="A3172" s="10">
        <v>45705</v>
      </c>
      <c r="B3172" s="11" t="s">
        <v>5273</v>
      </c>
      <c r="C3172" s="11" t="s">
        <v>5762</v>
      </c>
      <c r="D3172" s="11">
        <v>17713</v>
      </c>
      <c r="E3172" s="11" t="s">
        <v>431</v>
      </c>
      <c r="F3172" s="11" t="s">
        <v>26</v>
      </c>
      <c r="G3172" s="11" t="s">
        <v>26</v>
      </c>
      <c r="H3172" s="12" t="s">
        <v>4422</v>
      </c>
      <c r="I3172" s="12" t="s">
        <v>27</v>
      </c>
      <c r="J3172" s="12" t="s">
        <v>47</v>
      </c>
      <c r="K3172" s="12" t="s">
        <v>48</v>
      </c>
      <c r="L3172" s="13">
        <v>40.18</v>
      </c>
      <c r="M3172" s="13">
        <v>28</v>
      </c>
      <c r="N3172" s="13">
        <f t="shared" si="1071"/>
        <v>1.4350000000000001</v>
      </c>
      <c r="O3172" s="13">
        <v>87</v>
      </c>
      <c r="P3172" s="13" t="s">
        <v>30</v>
      </c>
      <c r="Q3172" s="13">
        <v>0</v>
      </c>
      <c r="R3172" s="70">
        <f t="shared" si="1075"/>
        <v>3495.66</v>
      </c>
      <c r="S3172" s="70">
        <v>38</v>
      </c>
      <c r="T3172" s="70">
        <f t="shared" si="1076"/>
        <v>1526.84</v>
      </c>
      <c r="U3172" s="70">
        <f t="shared" si="1077"/>
        <v>1968.82</v>
      </c>
      <c r="V3172" s="70">
        <f>U3172*1</f>
        <v>1968.82</v>
      </c>
      <c r="W3172" s="70">
        <f t="shared" si="1078"/>
        <v>0</v>
      </c>
      <c r="X3172" s="70">
        <f>L3172*36</f>
        <v>1446.48</v>
      </c>
      <c r="Y3172" s="71">
        <f>+T3172-X3172</f>
        <v>80.3599999999999</v>
      </c>
      <c r="Z3172" s="12" t="s">
        <v>6328</v>
      </c>
      <c r="AA3172" s="12" t="s">
        <v>78</v>
      </c>
    </row>
    <row r="3173" spans="1:27" x14ac:dyDescent="0.25">
      <c r="A3173" s="10">
        <v>45705</v>
      </c>
      <c r="B3173" s="11" t="s">
        <v>5763</v>
      </c>
      <c r="C3173" s="11" t="s">
        <v>5764</v>
      </c>
      <c r="D3173" s="11">
        <v>17714</v>
      </c>
      <c r="E3173" s="11" t="s">
        <v>81</v>
      </c>
      <c r="F3173" s="11" t="s">
        <v>26</v>
      </c>
      <c r="G3173" s="11">
        <v>1219</v>
      </c>
      <c r="H3173" s="12" t="s">
        <v>141</v>
      </c>
      <c r="I3173" s="12" t="s">
        <v>27</v>
      </c>
      <c r="J3173" s="12" t="s">
        <v>33</v>
      </c>
      <c r="K3173" s="12" t="s">
        <v>34</v>
      </c>
      <c r="L3173" s="13">
        <v>39.5</v>
      </c>
      <c r="M3173" s="13">
        <v>27</v>
      </c>
      <c r="N3173" s="13">
        <f t="shared" si="1071"/>
        <v>1.462962962962963</v>
      </c>
      <c r="O3173" s="13">
        <v>40</v>
      </c>
      <c r="P3173" s="13" t="s">
        <v>30</v>
      </c>
      <c r="Q3173" s="13">
        <v>0</v>
      </c>
      <c r="R3173" s="70">
        <f t="shared" si="1075"/>
        <v>1580</v>
      </c>
      <c r="S3173" s="70">
        <v>0</v>
      </c>
      <c r="T3173" s="70">
        <f t="shared" si="1076"/>
        <v>0</v>
      </c>
      <c r="U3173" s="70">
        <f t="shared" si="1077"/>
        <v>1580</v>
      </c>
      <c r="V3173" s="70">
        <f>U3173*0</f>
        <v>0</v>
      </c>
      <c r="W3173" s="70">
        <f t="shared" si="1078"/>
        <v>1580</v>
      </c>
      <c r="X3173" s="70">
        <v>0</v>
      </c>
      <c r="Y3173" s="14">
        <f t="shared" ref="Y3173" si="1079">T3173-X3173</f>
        <v>0</v>
      </c>
      <c r="Z3173" s="11" t="s">
        <v>26</v>
      </c>
      <c r="AA3173" s="12" t="s">
        <v>31</v>
      </c>
    </row>
    <row r="3174" spans="1:27" x14ac:dyDescent="0.25">
      <c r="A3174" s="10">
        <v>45705</v>
      </c>
      <c r="B3174" s="11" t="s">
        <v>3895</v>
      </c>
      <c r="C3174" s="11" t="s">
        <v>5765</v>
      </c>
      <c r="D3174" s="11">
        <v>17715</v>
      </c>
      <c r="E3174" s="11" t="s">
        <v>246</v>
      </c>
      <c r="F3174" s="11" t="s">
        <v>26</v>
      </c>
      <c r="G3174" s="11" t="s">
        <v>26</v>
      </c>
      <c r="H3174" s="12" t="s">
        <v>4422</v>
      </c>
      <c r="I3174" s="12" t="s">
        <v>27</v>
      </c>
      <c r="J3174" s="12" t="s">
        <v>42</v>
      </c>
      <c r="K3174" s="12" t="s">
        <v>43</v>
      </c>
      <c r="L3174" s="13">
        <v>45.74</v>
      </c>
      <c r="M3174" s="13">
        <v>28</v>
      </c>
      <c r="N3174" s="13">
        <f t="shared" si="1071"/>
        <v>1.6335714285714287</v>
      </c>
      <c r="O3174" s="13">
        <v>83</v>
      </c>
      <c r="P3174" s="13" t="s">
        <v>30</v>
      </c>
      <c r="Q3174" s="13">
        <v>0</v>
      </c>
      <c r="R3174" s="70">
        <f t="shared" si="1075"/>
        <v>3796.42</v>
      </c>
      <c r="S3174" s="70">
        <v>38</v>
      </c>
      <c r="T3174" s="70">
        <f t="shared" si="1076"/>
        <v>1738.1200000000001</v>
      </c>
      <c r="U3174" s="70">
        <f t="shared" si="1077"/>
        <v>2058.3000000000002</v>
      </c>
      <c r="V3174" s="70">
        <f>U3174*1</f>
        <v>2058.3000000000002</v>
      </c>
      <c r="W3174" s="70">
        <f t="shared" si="1078"/>
        <v>0</v>
      </c>
      <c r="X3174" s="70">
        <f>L3174*37</f>
        <v>1692.38</v>
      </c>
      <c r="Y3174" s="71">
        <f>+T3174-X3174</f>
        <v>45.740000000000009</v>
      </c>
      <c r="Z3174" s="12" t="s">
        <v>41</v>
      </c>
      <c r="AA3174" s="12" t="s">
        <v>78</v>
      </c>
    </row>
    <row r="3175" spans="1:27" x14ac:dyDescent="0.25">
      <c r="A3175" s="10">
        <v>45705</v>
      </c>
      <c r="B3175" s="11" t="s">
        <v>250</v>
      </c>
      <c r="C3175" s="11" t="s">
        <v>5766</v>
      </c>
      <c r="D3175" s="11">
        <v>17716</v>
      </c>
      <c r="E3175" s="11" t="s">
        <v>605</v>
      </c>
      <c r="F3175" s="11" t="s">
        <v>26</v>
      </c>
      <c r="G3175" s="11">
        <v>1069</v>
      </c>
      <c r="H3175" s="12" t="s">
        <v>141</v>
      </c>
      <c r="I3175" s="12" t="s">
        <v>27</v>
      </c>
      <c r="J3175" s="12" t="s">
        <v>33</v>
      </c>
      <c r="K3175" s="12" t="s">
        <v>34</v>
      </c>
      <c r="L3175" s="13">
        <v>40.96</v>
      </c>
      <c r="M3175" s="13">
        <v>28</v>
      </c>
      <c r="N3175" s="13">
        <f t="shared" si="1071"/>
        <v>1.4628571428571429</v>
      </c>
      <c r="O3175" s="13">
        <v>40</v>
      </c>
      <c r="P3175" s="13" t="s">
        <v>30</v>
      </c>
      <c r="Q3175" s="13">
        <v>0</v>
      </c>
      <c r="R3175" s="70">
        <f t="shared" si="1075"/>
        <v>1638.4</v>
      </c>
      <c r="S3175" s="70">
        <v>0</v>
      </c>
      <c r="T3175" s="70">
        <f t="shared" si="1076"/>
        <v>0</v>
      </c>
      <c r="U3175" s="70">
        <f t="shared" si="1077"/>
        <v>1638.4</v>
      </c>
      <c r="V3175" s="70">
        <f>U3175*0</f>
        <v>0</v>
      </c>
      <c r="W3175" s="70">
        <f t="shared" si="1078"/>
        <v>1638.4</v>
      </c>
      <c r="X3175" s="70">
        <v>0</v>
      </c>
      <c r="Y3175" s="14">
        <f t="shared" ref="Y3175" si="1080">T3175-X3175</f>
        <v>0</v>
      </c>
      <c r="Z3175" s="11" t="s">
        <v>26</v>
      </c>
      <c r="AA3175" s="12" t="s">
        <v>31</v>
      </c>
    </row>
    <row r="3176" spans="1:27" x14ac:dyDescent="0.25">
      <c r="A3176" s="10">
        <v>45705</v>
      </c>
      <c r="B3176" s="11" t="s">
        <v>2983</v>
      </c>
      <c r="C3176" s="11" t="s">
        <v>5767</v>
      </c>
      <c r="D3176" s="11">
        <v>17717</v>
      </c>
      <c r="E3176" s="11" t="s">
        <v>53</v>
      </c>
      <c r="F3176" s="11" t="s">
        <v>26</v>
      </c>
      <c r="G3176" s="11" t="s">
        <v>26</v>
      </c>
      <c r="H3176" s="12" t="s">
        <v>4422</v>
      </c>
      <c r="I3176" s="12" t="s">
        <v>27</v>
      </c>
      <c r="J3176" s="12" t="s">
        <v>42</v>
      </c>
      <c r="K3176" s="12" t="s">
        <v>43</v>
      </c>
      <c r="L3176" s="13">
        <v>46.38</v>
      </c>
      <c r="M3176" s="13">
        <v>29</v>
      </c>
      <c r="N3176" s="13">
        <f t="shared" si="1071"/>
        <v>1.5993103448275863</v>
      </c>
      <c r="O3176" s="13">
        <v>83</v>
      </c>
      <c r="P3176" s="13" t="s">
        <v>30</v>
      </c>
      <c r="Q3176" s="13">
        <v>0</v>
      </c>
      <c r="R3176" s="70">
        <f t="shared" si="1075"/>
        <v>3849.5400000000004</v>
      </c>
      <c r="S3176" s="70">
        <v>38</v>
      </c>
      <c r="T3176" s="70">
        <f t="shared" si="1076"/>
        <v>1762.44</v>
      </c>
      <c r="U3176" s="70">
        <f t="shared" si="1077"/>
        <v>2087.1000000000004</v>
      </c>
      <c r="V3176" s="70">
        <f>U3176*1</f>
        <v>2087.1000000000004</v>
      </c>
      <c r="W3176" s="70">
        <f t="shared" si="1078"/>
        <v>0</v>
      </c>
      <c r="X3176" s="70">
        <f>L3176*37</f>
        <v>1716.0600000000002</v>
      </c>
      <c r="Y3176" s="71">
        <f>+T3176-X3176</f>
        <v>46.379999999999882</v>
      </c>
      <c r="Z3176" s="12" t="s">
        <v>41</v>
      </c>
      <c r="AA3176" s="12" t="s">
        <v>78</v>
      </c>
    </row>
    <row r="3177" spans="1:27" x14ac:dyDescent="0.25">
      <c r="A3177" s="10">
        <v>45705</v>
      </c>
      <c r="B3177" s="11" t="s">
        <v>5768</v>
      </c>
      <c r="C3177" s="11" t="s">
        <v>5769</v>
      </c>
      <c r="D3177" s="11">
        <v>17718</v>
      </c>
      <c r="E3177" s="11" t="s">
        <v>49</v>
      </c>
      <c r="F3177" s="11" t="s">
        <v>26</v>
      </c>
      <c r="G3177" s="11">
        <v>1600</v>
      </c>
      <c r="H3177" s="12" t="s">
        <v>45</v>
      </c>
      <c r="I3177" s="12" t="s">
        <v>27</v>
      </c>
      <c r="J3177" s="12" t="s">
        <v>33</v>
      </c>
      <c r="K3177" s="12" t="s">
        <v>34</v>
      </c>
      <c r="L3177" s="13">
        <v>37.78</v>
      </c>
      <c r="M3177" s="13">
        <v>25</v>
      </c>
      <c r="N3177" s="13">
        <f t="shared" si="1071"/>
        <v>1.5112000000000001</v>
      </c>
      <c r="O3177" s="13" t="s">
        <v>30</v>
      </c>
      <c r="P3177" s="13">
        <v>58</v>
      </c>
      <c r="Q3177" s="13">
        <v>0</v>
      </c>
      <c r="R3177" s="70">
        <f>M3177*P3177</f>
        <v>1450</v>
      </c>
      <c r="S3177" s="70">
        <v>0</v>
      </c>
      <c r="T3177" s="70">
        <f>M3177*S3177</f>
        <v>0</v>
      </c>
      <c r="U3177" s="70">
        <f t="shared" si="1077"/>
        <v>1450</v>
      </c>
      <c r="V3177" s="70">
        <f t="shared" ref="V3177" si="1081">U3177*0</f>
        <v>0</v>
      </c>
      <c r="W3177" s="70">
        <f t="shared" si="1078"/>
        <v>1450</v>
      </c>
      <c r="X3177" s="70">
        <v>0</v>
      </c>
      <c r="Y3177" s="14">
        <f t="shared" ref="Y3177:Y3178" si="1082">T3177-X3177</f>
        <v>0</v>
      </c>
      <c r="Z3177" s="11" t="s">
        <v>26</v>
      </c>
      <c r="AA3177" s="12" t="s">
        <v>31</v>
      </c>
    </row>
    <row r="3178" spans="1:27" x14ac:dyDescent="0.25">
      <c r="A3178" s="10">
        <v>45705</v>
      </c>
      <c r="B3178" s="11" t="s">
        <v>5770</v>
      </c>
      <c r="C3178" s="11" t="s">
        <v>5771</v>
      </c>
      <c r="D3178" s="11">
        <v>17719</v>
      </c>
      <c r="E3178" s="11" t="s">
        <v>61</v>
      </c>
      <c r="F3178" s="11" t="s">
        <v>26</v>
      </c>
      <c r="G3178" s="11" t="s">
        <v>35</v>
      </c>
      <c r="H3178" s="12" t="s">
        <v>36</v>
      </c>
      <c r="I3178" s="12" t="s">
        <v>27</v>
      </c>
      <c r="J3178" s="12" t="s">
        <v>42</v>
      </c>
      <c r="K3178" s="12" t="s">
        <v>43</v>
      </c>
      <c r="L3178" s="13">
        <v>10.3</v>
      </c>
      <c r="M3178" s="13">
        <v>6</v>
      </c>
      <c r="N3178" s="13">
        <f t="shared" si="1071"/>
        <v>1.7166666666666668</v>
      </c>
      <c r="O3178" s="13">
        <v>45</v>
      </c>
      <c r="P3178" s="13" t="s">
        <v>30</v>
      </c>
      <c r="Q3178" s="13">
        <v>0</v>
      </c>
      <c r="R3178" s="70">
        <f>(L3178*O3178)-Q3178</f>
        <v>463.50000000000006</v>
      </c>
      <c r="S3178" s="70">
        <v>0</v>
      </c>
      <c r="T3178" s="70">
        <f t="shared" ref="T3178" si="1083">+L3178*S3178</f>
        <v>0</v>
      </c>
      <c r="U3178" s="70">
        <f t="shared" ref="U3178" si="1084">+R3178-T3178</f>
        <v>463.50000000000006</v>
      </c>
      <c r="V3178" s="70">
        <f>+U3178*0</f>
        <v>0</v>
      </c>
      <c r="W3178" s="70">
        <f t="shared" ref="W3178" si="1085">+U3178-V3178</f>
        <v>463.50000000000006</v>
      </c>
      <c r="X3178" s="70">
        <v>0</v>
      </c>
      <c r="Y3178" s="14">
        <f t="shared" si="1082"/>
        <v>0</v>
      </c>
      <c r="Z3178" s="11" t="s">
        <v>26</v>
      </c>
      <c r="AA3178" s="12" t="s">
        <v>31</v>
      </c>
    </row>
    <row r="3179" spans="1:27" x14ac:dyDescent="0.25">
      <c r="A3179" s="10">
        <v>45705</v>
      </c>
      <c r="B3179" s="11" t="s">
        <v>5425</v>
      </c>
      <c r="C3179" s="11" t="s">
        <v>5772</v>
      </c>
      <c r="D3179" s="11">
        <v>17720</v>
      </c>
      <c r="E3179" s="11" t="s">
        <v>539</v>
      </c>
      <c r="F3179" s="11" t="s">
        <v>26</v>
      </c>
      <c r="G3179" s="11" t="s">
        <v>26</v>
      </c>
      <c r="H3179" s="12" t="s">
        <v>146</v>
      </c>
      <c r="I3179" s="12" t="s">
        <v>27</v>
      </c>
      <c r="J3179" s="12" t="s">
        <v>47</v>
      </c>
      <c r="K3179" s="12" t="s">
        <v>48</v>
      </c>
      <c r="L3179" s="13">
        <v>43.98</v>
      </c>
      <c r="M3179" s="13">
        <v>30</v>
      </c>
      <c r="N3179" s="13">
        <f t="shared" si="1071"/>
        <v>1.466</v>
      </c>
      <c r="O3179" s="13">
        <v>91</v>
      </c>
      <c r="P3179" s="13" t="s">
        <v>30</v>
      </c>
      <c r="Q3179" s="13">
        <v>0</v>
      </c>
      <c r="R3179" s="70">
        <f>+L3179*O3179</f>
        <v>4002.18</v>
      </c>
      <c r="S3179" s="70">
        <v>40</v>
      </c>
      <c r="T3179" s="70">
        <f>L3179*S3179</f>
        <v>1759.1999999999998</v>
      </c>
      <c r="U3179" s="70">
        <f t="shared" ref="U3179" si="1086">R3179-T3179</f>
        <v>2242.98</v>
      </c>
      <c r="V3179" s="70">
        <f>U3179*1</f>
        <v>2242.98</v>
      </c>
      <c r="W3179" s="70">
        <f t="shared" ref="W3179" si="1087">U3179-V3179</f>
        <v>0</v>
      </c>
      <c r="X3179" s="70">
        <f>L3179*37</f>
        <v>1627.26</v>
      </c>
      <c r="Y3179" s="71">
        <f>+T3179-X3179</f>
        <v>131.93999999999983</v>
      </c>
      <c r="Z3179" s="12" t="s">
        <v>41</v>
      </c>
      <c r="AA3179" s="12" t="s">
        <v>79</v>
      </c>
    </row>
    <row r="3180" spans="1:27" x14ac:dyDescent="0.25">
      <c r="A3180" s="10">
        <v>45705</v>
      </c>
      <c r="B3180" s="11" t="s">
        <v>5773</v>
      </c>
      <c r="C3180" s="11" t="s">
        <v>5774</v>
      </c>
      <c r="D3180" s="11">
        <v>17721</v>
      </c>
      <c r="E3180" s="11" t="s">
        <v>60</v>
      </c>
      <c r="F3180" s="11" t="s">
        <v>26</v>
      </c>
      <c r="G3180" s="11" t="s">
        <v>35</v>
      </c>
      <c r="H3180" s="12" t="s">
        <v>36</v>
      </c>
      <c r="I3180" s="12" t="s">
        <v>27</v>
      </c>
      <c r="J3180" s="12" t="s">
        <v>42</v>
      </c>
      <c r="K3180" s="12" t="s">
        <v>43</v>
      </c>
      <c r="L3180" s="13">
        <v>6.02</v>
      </c>
      <c r="M3180" s="13">
        <v>4</v>
      </c>
      <c r="N3180" s="13">
        <f t="shared" si="1071"/>
        <v>1.5049999999999999</v>
      </c>
      <c r="O3180" s="13">
        <v>45</v>
      </c>
      <c r="P3180" s="13" t="s">
        <v>30</v>
      </c>
      <c r="Q3180" s="13">
        <v>0</v>
      </c>
      <c r="R3180" s="70">
        <f>(L3180*O3180)-Q3180</f>
        <v>270.89999999999998</v>
      </c>
      <c r="S3180" s="70">
        <v>0</v>
      </c>
      <c r="T3180" s="70">
        <f t="shared" ref="T3180" si="1088">+L3180*S3180</f>
        <v>0</v>
      </c>
      <c r="U3180" s="70">
        <f t="shared" ref="U3180" si="1089">+R3180-T3180</f>
        <v>270.89999999999998</v>
      </c>
      <c r="V3180" s="70">
        <f>+U3180*0</f>
        <v>0</v>
      </c>
      <c r="W3180" s="70">
        <f t="shared" ref="W3180" si="1090">+U3180-V3180</f>
        <v>270.89999999999998</v>
      </c>
      <c r="X3180" s="70">
        <v>0</v>
      </c>
      <c r="Y3180" s="14">
        <f t="shared" ref="Y3180:Y3186" si="1091">T3180-X3180</f>
        <v>0</v>
      </c>
      <c r="Z3180" s="11" t="s">
        <v>26</v>
      </c>
      <c r="AA3180" s="12" t="s">
        <v>31</v>
      </c>
    </row>
    <row r="3181" spans="1:27" x14ac:dyDescent="0.25">
      <c r="A3181" s="10">
        <v>45705</v>
      </c>
      <c r="B3181" s="11" t="s">
        <v>5775</v>
      </c>
      <c r="C3181" s="11" t="s">
        <v>5776</v>
      </c>
      <c r="D3181" s="11">
        <v>17722</v>
      </c>
      <c r="E3181" s="11" t="s">
        <v>44</v>
      </c>
      <c r="F3181" s="11" t="s">
        <v>26</v>
      </c>
      <c r="G3181" s="11">
        <v>1658</v>
      </c>
      <c r="H3181" s="12" t="s">
        <v>45</v>
      </c>
      <c r="I3181" s="12" t="s">
        <v>27</v>
      </c>
      <c r="J3181" s="12" t="s">
        <v>33</v>
      </c>
      <c r="K3181" s="12" t="s">
        <v>34</v>
      </c>
      <c r="L3181" s="13">
        <v>37.82</v>
      </c>
      <c r="M3181" s="13">
        <v>25</v>
      </c>
      <c r="N3181" s="13">
        <f t="shared" si="1071"/>
        <v>1.5127999999999999</v>
      </c>
      <c r="O3181" s="13" t="s">
        <v>30</v>
      </c>
      <c r="P3181" s="13">
        <v>58</v>
      </c>
      <c r="Q3181" s="13">
        <v>0</v>
      </c>
      <c r="R3181" s="70">
        <f>M3181*P3181</f>
        <v>1450</v>
      </c>
      <c r="S3181" s="70">
        <v>0</v>
      </c>
      <c r="T3181" s="70">
        <f>M3181*S3181</f>
        <v>0</v>
      </c>
      <c r="U3181" s="70">
        <f>R3181-T3181</f>
        <v>1450</v>
      </c>
      <c r="V3181" s="70">
        <f t="shared" ref="V3181" si="1092">U3181*0</f>
        <v>0</v>
      </c>
      <c r="W3181" s="70">
        <f t="shared" ref="W3181" si="1093">U3181-V3181</f>
        <v>1450</v>
      </c>
      <c r="X3181" s="70">
        <v>0</v>
      </c>
      <c r="Y3181" s="14">
        <f t="shared" si="1091"/>
        <v>0</v>
      </c>
      <c r="Z3181" s="11" t="s">
        <v>26</v>
      </c>
      <c r="AA3181" s="12" t="s">
        <v>31</v>
      </c>
    </row>
    <row r="3182" spans="1:27" x14ac:dyDescent="0.25">
      <c r="A3182" s="10">
        <v>45705</v>
      </c>
      <c r="B3182" s="11" t="s">
        <v>3776</v>
      </c>
      <c r="C3182" s="11" t="s">
        <v>5777</v>
      </c>
      <c r="D3182" s="11">
        <v>17723</v>
      </c>
      <c r="E3182" s="11" t="s">
        <v>525</v>
      </c>
      <c r="F3182" s="11" t="s">
        <v>26</v>
      </c>
      <c r="G3182" s="11">
        <v>78553</v>
      </c>
      <c r="H3182" s="12" t="s">
        <v>4448</v>
      </c>
      <c r="I3182" s="12" t="s">
        <v>27</v>
      </c>
      <c r="J3182" s="12" t="s">
        <v>42</v>
      </c>
      <c r="K3182" s="12" t="s">
        <v>43</v>
      </c>
      <c r="L3182" s="13">
        <v>47.96</v>
      </c>
      <c r="M3182" s="13">
        <v>30</v>
      </c>
      <c r="N3182" s="13">
        <f t="shared" si="1071"/>
        <v>1.5986666666666667</v>
      </c>
      <c r="O3182" s="13">
        <v>42.5</v>
      </c>
      <c r="P3182" s="13"/>
      <c r="Q3182" s="13">
        <v>0</v>
      </c>
      <c r="R3182" s="70">
        <f>+L3182*O3182</f>
        <v>2038.3</v>
      </c>
      <c r="S3182" s="70">
        <v>0</v>
      </c>
      <c r="T3182" s="70">
        <f>+L3182*S3182</f>
        <v>0</v>
      </c>
      <c r="U3182" s="70">
        <f>+R3182-T3182</f>
        <v>2038.3</v>
      </c>
      <c r="V3182" s="70">
        <f>+U3182*0.75</f>
        <v>1528.7249999999999</v>
      </c>
      <c r="W3182" s="70">
        <f>+U3182-V3182</f>
        <v>509.57500000000005</v>
      </c>
      <c r="X3182" s="70">
        <v>0</v>
      </c>
      <c r="Y3182" s="14">
        <f t="shared" si="1091"/>
        <v>0</v>
      </c>
      <c r="Z3182" s="11" t="s">
        <v>26</v>
      </c>
      <c r="AA3182" s="12" t="s">
        <v>31</v>
      </c>
    </row>
    <row r="3183" spans="1:27" x14ac:dyDescent="0.25">
      <c r="A3183" s="10">
        <v>45705</v>
      </c>
      <c r="B3183" s="11" t="s">
        <v>316</v>
      </c>
      <c r="C3183" s="11" t="s">
        <v>5778</v>
      </c>
      <c r="D3183" s="11">
        <v>17724</v>
      </c>
      <c r="E3183" s="11" t="s">
        <v>544</v>
      </c>
      <c r="F3183" s="11" t="s">
        <v>26</v>
      </c>
      <c r="G3183" s="11">
        <v>78501</v>
      </c>
      <c r="H3183" s="12" t="s">
        <v>4448</v>
      </c>
      <c r="I3183" s="12" t="s">
        <v>27</v>
      </c>
      <c r="J3183" s="12" t="s">
        <v>42</v>
      </c>
      <c r="K3183" s="12" t="s">
        <v>43</v>
      </c>
      <c r="L3183" s="13">
        <v>47.06</v>
      </c>
      <c r="M3183" s="13">
        <v>29</v>
      </c>
      <c r="N3183" s="13">
        <f t="shared" si="1071"/>
        <v>1.6227586206896552</v>
      </c>
      <c r="O3183" s="13">
        <v>42.5</v>
      </c>
      <c r="P3183" s="13"/>
      <c r="Q3183" s="13">
        <v>0</v>
      </c>
      <c r="R3183" s="70">
        <f>+L3183*O3183</f>
        <v>2000.0500000000002</v>
      </c>
      <c r="S3183" s="70">
        <v>0</v>
      </c>
      <c r="T3183" s="70">
        <f>+L3183*S3183</f>
        <v>0</v>
      </c>
      <c r="U3183" s="70">
        <f>+R3183-T3183</f>
        <v>2000.0500000000002</v>
      </c>
      <c r="V3183" s="70">
        <f>+U3183*0.75</f>
        <v>1500.0375000000001</v>
      </c>
      <c r="W3183" s="70">
        <f>+U3183-V3183</f>
        <v>500.01250000000005</v>
      </c>
      <c r="X3183" s="70">
        <v>0</v>
      </c>
      <c r="Y3183" s="14">
        <f t="shared" si="1091"/>
        <v>0</v>
      </c>
      <c r="Z3183" s="11" t="s">
        <v>26</v>
      </c>
      <c r="AA3183" s="12" t="s">
        <v>31</v>
      </c>
    </row>
    <row r="3184" spans="1:27" x14ac:dyDescent="0.25">
      <c r="A3184" s="10">
        <v>45705</v>
      </c>
      <c r="B3184" s="11" t="s">
        <v>3634</v>
      </c>
      <c r="C3184" s="11" t="s">
        <v>5779</v>
      </c>
      <c r="D3184" s="11">
        <v>17725</v>
      </c>
      <c r="E3184" s="11" t="s">
        <v>50</v>
      </c>
      <c r="F3184" s="11" t="s">
        <v>26</v>
      </c>
      <c r="G3184" s="11">
        <v>755</v>
      </c>
      <c r="H3184" s="12" t="s">
        <v>163</v>
      </c>
      <c r="I3184" s="12" t="s">
        <v>27</v>
      </c>
      <c r="J3184" s="12" t="s">
        <v>42</v>
      </c>
      <c r="K3184" s="12" t="s">
        <v>43</v>
      </c>
      <c r="L3184" s="13">
        <v>44.26</v>
      </c>
      <c r="M3184" s="13">
        <v>25</v>
      </c>
      <c r="N3184" s="13">
        <f t="shared" si="1071"/>
        <v>1.7704</v>
      </c>
      <c r="O3184" s="13" t="s">
        <v>30</v>
      </c>
      <c r="P3184" s="13">
        <v>64</v>
      </c>
      <c r="Q3184" s="13">
        <v>0</v>
      </c>
      <c r="R3184" s="70">
        <f>M3184*P3184</f>
        <v>1600</v>
      </c>
      <c r="S3184" s="70">
        <v>0</v>
      </c>
      <c r="T3184" s="70">
        <f>M3184*S3184</f>
        <v>0</v>
      </c>
      <c r="U3184" s="70">
        <f>R3184-T3184</f>
        <v>1600</v>
      </c>
      <c r="V3184" s="70">
        <f t="shared" ref="V3184:V3185" si="1094">U3184*0</f>
        <v>0</v>
      </c>
      <c r="W3184" s="70">
        <f t="shared" ref="W3184:W3185" si="1095">U3184-V3184</f>
        <v>1600</v>
      </c>
      <c r="X3184" s="70">
        <v>0</v>
      </c>
      <c r="Y3184" s="14">
        <f t="shared" si="1091"/>
        <v>0</v>
      </c>
      <c r="Z3184" s="11" t="s">
        <v>26</v>
      </c>
      <c r="AA3184" s="12" t="s">
        <v>31</v>
      </c>
    </row>
    <row r="3185" spans="1:27" x14ac:dyDescent="0.25">
      <c r="A3185" s="10">
        <v>45705</v>
      </c>
      <c r="B3185" s="11" t="s">
        <v>1642</v>
      </c>
      <c r="C3185" s="11" t="s">
        <v>5780</v>
      </c>
      <c r="D3185" s="11">
        <v>17726</v>
      </c>
      <c r="E3185" s="11" t="s">
        <v>1200</v>
      </c>
      <c r="F3185" s="11" t="s">
        <v>26</v>
      </c>
      <c r="G3185" s="11">
        <v>2972</v>
      </c>
      <c r="H3185" s="12" t="s">
        <v>163</v>
      </c>
      <c r="I3185" s="12" t="s">
        <v>27</v>
      </c>
      <c r="J3185" s="12" t="s">
        <v>42</v>
      </c>
      <c r="K3185" s="12" t="s">
        <v>43</v>
      </c>
      <c r="L3185" s="13">
        <v>42.46</v>
      </c>
      <c r="M3185" s="13">
        <v>25</v>
      </c>
      <c r="N3185" s="13">
        <f t="shared" si="1071"/>
        <v>1.6984000000000001</v>
      </c>
      <c r="O3185" s="13" t="s">
        <v>30</v>
      </c>
      <c r="P3185" s="13">
        <v>64</v>
      </c>
      <c r="Q3185" s="13">
        <v>0</v>
      </c>
      <c r="R3185" s="70">
        <f>M3185*P3185</f>
        <v>1600</v>
      </c>
      <c r="S3185" s="70">
        <v>0</v>
      </c>
      <c r="T3185" s="70">
        <f>M3185*S3185</f>
        <v>0</v>
      </c>
      <c r="U3185" s="70">
        <f>R3185-T3185</f>
        <v>1600</v>
      </c>
      <c r="V3185" s="70">
        <f t="shared" si="1094"/>
        <v>0</v>
      </c>
      <c r="W3185" s="70">
        <f t="shared" si="1095"/>
        <v>1600</v>
      </c>
      <c r="X3185" s="70">
        <v>0</v>
      </c>
      <c r="Y3185" s="14">
        <f t="shared" si="1091"/>
        <v>0</v>
      </c>
      <c r="Z3185" s="11" t="s">
        <v>26</v>
      </c>
      <c r="AA3185" s="12" t="s">
        <v>31</v>
      </c>
    </row>
    <row r="3186" spans="1:27" x14ac:dyDescent="0.25">
      <c r="A3186" s="10">
        <v>45705</v>
      </c>
      <c r="B3186" s="11" t="s">
        <v>5781</v>
      </c>
      <c r="C3186" s="11" t="s">
        <v>5782</v>
      </c>
      <c r="D3186" s="11">
        <v>17727</v>
      </c>
      <c r="E3186" s="11" t="s">
        <v>434</v>
      </c>
      <c r="F3186" s="11" t="s">
        <v>26</v>
      </c>
      <c r="G3186" s="11" t="s">
        <v>35</v>
      </c>
      <c r="H3186" s="12" t="s">
        <v>36</v>
      </c>
      <c r="I3186" s="12" t="s">
        <v>27</v>
      </c>
      <c r="J3186" s="12" t="s">
        <v>42</v>
      </c>
      <c r="K3186" s="12" t="s">
        <v>43</v>
      </c>
      <c r="L3186" s="13">
        <v>9.6999999999999993</v>
      </c>
      <c r="M3186" s="13">
        <v>6</v>
      </c>
      <c r="N3186" s="13">
        <f t="shared" si="1071"/>
        <v>1.6166666666666665</v>
      </c>
      <c r="O3186" s="13">
        <v>45</v>
      </c>
      <c r="P3186" s="13" t="s">
        <v>30</v>
      </c>
      <c r="Q3186" s="13">
        <v>0</v>
      </c>
      <c r="R3186" s="70">
        <f>(L3186*O3186)-Q3186</f>
        <v>436.49999999999994</v>
      </c>
      <c r="S3186" s="70">
        <v>0</v>
      </c>
      <c r="T3186" s="70">
        <f t="shared" ref="T3186" si="1096">+L3186*S3186</f>
        <v>0</v>
      </c>
      <c r="U3186" s="70">
        <f t="shared" ref="U3186" si="1097">+R3186-T3186</f>
        <v>436.49999999999994</v>
      </c>
      <c r="V3186" s="70">
        <f>+U3186*0</f>
        <v>0</v>
      </c>
      <c r="W3186" s="70">
        <f t="shared" ref="W3186" si="1098">+U3186-V3186</f>
        <v>436.49999999999994</v>
      </c>
      <c r="X3186" s="70">
        <v>0</v>
      </c>
      <c r="Y3186" s="14">
        <f t="shared" si="1091"/>
        <v>0</v>
      </c>
      <c r="Z3186" s="11" t="s">
        <v>26</v>
      </c>
      <c r="AA3186" s="12" t="s">
        <v>31</v>
      </c>
    </row>
    <row r="3187" spans="1:27" x14ac:dyDescent="0.25">
      <c r="A3187" s="10">
        <v>45705</v>
      </c>
      <c r="B3187" s="11" t="s">
        <v>5783</v>
      </c>
      <c r="C3187" s="11" t="s">
        <v>5784</v>
      </c>
      <c r="D3187" s="11">
        <v>17728</v>
      </c>
      <c r="E3187" s="11" t="s">
        <v>570</v>
      </c>
      <c r="F3187" s="11" t="s">
        <v>26</v>
      </c>
      <c r="G3187" s="11" t="s">
        <v>26</v>
      </c>
      <c r="H3187" s="12" t="s">
        <v>4422</v>
      </c>
      <c r="I3187" s="12" t="s">
        <v>27</v>
      </c>
      <c r="J3187" s="12" t="s">
        <v>33</v>
      </c>
      <c r="K3187" s="12" t="s">
        <v>34</v>
      </c>
      <c r="L3187" s="13">
        <v>44.88</v>
      </c>
      <c r="M3187" s="13">
        <v>31</v>
      </c>
      <c r="N3187" s="13">
        <f t="shared" si="1071"/>
        <v>1.447741935483871</v>
      </c>
      <c r="O3187" s="13">
        <v>85</v>
      </c>
      <c r="P3187" s="13" t="s">
        <v>30</v>
      </c>
      <c r="Q3187" s="13">
        <v>0</v>
      </c>
      <c r="R3187" s="70">
        <f t="shared" ref="R3187" si="1099">L3187*O3187</f>
        <v>3814.8</v>
      </c>
      <c r="S3187" s="70">
        <v>38</v>
      </c>
      <c r="T3187" s="70">
        <f t="shared" ref="T3187:T3188" si="1100">L3187*S3187</f>
        <v>1705.44</v>
      </c>
      <c r="U3187" s="70">
        <f t="shared" ref="U3187" si="1101">R3187-T3187</f>
        <v>2109.36</v>
      </c>
      <c r="V3187" s="70">
        <f>U3187*1</f>
        <v>2109.36</v>
      </c>
      <c r="W3187" s="70">
        <f t="shared" ref="W3187" si="1102">U3187-V3187</f>
        <v>0</v>
      </c>
      <c r="X3187" s="70">
        <f>L3187*36</f>
        <v>1615.68</v>
      </c>
      <c r="Y3187" s="71">
        <f>+T3187-X3187</f>
        <v>89.759999999999991</v>
      </c>
      <c r="Z3187" s="12" t="s">
        <v>140</v>
      </c>
      <c r="AA3187" s="12" t="s">
        <v>78</v>
      </c>
    </row>
    <row r="3188" spans="1:27" x14ac:dyDescent="0.25">
      <c r="A3188" s="10">
        <v>45705</v>
      </c>
      <c r="B3188" s="11" t="s">
        <v>5785</v>
      </c>
      <c r="C3188" s="11" t="s">
        <v>5786</v>
      </c>
      <c r="D3188" s="11">
        <v>17729</v>
      </c>
      <c r="E3188" s="11" t="s">
        <v>57</v>
      </c>
      <c r="F3188" s="11" t="s">
        <v>26</v>
      </c>
      <c r="G3188" s="11">
        <v>3306</v>
      </c>
      <c r="H3188" s="12" t="s">
        <v>41</v>
      </c>
      <c r="I3188" s="12" t="s">
        <v>55</v>
      </c>
      <c r="J3188" s="12" t="s">
        <v>566</v>
      </c>
      <c r="K3188" s="12" t="s">
        <v>550</v>
      </c>
      <c r="L3188" s="13">
        <v>41.16</v>
      </c>
      <c r="M3188" s="13">
        <v>25</v>
      </c>
      <c r="N3188" s="13">
        <f t="shared" si="1071"/>
        <v>1.6463999999999999</v>
      </c>
      <c r="O3188" s="13">
        <v>25</v>
      </c>
      <c r="P3188" s="13"/>
      <c r="Q3188" s="13">
        <v>0</v>
      </c>
      <c r="R3188" s="70">
        <f>L3188*O3188</f>
        <v>1029</v>
      </c>
      <c r="S3188" s="70">
        <v>0</v>
      </c>
      <c r="T3188" s="70">
        <f t="shared" si="1100"/>
        <v>0</v>
      </c>
      <c r="U3188" s="70">
        <f>R3188-T3188</f>
        <v>1029</v>
      </c>
      <c r="V3188" s="70">
        <f>U3188*0</f>
        <v>0</v>
      </c>
      <c r="W3188" s="70">
        <f>U3188-V3188</f>
        <v>1029</v>
      </c>
      <c r="X3188" s="70">
        <v>0</v>
      </c>
      <c r="Y3188" s="14">
        <f t="shared" ref="Y3188:Y3192" si="1103">T3188-X3188</f>
        <v>0</v>
      </c>
      <c r="Z3188" s="11" t="s">
        <v>26</v>
      </c>
      <c r="AA3188" s="12" t="s">
        <v>31</v>
      </c>
    </row>
    <row r="3189" spans="1:27" x14ac:dyDescent="0.25">
      <c r="A3189" s="10">
        <v>45705</v>
      </c>
      <c r="B3189" s="11" t="s">
        <v>668</v>
      </c>
      <c r="C3189" s="11" t="s">
        <v>5787</v>
      </c>
      <c r="D3189" s="11">
        <v>17730</v>
      </c>
      <c r="E3189" s="11" t="s">
        <v>32</v>
      </c>
      <c r="F3189" s="11" t="s">
        <v>26</v>
      </c>
      <c r="G3189" s="11">
        <v>1616</v>
      </c>
      <c r="H3189" s="12" t="s">
        <v>45</v>
      </c>
      <c r="I3189" s="12" t="s">
        <v>27</v>
      </c>
      <c r="J3189" s="12" t="s">
        <v>42</v>
      </c>
      <c r="K3189" s="12" t="s">
        <v>43</v>
      </c>
      <c r="L3189" s="13">
        <v>42.3</v>
      </c>
      <c r="M3189" s="13">
        <v>25</v>
      </c>
      <c r="N3189" s="13">
        <f t="shared" si="1071"/>
        <v>1.6919999999999999</v>
      </c>
      <c r="O3189" s="13" t="s">
        <v>30</v>
      </c>
      <c r="P3189" s="13">
        <v>62</v>
      </c>
      <c r="Q3189" s="13">
        <v>0</v>
      </c>
      <c r="R3189" s="70">
        <f>M3189*P3189</f>
        <v>1550</v>
      </c>
      <c r="S3189" s="70">
        <v>0</v>
      </c>
      <c r="T3189" s="70">
        <f>M3189*S3189</f>
        <v>0</v>
      </c>
      <c r="U3189" s="70">
        <f>R3189-T3189</f>
        <v>1550</v>
      </c>
      <c r="V3189" s="70">
        <f>U3189*0</f>
        <v>0</v>
      </c>
      <c r="W3189" s="70">
        <f>U3189-V3189</f>
        <v>1550</v>
      </c>
      <c r="X3189" s="70">
        <v>0</v>
      </c>
      <c r="Y3189" s="14">
        <f t="shared" si="1103"/>
        <v>0</v>
      </c>
      <c r="Z3189" s="11" t="s">
        <v>26</v>
      </c>
      <c r="AA3189" s="12" t="s">
        <v>31</v>
      </c>
    </row>
    <row r="3190" spans="1:27" x14ac:dyDescent="0.25">
      <c r="A3190" s="10">
        <v>45705</v>
      </c>
      <c r="B3190" s="11" t="s">
        <v>5788</v>
      </c>
      <c r="C3190" s="11" t="s">
        <v>5789</v>
      </c>
      <c r="D3190" s="11">
        <v>17731</v>
      </c>
      <c r="E3190" s="11" t="s">
        <v>5209</v>
      </c>
      <c r="F3190" s="11" t="s">
        <v>26</v>
      </c>
      <c r="G3190" s="11" t="s">
        <v>35</v>
      </c>
      <c r="H3190" s="12" t="s">
        <v>36</v>
      </c>
      <c r="I3190" s="12" t="s">
        <v>37</v>
      </c>
      <c r="J3190" s="12" t="s">
        <v>85</v>
      </c>
      <c r="K3190" s="12" t="s">
        <v>86</v>
      </c>
      <c r="L3190" s="13">
        <v>14.86</v>
      </c>
      <c r="M3190" s="13">
        <v>9</v>
      </c>
      <c r="N3190" s="13">
        <f t="shared" si="1071"/>
        <v>1.651111111111111</v>
      </c>
      <c r="O3190" s="13">
        <v>37</v>
      </c>
      <c r="P3190" s="13" t="s">
        <v>30</v>
      </c>
      <c r="Q3190" s="13">
        <v>0</v>
      </c>
      <c r="R3190" s="70">
        <f>(L3190*O3190)-Q3190</f>
        <v>549.81999999999994</v>
      </c>
      <c r="S3190" s="70">
        <v>0</v>
      </c>
      <c r="T3190" s="70">
        <f t="shared" ref="T3190" si="1104">+L3190*S3190</f>
        <v>0</v>
      </c>
      <c r="U3190" s="70">
        <f t="shared" ref="U3190" si="1105">+R3190-T3190</f>
        <v>549.81999999999994</v>
      </c>
      <c r="V3190" s="70">
        <f>+U3190*0</f>
        <v>0</v>
      </c>
      <c r="W3190" s="70">
        <f t="shared" ref="W3190" si="1106">+U3190-V3190</f>
        <v>549.81999999999994</v>
      </c>
      <c r="X3190" s="70">
        <v>0</v>
      </c>
      <c r="Y3190" s="14">
        <f t="shared" si="1103"/>
        <v>0</v>
      </c>
      <c r="Z3190" s="11" t="s">
        <v>26</v>
      </c>
      <c r="AA3190" s="12" t="s">
        <v>31</v>
      </c>
    </row>
    <row r="3191" spans="1:27" x14ac:dyDescent="0.25">
      <c r="A3191" s="10">
        <v>45705</v>
      </c>
      <c r="B3191" s="11" t="s">
        <v>365</v>
      </c>
      <c r="C3191" s="11" t="s">
        <v>5790</v>
      </c>
      <c r="D3191" s="11">
        <v>17732</v>
      </c>
      <c r="E3191" s="11" t="s">
        <v>184</v>
      </c>
      <c r="F3191" s="11" t="s">
        <v>26</v>
      </c>
      <c r="G3191" s="11">
        <v>1020</v>
      </c>
      <c r="H3191" s="12" t="s">
        <v>141</v>
      </c>
      <c r="I3191" s="12" t="s">
        <v>27</v>
      </c>
      <c r="J3191" s="12" t="s">
        <v>42</v>
      </c>
      <c r="K3191" s="12" t="s">
        <v>43</v>
      </c>
      <c r="L3191" s="13">
        <v>44.24</v>
      </c>
      <c r="M3191" s="13">
        <v>25</v>
      </c>
      <c r="N3191" s="13">
        <f t="shared" si="1071"/>
        <v>1.7696000000000001</v>
      </c>
      <c r="O3191" s="13">
        <v>40</v>
      </c>
      <c r="P3191" s="13" t="s">
        <v>30</v>
      </c>
      <c r="Q3191" s="13">
        <v>0</v>
      </c>
      <c r="R3191" s="70">
        <f>L3191*O3191</f>
        <v>1769.6000000000001</v>
      </c>
      <c r="S3191" s="70">
        <v>0</v>
      </c>
      <c r="T3191" s="70">
        <f>L3191*S3191</f>
        <v>0</v>
      </c>
      <c r="U3191" s="70">
        <f>R3191-T3191</f>
        <v>1769.6000000000001</v>
      </c>
      <c r="V3191" s="70">
        <f>U3191*0</f>
        <v>0</v>
      </c>
      <c r="W3191" s="70">
        <f>U3191-V3191</f>
        <v>1769.6000000000001</v>
      </c>
      <c r="X3191" s="70">
        <v>0</v>
      </c>
      <c r="Y3191" s="14">
        <f t="shared" si="1103"/>
        <v>0</v>
      </c>
      <c r="Z3191" s="11" t="s">
        <v>26</v>
      </c>
      <c r="AA3191" s="12" t="s">
        <v>31</v>
      </c>
    </row>
    <row r="3192" spans="1:27" x14ac:dyDescent="0.25">
      <c r="A3192" s="10">
        <v>45705</v>
      </c>
      <c r="B3192" s="11" t="s">
        <v>5791</v>
      </c>
      <c r="C3192" s="11" t="s">
        <v>5792</v>
      </c>
      <c r="D3192" s="11">
        <v>17733</v>
      </c>
      <c r="E3192" s="11" t="s">
        <v>483</v>
      </c>
      <c r="F3192" s="11" t="s">
        <v>26</v>
      </c>
      <c r="G3192" s="11">
        <v>3051</v>
      </c>
      <c r="H3192" s="12" t="s">
        <v>41</v>
      </c>
      <c r="I3192" s="12" t="s">
        <v>27</v>
      </c>
      <c r="J3192" s="12" t="s">
        <v>33</v>
      </c>
      <c r="K3192" s="12" t="s">
        <v>34</v>
      </c>
      <c r="L3192" s="13">
        <v>40.56</v>
      </c>
      <c r="M3192" s="13">
        <v>28</v>
      </c>
      <c r="N3192" s="13">
        <f t="shared" si="1071"/>
        <v>1.4485714285714286</v>
      </c>
      <c r="O3192" s="13" t="s">
        <v>30</v>
      </c>
      <c r="P3192" s="13">
        <v>60</v>
      </c>
      <c r="Q3192" s="13">
        <v>0</v>
      </c>
      <c r="R3192" s="70">
        <f>M3192*P3192</f>
        <v>1680</v>
      </c>
      <c r="S3192" s="70">
        <v>0</v>
      </c>
      <c r="T3192" s="70">
        <f>M3192*S3192</f>
        <v>0</v>
      </c>
      <c r="U3192" s="70">
        <f t="shared" ref="U3192" si="1107">+R3192-T3192</f>
        <v>1680</v>
      </c>
      <c r="V3192" s="70">
        <f>+U3192*0</f>
        <v>0</v>
      </c>
      <c r="W3192" s="70">
        <f t="shared" ref="W3192" si="1108">+U3192-V3192</f>
        <v>1680</v>
      </c>
      <c r="X3192" s="70">
        <v>0</v>
      </c>
      <c r="Y3192" s="14">
        <f t="shared" si="1103"/>
        <v>0</v>
      </c>
      <c r="Z3192" s="11" t="s">
        <v>26</v>
      </c>
      <c r="AA3192" s="12" t="s">
        <v>31</v>
      </c>
    </row>
    <row r="3193" spans="1:27" x14ac:dyDescent="0.25">
      <c r="A3193" s="10">
        <v>45705</v>
      </c>
      <c r="B3193" s="11" t="s">
        <v>5793</v>
      </c>
      <c r="C3193" s="11" t="s">
        <v>5794</v>
      </c>
      <c r="D3193" s="11">
        <v>17734</v>
      </c>
      <c r="E3193" s="11" t="s">
        <v>435</v>
      </c>
      <c r="F3193" s="11" t="s">
        <v>26</v>
      </c>
      <c r="G3193" s="11" t="s">
        <v>26</v>
      </c>
      <c r="H3193" s="12" t="s">
        <v>146</v>
      </c>
      <c r="I3193" s="12" t="s">
        <v>27</v>
      </c>
      <c r="J3193" s="12" t="s">
        <v>33</v>
      </c>
      <c r="K3193" s="12" t="s">
        <v>34</v>
      </c>
      <c r="L3193" s="13">
        <v>44.42</v>
      </c>
      <c r="M3193" s="13">
        <v>30</v>
      </c>
      <c r="N3193" s="13">
        <f t="shared" si="1071"/>
        <v>1.4806666666666668</v>
      </c>
      <c r="O3193" s="13">
        <v>91</v>
      </c>
      <c r="P3193" s="13" t="s">
        <v>30</v>
      </c>
      <c r="Q3193" s="13">
        <v>0</v>
      </c>
      <c r="R3193" s="70">
        <f>+L3193*O3193</f>
        <v>4042.2200000000003</v>
      </c>
      <c r="S3193" s="70">
        <v>40</v>
      </c>
      <c r="T3193" s="70">
        <f>L3193*S3193</f>
        <v>1776.8000000000002</v>
      </c>
      <c r="U3193" s="70">
        <f t="shared" ref="U3193" si="1109">R3193-T3193</f>
        <v>2265.42</v>
      </c>
      <c r="V3193" s="70">
        <f>U3193*1</f>
        <v>2265.42</v>
      </c>
      <c r="W3193" s="70">
        <f t="shared" ref="W3193" si="1110">U3193-V3193</f>
        <v>0</v>
      </c>
      <c r="X3193" s="70">
        <f>L3193*37</f>
        <v>1643.54</v>
      </c>
      <c r="Y3193" s="71">
        <f>+T3193-X3193</f>
        <v>133.26000000000022</v>
      </c>
      <c r="Z3193" s="12" t="s">
        <v>41</v>
      </c>
      <c r="AA3193" s="12" t="s">
        <v>79</v>
      </c>
    </row>
    <row r="3194" spans="1:27" x14ac:dyDescent="0.25">
      <c r="A3194" s="10">
        <v>45705</v>
      </c>
      <c r="B3194" s="11" t="s">
        <v>316</v>
      </c>
      <c r="C3194" s="11" t="s">
        <v>5795</v>
      </c>
      <c r="D3194" s="11">
        <v>17735</v>
      </c>
      <c r="E3194" s="11" t="s">
        <v>561</v>
      </c>
      <c r="F3194" s="11" t="s">
        <v>26</v>
      </c>
      <c r="G3194" s="11">
        <v>112889</v>
      </c>
      <c r="H3194" s="12" t="s">
        <v>4446</v>
      </c>
      <c r="I3194" s="12" t="s">
        <v>27</v>
      </c>
      <c r="J3194" s="12" t="s">
        <v>33</v>
      </c>
      <c r="K3194" s="12" t="s">
        <v>34</v>
      </c>
      <c r="L3194" s="13">
        <v>35.1</v>
      </c>
      <c r="M3194" s="13">
        <v>25</v>
      </c>
      <c r="N3194" s="13">
        <f t="shared" si="1071"/>
        <v>1.4040000000000001</v>
      </c>
      <c r="O3194" s="13">
        <v>44</v>
      </c>
      <c r="P3194" s="13" t="s">
        <v>30</v>
      </c>
      <c r="Q3194" s="13">
        <v>0</v>
      </c>
      <c r="R3194" s="70">
        <f t="shared" ref="R3194:R3195" si="1111">+L3194*O3194</f>
        <v>1544.4</v>
      </c>
      <c r="S3194" s="70">
        <v>0</v>
      </c>
      <c r="T3194" s="70">
        <f>+L3194*S3194</f>
        <v>0</v>
      </c>
      <c r="U3194" s="70">
        <f>+R3194-T3194</f>
        <v>1544.4</v>
      </c>
      <c r="V3194" s="70">
        <f>+U3194*1</f>
        <v>1544.4</v>
      </c>
      <c r="W3194" s="70">
        <f>+U3194-V3194</f>
        <v>0</v>
      </c>
      <c r="X3194" s="70">
        <v>0</v>
      </c>
      <c r="Y3194" s="14">
        <f t="shared" ref="Y3194:Y3198" si="1112">T3194-X3194</f>
        <v>0</v>
      </c>
      <c r="Z3194" s="11" t="s">
        <v>26</v>
      </c>
      <c r="AA3194" s="12" t="s">
        <v>31</v>
      </c>
    </row>
    <row r="3195" spans="1:27" x14ac:dyDescent="0.25">
      <c r="A3195" s="10">
        <v>45705</v>
      </c>
      <c r="B3195" s="11" t="s">
        <v>5796</v>
      </c>
      <c r="C3195" s="11" t="s">
        <v>5797</v>
      </c>
      <c r="D3195" s="11">
        <v>17736</v>
      </c>
      <c r="E3195" s="11" t="s">
        <v>237</v>
      </c>
      <c r="F3195" s="11" t="s">
        <v>26</v>
      </c>
      <c r="G3195" s="11">
        <v>56003</v>
      </c>
      <c r="H3195" s="12" t="s">
        <v>4423</v>
      </c>
      <c r="I3195" s="12" t="s">
        <v>27</v>
      </c>
      <c r="J3195" s="12" t="s">
        <v>47</v>
      </c>
      <c r="K3195" s="12" t="s">
        <v>48</v>
      </c>
      <c r="L3195" s="13">
        <v>34.5</v>
      </c>
      <c r="M3195" s="13">
        <v>25</v>
      </c>
      <c r="N3195" s="13">
        <f t="shared" si="1071"/>
        <v>1.38</v>
      </c>
      <c r="O3195" s="13">
        <v>46</v>
      </c>
      <c r="P3195" s="13" t="s">
        <v>30</v>
      </c>
      <c r="Q3195" s="13">
        <v>0</v>
      </c>
      <c r="R3195" s="70">
        <f t="shared" si="1111"/>
        <v>1587</v>
      </c>
      <c r="S3195" s="70">
        <v>0</v>
      </c>
      <c r="T3195" s="70">
        <f t="shared" ref="T3195" si="1113">+L3195*S3195</f>
        <v>0</v>
      </c>
      <c r="U3195" s="70">
        <f t="shared" ref="U3195:U3196" si="1114">+R3195-T3195</f>
        <v>1587</v>
      </c>
      <c r="V3195" s="70">
        <f>+U3195*1</f>
        <v>1587</v>
      </c>
      <c r="W3195" s="70">
        <f t="shared" ref="W3195:W3196" si="1115">+U3195-V3195</f>
        <v>0</v>
      </c>
      <c r="X3195" s="70">
        <v>0</v>
      </c>
      <c r="Y3195" s="14">
        <f t="shared" si="1112"/>
        <v>0</v>
      </c>
      <c r="Z3195" s="11" t="s">
        <v>26</v>
      </c>
      <c r="AA3195" s="12" t="s">
        <v>31</v>
      </c>
    </row>
    <row r="3196" spans="1:27" x14ac:dyDescent="0.25">
      <c r="A3196" s="10">
        <v>45705</v>
      </c>
      <c r="B3196" s="11" t="s">
        <v>5798</v>
      </c>
      <c r="C3196" s="11" t="s">
        <v>5799</v>
      </c>
      <c r="D3196" s="11">
        <v>17737</v>
      </c>
      <c r="E3196" s="11" t="s">
        <v>589</v>
      </c>
      <c r="F3196" s="11" t="s">
        <v>26</v>
      </c>
      <c r="G3196" s="11">
        <v>56927</v>
      </c>
      <c r="H3196" s="12" t="s">
        <v>4423</v>
      </c>
      <c r="I3196" s="12" t="s">
        <v>27</v>
      </c>
      <c r="J3196" s="12" t="s">
        <v>33</v>
      </c>
      <c r="K3196" s="12" t="s">
        <v>34</v>
      </c>
      <c r="L3196" s="13">
        <v>32.799999999999997</v>
      </c>
      <c r="M3196" s="13">
        <v>25</v>
      </c>
      <c r="N3196" s="13">
        <f t="shared" si="1071"/>
        <v>1.3119999999999998</v>
      </c>
      <c r="O3196" s="13">
        <v>45</v>
      </c>
      <c r="P3196" s="13" t="s">
        <v>30</v>
      </c>
      <c r="Q3196" s="13">
        <v>0</v>
      </c>
      <c r="R3196" s="70">
        <f>+L3196*O3196</f>
        <v>1475.9999999999998</v>
      </c>
      <c r="S3196" s="70">
        <v>0</v>
      </c>
      <c r="T3196" s="70">
        <f>+L3196*S3196</f>
        <v>0</v>
      </c>
      <c r="U3196" s="70">
        <f t="shared" si="1114"/>
        <v>1475.9999999999998</v>
      </c>
      <c r="V3196" s="70">
        <f>+U3196*1</f>
        <v>1475.9999999999998</v>
      </c>
      <c r="W3196" s="70">
        <f t="shared" si="1115"/>
        <v>0</v>
      </c>
      <c r="X3196" s="70">
        <v>0</v>
      </c>
      <c r="Y3196" s="14">
        <f t="shared" si="1112"/>
        <v>0</v>
      </c>
      <c r="Z3196" s="11" t="s">
        <v>26</v>
      </c>
      <c r="AA3196" s="12" t="s">
        <v>31</v>
      </c>
    </row>
    <row r="3197" spans="1:27" x14ac:dyDescent="0.25">
      <c r="A3197" s="10">
        <v>45705</v>
      </c>
      <c r="B3197" s="11" t="s">
        <v>5800</v>
      </c>
      <c r="C3197" s="11" t="s">
        <v>5801</v>
      </c>
      <c r="D3197" s="11">
        <v>17738</v>
      </c>
      <c r="E3197" s="11" t="s">
        <v>49</v>
      </c>
      <c r="F3197" s="11" t="s">
        <v>26</v>
      </c>
      <c r="G3197" s="11">
        <v>1667</v>
      </c>
      <c r="H3197" s="12" t="s">
        <v>45</v>
      </c>
      <c r="I3197" s="12" t="s">
        <v>27</v>
      </c>
      <c r="J3197" s="12" t="s">
        <v>42</v>
      </c>
      <c r="K3197" s="12" t="s">
        <v>43</v>
      </c>
      <c r="L3197" s="13">
        <v>44.72</v>
      </c>
      <c r="M3197" s="13">
        <v>25</v>
      </c>
      <c r="N3197" s="13">
        <f t="shared" si="1071"/>
        <v>1.7887999999999999</v>
      </c>
      <c r="O3197" s="13" t="s">
        <v>30</v>
      </c>
      <c r="P3197" s="13">
        <v>62</v>
      </c>
      <c r="Q3197" s="13">
        <v>0</v>
      </c>
      <c r="R3197" s="70">
        <f>M3197*P3197</f>
        <v>1550</v>
      </c>
      <c r="S3197" s="70">
        <v>0</v>
      </c>
      <c r="T3197" s="70">
        <f>M3197*S3197</f>
        <v>0</v>
      </c>
      <c r="U3197" s="70">
        <f>R3197-T3197</f>
        <v>1550</v>
      </c>
      <c r="V3197" s="70">
        <f>U3197*0</f>
        <v>0</v>
      </c>
      <c r="W3197" s="70">
        <f>U3197-V3197</f>
        <v>1550</v>
      </c>
      <c r="X3197" s="70">
        <v>0</v>
      </c>
      <c r="Y3197" s="14">
        <f t="shared" si="1112"/>
        <v>0</v>
      </c>
      <c r="Z3197" s="11" t="s">
        <v>26</v>
      </c>
      <c r="AA3197" s="12" t="s">
        <v>31</v>
      </c>
    </row>
    <row r="3198" spans="1:27" x14ac:dyDescent="0.25">
      <c r="A3198" s="10">
        <v>45705</v>
      </c>
      <c r="B3198" s="11" t="s">
        <v>5802</v>
      </c>
      <c r="C3198" s="11" t="s">
        <v>5803</v>
      </c>
      <c r="D3198" s="11">
        <v>17739</v>
      </c>
      <c r="E3198" s="11" t="s">
        <v>593</v>
      </c>
      <c r="F3198" s="11" t="s">
        <v>26</v>
      </c>
      <c r="G3198" s="11">
        <v>44338</v>
      </c>
      <c r="H3198" s="12" t="s">
        <v>4423</v>
      </c>
      <c r="I3198" s="12" t="s">
        <v>27</v>
      </c>
      <c r="J3198" s="12" t="s">
        <v>33</v>
      </c>
      <c r="K3198" s="12" t="s">
        <v>34</v>
      </c>
      <c r="L3198" s="13">
        <v>33.479999999999997</v>
      </c>
      <c r="M3198" s="13">
        <v>25</v>
      </c>
      <c r="N3198" s="13">
        <f t="shared" si="1071"/>
        <v>1.3391999999999999</v>
      </c>
      <c r="O3198" s="13">
        <v>45</v>
      </c>
      <c r="P3198" s="13" t="s">
        <v>30</v>
      </c>
      <c r="Q3198" s="13">
        <v>0</v>
      </c>
      <c r="R3198" s="70">
        <f>+L3198*O3198</f>
        <v>1506.6</v>
      </c>
      <c r="S3198" s="70">
        <v>0</v>
      </c>
      <c r="T3198" s="70">
        <f>+L3198*S3198</f>
        <v>0</v>
      </c>
      <c r="U3198" s="70">
        <f t="shared" ref="U3198" si="1116">+R3198-T3198</f>
        <v>1506.6</v>
      </c>
      <c r="V3198" s="70">
        <f>+U3198*1</f>
        <v>1506.6</v>
      </c>
      <c r="W3198" s="70">
        <f t="shared" ref="W3198" si="1117">+U3198-V3198</f>
        <v>0</v>
      </c>
      <c r="X3198" s="70">
        <v>0</v>
      </c>
      <c r="Y3198" s="14">
        <f t="shared" si="1112"/>
        <v>0</v>
      </c>
      <c r="Z3198" s="11" t="s">
        <v>26</v>
      </c>
      <c r="AA3198" s="12" t="s">
        <v>31</v>
      </c>
    </row>
    <row r="3199" spans="1:27" x14ac:dyDescent="0.25">
      <c r="A3199" s="10">
        <v>45705</v>
      </c>
      <c r="B3199" s="11" t="s">
        <v>1853</v>
      </c>
      <c r="C3199" s="11" t="s">
        <v>5804</v>
      </c>
      <c r="D3199" s="11">
        <v>17740</v>
      </c>
      <c r="E3199" s="11" t="s">
        <v>431</v>
      </c>
      <c r="F3199" s="11" t="s">
        <v>26</v>
      </c>
      <c r="G3199" s="11" t="s">
        <v>26</v>
      </c>
      <c r="H3199" s="12" t="s">
        <v>4422</v>
      </c>
      <c r="I3199" s="12" t="s">
        <v>27</v>
      </c>
      <c r="J3199" s="12" t="s">
        <v>42</v>
      </c>
      <c r="K3199" s="12" t="s">
        <v>43</v>
      </c>
      <c r="L3199" s="13">
        <v>41.56</v>
      </c>
      <c r="M3199" s="13">
        <v>25</v>
      </c>
      <c r="N3199" s="13">
        <f t="shared" si="1071"/>
        <v>1.6624000000000001</v>
      </c>
      <c r="O3199" s="13">
        <v>83</v>
      </c>
      <c r="P3199" s="13" t="s">
        <v>30</v>
      </c>
      <c r="Q3199" s="13">
        <v>0</v>
      </c>
      <c r="R3199" s="70">
        <f>L3199*O3199</f>
        <v>3449.48</v>
      </c>
      <c r="S3199" s="70">
        <v>38</v>
      </c>
      <c r="T3199" s="70">
        <f>L3199*S3199</f>
        <v>1579.2800000000002</v>
      </c>
      <c r="U3199" s="70">
        <f>R3199-T3199</f>
        <v>1870.1999999999998</v>
      </c>
      <c r="V3199" s="70">
        <f>U3199*1</f>
        <v>1870.1999999999998</v>
      </c>
      <c r="W3199" s="70">
        <f>U3199-V3199</f>
        <v>0</v>
      </c>
      <c r="X3199" s="70">
        <f>L3199*36</f>
        <v>1496.16</v>
      </c>
      <c r="Y3199" s="71">
        <f>+T3199-X3199</f>
        <v>83.120000000000118</v>
      </c>
      <c r="Z3199" s="12" t="s">
        <v>6328</v>
      </c>
      <c r="AA3199" s="12" t="s">
        <v>78</v>
      </c>
    </row>
    <row r="3200" spans="1:27" x14ac:dyDescent="0.25">
      <c r="A3200" s="10">
        <v>45705</v>
      </c>
      <c r="B3200" s="11" t="s">
        <v>5805</v>
      </c>
      <c r="C3200" s="11" t="s">
        <v>5806</v>
      </c>
      <c r="D3200" s="11">
        <v>17741</v>
      </c>
      <c r="E3200" s="11" t="s">
        <v>1200</v>
      </c>
      <c r="F3200" s="11" t="s">
        <v>26</v>
      </c>
      <c r="G3200" s="11">
        <v>2973</v>
      </c>
      <c r="H3200" s="12" t="s">
        <v>163</v>
      </c>
      <c r="I3200" s="12" t="s">
        <v>27</v>
      </c>
      <c r="J3200" s="12" t="s">
        <v>33</v>
      </c>
      <c r="K3200" s="12" t="s">
        <v>34</v>
      </c>
      <c r="L3200" s="13">
        <v>37.4</v>
      </c>
      <c r="M3200" s="13">
        <v>25</v>
      </c>
      <c r="N3200" s="13">
        <f t="shared" si="1071"/>
        <v>1.496</v>
      </c>
      <c r="O3200" s="13" t="s">
        <v>30</v>
      </c>
      <c r="P3200" s="13">
        <v>60</v>
      </c>
      <c r="Q3200" s="13">
        <v>0</v>
      </c>
      <c r="R3200" s="70">
        <f>M3200*P3200</f>
        <v>1500</v>
      </c>
      <c r="S3200" s="70">
        <v>0</v>
      </c>
      <c r="T3200" s="70">
        <f>M3200*S3200</f>
        <v>0</v>
      </c>
      <c r="U3200" s="70">
        <f>R3200-T3200</f>
        <v>1500</v>
      </c>
      <c r="V3200" s="70">
        <f>U3200*0</f>
        <v>0</v>
      </c>
      <c r="W3200" s="70">
        <f>U3200-V3200</f>
        <v>1500</v>
      </c>
      <c r="X3200" s="70">
        <v>0</v>
      </c>
      <c r="Y3200" s="14">
        <f t="shared" ref="Y3200:Y3201" si="1118">T3200-X3200</f>
        <v>0</v>
      </c>
      <c r="Z3200" s="11" t="s">
        <v>26</v>
      </c>
      <c r="AA3200" s="12" t="s">
        <v>31</v>
      </c>
    </row>
    <row r="3201" spans="1:27" x14ac:dyDescent="0.25">
      <c r="A3201" s="10">
        <v>45705</v>
      </c>
      <c r="B3201" s="11" t="s">
        <v>5807</v>
      </c>
      <c r="C3201" s="11" t="s">
        <v>5808</v>
      </c>
      <c r="D3201" s="11">
        <v>17743</v>
      </c>
      <c r="E3201" s="11" t="s">
        <v>44</v>
      </c>
      <c r="F3201" s="11" t="s">
        <v>26</v>
      </c>
      <c r="G3201" s="11">
        <v>1655</v>
      </c>
      <c r="H3201" s="12" t="s">
        <v>45</v>
      </c>
      <c r="I3201" s="12" t="s">
        <v>27</v>
      </c>
      <c r="J3201" s="12" t="s">
        <v>47</v>
      </c>
      <c r="K3201" s="12" t="s">
        <v>48</v>
      </c>
      <c r="L3201" s="13">
        <v>38.92</v>
      </c>
      <c r="M3201" s="13">
        <v>25</v>
      </c>
      <c r="N3201" s="13">
        <f t="shared" si="1071"/>
        <v>1.5568</v>
      </c>
      <c r="O3201" s="13" t="s">
        <v>30</v>
      </c>
      <c r="P3201" s="13">
        <v>58</v>
      </c>
      <c r="Q3201" s="13">
        <v>0</v>
      </c>
      <c r="R3201" s="70">
        <f>M3201*P3201</f>
        <v>1450</v>
      </c>
      <c r="S3201" s="70">
        <v>0</v>
      </c>
      <c r="T3201" s="70">
        <f>M3201*S3201</f>
        <v>0</v>
      </c>
      <c r="U3201" s="70">
        <f>R3201-T3201</f>
        <v>1450</v>
      </c>
      <c r="V3201" s="70">
        <f>U3201*0</f>
        <v>0</v>
      </c>
      <c r="W3201" s="70">
        <f>U3201-V3201</f>
        <v>1450</v>
      </c>
      <c r="X3201" s="70">
        <v>0</v>
      </c>
      <c r="Y3201" s="14">
        <f t="shared" si="1118"/>
        <v>0</v>
      </c>
      <c r="Z3201" s="11" t="s">
        <v>26</v>
      </c>
      <c r="AA3201" s="12" t="s">
        <v>31</v>
      </c>
    </row>
    <row r="3202" spans="1:27" x14ac:dyDescent="0.25">
      <c r="A3202" s="10">
        <v>45705</v>
      </c>
      <c r="B3202" s="11" t="s">
        <v>2659</v>
      </c>
      <c r="C3202" s="11" t="s">
        <v>5809</v>
      </c>
      <c r="D3202" s="11">
        <v>17745</v>
      </c>
      <c r="E3202" s="11" t="s">
        <v>570</v>
      </c>
      <c r="F3202" s="11" t="s">
        <v>26</v>
      </c>
      <c r="G3202" s="11" t="s">
        <v>26</v>
      </c>
      <c r="H3202" s="12" t="s">
        <v>4422</v>
      </c>
      <c r="I3202" s="12" t="s">
        <v>27</v>
      </c>
      <c r="J3202" s="12" t="s">
        <v>33</v>
      </c>
      <c r="K3202" s="12" t="s">
        <v>34</v>
      </c>
      <c r="L3202" s="13">
        <v>44.08</v>
      </c>
      <c r="M3202" s="13">
        <v>30</v>
      </c>
      <c r="N3202" s="13">
        <f t="shared" si="1071"/>
        <v>1.4693333333333334</v>
      </c>
      <c r="O3202" s="13">
        <v>85</v>
      </c>
      <c r="P3202" s="13" t="s">
        <v>30</v>
      </c>
      <c r="Q3202" s="13">
        <v>0</v>
      </c>
      <c r="R3202" s="70">
        <f t="shared" ref="R3202" si="1119">L3202*O3202</f>
        <v>3746.7999999999997</v>
      </c>
      <c r="S3202" s="70">
        <v>38</v>
      </c>
      <c r="T3202" s="70">
        <f t="shared" ref="T3202" si="1120">L3202*S3202</f>
        <v>1675.04</v>
      </c>
      <c r="U3202" s="70">
        <f t="shared" ref="U3202" si="1121">R3202-T3202</f>
        <v>2071.7599999999998</v>
      </c>
      <c r="V3202" s="70">
        <f>U3202*1</f>
        <v>2071.7599999999998</v>
      </c>
      <c r="W3202" s="70">
        <f t="shared" ref="W3202" si="1122">U3202-V3202</f>
        <v>0</v>
      </c>
      <c r="X3202" s="70">
        <f>L3202*36</f>
        <v>1586.8799999999999</v>
      </c>
      <c r="Y3202" s="71">
        <f>+T3202-X3202</f>
        <v>88.160000000000082</v>
      </c>
      <c r="Z3202" s="12" t="s">
        <v>140</v>
      </c>
      <c r="AA3202" s="12" t="s">
        <v>78</v>
      </c>
    </row>
    <row r="3203" spans="1:27" x14ac:dyDescent="0.25">
      <c r="A3203" s="10">
        <v>45705</v>
      </c>
      <c r="B3203" s="11" t="s">
        <v>3756</v>
      </c>
      <c r="C3203" s="11" t="s">
        <v>5810</v>
      </c>
      <c r="D3203" s="11">
        <v>17746</v>
      </c>
      <c r="E3203" s="11" t="s">
        <v>184</v>
      </c>
      <c r="F3203" s="11" t="s">
        <v>26</v>
      </c>
      <c r="G3203" s="11">
        <v>1021</v>
      </c>
      <c r="H3203" s="12" t="s">
        <v>141</v>
      </c>
      <c r="I3203" s="12" t="s">
        <v>37</v>
      </c>
      <c r="J3203" s="12" t="s">
        <v>85</v>
      </c>
      <c r="K3203" s="12" t="s">
        <v>86</v>
      </c>
      <c r="L3203" s="13">
        <v>35.6</v>
      </c>
      <c r="M3203" s="13">
        <v>25</v>
      </c>
      <c r="N3203" s="13">
        <f t="shared" si="1071"/>
        <v>1.4240000000000002</v>
      </c>
      <c r="O3203" s="13">
        <v>29</v>
      </c>
      <c r="P3203" s="13" t="s">
        <v>30</v>
      </c>
      <c r="Q3203" s="13">
        <v>0</v>
      </c>
      <c r="R3203" s="70">
        <f>L3203*O3203</f>
        <v>1032.4000000000001</v>
      </c>
      <c r="S3203" s="70">
        <v>0</v>
      </c>
      <c r="T3203" s="70">
        <f>L3203*S3203</f>
        <v>0</v>
      </c>
      <c r="U3203" s="70">
        <f>R3203-T3203</f>
        <v>1032.4000000000001</v>
      </c>
      <c r="V3203" s="70">
        <f>U3203*0</f>
        <v>0</v>
      </c>
      <c r="W3203" s="70">
        <f>U3203-V3203</f>
        <v>1032.4000000000001</v>
      </c>
      <c r="X3203" s="70">
        <v>0</v>
      </c>
      <c r="Y3203" s="14">
        <f t="shared" ref="Y3203:Y3231" si="1123">T3203-X3203</f>
        <v>0</v>
      </c>
      <c r="Z3203" s="11" t="s">
        <v>26</v>
      </c>
      <c r="AA3203" s="12" t="s">
        <v>31</v>
      </c>
    </row>
    <row r="3204" spans="1:27" x14ac:dyDescent="0.25">
      <c r="A3204" s="10">
        <v>45705</v>
      </c>
      <c r="B3204" s="11" t="s">
        <v>5811</v>
      </c>
      <c r="C3204" s="11" t="s">
        <v>5812</v>
      </c>
      <c r="D3204" s="11">
        <v>17747</v>
      </c>
      <c r="E3204" s="11" t="s">
        <v>240</v>
      </c>
      <c r="F3204" s="11" t="s">
        <v>26</v>
      </c>
      <c r="G3204" s="11">
        <v>3005</v>
      </c>
      <c r="H3204" s="12" t="s">
        <v>41</v>
      </c>
      <c r="I3204" s="12" t="s">
        <v>55</v>
      </c>
      <c r="J3204" s="12" t="s">
        <v>55</v>
      </c>
      <c r="K3204" s="12" t="s">
        <v>56</v>
      </c>
      <c r="L3204" s="13">
        <v>37.979999999999997</v>
      </c>
      <c r="M3204" s="13">
        <v>22</v>
      </c>
      <c r="N3204" s="13">
        <f t="shared" si="1071"/>
        <v>1.7263636363636363</v>
      </c>
      <c r="O3204" s="13" t="s">
        <v>30</v>
      </c>
      <c r="P3204" s="13">
        <v>24</v>
      </c>
      <c r="Q3204" s="13">
        <v>0</v>
      </c>
      <c r="R3204" s="70">
        <f>+M3204*P3204</f>
        <v>528</v>
      </c>
      <c r="S3204" s="70">
        <v>0</v>
      </c>
      <c r="T3204" s="70">
        <f>+M3204*S3204</f>
        <v>0</v>
      </c>
      <c r="U3204" s="70">
        <f t="shared" ref="U3204" si="1124">+R3204-T3204</f>
        <v>528</v>
      </c>
      <c r="V3204" s="70">
        <f>+U3204*0</f>
        <v>0</v>
      </c>
      <c r="W3204" s="70">
        <f t="shared" ref="W3204" si="1125">+U3204-V3204</f>
        <v>528</v>
      </c>
      <c r="X3204" s="70">
        <v>0</v>
      </c>
      <c r="Y3204" s="14">
        <f t="shared" si="1123"/>
        <v>0</v>
      </c>
      <c r="Z3204" s="11" t="s">
        <v>26</v>
      </c>
      <c r="AA3204" s="12" t="s">
        <v>31</v>
      </c>
    </row>
    <row r="3205" spans="1:27" x14ac:dyDescent="0.25">
      <c r="A3205" s="10">
        <v>45705</v>
      </c>
      <c r="B3205" s="11" t="s">
        <v>5813</v>
      </c>
      <c r="C3205" s="11" t="s">
        <v>5814</v>
      </c>
      <c r="D3205" s="11">
        <v>17748</v>
      </c>
      <c r="E3205" s="11" t="s">
        <v>80</v>
      </c>
      <c r="F3205" s="11" t="s">
        <v>26</v>
      </c>
      <c r="G3205" s="11">
        <v>10692</v>
      </c>
      <c r="H3205" s="12" t="s">
        <v>140</v>
      </c>
      <c r="I3205" s="12" t="s">
        <v>27</v>
      </c>
      <c r="J3205" s="12" t="s">
        <v>33</v>
      </c>
      <c r="K3205" s="12" t="s">
        <v>34</v>
      </c>
      <c r="L3205" s="13">
        <v>41.7</v>
      </c>
      <c r="M3205" s="13">
        <v>28</v>
      </c>
      <c r="N3205" s="13">
        <f t="shared" si="1071"/>
        <v>1.4892857142857143</v>
      </c>
      <c r="O3205" s="13">
        <v>40</v>
      </c>
      <c r="P3205" s="13"/>
      <c r="Q3205" s="13">
        <v>0</v>
      </c>
      <c r="R3205" s="70">
        <f>+L3205*O3205</f>
        <v>1668</v>
      </c>
      <c r="S3205" s="70">
        <v>0</v>
      </c>
      <c r="T3205" s="70">
        <f>+L3205*S3205</f>
        <v>0</v>
      </c>
      <c r="U3205" s="70">
        <f>+R3205-T3205</f>
        <v>1668</v>
      </c>
      <c r="V3205" s="70">
        <f t="shared" ref="V3205" si="1126">+U3205*0</f>
        <v>0</v>
      </c>
      <c r="W3205" s="70">
        <f>+U3205-V3205</f>
        <v>1668</v>
      </c>
      <c r="X3205" s="70">
        <v>0</v>
      </c>
      <c r="Y3205" s="14">
        <f t="shared" si="1123"/>
        <v>0</v>
      </c>
      <c r="Z3205" s="11" t="s">
        <v>26</v>
      </c>
      <c r="AA3205" s="12" t="s">
        <v>31</v>
      </c>
    </row>
    <row r="3206" spans="1:27" x14ac:dyDescent="0.25">
      <c r="A3206" s="10">
        <v>45705</v>
      </c>
      <c r="B3206" s="11" t="s">
        <v>5815</v>
      </c>
      <c r="C3206" s="11" t="s">
        <v>5816</v>
      </c>
      <c r="D3206" s="11">
        <v>17749</v>
      </c>
      <c r="E3206" s="11" t="s">
        <v>435</v>
      </c>
      <c r="F3206" s="11" t="s">
        <v>26</v>
      </c>
      <c r="G3206" s="11">
        <v>2784</v>
      </c>
      <c r="H3206" s="12" t="s">
        <v>41</v>
      </c>
      <c r="I3206" s="12" t="s">
        <v>55</v>
      </c>
      <c r="J3206" s="12" t="s">
        <v>55</v>
      </c>
      <c r="K3206" s="12" t="s">
        <v>56</v>
      </c>
      <c r="L3206" s="13">
        <v>40.159999999999997</v>
      </c>
      <c r="M3206" s="13">
        <v>25</v>
      </c>
      <c r="N3206" s="13">
        <f t="shared" si="1071"/>
        <v>1.6063999999999998</v>
      </c>
      <c r="O3206" s="13" t="s">
        <v>30</v>
      </c>
      <c r="P3206" s="13">
        <v>24</v>
      </c>
      <c r="Q3206" s="13">
        <v>0</v>
      </c>
      <c r="R3206" s="70">
        <f>+M3206*P3206</f>
        <v>600</v>
      </c>
      <c r="S3206" s="70">
        <v>0</v>
      </c>
      <c r="T3206" s="70">
        <f>+M3206*S3206</f>
        <v>0</v>
      </c>
      <c r="U3206" s="70">
        <f t="shared" ref="U3206:U3209" si="1127">+R3206-T3206</f>
        <v>600</v>
      </c>
      <c r="V3206" s="70">
        <f>+U3206*0</f>
        <v>0</v>
      </c>
      <c r="W3206" s="70">
        <f t="shared" ref="W3206:W3209" si="1128">+U3206-V3206</f>
        <v>600</v>
      </c>
      <c r="X3206" s="70">
        <v>0</v>
      </c>
      <c r="Y3206" s="14">
        <f t="shared" si="1123"/>
        <v>0</v>
      </c>
      <c r="Z3206" s="11" t="s">
        <v>26</v>
      </c>
      <c r="AA3206" s="12" t="s">
        <v>31</v>
      </c>
    </row>
    <row r="3207" spans="1:27" x14ac:dyDescent="0.25">
      <c r="A3207" s="10">
        <v>45705</v>
      </c>
      <c r="B3207" s="11" t="s">
        <v>5817</v>
      </c>
      <c r="C3207" s="11" t="s">
        <v>5818</v>
      </c>
      <c r="D3207" s="11">
        <v>17750</v>
      </c>
      <c r="E3207" s="11" t="s">
        <v>69</v>
      </c>
      <c r="F3207" s="11" t="s">
        <v>26</v>
      </c>
      <c r="G3207" s="11">
        <v>2122</v>
      </c>
      <c r="H3207" s="12" t="s">
        <v>70</v>
      </c>
      <c r="I3207" s="12" t="s">
        <v>27</v>
      </c>
      <c r="J3207" s="12" t="s">
        <v>33</v>
      </c>
      <c r="K3207" s="12" t="s">
        <v>34</v>
      </c>
      <c r="L3207" s="13">
        <v>38.799999999999997</v>
      </c>
      <c r="M3207" s="13">
        <v>25</v>
      </c>
      <c r="N3207" s="13">
        <f t="shared" si="1071"/>
        <v>1.5519999999999998</v>
      </c>
      <c r="O3207" s="13" t="s">
        <v>30</v>
      </c>
      <c r="P3207" s="13">
        <v>60</v>
      </c>
      <c r="Q3207" s="13">
        <v>0</v>
      </c>
      <c r="R3207" s="70">
        <f>+M3207*P3207</f>
        <v>1500</v>
      </c>
      <c r="S3207" s="70">
        <v>0</v>
      </c>
      <c r="T3207" s="70">
        <f>+M3207*S3207</f>
        <v>0</v>
      </c>
      <c r="U3207" s="70">
        <f t="shared" si="1127"/>
        <v>1500</v>
      </c>
      <c r="V3207" s="70">
        <f>+U3207*0</f>
        <v>0</v>
      </c>
      <c r="W3207" s="70">
        <f t="shared" si="1128"/>
        <v>1500</v>
      </c>
      <c r="X3207" s="70">
        <v>0</v>
      </c>
      <c r="Y3207" s="14">
        <f t="shared" si="1123"/>
        <v>0</v>
      </c>
      <c r="Z3207" s="11" t="s">
        <v>26</v>
      </c>
      <c r="AA3207" s="12" t="s">
        <v>31</v>
      </c>
    </row>
    <row r="3208" spans="1:27" x14ac:dyDescent="0.25">
      <c r="A3208" s="10">
        <v>45705</v>
      </c>
      <c r="B3208" s="11" t="s">
        <v>615</v>
      </c>
      <c r="C3208" s="11" t="s">
        <v>5819</v>
      </c>
      <c r="D3208" s="11">
        <v>17751</v>
      </c>
      <c r="E3208" s="11" t="s">
        <v>224</v>
      </c>
      <c r="F3208" s="11" t="s">
        <v>26</v>
      </c>
      <c r="G3208" s="11">
        <v>3223</v>
      </c>
      <c r="H3208" s="12" t="s">
        <v>4423</v>
      </c>
      <c r="I3208" s="12" t="s">
        <v>27</v>
      </c>
      <c r="J3208" s="12" t="s">
        <v>47</v>
      </c>
      <c r="K3208" s="12" t="s">
        <v>48</v>
      </c>
      <c r="L3208" s="13">
        <v>34.86</v>
      </c>
      <c r="M3208" s="13">
        <v>25</v>
      </c>
      <c r="N3208" s="13">
        <f t="shared" si="1071"/>
        <v>1.3944000000000001</v>
      </c>
      <c r="O3208" s="13">
        <v>46</v>
      </c>
      <c r="P3208" s="13" t="s">
        <v>30</v>
      </c>
      <c r="Q3208" s="13">
        <v>0</v>
      </c>
      <c r="R3208" s="70">
        <f t="shared" ref="R3208" si="1129">+L3208*O3208</f>
        <v>1603.56</v>
      </c>
      <c r="S3208" s="70">
        <v>0</v>
      </c>
      <c r="T3208" s="70">
        <f t="shared" ref="T3208:T3209" si="1130">+L3208*S3208</f>
        <v>0</v>
      </c>
      <c r="U3208" s="70">
        <f t="shared" si="1127"/>
        <v>1603.56</v>
      </c>
      <c r="V3208" s="70">
        <f>+U3208*1</f>
        <v>1603.56</v>
      </c>
      <c r="W3208" s="70">
        <f t="shared" si="1128"/>
        <v>0</v>
      </c>
      <c r="X3208" s="70">
        <v>0</v>
      </c>
      <c r="Y3208" s="14">
        <f t="shared" si="1123"/>
        <v>0</v>
      </c>
      <c r="Z3208" s="11" t="s">
        <v>26</v>
      </c>
      <c r="AA3208" s="12" t="s">
        <v>31</v>
      </c>
    </row>
    <row r="3209" spans="1:27" x14ac:dyDescent="0.25">
      <c r="A3209" s="10">
        <v>45705</v>
      </c>
      <c r="B3209" s="11" t="s">
        <v>195</v>
      </c>
      <c r="C3209" s="11" t="s">
        <v>5820</v>
      </c>
      <c r="D3209" s="11">
        <v>17752</v>
      </c>
      <c r="E3209" s="11" t="s">
        <v>61</v>
      </c>
      <c r="F3209" s="11" t="s">
        <v>26</v>
      </c>
      <c r="G3209" s="11" t="s">
        <v>35</v>
      </c>
      <c r="H3209" s="12" t="s">
        <v>36</v>
      </c>
      <c r="I3209" s="12" t="s">
        <v>27</v>
      </c>
      <c r="J3209" s="12" t="s">
        <v>42</v>
      </c>
      <c r="K3209" s="12" t="s">
        <v>43</v>
      </c>
      <c r="L3209" s="13">
        <v>10.220000000000001</v>
      </c>
      <c r="M3209" s="13">
        <v>7</v>
      </c>
      <c r="N3209" s="13">
        <f t="shared" si="1071"/>
        <v>1.4600000000000002</v>
      </c>
      <c r="O3209" s="13">
        <v>45</v>
      </c>
      <c r="P3209" s="13" t="s">
        <v>30</v>
      </c>
      <c r="Q3209" s="13">
        <v>0</v>
      </c>
      <c r="R3209" s="70">
        <f>(L3209*O3209)-Q3209</f>
        <v>459.90000000000003</v>
      </c>
      <c r="S3209" s="70">
        <v>0</v>
      </c>
      <c r="T3209" s="70">
        <f t="shared" si="1130"/>
        <v>0</v>
      </c>
      <c r="U3209" s="70">
        <f t="shared" si="1127"/>
        <v>459.90000000000003</v>
      </c>
      <c r="V3209" s="70">
        <f>+U3209*0</f>
        <v>0</v>
      </c>
      <c r="W3209" s="70">
        <f t="shared" si="1128"/>
        <v>459.90000000000003</v>
      </c>
      <c r="X3209" s="70">
        <v>0</v>
      </c>
      <c r="Y3209" s="14">
        <f t="shared" si="1123"/>
        <v>0</v>
      </c>
      <c r="Z3209" s="11" t="s">
        <v>26</v>
      </c>
      <c r="AA3209" s="12" t="s">
        <v>31</v>
      </c>
    </row>
    <row r="3210" spans="1:27" x14ac:dyDescent="0.25">
      <c r="A3210" s="10">
        <v>45705</v>
      </c>
      <c r="B3210" s="11" t="s">
        <v>1055</v>
      </c>
      <c r="C3210" s="11" t="s">
        <v>5821</v>
      </c>
      <c r="D3210" s="11">
        <v>17753</v>
      </c>
      <c r="E3210" s="11" t="s">
        <v>505</v>
      </c>
      <c r="F3210" s="11" t="s">
        <v>26</v>
      </c>
      <c r="G3210" s="11">
        <v>1265</v>
      </c>
      <c r="H3210" s="12" t="s">
        <v>141</v>
      </c>
      <c r="I3210" s="12" t="s">
        <v>55</v>
      </c>
      <c r="J3210" s="12" t="s">
        <v>566</v>
      </c>
      <c r="K3210" s="12" t="s">
        <v>550</v>
      </c>
      <c r="L3210" s="13">
        <v>41.68</v>
      </c>
      <c r="M3210" s="13">
        <v>25</v>
      </c>
      <c r="N3210" s="13">
        <f t="shared" si="1071"/>
        <v>1.6672</v>
      </c>
      <c r="O3210" s="13">
        <v>25</v>
      </c>
      <c r="P3210" s="13" t="s">
        <v>30</v>
      </c>
      <c r="Q3210" s="13">
        <v>0</v>
      </c>
      <c r="R3210" s="70">
        <f>L3210*O3210</f>
        <v>1042</v>
      </c>
      <c r="S3210" s="70">
        <v>0</v>
      </c>
      <c r="T3210" s="70">
        <f>L3210*S3210</f>
        <v>0</v>
      </c>
      <c r="U3210" s="70">
        <f>R3210-T3210</f>
        <v>1042</v>
      </c>
      <c r="V3210" s="70">
        <f>U3210*0</f>
        <v>0</v>
      </c>
      <c r="W3210" s="70">
        <f>U3210-V3210</f>
        <v>1042</v>
      </c>
      <c r="X3210" s="70">
        <v>0</v>
      </c>
      <c r="Y3210" s="14">
        <f t="shared" si="1123"/>
        <v>0</v>
      </c>
      <c r="Z3210" s="11" t="s">
        <v>26</v>
      </c>
      <c r="AA3210" s="12" t="s">
        <v>31</v>
      </c>
    </row>
    <row r="3211" spans="1:27" x14ac:dyDescent="0.25">
      <c r="A3211" s="10">
        <v>45705</v>
      </c>
      <c r="B3211" s="11" t="s">
        <v>5822</v>
      </c>
      <c r="C3211" s="11" t="s">
        <v>5823</v>
      </c>
      <c r="D3211" s="11">
        <v>17754</v>
      </c>
      <c r="E3211" s="11" t="s">
        <v>32</v>
      </c>
      <c r="F3211" s="11" t="s">
        <v>26</v>
      </c>
      <c r="G3211" s="11">
        <v>75037</v>
      </c>
      <c r="H3211" s="12" t="s">
        <v>4448</v>
      </c>
      <c r="I3211" s="12" t="s">
        <v>27</v>
      </c>
      <c r="J3211" s="12" t="s">
        <v>33</v>
      </c>
      <c r="K3211" s="12" t="s">
        <v>34</v>
      </c>
      <c r="L3211" s="13">
        <v>38.54</v>
      </c>
      <c r="M3211" s="13">
        <v>25</v>
      </c>
      <c r="N3211" s="13">
        <f t="shared" si="1071"/>
        <v>1.5415999999999999</v>
      </c>
      <c r="O3211" s="13">
        <v>45.33</v>
      </c>
      <c r="P3211" s="13" t="s">
        <v>30</v>
      </c>
      <c r="Q3211" s="13">
        <v>0</v>
      </c>
      <c r="R3211" s="70">
        <f>+L3211*O3211</f>
        <v>1747.0182</v>
      </c>
      <c r="S3211" s="70">
        <v>0</v>
      </c>
      <c r="T3211" s="70">
        <f>+L3211*S3211</f>
        <v>0</v>
      </c>
      <c r="U3211" s="70">
        <f>+R3211-T3211</f>
        <v>1747.0182</v>
      </c>
      <c r="V3211" s="70">
        <f>+U3211*0.75</f>
        <v>1310.2636499999999</v>
      </c>
      <c r="W3211" s="70">
        <f>+U3211-V3211</f>
        <v>436.75455000000011</v>
      </c>
      <c r="X3211" s="70">
        <v>0</v>
      </c>
      <c r="Y3211" s="14">
        <f t="shared" si="1123"/>
        <v>0</v>
      </c>
      <c r="Z3211" s="11" t="s">
        <v>26</v>
      </c>
      <c r="AA3211" s="12" t="s">
        <v>31</v>
      </c>
    </row>
    <row r="3212" spans="1:27" x14ac:dyDescent="0.25">
      <c r="A3212" s="10">
        <v>45705</v>
      </c>
      <c r="B3212" s="11" t="s">
        <v>735</v>
      </c>
      <c r="C3212" s="11" t="s">
        <v>5824</v>
      </c>
      <c r="D3212" s="11">
        <v>17755</v>
      </c>
      <c r="E3212" s="11" t="s">
        <v>605</v>
      </c>
      <c r="F3212" s="11" t="s">
        <v>26</v>
      </c>
      <c r="G3212" s="11">
        <v>1070</v>
      </c>
      <c r="H3212" s="12" t="s">
        <v>141</v>
      </c>
      <c r="I3212" s="12" t="s">
        <v>27</v>
      </c>
      <c r="J3212" s="12" t="s">
        <v>42</v>
      </c>
      <c r="K3212" s="12" t="s">
        <v>43</v>
      </c>
      <c r="L3212" s="13">
        <v>45.3</v>
      </c>
      <c r="M3212" s="13">
        <v>28</v>
      </c>
      <c r="N3212" s="13">
        <f t="shared" si="1071"/>
        <v>1.6178571428571427</v>
      </c>
      <c r="O3212" s="13">
        <v>40</v>
      </c>
      <c r="P3212" s="13" t="s">
        <v>30</v>
      </c>
      <c r="Q3212" s="13">
        <v>0</v>
      </c>
      <c r="R3212" s="70">
        <f>L3212*O3212</f>
        <v>1812</v>
      </c>
      <c r="S3212" s="70">
        <v>0</v>
      </c>
      <c r="T3212" s="70">
        <f>L3212*S3212</f>
        <v>0</v>
      </c>
      <c r="U3212" s="70">
        <f>R3212-T3212</f>
        <v>1812</v>
      </c>
      <c r="V3212" s="70">
        <f>U3212*0</f>
        <v>0</v>
      </c>
      <c r="W3212" s="70">
        <f>U3212-V3212</f>
        <v>1812</v>
      </c>
      <c r="X3212" s="70">
        <v>0</v>
      </c>
      <c r="Y3212" s="14">
        <f t="shared" si="1123"/>
        <v>0</v>
      </c>
      <c r="Z3212" s="11" t="s">
        <v>26</v>
      </c>
      <c r="AA3212" s="12" t="s">
        <v>31</v>
      </c>
    </row>
    <row r="3213" spans="1:27" x14ac:dyDescent="0.25">
      <c r="A3213" s="10">
        <v>45705</v>
      </c>
      <c r="B3213" s="11" t="s">
        <v>1372</v>
      </c>
      <c r="C3213" s="11" t="s">
        <v>5825</v>
      </c>
      <c r="D3213" s="11">
        <v>17756</v>
      </c>
      <c r="E3213" s="11" t="s">
        <v>98</v>
      </c>
      <c r="F3213" s="11" t="s">
        <v>26</v>
      </c>
      <c r="G3213" s="11">
        <v>10727</v>
      </c>
      <c r="H3213" s="12" t="s">
        <v>140</v>
      </c>
      <c r="I3213" s="12" t="s">
        <v>27</v>
      </c>
      <c r="J3213" s="12" t="s">
        <v>42</v>
      </c>
      <c r="K3213" s="12" t="s">
        <v>43</v>
      </c>
      <c r="L3213" s="13">
        <v>43.6</v>
      </c>
      <c r="M3213" s="13">
        <v>25</v>
      </c>
      <c r="N3213" s="13">
        <f t="shared" si="1071"/>
        <v>1.744</v>
      </c>
      <c r="O3213" s="13">
        <v>35</v>
      </c>
      <c r="P3213" s="13"/>
      <c r="Q3213" s="13">
        <v>0</v>
      </c>
      <c r="R3213" s="70">
        <f>+L3213*O3213</f>
        <v>1526</v>
      </c>
      <c r="S3213" s="70">
        <v>0</v>
      </c>
      <c r="T3213" s="70">
        <f>+L3213*S3213</f>
        <v>0</v>
      </c>
      <c r="U3213" s="70">
        <f>+R3213-T3213</f>
        <v>1526</v>
      </c>
      <c r="V3213" s="70">
        <f t="shared" ref="V3213" si="1131">+U3213*0</f>
        <v>0</v>
      </c>
      <c r="W3213" s="70">
        <f>+U3213-V3213</f>
        <v>1526</v>
      </c>
      <c r="X3213" s="70">
        <v>0</v>
      </c>
      <c r="Y3213" s="14">
        <f t="shared" si="1123"/>
        <v>0</v>
      </c>
      <c r="Z3213" s="11" t="s">
        <v>26</v>
      </c>
      <c r="AA3213" s="12" t="s">
        <v>31</v>
      </c>
    </row>
    <row r="3214" spans="1:27" x14ac:dyDescent="0.25">
      <c r="A3214" s="10">
        <v>45705</v>
      </c>
      <c r="B3214" s="11" t="s">
        <v>4224</v>
      </c>
      <c r="C3214" s="11" t="s">
        <v>5826</v>
      </c>
      <c r="D3214" s="11">
        <v>17757</v>
      </c>
      <c r="E3214" s="11" t="s">
        <v>561</v>
      </c>
      <c r="F3214" s="11" t="s">
        <v>26</v>
      </c>
      <c r="G3214" s="11">
        <v>112892</v>
      </c>
      <c r="H3214" s="12" t="s">
        <v>4446</v>
      </c>
      <c r="I3214" s="12" t="s">
        <v>27</v>
      </c>
      <c r="J3214" s="12" t="s">
        <v>42</v>
      </c>
      <c r="K3214" s="12" t="s">
        <v>43</v>
      </c>
      <c r="L3214" s="13">
        <v>40.200000000000003</v>
      </c>
      <c r="M3214" s="13">
        <v>25</v>
      </c>
      <c r="N3214" s="13">
        <f t="shared" si="1071"/>
        <v>1.6080000000000001</v>
      </c>
      <c r="O3214" s="13">
        <v>42</v>
      </c>
      <c r="P3214" s="13" t="s">
        <v>30</v>
      </c>
      <c r="Q3214" s="13">
        <v>0</v>
      </c>
      <c r="R3214" s="70">
        <f t="shared" ref="R3214" si="1132">+L3214*O3214</f>
        <v>1688.4</v>
      </c>
      <c r="S3214" s="70">
        <v>0</v>
      </c>
      <c r="T3214" s="70">
        <f>+L3214*S3214</f>
        <v>0</v>
      </c>
      <c r="U3214" s="70">
        <f t="shared" ref="U3214" si="1133">+R3214-T3214</f>
        <v>1688.4</v>
      </c>
      <c r="V3214" s="70">
        <f>+U3214*1</f>
        <v>1688.4</v>
      </c>
      <c r="W3214" s="70">
        <f t="shared" ref="W3214" si="1134">+U3214-V3214</f>
        <v>0</v>
      </c>
      <c r="X3214" s="70">
        <v>0</v>
      </c>
      <c r="Y3214" s="14">
        <f t="shared" si="1123"/>
        <v>0</v>
      </c>
      <c r="Z3214" s="11" t="s">
        <v>26</v>
      </c>
      <c r="AA3214" s="12" t="s">
        <v>31</v>
      </c>
    </row>
    <row r="3215" spans="1:27" x14ac:dyDescent="0.25">
      <c r="A3215" s="10">
        <v>45705</v>
      </c>
      <c r="B3215" s="11" t="s">
        <v>5827</v>
      </c>
      <c r="C3215" s="11" t="s">
        <v>5828</v>
      </c>
      <c r="D3215" s="11">
        <v>17758</v>
      </c>
      <c r="E3215" s="11" t="s">
        <v>81</v>
      </c>
      <c r="F3215" s="11" t="s">
        <v>26</v>
      </c>
      <c r="G3215" s="11">
        <v>1220</v>
      </c>
      <c r="H3215" s="12" t="s">
        <v>141</v>
      </c>
      <c r="I3215" s="12" t="s">
        <v>27</v>
      </c>
      <c r="J3215" s="12" t="s">
        <v>33</v>
      </c>
      <c r="K3215" s="12" t="s">
        <v>34</v>
      </c>
      <c r="L3215" s="13">
        <v>38.119999999999997</v>
      </c>
      <c r="M3215" s="13">
        <v>25</v>
      </c>
      <c r="N3215" s="13">
        <f t="shared" si="1071"/>
        <v>1.5247999999999999</v>
      </c>
      <c r="O3215" s="13">
        <v>40</v>
      </c>
      <c r="P3215" s="13" t="s">
        <v>30</v>
      </c>
      <c r="Q3215" s="13">
        <v>0</v>
      </c>
      <c r="R3215" s="70">
        <f>L3215*O3215</f>
        <v>1524.8</v>
      </c>
      <c r="S3215" s="70">
        <v>0</v>
      </c>
      <c r="T3215" s="70">
        <f>L3215*S3215</f>
        <v>0</v>
      </c>
      <c r="U3215" s="70">
        <f>R3215-T3215</f>
        <v>1524.8</v>
      </c>
      <c r="V3215" s="70">
        <f>U3215*0</f>
        <v>0</v>
      </c>
      <c r="W3215" s="70">
        <f>U3215-V3215</f>
        <v>1524.8</v>
      </c>
      <c r="X3215" s="70">
        <v>0</v>
      </c>
      <c r="Y3215" s="14">
        <f t="shared" si="1123"/>
        <v>0</v>
      </c>
      <c r="Z3215" s="11" t="s">
        <v>26</v>
      </c>
      <c r="AA3215" s="12" t="s">
        <v>31</v>
      </c>
    </row>
    <row r="3216" spans="1:27" x14ac:dyDescent="0.25">
      <c r="A3216" s="10">
        <v>45705</v>
      </c>
      <c r="B3216" s="11" t="s">
        <v>5829</v>
      </c>
      <c r="C3216" s="11" t="s">
        <v>5830</v>
      </c>
      <c r="D3216" s="11">
        <v>17759</v>
      </c>
      <c r="E3216" s="11" t="s">
        <v>589</v>
      </c>
      <c r="F3216" s="11" t="s">
        <v>26</v>
      </c>
      <c r="G3216" s="11">
        <v>56928</v>
      </c>
      <c r="H3216" s="12" t="s">
        <v>4423</v>
      </c>
      <c r="I3216" s="12" t="s">
        <v>27</v>
      </c>
      <c r="J3216" s="12" t="s">
        <v>47</v>
      </c>
      <c r="K3216" s="12" t="s">
        <v>48</v>
      </c>
      <c r="L3216" s="13">
        <v>32.9</v>
      </c>
      <c r="M3216" s="13">
        <v>24</v>
      </c>
      <c r="N3216" s="13">
        <f t="shared" si="1071"/>
        <v>1.3708333333333333</v>
      </c>
      <c r="O3216" s="13">
        <v>46</v>
      </c>
      <c r="P3216" s="13" t="s">
        <v>30</v>
      </c>
      <c r="Q3216" s="13">
        <v>0</v>
      </c>
      <c r="R3216" s="70">
        <f t="shared" ref="R3216" si="1135">+L3216*O3216</f>
        <v>1513.3999999999999</v>
      </c>
      <c r="S3216" s="70">
        <v>0</v>
      </c>
      <c r="T3216" s="70">
        <f t="shared" ref="T3216" si="1136">+L3216*S3216</f>
        <v>0</v>
      </c>
      <c r="U3216" s="70">
        <f t="shared" ref="U3216:U3217" si="1137">+R3216-T3216</f>
        <v>1513.3999999999999</v>
      </c>
      <c r="V3216" s="70">
        <f>+U3216*1</f>
        <v>1513.3999999999999</v>
      </c>
      <c r="W3216" s="70">
        <f t="shared" ref="W3216:W3217" si="1138">+U3216-V3216</f>
        <v>0</v>
      </c>
      <c r="X3216" s="70">
        <v>0</v>
      </c>
      <c r="Y3216" s="14">
        <f t="shared" si="1123"/>
        <v>0</v>
      </c>
      <c r="Z3216" s="11" t="s">
        <v>26</v>
      </c>
      <c r="AA3216" s="12" t="s">
        <v>31</v>
      </c>
    </row>
    <row r="3217" spans="1:27" x14ac:dyDescent="0.25">
      <c r="A3217" s="10">
        <v>45705</v>
      </c>
      <c r="B3217" s="11" t="s">
        <v>5831</v>
      </c>
      <c r="C3217" s="11" t="s">
        <v>5832</v>
      </c>
      <c r="D3217" s="11">
        <v>17760</v>
      </c>
      <c r="E3217" s="11" t="s">
        <v>97</v>
      </c>
      <c r="F3217" s="11" t="s">
        <v>26</v>
      </c>
      <c r="G3217" s="11">
        <v>9860</v>
      </c>
      <c r="H3217" s="12" t="s">
        <v>4447</v>
      </c>
      <c r="I3217" s="12" t="s">
        <v>27</v>
      </c>
      <c r="J3217" s="12" t="s">
        <v>42</v>
      </c>
      <c r="K3217" s="12" t="s">
        <v>43</v>
      </c>
      <c r="L3217" s="13">
        <v>21.74</v>
      </c>
      <c r="M3217" s="13">
        <v>13</v>
      </c>
      <c r="N3217" s="13">
        <f t="shared" si="1071"/>
        <v>1.6723076923076923</v>
      </c>
      <c r="O3217" s="13" t="s">
        <v>30</v>
      </c>
      <c r="P3217" s="13">
        <v>65.599999999999994</v>
      </c>
      <c r="Q3217" s="13">
        <v>0</v>
      </c>
      <c r="R3217" s="70">
        <f>+M3217*P3217</f>
        <v>852.8</v>
      </c>
      <c r="S3217" s="70">
        <v>0</v>
      </c>
      <c r="T3217" s="70">
        <f>+M3217*S3217</f>
        <v>0</v>
      </c>
      <c r="U3217" s="70">
        <f t="shared" si="1137"/>
        <v>852.8</v>
      </c>
      <c r="V3217" s="70">
        <f>+U3217*1</f>
        <v>852.8</v>
      </c>
      <c r="W3217" s="70">
        <f t="shared" si="1138"/>
        <v>0</v>
      </c>
      <c r="X3217" s="70">
        <v>0</v>
      </c>
      <c r="Y3217" s="14">
        <f t="shared" si="1123"/>
        <v>0</v>
      </c>
      <c r="Z3217" s="11" t="s">
        <v>26</v>
      </c>
      <c r="AA3217" s="12" t="s">
        <v>31</v>
      </c>
    </row>
    <row r="3218" spans="1:27" x14ac:dyDescent="0.25">
      <c r="A3218" s="10">
        <v>45705</v>
      </c>
      <c r="B3218" s="11" t="s">
        <v>5833</v>
      </c>
      <c r="C3218" s="11" t="s">
        <v>5834</v>
      </c>
      <c r="D3218" s="11">
        <v>17761</v>
      </c>
      <c r="E3218" s="11" t="s">
        <v>520</v>
      </c>
      <c r="F3218" s="11" t="s">
        <v>26</v>
      </c>
      <c r="G3218" s="11">
        <v>10451</v>
      </c>
      <c r="H3218" s="12" t="s">
        <v>140</v>
      </c>
      <c r="I3218" s="12" t="s">
        <v>27</v>
      </c>
      <c r="J3218" s="12" t="s">
        <v>42</v>
      </c>
      <c r="K3218" s="12" t="s">
        <v>43</v>
      </c>
      <c r="L3218" s="13">
        <v>44.78</v>
      </c>
      <c r="M3218" s="13">
        <v>25</v>
      </c>
      <c r="N3218" s="13">
        <f t="shared" si="1071"/>
        <v>1.7912000000000001</v>
      </c>
      <c r="O3218" s="13">
        <v>35</v>
      </c>
      <c r="P3218" s="13"/>
      <c r="Q3218" s="13">
        <v>0</v>
      </c>
      <c r="R3218" s="70">
        <f>+L3218*O3218</f>
        <v>1567.3</v>
      </c>
      <c r="S3218" s="70">
        <v>0</v>
      </c>
      <c r="T3218" s="70">
        <f>+L3218*S3218</f>
        <v>0</v>
      </c>
      <c r="U3218" s="70">
        <f>+R3218-T3218</f>
        <v>1567.3</v>
      </c>
      <c r="V3218" s="70">
        <f t="shared" ref="V3218:V3219" si="1139">+U3218*0</f>
        <v>0</v>
      </c>
      <c r="W3218" s="70">
        <f>+U3218-V3218</f>
        <v>1567.3</v>
      </c>
      <c r="X3218" s="70">
        <v>0</v>
      </c>
      <c r="Y3218" s="14">
        <f t="shared" si="1123"/>
        <v>0</v>
      </c>
      <c r="Z3218" s="11" t="s">
        <v>26</v>
      </c>
      <c r="AA3218" s="12" t="s">
        <v>31</v>
      </c>
    </row>
    <row r="3219" spans="1:27" x14ac:dyDescent="0.25">
      <c r="A3219" s="10">
        <v>45705</v>
      </c>
      <c r="B3219" s="11" t="s">
        <v>2531</v>
      </c>
      <c r="C3219" s="11" t="s">
        <v>5835</v>
      </c>
      <c r="D3219" s="11">
        <v>17762</v>
      </c>
      <c r="E3219" s="11" t="s">
        <v>69</v>
      </c>
      <c r="F3219" s="11" t="s">
        <v>26</v>
      </c>
      <c r="G3219" s="11">
        <v>2123</v>
      </c>
      <c r="H3219" s="12" t="s">
        <v>70</v>
      </c>
      <c r="I3219" s="12" t="s">
        <v>27</v>
      </c>
      <c r="J3219" s="12" t="s">
        <v>42</v>
      </c>
      <c r="K3219" s="12" t="s">
        <v>43</v>
      </c>
      <c r="L3219" s="13">
        <v>44.7</v>
      </c>
      <c r="M3219" s="13">
        <v>25</v>
      </c>
      <c r="N3219" s="13">
        <f t="shared" si="1071"/>
        <v>1.788</v>
      </c>
      <c r="O3219" s="13" t="s">
        <v>30</v>
      </c>
      <c r="P3219" s="13">
        <v>64</v>
      </c>
      <c r="Q3219" s="13">
        <v>0</v>
      </c>
      <c r="R3219" s="70">
        <f>+M3219*P3219</f>
        <v>1600</v>
      </c>
      <c r="S3219" s="70">
        <v>0</v>
      </c>
      <c r="T3219" s="70">
        <f>+M3219*S3219</f>
        <v>0</v>
      </c>
      <c r="U3219" s="70">
        <f t="shared" ref="U3219" si="1140">+R3219-T3219</f>
        <v>1600</v>
      </c>
      <c r="V3219" s="70">
        <f t="shared" si="1139"/>
        <v>0</v>
      </c>
      <c r="W3219" s="70">
        <f t="shared" ref="W3219" si="1141">+U3219-V3219</f>
        <v>1600</v>
      </c>
      <c r="X3219" s="70">
        <v>0</v>
      </c>
      <c r="Y3219" s="14">
        <f t="shared" si="1123"/>
        <v>0</v>
      </c>
      <c r="Z3219" s="11" t="s">
        <v>26</v>
      </c>
      <c r="AA3219" s="12" t="s">
        <v>31</v>
      </c>
    </row>
    <row r="3220" spans="1:27" x14ac:dyDescent="0.25">
      <c r="A3220" s="10">
        <v>45705</v>
      </c>
      <c r="B3220" s="11" t="s">
        <v>5836</v>
      </c>
      <c r="C3220" s="11" t="s">
        <v>5837</v>
      </c>
      <c r="D3220" s="11">
        <v>17763</v>
      </c>
      <c r="E3220" s="11" t="s">
        <v>1200</v>
      </c>
      <c r="F3220" s="11" t="s">
        <v>26</v>
      </c>
      <c r="G3220" s="11">
        <v>2974</v>
      </c>
      <c r="H3220" s="12" t="s">
        <v>163</v>
      </c>
      <c r="I3220" s="12" t="s">
        <v>27</v>
      </c>
      <c r="J3220" s="12" t="s">
        <v>33</v>
      </c>
      <c r="K3220" s="12" t="s">
        <v>34</v>
      </c>
      <c r="L3220" s="13">
        <v>37.020000000000003</v>
      </c>
      <c r="M3220" s="13">
        <v>25</v>
      </c>
      <c r="N3220" s="13">
        <f t="shared" si="1071"/>
        <v>1.4808000000000001</v>
      </c>
      <c r="O3220" s="13" t="s">
        <v>30</v>
      </c>
      <c r="P3220" s="13">
        <v>60</v>
      </c>
      <c r="Q3220" s="13">
        <v>0</v>
      </c>
      <c r="R3220" s="70">
        <f>M3220*P3220</f>
        <v>1500</v>
      </c>
      <c r="S3220" s="70">
        <v>0</v>
      </c>
      <c r="T3220" s="70">
        <f>M3220*S3220</f>
        <v>0</v>
      </c>
      <c r="U3220" s="70">
        <f>R3220-T3220</f>
        <v>1500</v>
      </c>
      <c r="V3220" s="70">
        <f>U3220*0</f>
        <v>0</v>
      </c>
      <c r="W3220" s="70">
        <f>U3220-V3220</f>
        <v>1500</v>
      </c>
      <c r="X3220" s="70">
        <v>0</v>
      </c>
      <c r="Y3220" s="14">
        <f t="shared" si="1123"/>
        <v>0</v>
      </c>
      <c r="Z3220" s="11" t="s">
        <v>26</v>
      </c>
      <c r="AA3220" s="12" t="s">
        <v>31</v>
      </c>
    </row>
    <row r="3221" spans="1:27" x14ac:dyDescent="0.25">
      <c r="A3221" s="10">
        <v>45705</v>
      </c>
      <c r="B3221" s="11" t="s">
        <v>5838</v>
      </c>
      <c r="C3221" s="11" t="s">
        <v>5839</v>
      </c>
      <c r="D3221" s="11">
        <v>17764</v>
      </c>
      <c r="E3221" s="11" t="s">
        <v>50</v>
      </c>
      <c r="F3221" s="11" t="s">
        <v>26</v>
      </c>
      <c r="G3221" s="11">
        <v>756</v>
      </c>
      <c r="H3221" s="12" t="s">
        <v>163</v>
      </c>
      <c r="I3221" s="12" t="s">
        <v>27</v>
      </c>
      <c r="J3221" s="12" t="s">
        <v>33</v>
      </c>
      <c r="K3221" s="12" t="s">
        <v>34</v>
      </c>
      <c r="L3221" s="13">
        <v>36.68</v>
      </c>
      <c r="M3221" s="13">
        <v>25</v>
      </c>
      <c r="N3221" s="13">
        <f t="shared" si="1071"/>
        <v>1.4672000000000001</v>
      </c>
      <c r="O3221" s="13" t="s">
        <v>30</v>
      </c>
      <c r="P3221" s="13">
        <v>60</v>
      </c>
      <c r="Q3221" s="13">
        <v>0</v>
      </c>
      <c r="R3221" s="70">
        <f>M3221*P3221</f>
        <v>1500</v>
      </c>
      <c r="S3221" s="70">
        <v>0</v>
      </c>
      <c r="T3221" s="70">
        <f>M3221*S3221</f>
        <v>0</v>
      </c>
      <c r="U3221" s="70">
        <f>R3221-T3221</f>
        <v>1500</v>
      </c>
      <c r="V3221" s="70">
        <f>U3221*0</f>
        <v>0</v>
      </c>
      <c r="W3221" s="70">
        <f>U3221-V3221</f>
        <v>1500</v>
      </c>
      <c r="X3221" s="70">
        <v>0</v>
      </c>
      <c r="Y3221" s="14">
        <f t="shared" si="1123"/>
        <v>0</v>
      </c>
      <c r="Z3221" s="11" t="s">
        <v>26</v>
      </c>
      <c r="AA3221" s="12" t="s">
        <v>31</v>
      </c>
    </row>
    <row r="3222" spans="1:27" x14ac:dyDescent="0.25">
      <c r="A3222" s="10">
        <v>45705</v>
      </c>
      <c r="B3222" s="11" t="s">
        <v>626</v>
      </c>
      <c r="C3222" s="11" t="s">
        <v>5840</v>
      </c>
      <c r="D3222" s="11">
        <v>17765</v>
      </c>
      <c r="E3222" s="11" t="s">
        <v>552</v>
      </c>
      <c r="F3222" s="11" t="s">
        <v>26</v>
      </c>
      <c r="G3222" s="11">
        <v>44171</v>
      </c>
      <c r="H3222" s="12" t="s">
        <v>4423</v>
      </c>
      <c r="I3222" s="12" t="s">
        <v>27</v>
      </c>
      <c r="J3222" s="12" t="s">
        <v>47</v>
      </c>
      <c r="K3222" s="12" t="s">
        <v>48</v>
      </c>
      <c r="L3222" s="13">
        <v>33.880000000000003</v>
      </c>
      <c r="M3222" s="13">
        <v>24</v>
      </c>
      <c r="N3222" s="13">
        <f t="shared" si="1071"/>
        <v>1.4116666666666668</v>
      </c>
      <c r="O3222" s="13">
        <v>46</v>
      </c>
      <c r="P3222" s="13" t="s">
        <v>30</v>
      </c>
      <c r="Q3222" s="13">
        <v>0</v>
      </c>
      <c r="R3222" s="70">
        <f t="shared" ref="R3222" si="1142">+L3222*O3222</f>
        <v>1558.48</v>
      </c>
      <c r="S3222" s="70">
        <v>0</v>
      </c>
      <c r="T3222" s="70">
        <f t="shared" ref="T3222" si="1143">+L3222*S3222</f>
        <v>0</v>
      </c>
      <c r="U3222" s="70">
        <f t="shared" ref="U3222:U3224" si="1144">+R3222-T3222</f>
        <v>1558.48</v>
      </c>
      <c r="V3222" s="70">
        <f>+U3222*1</f>
        <v>1558.48</v>
      </c>
      <c r="W3222" s="70">
        <f t="shared" ref="W3222:W3224" si="1145">+U3222-V3222</f>
        <v>0</v>
      </c>
      <c r="X3222" s="70">
        <v>0</v>
      </c>
      <c r="Y3222" s="14">
        <f t="shared" si="1123"/>
        <v>0</v>
      </c>
      <c r="Z3222" s="11" t="s">
        <v>26</v>
      </c>
      <c r="AA3222" s="12" t="s">
        <v>31</v>
      </c>
    </row>
    <row r="3223" spans="1:27" x14ac:dyDescent="0.25">
      <c r="A3223" s="10">
        <v>45705</v>
      </c>
      <c r="B3223" s="11" t="s">
        <v>2928</v>
      </c>
      <c r="C3223" s="11" t="s">
        <v>5841</v>
      </c>
      <c r="D3223" s="11">
        <v>17766</v>
      </c>
      <c r="E3223" s="11" t="s">
        <v>5742</v>
      </c>
      <c r="F3223" s="11" t="s">
        <v>26</v>
      </c>
      <c r="G3223" s="11">
        <v>2719</v>
      </c>
      <c r="H3223" s="12" t="s">
        <v>41</v>
      </c>
      <c r="I3223" s="12" t="s">
        <v>27</v>
      </c>
      <c r="J3223" s="12" t="s">
        <v>33</v>
      </c>
      <c r="K3223" s="12" t="s">
        <v>34</v>
      </c>
      <c r="L3223" s="13">
        <v>35.76</v>
      </c>
      <c r="M3223" s="13">
        <v>24</v>
      </c>
      <c r="N3223" s="13">
        <f t="shared" si="1071"/>
        <v>1.49</v>
      </c>
      <c r="O3223" s="13" t="s">
        <v>30</v>
      </c>
      <c r="P3223" s="13">
        <v>60</v>
      </c>
      <c r="Q3223" s="13">
        <v>0</v>
      </c>
      <c r="R3223" s="70">
        <f>M3223*P3223</f>
        <v>1440</v>
      </c>
      <c r="S3223" s="70">
        <v>0</v>
      </c>
      <c r="T3223" s="70">
        <f>M3223*S3223</f>
        <v>0</v>
      </c>
      <c r="U3223" s="70">
        <f t="shared" si="1144"/>
        <v>1440</v>
      </c>
      <c r="V3223" s="70">
        <f>+U3223*0</f>
        <v>0</v>
      </c>
      <c r="W3223" s="70">
        <f t="shared" si="1145"/>
        <v>1440</v>
      </c>
      <c r="X3223" s="70">
        <v>0</v>
      </c>
      <c r="Y3223" s="14">
        <f t="shared" si="1123"/>
        <v>0</v>
      </c>
      <c r="Z3223" s="11" t="s">
        <v>26</v>
      </c>
      <c r="AA3223" s="12" t="s">
        <v>31</v>
      </c>
    </row>
    <row r="3224" spans="1:27" x14ac:dyDescent="0.25">
      <c r="A3224" s="10">
        <v>45705</v>
      </c>
      <c r="B3224" s="11" t="s">
        <v>5842</v>
      </c>
      <c r="C3224" s="11" t="s">
        <v>5843</v>
      </c>
      <c r="D3224" s="11">
        <v>17767</v>
      </c>
      <c r="E3224" s="11" t="s">
        <v>69</v>
      </c>
      <c r="F3224" s="11" t="s">
        <v>26</v>
      </c>
      <c r="G3224" s="11">
        <v>2124</v>
      </c>
      <c r="H3224" s="12" t="s">
        <v>70</v>
      </c>
      <c r="I3224" s="12" t="s">
        <v>27</v>
      </c>
      <c r="J3224" s="12" t="s">
        <v>42</v>
      </c>
      <c r="K3224" s="12" t="s">
        <v>43</v>
      </c>
      <c r="L3224" s="13">
        <v>43.34</v>
      </c>
      <c r="M3224" s="13">
        <v>25</v>
      </c>
      <c r="N3224" s="13">
        <f t="shared" si="1071"/>
        <v>1.7336</v>
      </c>
      <c r="O3224" s="13" t="s">
        <v>30</v>
      </c>
      <c r="P3224" s="13">
        <v>64</v>
      </c>
      <c r="Q3224" s="13">
        <v>0</v>
      </c>
      <c r="R3224" s="70">
        <f>+M3224*P3224</f>
        <v>1600</v>
      </c>
      <c r="S3224" s="70">
        <v>0</v>
      </c>
      <c r="T3224" s="70">
        <f>+M3224*S3224</f>
        <v>0</v>
      </c>
      <c r="U3224" s="70">
        <f t="shared" si="1144"/>
        <v>1600</v>
      </c>
      <c r="V3224" s="70">
        <f t="shared" ref="V3224:V3225" si="1146">+U3224*0</f>
        <v>0</v>
      </c>
      <c r="W3224" s="70">
        <f t="shared" si="1145"/>
        <v>1600</v>
      </c>
      <c r="X3224" s="70">
        <v>0</v>
      </c>
      <c r="Y3224" s="14">
        <f t="shared" si="1123"/>
        <v>0</v>
      </c>
      <c r="Z3224" s="11" t="s">
        <v>26</v>
      </c>
      <c r="AA3224" s="12" t="s">
        <v>31</v>
      </c>
    </row>
    <row r="3225" spans="1:27" x14ac:dyDescent="0.25">
      <c r="A3225" s="10">
        <v>45705</v>
      </c>
      <c r="B3225" s="11" t="s">
        <v>3673</v>
      </c>
      <c r="C3225" s="11" t="s">
        <v>5844</v>
      </c>
      <c r="D3225" s="11">
        <v>17768</v>
      </c>
      <c r="E3225" s="11" t="s">
        <v>80</v>
      </c>
      <c r="F3225" s="11" t="s">
        <v>26</v>
      </c>
      <c r="G3225" s="11">
        <v>10693</v>
      </c>
      <c r="H3225" s="12" t="s">
        <v>140</v>
      </c>
      <c r="I3225" s="12" t="s">
        <v>27</v>
      </c>
      <c r="J3225" s="12" t="s">
        <v>42</v>
      </c>
      <c r="K3225" s="12" t="s">
        <v>43</v>
      </c>
      <c r="L3225" s="13">
        <v>44.96</v>
      </c>
      <c r="M3225" s="13">
        <v>25</v>
      </c>
      <c r="N3225" s="13">
        <f t="shared" si="1071"/>
        <v>1.7984</v>
      </c>
      <c r="O3225" s="13">
        <v>35</v>
      </c>
      <c r="P3225" s="13"/>
      <c r="Q3225" s="13">
        <v>0</v>
      </c>
      <c r="R3225" s="70">
        <f>+L3225*O3225</f>
        <v>1573.6000000000001</v>
      </c>
      <c r="S3225" s="70">
        <v>0</v>
      </c>
      <c r="T3225" s="70">
        <f>+L3225*S3225</f>
        <v>0</v>
      </c>
      <c r="U3225" s="70">
        <f>+R3225-T3225</f>
        <v>1573.6000000000001</v>
      </c>
      <c r="V3225" s="70">
        <f t="shared" si="1146"/>
        <v>0</v>
      </c>
      <c r="W3225" s="70">
        <f>+U3225-V3225</f>
        <v>1573.6000000000001</v>
      </c>
      <c r="X3225" s="70">
        <v>0</v>
      </c>
      <c r="Y3225" s="14">
        <f t="shared" si="1123"/>
        <v>0</v>
      </c>
      <c r="Z3225" s="11" t="s">
        <v>26</v>
      </c>
      <c r="AA3225" s="12" t="s">
        <v>31</v>
      </c>
    </row>
    <row r="3226" spans="1:27" x14ac:dyDescent="0.25">
      <c r="A3226" s="10">
        <v>45705</v>
      </c>
      <c r="B3226" s="11" t="s">
        <v>5468</v>
      </c>
      <c r="C3226" s="11" t="s">
        <v>5845</v>
      </c>
      <c r="D3226" s="11">
        <v>17769</v>
      </c>
      <c r="E3226" s="11" t="s">
        <v>442</v>
      </c>
      <c r="F3226" s="11" t="s">
        <v>26</v>
      </c>
      <c r="G3226" s="11">
        <v>4740</v>
      </c>
      <c r="H3226" s="12" t="s">
        <v>41</v>
      </c>
      <c r="I3226" s="12" t="s">
        <v>55</v>
      </c>
      <c r="J3226" s="12" t="s">
        <v>55</v>
      </c>
      <c r="K3226" s="12" t="s">
        <v>56</v>
      </c>
      <c r="L3226" s="13">
        <v>34.380000000000003</v>
      </c>
      <c r="M3226" s="13">
        <v>20</v>
      </c>
      <c r="N3226" s="13">
        <f t="shared" si="1071"/>
        <v>1.7190000000000001</v>
      </c>
      <c r="O3226" s="13" t="s">
        <v>30</v>
      </c>
      <c r="P3226" s="13">
        <v>24</v>
      </c>
      <c r="Q3226" s="13">
        <v>0</v>
      </c>
      <c r="R3226" s="70">
        <f>+M3226*P3226</f>
        <v>480</v>
      </c>
      <c r="S3226" s="70">
        <v>0</v>
      </c>
      <c r="T3226" s="70">
        <f>+M3226*S3226</f>
        <v>0</v>
      </c>
      <c r="U3226" s="70">
        <f t="shared" ref="U3226:U3227" si="1147">+R3226-T3226</f>
        <v>480</v>
      </c>
      <c r="V3226" s="70">
        <f>+U3226*0</f>
        <v>0</v>
      </c>
      <c r="W3226" s="70">
        <f t="shared" ref="W3226:W3227" si="1148">+U3226-V3226</f>
        <v>480</v>
      </c>
      <c r="X3226" s="70">
        <v>0</v>
      </c>
      <c r="Y3226" s="14">
        <f t="shared" si="1123"/>
        <v>0</v>
      </c>
      <c r="Z3226" s="11" t="s">
        <v>26</v>
      </c>
      <c r="AA3226" s="12" t="s">
        <v>31</v>
      </c>
    </row>
    <row r="3227" spans="1:27" x14ac:dyDescent="0.25">
      <c r="A3227" s="10">
        <v>45705</v>
      </c>
      <c r="B3227" s="11" t="s">
        <v>5846</v>
      </c>
      <c r="C3227" s="11" t="s">
        <v>5847</v>
      </c>
      <c r="D3227" s="11">
        <v>17770</v>
      </c>
      <c r="E3227" s="11" t="s">
        <v>435</v>
      </c>
      <c r="F3227" s="11" t="s">
        <v>26</v>
      </c>
      <c r="G3227" s="11">
        <v>2785</v>
      </c>
      <c r="H3227" s="12" t="s">
        <v>41</v>
      </c>
      <c r="I3227" s="12" t="s">
        <v>55</v>
      </c>
      <c r="J3227" s="12" t="s">
        <v>55</v>
      </c>
      <c r="K3227" s="12" t="s">
        <v>56</v>
      </c>
      <c r="L3227" s="13">
        <v>38.92</v>
      </c>
      <c r="M3227" s="13">
        <v>24</v>
      </c>
      <c r="N3227" s="13">
        <f t="shared" si="1071"/>
        <v>1.6216666666666668</v>
      </c>
      <c r="O3227" s="13" t="s">
        <v>30</v>
      </c>
      <c r="P3227" s="13">
        <v>24</v>
      </c>
      <c r="Q3227" s="13">
        <v>0</v>
      </c>
      <c r="R3227" s="70">
        <f>+M3227*P3227</f>
        <v>576</v>
      </c>
      <c r="S3227" s="70">
        <v>0</v>
      </c>
      <c r="T3227" s="70">
        <f>+M3227*S3227</f>
        <v>0</v>
      </c>
      <c r="U3227" s="70">
        <f t="shared" si="1147"/>
        <v>576</v>
      </c>
      <c r="V3227" s="70">
        <f>+U3227*0</f>
        <v>0</v>
      </c>
      <c r="W3227" s="70">
        <f t="shared" si="1148"/>
        <v>576</v>
      </c>
      <c r="X3227" s="70">
        <v>0</v>
      </c>
      <c r="Y3227" s="14">
        <f t="shared" si="1123"/>
        <v>0</v>
      </c>
      <c r="Z3227" s="11" t="s">
        <v>26</v>
      </c>
      <c r="AA3227" s="12" t="s">
        <v>31</v>
      </c>
    </row>
    <row r="3228" spans="1:27" x14ac:dyDescent="0.25">
      <c r="A3228" s="10">
        <v>45705</v>
      </c>
      <c r="B3228" s="11" t="s">
        <v>3874</v>
      </c>
      <c r="C3228" s="11" t="s">
        <v>5848</v>
      </c>
      <c r="D3228" s="11">
        <v>17771</v>
      </c>
      <c r="E3228" s="11" t="s">
        <v>32</v>
      </c>
      <c r="F3228" s="11" t="s">
        <v>26</v>
      </c>
      <c r="G3228" s="11">
        <v>1623</v>
      </c>
      <c r="H3228" s="12" t="s">
        <v>45</v>
      </c>
      <c r="I3228" s="12" t="s">
        <v>27</v>
      </c>
      <c r="J3228" s="12" t="s">
        <v>42</v>
      </c>
      <c r="K3228" s="12" t="s">
        <v>43</v>
      </c>
      <c r="L3228" s="13">
        <v>44.88</v>
      </c>
      <c r="M3228" s="13">
        <v>25</v>
      </c>
      <c r="N3228" s="13">
        <f t="shared" si="1071"/>
        <v>1.7952000000000001</v>
      </c>
      <c r="O3228" s="13" t="s">
        <v>30</v>
      </c>
      <c r="P3228" s="13">
        <v>62</v>
      </c>
      <c r="Q3228" s="13">
        <v>0</v>
      </c>
      <c r="R3228" s="70">
        <f>M3228*P3228</f>
        <v>1550</v>
      </c>
      <c r="S3228" s="70">
        <v>0</v>
      </c>
      <c r="T3228" s="70">
        <f>M3228*S3228</f>
        <v>0</v>
      </c>
      <c r="U3228" s="70">
        <f>R3228-T3228</f>
        <v>1550</v>
      </c>
      <c r="V3228" s="70">
        <f>U3228*0</f>
        <v>0</v>
      </c>
      <c r="W3228" s="70">
        <f>U3228-V3228</f>
        <v>1550</v>
      </c>
      <c r="X3228" s="70">
        <v>0</v>
      </c>
      <c r="Y3228" s="14">
        <f t="shared" si="1123"/>
        <v>0</v>
      </c>
      <c r="Z3228" s="11" t="s">
        <v>26</v>
      </c>
      <c r="AA3228" s="12" t="s">
        <v>31</v>
      </c>
    </row>
    <row r="3229" spans="1:27" x14ac:dyDescent="0.25">
      <c r="A3229" s="10">
        <v>45706</v>
      </c>
      <c r="B3229" s="11" t="s">
        <v>5849</v>
      </c>
      <c r="C3229" s="11" t="s">
        <v>5850</v>
      </c>
      <c r="D3229" s="11">
        <v>17772</v>
      </c>
      <c r="E3229" s="11" t="s">
        <v>322</v>
      </c>
      <c r="F3229" s="11" t="s">
        <v>26</v>
      </c>
      <c r="G3229" s="11">
        <v>112893</v>
      </c>
      <c r="H3229" s="12" t="s">
        <v>4446</v>
      </c>
      <c r="I3229" s="12" t="s">
        <v>27</v>
      </c>
      <c r="J3229" s="12" t="s">
        <v>33</v>
      </c>
      <c r="K3229" s="12" t="s">
        <v>34</v>
      </c>
      <c r="L3229" s="13">
        <v>36.18</v>
      </c>
      <c r="M3229" s="13">
        <v>25</v>
      </c>
      <c r="N3229" s="13">
        <f>+L3229/M3229</f>
        <v>1.4472</v>
      </c>
      <c r="O3229" s="13">
        <v>44</v>
      </c>
      <c r="P3229" s="13" t="s">
        <v>30</v>
      </c>
      <c r="Q3229" s="13">
        <v>0</v>
      </c>
      <c r="R3229" s="70">
        <f t="shared" ref="R3229" si="1149">+L3229*O3229</f>
        <v>1591.92</v>
      </c>
      <c r="S3229" s="70">
        <v>0</v>
      </c>
      <c r="T3229" s="70">
        <f>+L3229*S3229</f>
        <v>0</v>
      </c>
      <c r="U3229" s="70">
        <f>+R3229-T3229</f>
        <v>1591.92</v>
      </c>
      <c r="V3229" s="70">
        <f>+U3229*1</f>
        <v>1591.92</v>
      </c>
      <c r="W3229" s="70">
        <f>+U3229-V3229</f>
        <v>0</v>
      </c>
      <c r="X3229" s="70">
        <v>0</v>
      </c>
      <c r="Y3229" s="14">
        <f t="shared" si="1123"/>
        <v>0</v>
      </c>
      <c r="Z3229" s="11" t="s">
        <v>26</v>
      </c>
      <c r="AA3229" s="12" t="s">
        <v>31</v>
      </c>
    </row>
    <row r="3230" spans="1:27" x14ac:dyDescent="0.25">
      <c r="A3230" s="10">
        <v>45706</v>
      </c>
      <c r="B3230" s="11" t="s">
        <v>5611</v>
      </c>
      <c r="C3230" s="11" t="s">
        <v>5851</v>
      </c>
      <c r="D3230" s="11">
        <v>17773</v>
      </c>
      <c r="E3230" s="11" t="s">
        <v>50</v>
      </c>
      <c r="F3230" s="11" t="s">
        <v>26</v>
      </c>
      <c r="G3230" s="11">
        <v>757</v>
      </c>
      <c r="H3230" s="12" t="s">
        <v>163</v>
      </c>
      <c r="I3230" s="12" t="s">
        <v>27</v>
      </c>
      <c r="J3230" s="12" t="s">
        <v>47</v>
      </c>
      <c r="K3230" s="12" t="s">
        <v>48</v>
      </c>
      <c r="L3230" s="13">
        <v>35.700000000000003</v>
      </c>
      <c r="M3230" s="13">
        <v>25</v>
      </c>
      <c r="N3230" s="13">
        <f t="shared" ref="N3230:N3287" si="1150">+L3230/M3230</f>
        <v>1.4280000000000002</v>
      </c>
      <c r="O3230" s="13" t="s">
        <v>30</v>
      </c>
      <c r="P3230" s="13">
        <v>60</v>
      </c>
      <c r="Q3230" s="13">
        <v>0</v>
      </c>
      <c r="R3230" s="70">
        <f>M3230*P3230</f>
        <v>1500</v>
      </c>
      <c r="S3230" s="70">
        <v>0</v>
      </c>
      <c r="T3230" s="70">
        <f>M3230*S3230</f>
        <v>0</v>
      </c>
      <c r="U3230" s="70">
        <f>R3230-T3230</f>
        <v>1500</v>
      </c>
      <c r="V3230" s="70">
        <f>U3230*0</f>
        <v>0</v>
      </c>
      <c r="W3230" s="70">
        <f>U3230-V3230</f>
        <v>1500</v>
      </c>
      <c r="X3230" s="70">
        <v>0</v>
      </c>
      <c r="Y3230" s="14">
        <f t="shared" si="1123"/>
        <v>0</v>
      </c>
      <c r="Z3230" s="11" t="s">
        <v>26</v>
      </c>
      <c r="AA3230" s="12" t="s">
        <v>31</v>
      </c>
    </row>
    <row r="3231" spans="1:27" x14ac:dyDescent="0.25">
      <c r="A3231" s="10">
        <v>45706</v>
      </c>
      <c r="B3231" s="11" t="s">
        <v>2738</v>
      </c>
      <c r="C3231" s="11" t="s">
        <v>5852</v>
      </c>
      <c r="D3231" s="11">
        <v>17774</v>
      </c>
      <c r="E3231" s="11" t="s">
        <v>32</v>
      </c>
      <c r="F3231" s="11" t="s">
        <v>26</v>
      </c>
      <c r="G3231" s="11">
        <v>75038</v>
      </c>
      <c r="H3231" s="12" t="s">
        <v>4448</v>
      </c>
      <c r="I3231" s="12" t="s">
        <v>27</v>
      </c>
      <c r="J3231" s="12" t="s">
        <v>33</v>
      </c>
      <c r="K3231" s="12" t="s">
        <v>34</v>
      </c>
      <c r="L3231" s="13">
        <v>39.42</v>
      </c>
      <c r="M3231" s="13">
        <v>27</v>
      </c>
      <c r="N3231" s="13">
        <f t="shared" si="1150"/>
        <v>1.46</v>
      </c>
      <c r="O3231" s="13">
        <v>45.33</v>
      </c>
      <c r="P3231" s="13" t="s">
        <v>30</v>
      </c>
      <c r="Q3231" s="13">
        <v>0</v>
      </c>
      <c r="R3231" s="70">
        <f>+L3231*O3231</f>
        <v>1786.9086</v>
      </c>
      <c r="S3231" s="70">
        <v>0</v>
      </c>
      <c r="T3231" s="70">
        <f>+L3231*S3231</f>
        <v>0</v>
      </c>
      <c r="U3231" s="70">
        <f>+R3231-T3231</f>
        <v>1786.9086</v>
      </c>
      <c r="V3231" s="70">
        <f>+U3231*0.75</f>
        <v>1340.18145</v>
      </c>
      <c r="W3231" s="70">
        <f>+U3231-V3231</f>
        <v>446.72714999999994</v>
      </c>
      <c r="X3231" s="70">
        <v>0</v>
      </c>
      <c r="Y3231" s="14">
        <f t="shared" si="1123"/>
        <v>0</v>
      </c>
      <c r="Z3231" s="11" t="s">
        <v>26</v>
      </c>
      <c r="AA3231" s="12" t="s">
        <v>31</v>
      </c>
    </row>
    <row r="3232" spans="1:27" x14ac:dyDescent="0.25">
      <c r="A3232" s="10">
        <v>45706</v>
      </c>
      <c r="B3232" s="11" t="s">
        <v>5853</v>
      </c>
      <c r="C3232" s="11" t="s">
        <v>5854</v>
      </c>
      <c r="D3232" s="11">
        <v>17775</v>
      </c>
      <c r="E3232" s="11" t="s">
        <v>81</v>
      </c>
      <c r="F3232" s="11" t="s">
        <v>26</v>
      </c>
      <c r="G3232" s="11" t="s">
        <v>26</v>
      </c>
      <c r="H3232" s="12" t="s">
        <v>4422</v>
      </c>
      <c r="I3232" s="12" t="s">
        <v>27</v>
      </c>
      <c r="J3232" s="12" t="s">
        <v>42</v>
      </c>
      <c r="K3232" s="12" t="s">
        <v>43</v>
      </c>
      <c r="L3232" s="13">
        <v>43.44</v>
      </c>
      <c r="M3232" s="13">
        <v>25</v>
      </c>
      <c r="N3232" s="13">
        <f t="shared" si="1150"/>
        <v>1.7375999999999998</v>
      </c>
      <c r="O3232" s="13">
        <v>83</v>
      </c>
      <c r="P3232" s="13" t="s">
        <v>30</v>
      </c>
      <c r="Q3232" s="13">
        <v>0</v>
      </c>
      <c r="R3232" s="70">
        <f>L3232*O3232</f>
        <v>3605.52</v>
      </c>
      <c r="S3232" s="70">
        <v>38</v>
      </c>
      <c r="T3232" s="70">
        <f>L3232*S3232</f>
        <v>1650.7199999999998</v>
      </c>
      <c r="U3232" s="70">
        <f>R3232-T3232</f>
        <v>1954.8000000000002</v>
      </c>
      <c r="V3232" s="70">
        <f>U3232*1</f>
        <v>1954.8000000000002</v>
      </c>
      <c r="W3232" s="70">
        <f>U3232-V3232</f>
        <v>0</v>
      </c>
      <c r="X3232" s="70">
        <f>L3232*36</f>
        <v>1563.84</v>
      </c>
      <c r="Y3232" s="71">
        <f>+T3232-X3232</f>
        <v>86.879999999999882</v>
      </c>
      <c r="Z3232" s="12" t="s">
        <v>141</v>
      </c>
      <c r="AA3232" s="12" t="s">
        <v>78</v>
      </c>
    </row>
    <row r="3233" spans="1:27" x14ac:dyDescent="0.25">
      <c r="A3233" s="10">
        <v>45706</v>
      </c>
      <c r="B3233" s="11" t="s">
        <v>4149</v>
      </c>
      <c r="C3233" s="11" t="s">
        <v>5855</v>
      </c>
      <c r="D3233" s="11">
        <v>17777</v>
      </c>
      <c r="E3233" s="11" t="s">
        <v>501</v>
      </c>
      <c r="F3233" s="11" t="s">
        <v>26</v>
      </c>
      <c r="G3233" s="11" t="s">
        <v>26</v>
      </c>
      <c r="H3233" s="12" t="s">
        <v>4422</v>
      </c>
      <c r="I3233" s="12" t="s">
        <v>27</v>
      </c>
      <c r="J3233" s="12" t="s">
        <v>47</v>
      </c>
      <c r="K3233" s="12" t="s">
        <v>48</v>
      </c>
      <c r="L3233" s="13">
        <v>41.48</v>
      </c>
      <c r="M3233" s="13">
        <v>28</v>
      </c>
      <c r="N3233" s="13">
        <f t="shared" si="1150"/>
        <v>1.4814285714285713</v>
      </c>
      <c r="O3233" s="13">
        <v>87</v>
      </c>
      <c r="P3233" s="13" t="s">
        <v>30</v>
      </c>
      <c r="Q3233" s="13">
        <v>0</v>
      </c>
      <c r="R3233" s="70">
        <f t="shared" ref="R3233" si="1151">L3233*O3233</f>
        <v>3608.7599999999998</v>
      </c>
      <c r="S3233" s="70">
        <v>38</v>
      </c>
      <c r="T3233" s="70">
        <f t="shared" ref="T3233" si="1152">L3233*S3233</f>
        <v>1576.2399999999998</v>
      </c>
      <c r="U3233" s="70">
        <f t="shared" ref="U3233" si="1153">R3233-T3233</f>
        <v>2032.52</v>
      </c>
      <c r="V3233" s="70">
        <f>U3233*1</f>
        <v>2032.52</v>
      </c>
      <c r="W3233" s="70">
        <f t="shared" ref="W3233" si="1154">U3233-V3233</f>
        <v>0</v>
      </c>
      <c r="X3233" s="70">
        <f>L3233*36</f>
        <v>1493.28</v>
      </c>
      <c r="Y3233" s="71">
        <f>+T3233-X3233</f>
        <v>82.959999999999809</v>
      </c>
      <c r="Z3233" s="12" t="s">
        <v>141</v>
      </c>
      <c r="AA3233" s="12" t="s">
        <v>78</v>
      </c>
    </row>
    <row r="3234" spans="1:27" x14ac:dyDescent="0.25">
      <c r="A3234" s="10">
        <v>45706</v>
      </c>
      <c r="B3234" s="11" t="s">
        <v>609</v>
      </c>
      <c r="C3234" s="11" t="s">
        <v>5856</v>
      </c>
      <c r="D3234" s="11">
        <v>17778</v>
      </c>
      <c r="E3234" s="11" t="s">
        <v>184</v>
      </c>
      <c r="F3234" s="11" t="s">
        <v>26</v>
      </c>
      <c r="G3234" s="11" t="s">
        <v>26</v>
      </c>
      <c r="H3234" s="12" t="s">
        <v>4422</v>
      </c>
      <c r="I3234" s="12" t="s">
        <v>27</v>
      </c>
      <c r="J3234" s="12" t="s">
        <v>42</v>
      </c>
      <c r="K3234" s="12" t="s">
        <v>43</v>
      </c>
      <c r="L3234" s="13">
        <v>41.36</v>
      </c>
      <c r="M3234" s="13">
        <v>25</v>
      </c>
      <c r="N3234" s="13">
        <f t="shared" si="1150"/>
        <v>1.6543999999999999</v>
      </c>
      <c r="O3234" s="13">
        <v>83</v>
      </c>
      <c r="P3234" s="13" t="s">
        <v>30</v>
      </c>
      <c r="Q3234" s="13">
        <v>0</v>
      </c>
      <c r="R3234" s="70">
        <f>L3234*O3234</f>
        <v>3432.88</v>
      </c>
      <c r="S3234" s="70">
        <v>38</v>
      </c>
      <c r="T3234" s="70">
        <f>L3234*S3234</f>
        <v>1571.68</v>
      </c>
      <c r="U3234" s="70">
        <f>R3234-T3234</f>
        <v>1861.2</v>
      </c>
      <c r="V3234" s="70">
        <f>U3234*1</f>
        <v>1861.2</v>
      </c>
      <c r="W3234" s="70">
        <f>U3234-V3234</f>
        <v>0</v>
      </c>
      <c r="X3234" s="70">
        <f>L3234*36</f>
        <v>1488.96</v>
      </c>
      <c r="Y3234" s="71">
        <f>+T3234-X3234</f>
        <v>82.720000000000027</v>
      </c>
      <c r="Z3234" s="12" t="s">
        <v>141</v>
      </c>
      <c r="AA3234" s="12" t="s">
        <v>78</v>
      </c>
    </row>
    <row r="3235" spans="1:27" x14ac:dyDescent="0.25">
      <c r="A3235" s="10">
        <v>45706</v>
      </c>
      <c r="B3235" s="11" t="s">
        <v>5857</v>
      </c>
      <c r="C3235" s="11" t="s">
        <v>5858</v>
      </c>
      <c r="D3235" s="11">
        <v>17779</v>
      </c>
      <c r="E3235" s="11" t="s">
        <v>574</v>
      </c>
      <c r="F3235" s="11" t="s">
        <v>26</v>
      </c>
      <c r="G3235" s="11" t="s">
        <v>26</v>
      </c>
      <c r="H3235" s="12" t="s">
        <v>4422</v>
      </c>
      <c r="I3235" s="12" t="s">
        <v>27</v>
      </c>
      <c r="J3235" s="12" t="s">
        <v>42</v>
      </c>
      <c r="K3235" s="12" t="s">
        <v>43</v>
      </c>
      <c r="L3235" s="13">
        <v>43.62</v>
      </c>
      <c r="M3235" s="13">
        <v>25</v>
      </c>
      <c r="N3235" s="13">
        <f t="shared" si="1150"/>
        <v>1.7447999999999999</v>
      </c>
      <c r="O3235" s="13">
        <v>83</v>
      </c>
      <c r="P3235" s="13" t="s">
        <v>30</v>
      </c>
      <c r="Q3235" s="13">
        <v>0</v>
      </c>
      <c r="R3235" s="70">
        <f>L3235*O3235</f>
        <v>3620.4599999999996</v>
      </c>
      <c r="S3235" s="70">
        <v>38</v>
      </c>
      <c r="T3235" s="70">
        <f>L3235*S3235</f>
        <v>1657.56</v>
      </c>
      <c r="U3235" s="70">
        <f>R3235-T3235</f>
        <v>1962.8999999999996</v>
      </c>
      <c r="V3235" s="70">
        <f>U3235*1</f>
        <v>1962.8999999999996</v>
      </c>
      <c r="W3235" s="70">
        <f>U3235-V3235</f>
        <v>0</v>
      </c>
      <c r="X3235" s="70">
        <f>L3235*36</f>
        <v>1570.32</v>
      </c>
      <c r="Y3235" s="71">
        <f>+T3235-X3235</f>
        <v>87.240000000000009</v>
      </c>
      <c r="Z3235" s="12" t="s">
        <v>141</v>
      </c>
      <c r="AA3235" s="12" t="s">
        <v>78</v>
      </c>
    </row>
    <row r="3236" spans="1:27" x14ac:dyDescent="0.25">
      <c r="A3236" s="10">
        <v>45706</v>
      </c>
      <c r="B3236" s="11" t="s">
        <v>5859</v>
      </c>
      <c r="C3236" s="11" t="s">
        <v>5860</v>
      </c>
      <c r="D3236" s="11">
        <v>17780</v>
      </c>
      <c r="E3236" s="11" t="s">
        <v>224</v>
      </c>
      <c r="F3236" s="11" t="s">
        <v>26</v>
      </c>
      <c r="G3236" s="11">
        <v>3224</v>
      </c>
      <c r="H3236" s="12" t="s">
        <v>4423</v>
      </c>
      <c r="I3236" s="12" t="s">
        <v>27</v>
      </c>
      <c r="J3236" s="12" t="s">
        <v>33</v>
      </c>
      <c r="K3236" s="12" t="s">
        <v>34</v>
      </c>
      <c r="L3236" s="13">
        <v>35.56</v>
      </c>
      <c r="M3236" s="13">
        <v>25</v>
      </c>
      <c r="N3236" s="13">
        <f t="shared" si="1150"/>
        <v>1.4224000000000001</v>
      </c>
      <c r="O3236" s="13">
        <v>45</v>
      </c>
      <c r="P3236" s="13" t="s">
        <v>30</v>
      </c>
      <c r="Q3236" s="13">
        <v>0</v>
      </c>
      <c r="R3236" s="70">
        <f>+L3236*O3236</f>
        <v>1600.2</v>
      </c>
      <c r="S3236" s="70">
        <v>0</v>
      </c>
      <c r="T3236" s="70">
        <f>+L3236*S3236</f>
        <v>0</v>
      </c>
      <c r="U3236" s="70">
        <f t="shared" ref="U3236" si="1155">+R3236-T3236</f>
        <v>1600.2</v>
      </c>
      <c r="V3236" s="70">
        <f>+U3236*1</f>
        <v>1600.2</v>
      </c>
      <c r="W3236" s="70">
        <f t="shared" ref="W3236" si="1156">+U3236-V3236</f>
        <v>0</v>
      </c>
      <c r="X3236" s="70">
        <v>0</v>
      </c>
      <c r="Y3236" s="14">
        <f t="shared" ref="Y3236" si="1157">T3236-X3236</f>
        <v>0</v>
      </c>
      <c r="Z3236" s="11" t="s">
        <v>26</v>
      </c>
      <c r="AA3236" s="12" t="s">
        <v>31</v>
      </c>
    </row>
    <row r="3237" spans="1:27" x14ac:dyDescent="0.25">
      <c r="A3237" s="10">
        <v>45706</v>
      </c>
      <c r="B3237" s="11" t="s">
        <v>5861</v>
      </c>
      <c r="C3237" s="11" t="s">
        <v>5862</v>
      </c>
      <c r="D3237" s="11">
        <v>17781</v>
      </c>
      <c r="E3237" s="11" t="s">
        <v>57</v>
      </c>
      <c r="F3237" s="11" t="s">
        <v>26</v>
      </c>
      <c r="G3237" s="11" t="s">
        <v>26</v>
      </c>
      <c r="H3237" s="12" t="s">
        <v>4422</v>
      </c>
      <c r="I3237" s="12" t="s">
        <v>27</v>
      </c>
      <c r="J3237" s="12" t="s">
        <v>33</v>
      </c>
      <c r="K3237" s="12" t="s">
        <v>34</v>
      </c>
      <c r="L3237" s="13">
        <v>45.32</v>
      </c>
      <c r="M3237" s="13">
        <v>31</v>
      </c>
      <c r="N3237" s="13">
        <f t="shared" si="1150"/>
        <v>1.4619354838709677</v>
      </c>
      <c r="O3237" s="13">
        <v>85</v>
      </c>
      <c r="P3237" s="13" t="s">
        <v>30</v>
      </c>
      <c r="Q3237" s="13">
        <v>0</v>
      </c>
      <c r="R3237" s="70">
        <f t="shared" ref="R3237" si="1158">L3237*O3237</f>
        <v>3852.2</v>
      </c>
      <c r="S3237" s="70">
        <v>38</v>
      </c>
      <c r="T3237" s="70">
        <f t="shared" ref="T3237" si="1159">L3237*S3237</f>
        <v>1722.16</v>
      </c>
      <c r="U3237" s="70">
        <f t="shared" ref="U3237" si="1160">R3237-T3237</f>
        <v>2130.04</v>
      </c>
      <c r="V3237" s="70">
        <f>U3237*1</f>
        <v>2130.04</v>
      </c>
      <c r="W3237" s="70">
        <f t="shared" ref="W3237" si="1161">U3237-V3237</f>
        <v>0</v>
      </c>
      <c r="X3237" s="70">
        <f>L3237*37</f>
        <v>1676.84</v>
      </c>
      <c r="Y3237" s="71">
        <f>+T3237-X3237</f>
        <v>45.320000000000164</v>
      </c>
      <c r="Z3237" s="12" t="s">
        <v>41</v>
      </c>
      <c r="AA3237" s="12" t="s">
        <v>78</v>
      </c>
    </row>
    <row r="3238" spans="1:27" x14ac:dyDescent="0.25">
      <c r="A3238" s="10">
        <v>45706</v>
      </c>
      <c r="B3238" s="11" t="s">
        <v>5863</v>
      </c>
      <c r="C3238" s="11" t="s">
        <v>5864</v>
      </c>
      <c r="D3238" s="11">
        <v>17782</v>
      </c>
      <c r="E3238" s="11" t="s">
        <v>552</v>
      </c>
      <c r="F3238" s="11" t="s">
        <v>26</v>
      </c>
      <c r="G3238" s="11">
        <v>44172</v>
      </c>
      <c r="H3238" s="12" t="s">
        <v>4423</v>
      </c>
      <c r="I3238" s="12" t="s">
        <v>27</v>
      </c>
      <c r="J3238" s="12" t="s">
        <v>33</v>
      </c>
      <c r="K3238" s="12" t="s">
        <v>34</v>
      </c>
      <c r="L3238" s="13">
        <v>35.659999999999997</v>
      </c>
      <c r="M3238" s="13">
        <v>25</v>
      </c>
      <c r="N3238" s="13">
        <f t="shared" si="1150"/>
        <v>1.4263999999999999</v>
      </c>
      <c r="O3238" s="13">
        <v>45</v>
      </c>
      <c r="P3238" s="13" t="s">
        <v>30</v>
      </c>
      <c r="Q3238" s="13">
        <v>0</v>
      </c>
      <c r="R3238" s="70">
        <f>+L3238*O3238</f>
        <v>1604.6999999999998</v>
      </c>
      <c r="S3238" s="70">
        <v>0</v>
      </c>
      <c r="T3238" s="70">
        <f>+L3238*S3238</f>
        <v>0</v>
      </c>
      <c r="U3238" s="70">
        <f t="shared" ref="U3238" si="1162">+R3238-T3238</f>
        <v>1604.6999999999998</v>
      </c>
      <c r="V3238" s="70">
        <f>+U3238*1</f>
        <v>1604.6999999999998</v>
      </c>
      <c r="W3238" s="70">
        <f t="shared" ref="W3238" si="1163">+U3238-V3238</f>
        <v>0</v>
      </c>
      <c r="X3238" s="70">
        <v>0</v>
      </c>
      <c r="Y3238" s="14">
        <f t="shared" ref="Y3238" si="1164">T3238-X3238</f>
        <v>0</v>
      </c>
      <c r="Z3238" s="11" t="s">
        <v>26</v>
      </c>
      <c r="AA3238" s="12" t="s">
        <v>31</v>
      </c>
    </row>
    <row r="3239" spans="1:27" x14ac:dyDescent="0.25">
      <c r="A3239" s="10">
        <v>45706</v>
      </c>
      <c r="B3239" s="11" t="s">
        <v>5865</v>
      </c>
      <c r="C3239" s="11" t="s">
        <v>5866</v>
      </c>
      <c r="D3239" s="11">
        <v>17783</v>
      </c>
      <c r="E3239" s="11" t="s">
        <v>605</v>
      </c>
      <c r="F3239" s="11" t="s">
        <v>26</v>
      </c>
      <c r="G3239" s="11" t="s">
        <v>26</v>
      </c>
      <c r="H3239" s="12" t="s">
        <v>4422</v>
      </c>
      <c r="I3239" s="12" t="s">
        <v>27</v>
      </c>
      <c r="J3239" s="12" t="s">
        <v>42</v>
      </c>
      <c r="K3239" s="12" t="s">
        <v>43</v>
      </c>
      <c r="L3239" s="13">
        <v>45.38</v>
      </c>
      <c r="M3239" s="13">
        <v>28</v>
      </c>
      <c r="N3239" s="13">
        <f t="shared" si="1150"/>
        <v>1.6207142857142858</v>
      </c>
      <c r="O3239" s="13">
        <v>83</v>
      </c>
      <c r="P3239" s="13" t="s">
        <v>30</v>
      </c>
      <c r="Q3239" s="13">
        <v>0</v>
      </c>
      <c r="R3239" s="70">
        <f>L3239*O3239</f>
        <v>3766.5400000000004</v>
      </c>
      <c r="S3239" s="70">
        <v>38</v>
      </c>
      <c r="T3239" s="70">
        <f>L3239*S3239</f>
        <v>1724.44</v>
      </c>
      <c r="U3239" s="70">
        <f>R3239-T3239</f>
        <v>2042.1000000000004</v>
      </c>
      <c r="V3239" s="70">
        <f>U3239*1</f>
        <v>2042.1000000000004</v>
      </c>
      <c r="W3239" s="70">
        <f>U3239-V3239</f>
        <v>0</v>
      </c>
      <c r="X3239" s="70">
        <f>L3239*36</f>
        <v>1633.68</v>
      </c>
      <c r="Y3239" s="71">
        <f>+T3239-X3239</f>
        <v>90.759999999999991</v>
      </c>
      <c r="Z3239" s="12" t="s">
        <v>141</v>
      </c>
      <c r="AA3239" s="12" t="s">
        <v>78</v>
      </c>
    </row>
    <row r="3240" spans="1:27" x14ac:dyDescent="0.25">
      <c r="A3240" s="10">
        <v>45706</v>
      </c>
      <c r="B3240" s="11" t="s">
        <v>5867</v>
      </c>
      <c r="C3240" s="11" t="s">
        <v>5868</v>
      </c>
      <c r="D3240" s="11">
        <v>17784</v>
      </c>
      <c r="E3240" s="11" t="s">
        <v>246</v>
      </c>
      <c r="F3240" s="11" t="s">
        <v>26</v>
      </c>
      <c r="G3240" s="11" t="s">
        <v>26</v>
      </c>
      <c r="H3240" s="12" t="s">
        <v>4422</v>
      </c>
      <c r="I3240" s="12" t="s">
        <v>27</v>
      </c>
      <c r="J3240" s="12" t="s">
        <v>33</v>
      </c>
      <c r="K3240" s="12" t="s">
        <v>34</v>
      </c>
      <c r="L3240" s="13">
        <v>44.82</v>
      </c>
      <c r="M3240" s="13">
        <v>31</v>
      </c>
      <c r="N3240" s="13">
        <f t="shared" si="1150"/>
        <v>1.4458064516129032</v>
      </c>
      <c r="O3240" s="13">
        <v>85</v>
      </c>
      <c r="P3240" s="13" t="s">
        <v>30</v>
      </c>
      <c r="Q3240" s="13">
        <v>0</v>
      </c>
      <c r="R3240" s="70">
        <f t="shared" ref="R3240" si="1165">L3240*O3240</f>
        <v>3809.7</v>
      </c>
      <c r="S3240" s="70">
        <v>38</v>
      </c>
      <c r="T3240" s="70">
        <f t="shared" ref="T3240" si="1166">L3240*S3240</f>
        <v>1703.16</v>
      </c>
      <c r="U3240" s="70">
        <f t="shared" ref="U3240" si="1167">R3240-T3240</f>
        <v>2106.54</v>
      </c>
      <c r="V3240" s="70">
        <f>U3240*1</f>
        <v>2106.54</v>
      </c>
      <c r="W3240" s="70">
        <f t="shared" ref="W3240" si="1168">U3240-V3240</f>
        <v>0</v>
      </c>
      <c r="X3240" s="70">
        <f>L3240*37</f>
        <v>1658.34</v>
      </c>
      <c r="Y3240" s="71">
        <f>+T3240-X3240</f>
        <v>44.820000000000164</v>
      </c>
      <c r="Z3240" s="12" t="s">
        <v>41</v>
      </c>
      <c r="AA3240" s="12" t="s">
        <v>78</v>
      </c>
    </row>
    <row r="3241" spans="1:27" x14ac:dyDescent="0.25">
      <c r="A3241" s="10">
        <v>45706</v>
      </c>
      <c r="B3241" s="11" t="s">
        <v>1900</v>
      </c>
      <c r="C3241" s="11" t="s">
        <v>5869</v>
      </c>
      <c r="D3241" s="11">
        <v>17785</v>
      </c>
      <c r="E3241" s="11" t="s">
        <v>520</v>
      </c>
      <c r="F3241" s="11" t="s">
        <v>26</v>
      </c>
      <c r="G3241" s="11">
        <v>10452</v>
      </c>
      <c r="H3241" s="12" t="s">
        <v>140</v>
      </c>
      <c r="I3241" s="12" t="s">
        <v>27</v>
      </c>
      <c r="J3241" s="12" t="s">
        <v>42</v>
      </c>
      <c r="K3241" s="12" t="s">
        <v>43</v>
      </c>
      <c r="L3241" s="13">
        <v>43.86</v>
      </c>
      <c r="M3241" s="13">
        <v>25</v>
      </c>
      <c r="N3241" s="13">
        <f t="shared" si="1150"/>
        <v>1.7544</v>
      </c>
      <c r="O3241" s="13">
        <v>35</v>
      </c>
      <c r="P3241" s="13"/>
      <c r="Q3241" s="13">
        <v>0</v>
      </c>
      <c r="R3241" s="70">
        <f>+L3241*O3241</f>
        <v>1535.1</v>
      </c>
      <c r="S3241" s="70">
        <v>0</v>
      </c>
      <c r="T3241" s="70">
        <f>+L3241*S3241</f>
        <v>0</v>
      </c>
      <c r="U3241" s="70">
        <f>+R3241-T3241</f>
        <v>1535.1</v>
      </c>
      <c r="V3241" s="70">
        <f t="shared" ref="V3241" si="1169">+U3241*0</f>
        <v>0</v>
      </c>
      <c r="W3241" s="70">
        <f>+U3241-V3241</f>
        <v>1535.1</v>
      </c>
      <c r="X3241" s="70">
        <v>0</v>
      </c>
      <c r="Y3241" s="14">
        <f t="shared" ref="Y3241:Y3242" si="1170">T3241-X3241</f>
        <v>0</v>
      </c>
      <c r="Z3241" s="11" t="s">
        <v>26</v>
      </c>
      <c r="AA3241" s="12" t="s">
        <v>31</v>
      </c>
    </row>
    <row r="3242" spans="1:27" x14ac:dyDescent="0.25">
      <c r="A3242" s="10">
        <v>45706</v>
      </c>
      <c r="B3242" s="11" t="s">
        <v>5870</v>
      </c>
      <c r="C3242" s="11" t="s">
        <v>5871</v>
      </c>
      <c r="D3242" s="11">
        <v>17786</v>
      </c>
      <c r="E3242" s="11" t="s">
        <v>60</v>
      </c>
      <c r="F3242" s="11" t="s">
        <v>26</v>
      </c>
      <c r="G3242" s="11" t="s">
        <v>35</v>
      </c>
      <c r="H3242" s="12" t="s">
        <v>36</v>
      </c>
      <c r="I3242" s="12" t="s">
        <v>27</v>
      </c>
      <c r="J3242" s="12" t="s">
        <v>42</v>
      </c>
      <c r="K3242" s="12" t="s">
        <v>43</v>
      </c>
      <c r="L3242" s="13">
        <v>8.68</v>
      </c>
      <c r="M3242" s="13">
        <v>5</v>
      </c>
      <c r="N3242" s="13">
        <f t="shared" si="1150"/>
        <v>1.736</v>
      </c>
      <c r="O3242" s="13">
        <v>45</v>
      </c>
      <c r="P3242" s="13" t="s">
        <v>30</v>
      </c>
      <c r="Q3242" s="13">
        <v>0</v>
      </c>
      <c r="R3242" s="70">
        <f>(L3242*O3242)-Q3242</f>
        <v>390.59999999999997</v>
      </c>
      <c r="S3242" s="70">
        <v>0</v>
      </c>
      <c r="T3242" s="70">
        <f t="shared" ref="T3242" si="1171">+L3242*S3242</f>
        <v>0</v>
      </c>
      <c r="U3242" s="70">
        <f t="shared" ref="U3242" si="1172">+R3242-T3242</f>
        <v>390.59999999999997</v>
      </c>
      <c r="V3242" s="70">
        <f>+U3242*0</f>
        <v>0</v>
      </c>
      <c r="W3242" s="70">
        <f t="shared" ref="W3242" si="1173">+U3242-V3242</f>
        <v>390.59999999999997</v>
      </c>
      <c r="X3242" s="70">
        <v>0</v>
      </c>
      <c r="Y3242" s="14">
        <f t="shared" si="1170"/>
        <v>0</v>
      </c>
      <c r="Z3242" s="11" t="s">
        <v>26</v>
      </c>
      <c r="AA3242" s="12" t="s">
        <v>31</v>
      </c>
    </row>
    <row r="3243" spans="1:27" x14ac:dyDescent="0.25">
      <c r="A3243" s="10">
        <v>45706</v>
      </c>
      <c r="B3243" s="11" t="s">
        <v>5872</v>
      </c>
      <c r="C3243" s="11" t="s">
        <v>5873</v>
      </c>
      <c r="D3243" s="11">
        <v>17787</v>
      </c>
      <c r="E3243" s="11" t="s">
        <v>53</v>
      </c>
      <c r="F3243" s="11" t="s">
        <v>26</v>
      </c>
      <c r="G3243" s="11" t="s">
        <v>26</v>
      </c>
      <c r="H3243" s="12" t="s">
        <v>146</v>
      </c>
      <c r="I3243" s="12" t="s">
        <v>27</v>
      </c>
      <c r="J3243" s="12" t="s">
        <v>47</v>
      </c>
      <c r="K3243" s="12" t="s">
        <v>48</v>
      </c>
      <c r="L3243" s="13">
        <v>44</v>
      </c>
      <c r="M3243" s="13">
        <v>30</v>
      </c>
      <c r="N3243" s="13">
        <f t="shared" si="1150"/>
        <v>1.4666666666666666</v>
      </c>
      <c r="O3243" s="13">
        <v>91</v>
      </c>
      <c r="P3243" s="13" t="s">
        <v>30</v>
      </c>
      <c r="Q3243" s="13">
        <v>0</v>
      </c>
      <c r="R3243" s="70">
        <f>+L3243*O3243</f>
        <v>4004</v>
      </c>
      <c r="S3243" s="70">
        <v>40</v>
      </c>
      <c r="T3243" s="70">
        <f>L3243*S3243</f>
        <v>1760</v>
      </c>
      <c r="U3243" s="70">
        <f t="shared" ref="U3243" si="1174">R3243-T3243</f>
        <v>2244</v>
      </c>
      <c r="V3243" s="70">
        <f>U3243*1</f>
        <v>2244</v>
      </c>
      <c r="W3243" s="70">
        <f t="shared" ref="W3243" si="1175">U3243-V3243</f>
        <v>0</v>
      </c>
      <c r="X3243" s="70">
        <f>L3243*37</f>
        <v>1628</v>
      </c>
      <c r="Y3243" s="71">
        <f>+T3243-X3243</f>
        <v>132</v>
      </c>
      <c r="Z3243" s="12" t="s">
        <v>41</v>
      </c>
      <c r="AA3243" s="12" t="s">
        <v>79</v>
      </c>
    </row>
    <row r="3244" spans="1:27" x14ac:dyDescent="0.25">
      <c r="A3244" s="10">
        <v>45706</v>
      </c>
      <c r="B3244" s="11" t="s">
        <v>5585</v>
      </c>
      <c r="C3244" s="11" t="s">
        <v>5874</v>
      </c>
      <c r="D3244" s="11">
        <v>17788</v>
      </c>
      <c r="E3244" s="11" t="s">
        <v>63</v>
      </c>
      <c r="F3244" s="11" t="s">
        <v>26</v>
      </c>
      <c r="G3244" s="11">
        <v>10196</v>
      </c>
      <c r="H3244" s="12" t="s">
        <v>140</v>
      </c>
      <c r="I3244" s="12" t="s">
        <v>27</v>
      </c>
      <c r="J3244" s="12" t="s">
        <v>42</v>
      </c>
      <c r="K3244" s="12" t="s">
        <v>43</v>
      </c>
      <c r="L3244" s="13">
        <v>44.22</v>
      </c>
      <c r="M3244" s="13">
        <v>25</v>
      </c>
      <c r="N3244" s="13">
        <f t="shared" si="1150"/>
        <v>1.7687999999999999</v>
      </c>
      <c r="O3244" s="13">
        <v>35</v>
      </c>
      <c r="P3244" s="13"/>
      <c r="Q3244" s="13">
        <v>0</v>
      </c>
      <c r="R3244" s="70">
        <f>+L3244*O3244</f>
        <v>1547.7</v>
      </c>
      <c r="S3244" s="70">
        <v>0</v>
      </c>
      <c r="T3244" s="70">
        <f>+L3244*S3244</f>
        <v>0</v>
      </c>
      <c r="U3244" s="70">
        <f>+R3244-T3244</f>
        <v>1547.7</v>
      </c>
      <c r="V3244" s="70">
        <f t="shared" ref="V3244" si="1176">+U3244*0</f>
        <v>0</v>
      </c>
      <c r="W3244" s="70">
        <f>+U3244-V3244</f>
        <v>1547.7</v>
      </c>
      <c r="X3244" s="70">
        <v>0</v>
      </c>
      <c r="Y3244" s="14">
        <f t="shared" ref="Y3244:Y3293" si="1177">T3244-X3244</f>
        <v>0</v>
      </c>
      <c r="Z3244" s="11" t="s">
        <v>26</v>
      </c>
      <c r="AA3244" s="12" t="s">
        <v>31</v>
      </c>
    </row>
    <row r="3245" spans="1:27" x14ac:dyDescent="0.25">
      <c r="A3245" s="10">
        <v>45706</v>
      </c>
      <c r="B3245" s="11" t="s">
        <v>5875</v>
      </c>
      <c r="C3245" s="11" t="s">
        <v>5876</v>
      </c>
      <c r="D3245" s="11">
        <v>17789</v>
      </c>
      <c r="E3245" s="11" t="s">
        <v>1200</v>
      </c>
      <c r="F3245" s="11" t="s">
        <v>26</v>
      </c>
      <c r="G3245" s="11">
        <v>2975</v>
      </c>
      <c r="H3245" s="12" t="s">
        <v>163</v>
      </c>
      <c r="I3245" s="12" t="s">
        <v>27</v>
      </c>
      <c r="J3245" s="12" t="s">
        <v>47</v>
      </c>
      <c r="K3245" s="12" t="s">
        <v>48</v>
      </c>
      <c r="L3245" s="13">
        <v>36.86</v>
      </c>
      <c r="M3245" s="13">
        <v>25</v>
      </c>
      <c r="N3245" s="13">
        <f t="shared" si="1150"/>
        <v>1.4743999999999999</v>
      </c>
      <c r="O3245" s="13" t="s">
        <v>30</v>
      </c>
      <c r="P3245" s="13">
        <v>60</v>
      </c>
      <c r="Q3245" s="13">
        <v>0</v>
      </c>
      <c r="R3245" s="70">
        <f>M3245*P3245</f>
        <v>1500</v>
      </c>
      <c r="S3245" s="70">
        <v>0</v>
      </c>
      <c r="T3245" s="70">
        <f>M3245*S3245</f>
        <v>0</v>
      </c>
      <c r="U3245" s="70">
        <f>R3245-T3245</f>
        <v>1500</v>
      </c>
      <c r="V3245" s="70">
        <f>U3245*0</f>
        <v>0</v>
      </c>
      <c r="W3245" s="70">
        <f>U3245-V3245</f>
        <v>1500</v>
      </c>
      <c r="X3245" s="70">
        <v>0</v>
      </c>
      <c r="Y3245" s="14">
        <f t="shared" si="1177"/>
        <v>0</v>
      </c>
      <c r="Z3245" s="11" t="s">
        <v>26</v>
      </c>
      <c r="AA3245" s="12" t="s">
        <v>31</v>
      </c>
    </row>
    <row r="3246" spans="1:27" x14ac:dyDescent="0.25">
      <c r="A3246" s="10">
        <v>45706</v>
      </c>
      <c r="B3246" s="11" t="s">
        <v>5877</v>
      </c>
      <c r="C3246" s="11" t="s">
        <v>5878</v>
      </c>
      <c r="D3246" s="11">
        <v>17790</v>
      </c>
      <c r="E3246" s="11" t="s">
        <v>570</v>
      </c>
      <c r="F3246" s="11" t="s">
        <v>26</v>
      </c>
      <c r="G3246" s="11">
        <v>10759</v>
      </c>
      <c r="H3246" s="12" t="s">
        <v>140</v>
      </c>
      <c r="I3246" s="12" t="s">
        <v>27</v>
      </c>
      <c r="J3246" s="12" t="s">
        <v>33</v>
      </c>
      <c r="K3246" s="12" t="s">
        <v>34</v>
      </c>
      <c r="L3246" s="13">
        <v>43.04</v>
      </c>
      <c r="M3246" s="13">
        <v>29</v>
      </c>
      <c r="N3246" s="13">
        <f t="shared" si="1150"/>
        <v>1.4841379310344827</v>
      </c>
      <c r="O3246" s="13">
        <v>40</v>
      </c>
      <c r="P3246" s="13"/>
      <c r="Q3246" s="13">
        <v>0</v>
      </c>
      <c r="R3246" s="70">
        <f>+L3246*O3246</f>
        <v>1721.6</v>
      </c>
      <c r="S3246" s="70">
        <v>0</v>
      </c>
      <c r="T3246" s="70">
        <f>+L3246*S3246</f>
        <v>0</v>
      </c>
      <c r="U3246" s="70">
        <f>+R3246-T3246</f>
        <v>1721.6</v>
      </c>
      <c r="V3246" s="70">
        <f t="shared" ref="V3246" si="1178">+U3246*0</f>
        <v>0</v>
      </c>
      <c r="W3246" s="70">
        <f>+U3246-V3246</f>
        <v>1721.6</v>
      </c>
      <c r="X3246" s="70">
        <v>0</v>
      </c>
      <c r="Y3246" s="14">
        <f t="shared" si="1177"/>
        <v>0</v>
      </c>
      <c r="Z3246" s="11" t="s">
        <v>26</v>
      </c>
      <c r="AA3246" s="12" t="s">
        <v>31</v>
      </c>
    </row>
    <row r="3247" spans="1:27" x14ac:dyDescent="0.25">
      <c r="A3247" s="10">
        <v>45706</v>
      </c>
      <c r="B3247" s="11" t="s">
        <v>5879</v>
      </c>
      <c r="C3247" s="11" t="s">
        <v>5880</v>
      </c>
      <c r="D3247" s="11">
        <v>17791</v>
      </c>
      <c r="E3247" s="11" t="s">
        <v>325</v>
      </c>
      <c r="F3247" s="11" t="s">
        <v>26</v>
      </c>
      <c r="G3247" s="11" t="s">
        <v>35</v>
      </c>
      <c r="H3247" s="12" t="s">
        <v>36</v>
      </c>
      <c r="I3247" s="12" t="s">
        <v>27</v>
      </c>
      <c r="J3247" s="12" t="s">
        <v>42</v>
      </c>
      <c r="K3247" s="12" t="s">
        <v>43</v>
      </c>
      <c r="L3247" s="13">
        <v>8.5399999999999991</v>
      </c>
      <c r="M3247" s="13">
        <v>5</v>
      </c>
      <c r="N3247" s="13">
        <f t="shared" si="1150"/>
        <v>1.7079999999999997</v>
      </c>
      <c r="O3247" s="13">
        <v>45</v>
      </c>
      <c r="P3247" s="13" t="s">
        <v>30</v>
      </c>
      <c r="Q3247" s="13">
        <v>0</v>
      </c>
      <c r="R3247" s="70">
        <f>(L3247*O3247)-Q3247</f>
        <v>384.29999999999995</v>
      </c>
      <c r="S3247" s="70">
        <v>0</v>
      </c>
      <c r="T3247" s="70">
        <f t="shared" ref="T3247" si="1179">+L3247*S3247</f>
        <v>0</v>
      </c>
      <c r="U3247" s="70">
        <f t="shared" ref="U3247" si="1180">+R3247-T3247</f>
        <v>384.29999999999995</v>
      </c>
      <c r="V3247" s="70">
        <f>+U3247*0</f>
        <v>0</v>
      </c>
      <c r="W3247" s="70">
        <f t="shared" ref="W3247" si="1181">+U3247-V3247</f>
        <v>384.29999999999995</v>
      </c>
      <c r="X3247" s="70">
        <v>0</v>
      </c>
      <c r="Y3247" s="14">
        <f t="shared" si="1177"/>
        <v>0</v>
      </c>
      <c r="Z3247" s="11" t="s">
        <v>26</v>
      </c>
      <c r="AA3247" s="12" t="s">
        <v>31</v>
      </c>
    </row>
    <row r="3248" spans="1:27" x14ac:dyDescent="0.25">
      <c r="A3248" s="10">
        <v>45706</v>
      </c>
      <c r="B3248" s="11" t="s">
        <v>3561</v>
      </c>
      <c r="C3248" s="11" t="s">
        <v>5881</v>
      </c>
      <c r="D3248" s="11">
        <v>17792</v>
      </c>
      <c r="E3248" s="11" t="s">
        <v>32</v>
      </c>
      <c r="F3248" s="11" t="s">
        <v>26</v>
      </c>
      <c r="G3248" s="11">
        <v>1622</v>
      </c>
      <c r="H3248" s="12" t="s">
        <v>45</v>
      </c>
      <c r="I3248" s="12" t="s">
        <v>27</v>
      </c>
      <c r="J3248" s="12" t="s">
        <v>33</v>
      </c>
      <c r="K3248" s="12" t="s">
        <v>34</v>
      </c>
      <c r="L3248" s="13">
        <v>37.04</v>
      </c>
      <c r="M3248" s="13">
        <v>25</v>
      </c>
      <c r="N3248" s="13">
        <f t="shared" si="1150"/>
        <v>1.4816</v>
      </c>
      <c r="O3248" s="13" t="s">
        <v>30</v>
      </c>
      <c r="P3248" s="13">
        <v>58</v>
      </c>
      <c r="Q3248" s="13">
        <v>0</v>
      </c>
      <c r="R3248" s="70">
        <f>M3248*P3248</f>
        <v>1450</v>
      </c>
      <c r="S3248" s="70">
        <v>0</v>
      </c>
      <c r="T3248" s="70">
        <f>M3248*S3248</f>
        <v>0</v>
      </c>
      <c r="U3248" s="70">
        <f>R3248-T3248</f>
        <v>1450</v>
      </c>
      <c r="V3248" s="70">
        <f t="shared" ref="V3248" si="1182">U3248*0</f>
        <v>0</v>
      </c>
      <c r="W3248" s="70">
        <f t="shared" ref="W3248" si="1183">U3248-V3248</f>
        <v>1450</v>
      </c>
      <c r="X3248" s="70">
        <v>0</v>
      </c>
      <c r="Y3248" s="14">
        <f t="shared" si="1177"/>
        <v>0</v>
      </c>
      <c r="Z3248" s="11" t="s">
        <v>26</v>
      </c>
      <c r="AA3248" s="12" t="s">
        <v>31</v>
      </c>
    </row>
    <row r="3249" spans="1:27" x14ac:dyDescent="0.25">
      <c r="A3249" s="10">
        <v>45706</v>
      </c>
      <c r="B3249" s="11" t="s">
        <v>430</v>
      </c>
      <c r="C3249" s="11" t="s">
        <v>5882</v>
      </c>
      <c r="D3249" s="11">
        <v>17793</v>
      </c>
      <c r="E3249" s="11" t="s">
        <v>552</v>
      </c>
      <c r="F3249" s="11" t="s">
        <v>26</v>
      </c>
      <c r="G3249" s="11">
        <v>44173</v>
      </c>
      <c r="H3249" s="12" t="s">
        <v>4423</v>
      </c>
      <c r="I3249" s="12" t="s">
        <v>27</v>
      </c>
      <c r="J3249" s="12" t="s">
        <v>33</v>
      </c>
      <c r="K3249" s="12" t="s">
        <v>34</v>
      </c>
      <c r="L3249" s="13">
        <v>34.700000000000003</v>
      </c>
      <c r="M3249" s="13">
        <v>25</v>
      </c>
      <c r="N3249" s="13">
        <f t="shared" si="1150"/>
        <v>1.3880000000000001</v>
      </c>
      <c r="O3249" s="13">
        <v>45</v>
      </c>
      <c r="P3249" s="13" t="s">
        <v>30</v>
      </c>
      <c r="Q3249" s="13">
        <v>0</v>
      </c>
      <c r="R3249" s="70">
        <f>+L3249*O3249</f>
        <v>1561.5000000000002</v>
      </c>
      <c r="S3249" s="70">
        <v>0</v>
      </c>
      <c r="T3249" s="70">
        <f>+L3249*S3249</f>
        <v>0</v>
      </c>
      <c r="U3249" s="70">
        <f t="shared" ref="U3249" si="1184">+R3249-T3249</f>
        <v>1561.5000000000002</v>
      </c>
      <c r="V3249" s="70">
        <f>+U3249*1</f>
        <v>1561.5000000000002</v>
      </c>
      <c r="W3249" s="70">
        <f t="shared" ref="W3249" si="1185">+U3249-V3249</f>
        <v>0</v>
      </c>
      <c r="X3249" s="70">
        <v>0</v>
      </c>
      <c r="Y3249" s="14">
        <f t="shared" si="1177"/>
        <v>0</v>
      </c>
      <c r="Z3249" s="11" t="s">
        <v>26</v>
      </c>
      <c r="AA3249" s="12" t="s">
        <v>31</v>
      </c>
    </row>
    <row r="3250" spans="1:27" x14ac:dyDescent="0.25">
      <c r="A3250" s="10">
        <v>45706</v>
      </c>
      <c r="B3250" s="11" t="s">
        <v>1917</v>
      </c>
      <c r="C3250" s="11" t="s">
        <v>5883</v>
      </c>
      <c r="D3250" s="11">
        <v>17794</v>
      </c>
      <c r="E3250" s="11" t="s">
        <v>57</v>
      </c>
      <c r="F3250" s="11" t="s">
        <v>26</v>
      </c>
      <c r="G3250" s="11">
        <v>3307</v>
      </c>
      <c r="H3250" s="12" t="s">
        <v>41</v>
      </c>
      <c r="I3250" s="12" t="s">
        <v>55</v>
      </c>
      <c r="J3250" s="12" t="s">
        <v>566</v>
      </c>
      <c r="K3250" s="12" t="s">
        <v>550</v>
      </c>
      <c r="L3250" s="13">
        <v>41.14</v>
      </c>
      <c r="M3250" s="13">
        <v>25</v>
      </c>
      <c r="N3250" s="13">
        <f t="shared" si="1150"/>
        <v>1.6456</v>
      </c>
      <c r="O3250" s="13">
        <v>25</v>
      </c>
      <c r="P3250" s="13"/>
      <c r="Q3250" s="13">
        <v>0</v>
      </c>
      <c r="R3250" s="70">
        <f>L3250*O3250</f>
        <v>1028.5</v>
      </c>
      <c r="S3250" s="70">
        <v>0</v>
      </c>
      <c r="T3250" s="70">
        <f t="shared" ref="T3250:T3251" si="1186">L3250*S3250</f>
        <v>0</v>
      </c>
      <c r="U3250" s="70">
        <f>R3250-T3250</f>
        <v>1028.5</v>
      </c>
      <c r="V3250" s="70">
        <f>U3250*0</f>
        <v>0</v>
      </c>
      <c r="W3250" s="70">
        <f>U3250-V3250</f>
        <v>1028.5</v>
      </c>
      <c r="X3250" s="70">
        <v>0</v>
      </c>
      <c r="Y3250" s="14">
        <f t="shared" si="1177"/>
        <v>0</v>
      </c>
      <c r="Z3250" s="11" t="s">
        <v>26</v>
      </c>
      <c r="AA3250" s="12" t="s">
        <v>31</v>
      </c>
    </row>
    <row r="3251" spans="1:27" x14ac:dyDescent="0.25">
      <c r="A3251" s="10">
        <v>45706</v>
      </c>
      <c r="B3251" s="11" t="s">
        <v>202</v>
      </c>
      <c r="C3251" s="11" t="s">
        <v>5884</v>
      </c>
      <c r="D3251" s="11">
        <v>17795</v>
      </c>
      <c r="E3251" s="11" t="s">
        <v>246</v>
      </c>
      <c r="F3251" s="11" t="s">
        <v>26</v>
      </c>
      <c r="G3251" s="11">
        <v>3419</v>
      </c>
      <c r="H3251" s="12" t="s">
        <v>41</v>
      </c>
      <c r="I3251" s="12" t="s">
        <v>55</v>
      </c>
      <c r="J3251" s="12" t="s">
        <v>566</v>
      </c>
      <c r="K3251" s="12" t="s">
        <v>550</v>
      </c>
      <c r="L3251" s="13">
        <v>40.020000000000003</v>
      </c>
      <c r="M3251" s="13">
        <v>25</v>
      </c>
      <c r="N3251" s="13">
        <f t="shared" si="1150"/>
        <v>1.6008000000000002</v>
      </c>
      <c r="O3251" s="13">
        <v>25</v>
      </c>
      <c r="P3251" s="13"/>
      <c r="Q3251" s="13">
        <v>0</v>
      </c>
      <c r="R3251" s="70">
        <f>L3251*O3251</f>
        <v>1000.5000000000001</v>
      </c>
      <c r="S3251" s="70">
        <v>0</v>
      </c>
      <c r="T3251" s="70">
        <f t="shared" si="1186"/>
        <v>0</v>
      </c>
      <c r="U3251" s="70">
        <f>R3251-T3251</f>
        <v>1000.5000000000001</v>
      </c>
      <c r="V3251" s="70">
        <f>U3251*0</f>
        <v>0</v>
      </c>
      <c r="W3251" s="70">
        <f>U3251-V3251</f>
        <v>1000.5000000000001</v>
      </c>
      <c r="X3251" s="70">
        <v>0</v>
      </c>
      <c r="Y3251" s="14">
        <f t="shared" si="1177"/>
        <v>0</v>
      </c>
      <c r="Z3251" s="11" t="s">
        <v>26</v>
      </c>
      <c r="AA3251" s="12" t="s">
        <v>31</v>
      </c>
    </row>
    <row r="3252" spans="1:27" x14ac:dyDescent="0.25">
      <c r="A3252" s="10">
        <v>45706</v>
      </c>
      <c r="B3252" s="11" t="s">
        <v>5885</v>
      </c>
      <c r="C3252" s="11" t="s">
        <v>5886</v>
      </c>
      <c r="D3252" s="11">
        <v>17796</v>
      </c>
      <c r="E3252" s="11" t="s">
        <v>224</v>
      </c>
      <c r="F3252" s="11" t="s">
        <v>26</v>
      </c>
      <c r="G3252" s="11">
        <v>3225</v>
      </c>
      <c r="H3252" s="12" t="s">
        <v>4423</v>
      </c>
      <c r="I3252" s="12" t="s">
        <v>27</v>
      </c>
      <c r="J3252" s="12" t="s">
        <v>47</v>
      </c>
      <c r="K3252" s="12" t="s">
        <v>48</v>
      </c>
      <c r="L3252" s="13">
        <v>35.68</v>
      </c>
      <c r="M3252" s="13">
        <v>25</v>
      </c>
      <c r="N3252" s="13">
        <f t="shared" si="1150"/>
        <v>1.4272</v>
      </c>
      <c r="O3252" s="13">
        <v>46</v>
      </c>
      <c r="P3252" s="13" t="s">
        <v>30</v>
      </c>
      <c r="Q3252" s="13">
        <v>0</v>
      </c>
      <c r="R3252" s="70">
        <f t="shared" ref="R3252" si="1187">+L3252*O3252</f>
        <v>1641.28</v>
      </c>
      <c r="S3252" s="70">
        <v>0</v>
      </c>
      <c r="T3252" s="70">
        <f t="shared" ref="T3252" si="1188">+L3252*S3252</f>
        <v>0</v>
      </c>
      <c r="U3252" s="70">
        <f t="shared" ref="U3252" si="1189">+R3252-T3252</f>
        <v>1641.28</v>
      </c>
      <c r="V3252" s="70">
        <f>+U3252*1</f>
        <v>1641.28</v>
      </c>
      <c r="W3252" s="70">
        <f t="shared" ref="W3252" si="1190">+U3252-V3252</f>
        <v>0</v>
      </c>
      <c r="X3252" s="70">
        <v>0</v>
      </c>
      <c r="Y3252" s="14">
        <f t="shared" si="1177"/>
        <v>0</v>
      </c>
      <c r="Z3252" s="11" t="s">
        <v>26</v>
      </c>
      <c r="AA3252" s="12" t="s">
        <v>31</v>
      </c>
    </row>
    <row r="3253" spans="1:27" x14ac:dyDescent="0.25">
      <c r="A3253" s="10">
        <v>45706</v>
      </c>
      <c r="B3253" s="11" t="s">
        <v>5887</v>
      </c>
      <c r="C3253" s="11" t="s">
        <v>5888</v>
      </c>
      <c r="D3253" s="11">
        <v>17797</v>
      </c>
      <c r="E3253" s="11" t="s">
        <v>241</v>
      </c>
      <c r="F3253" s="11" t="s">
        <v>26</v>
      </c>
      <c r="G3253" s="11">
        <v>74970</v>
      </c>
      <c r="H3253" s="12" t="s">
        <v>4448</v>
      </c>
      <c r="I3253" s="12" t="s">
        <v>27</v>
      </c>
      <c r="J3253" s="12" t="s">
        <v>42</v>
      </c>
      <c r="K3253" s="12" t="s">
        <v>43</v>
      </c>
      <c r="L3253" s="13">
        <v>44.38</v>
      </c>
      <c r="M3253" s="13">
        <v>25</v>
      </c>
      <c r="N3253" s="13">
        <f t="shared" si="1150"/>
        <v>1.7752000000000001</v>
      </c>
      <c r="O3253" s="13">
        <v>42.5</v>
      </c>
      <c r="P3253" s="13"/>
      <c r="Q3253" s="13">
        <v>0</v>
      </c>
      <c r="R3253" s="70">
        <f>+L3253*O3253</f>
        <v>1886.15</v>
      </c>
      <c r="S3253" s="70">
        <v>0</v>
      </c>
      <c r="T3253" s="70">
        <f>+L3253*S3253</f>
        <v>0</v>
      </c>
      <c r="U3253" s="70">
        <f>+R3253-T3253</f>
        <v>1886.15</v>
      </c>
      <c r="V3253" s="70">
        <f>+U3253*0.75</f>
        <v>1414.6125000000002</v>
      </c>
      <c r="W3253" s="70">
        <f>+U3253-V3253</f>
        <v>471.53749999999991</v>
      </c>
      <c r="X3253" s="70">
        <v>0</v>
      </c>
      <c r="Y3253" s="14">
        <f t="shared" si="1177"/>
        <v>0</v>
      </c>
      <c r="Z3253" s="11" t="s">
        <v>26</v>
      </c>
      <c r="AA3253" s="12" t="s">
        <v>31</v>
      </c>
    </row>
    <row r="3254" spans="1:27" x14ac:dyDescent="0.25">
      <c r="A3254" s="10">
        <v>45706</v>
      </c>
      <c r="B3254" s="11" t="s">
        <v>3774</v>
      </c>
      <c r="C3254" s="11" t="s">
        <v>5889</v>
      </c>
      <c r="D3254" s="11">
        <v>17798</v>
      </c>
      <c r="E3254" s="11" t="s">
        <v>50</v>
      </c>
      <c r="F3254" s="11" t="s">
        <v>26</v>
      </c>
      <c r="G3254" s="11">
        <v>758</v>
      </c>
      <c r="H3254" s="12" t="s">
        <v>163</v>
      </c>
      <c r="I3254" s="12" t="s">
        <v>27</v>
      </c>
      <c r="J3254" s="12" t="s">
        <v>33</v>
      </c>
      <c r="K3254" s="12" t="s">
        <v>34</v>
      </c>
      <c r="L3254" s="13">
        <v>37.159999999999997</v>
      </c>
      <c r="M3254" s="13">
        <v>25</v>
      </c>
      <c r="N3254" s="13">
        <f t="shared" si="1150"/>
        <v>1.4863999999999999</v>
      </c>
      <c r="O3254" s="13" t="s">
        <v>30</v>
      </c>
      <c r="P3254" s="13">
        <v>60</v>
      </c>
      <c r="Q3254" s="13">
        <v>0</v>
      </c>
      <c r="R3254" s="70">
        <f>M3254*P3254</f>
        <v>1500</v>
      </c>
      <c r="S3254" s="70">
        <v>0</v>
      </c>
      <c r="T3254" s="70">
        <f>M3254*S3254</f>
        <v>0</v>
      </c>
      <c r="U3254" s="70">
        <f>R3254-T3254</f>
        <v>1500</v>
      </c>
      <c r="V3254" s="70">
        <f>U3254*0</f>
        <v>0</v>
      </c>
      <c r="W3254" s="70">
        <f>U3254-V3254</f>
        <v>1500</v>
      </c>
      <c r="X3254" s="70">
        <v>0</v>
      </c>
      <c r="Y3254" s="14">
        <f t="shared" si="1177"/>
        <v>0</v>
      </c>
      <c r="Z3254" s="11" t="s">
        <v>26</v>
      </c>
      <c r="AA3254" s="12" t="s">
        <v>31</v>
      </c>
    </row>
    <row r="3255" spans="1:27" x14ac:dyDescent="0.25">
      <c r="A3255" s="10">
        <v>45706</v>
      </c>
      <c r="B3255" s="11" t="s">
        <v>404</v>
      </c>
      <c r="C3255" s="11" t="s">
        <v>5890</v>
      </c>
      <c r="D3255" s="11">
        <v>17799</v>
      </c>
      <c r="E3255" s="11" t="s">
        <v>53</v>
      </c>
      <c r="F3255" s="11" t="s">
        <v>26</v>
      </c>
      <c r="G3255" s="11">
        <v>3967</v>
      </c>
      <c r="H3255" s="12" t="s">
        <v>41</v>
      </c>
      <c r="I3255" s="12" t="s">
        <v>27</v>
      </c>
      <c r="J3255" s="12" t="s">
        <v>42</v>
      </c>
      <c r="K3255" s="12" t="s">
        <v>43</v>
      </c>
      <c r="L3255" s="13">
        <v>44.2</v>
      </c>
      <c r="M3255" s="13">
        <v>25</v>
      </c>
      <c r="N3255" s="13">
        <f t="shared" si="1150"/>
        <v>1.768</v>
      </c>
      <c r="O3255" s="13" t="s">
        <v>30</v>
      </c>
      <c r="P3255" s="13">
        <v>64</v>
      </c>
      <c r="Q3255" s="13">
        <v>0</v>
      </c>
      <c r="R3255" s="70">
        <f>M3255*P3255</f>
        <v>1600</v>
      </c>
      <c r="S3255" s="70">
        <v>0</v>
      </c>
      <c r="T3255" s="70">
        <f>M3255*S3255</f>
        <v>0</v>
      </c>
      <c r="U3255" s="70">
        <f>+R3255-T3255</f>
        <v>1600</v>
      </c>
      <c r="V3255" s="70">
        <f t="shared" ref="V3255" si="1191">+U3255*0</f>
        <v>0</v>
      </c>
      <c r="W3255" s="70">
        <f>+U3255-V3255</f>
        <v>1600</v>
      </c>
      <c r="X3255" s="70">
        <v>0</v>
      </c>
      <c r="Y3255" s="14">
        <f t="shared" si="1177"/>
        <v>0</v>
      </c>
      <c r="Z3255" s="11" t="s">
        <v>26</v>
      </c>
      <c r="AA3255" s="12" t="s">
        <v>31</v>
      </c>
    </row>
    <row r="3256" spans="1:27" x14ac:dyDescent="0.25">
      <c r="A3256" s="10">
        <v>45706</v>
      </c>
      <c r="B3256" s="11" t="s">
        <v>5891</v>
      </c>
      <c r="C3256" s="11" t="s">
        <v>5892</v>
      </c>
      <c r="D3256" s="11">
        <v>17800</v>
      </c>
      <c r="E3256" s="11" t="s">
        <v>49</v>
      </c>
      <c r="F3256" s="11" t="s">
        <v>26</v>
      </c>
      <c r="G3256" s="11">
        <v>1666</v>
      </c>
      <c r="H3256" s="12" t="s">
        <v>45</v>
      </c>
      <c r="I3256" s="12" t="s">
        <v>27</v>
      </c>
      <c r="J3256" s="12" t="s">
        <v>33</v>
      </c>
      <c r="K3256" s="12" t="s">
        <v>34</v>
      </c>
      <c r="L3256" s="13">
        <v>37.159999999999997</v>
      </c>
      <c r="M3256" s="13">
        <v>25</v>
      </c>
      <c r="N3256" s="13">
        <f t="shared" si="1150"/>
        <v>1.4863999999999999</v>
      </c>
      <c r="O3256" s="13" t="s">
        <v>30</v>
      </c>
      <c r="P3256" s="13">
        <v>58</v>
      </c>
      <c r="Q3256" s="13">
        <v>0</v>
      </c>
      <c r="R3256" s="70">
        <f>M3256*P3256</f>
        <v>1450</v>
      </c>
      <c r="S3256" s="70">
        <v>0</v>
      </c>
      <c r="T3256" s="70">
        <f>M3256*S3256</f>
        <v>0</v>
      </c>
      <c r="U3256" s="70">
        <f>R3256-T3256</f>
        <v>1450</v>
      </c>
      <c r="V3256" s="70">
        <f t="shared" ref="V3256" si="1192">U3256*0</f>
        <v>0</v>
      </c>
      <c r="W3256" s="70">
        <f t="shared" ref="W3256" si="1193">U3256-V3256</f>
        <v>1450</v>
      </c>
      <c r="X3256" s="70">
        <v>0</v>
      </c>
      <c r="Y3256" s="14">
        <f t="shared" si="1177"/>
        <v>0</v>
      </c>
      <c r="Z3256" s="11" t="s">
        <v>26</v>
      </c>
      <c r="AA3256" s="12" t="s">
        <v>31</v>
      </c>
    </row>
    <row r="3257" spans="1:27" x14ac:dyDescent="0.25">
      <c r="A3257" s="10">
        <v>45706</v>
      </c>
      <c r="B3257" s="11" t="s">
        <v>120</v>
      </c>
      <c r="C3257" s="11" t="s">
        <v>5893</v>
      </c>
      <c r="D3257" s="11">
        <v>17801</v>
      </c>
      <c r="E3257" s="11" t="s">
        <v>5894</v>
      </c>
      <c r="F3257" s="11" t="s">
        <v>26</v>
      </c>
      <c r="G3257" s="11">
        <v>2901</v>
      </c>
      <c r="H3257" s="12" t="s">
        <v>163</v>
      </c>
      <c r="I3257" s="12" t="s">
        <v>27</v>
      </c>
      <c r="J3257" s="12" t="s">
        <v>47</v>
      </c>
      <c r="K3257" s="12" t="s">
        <v>48</v>
      </c>
      <c r="L3257" s="13">
        <v>34.18</v>
      </c>
      <c r="M3257" s="13">
        <v>25</v>
      </c>
      <c r="N3257" s="13">
        <f t="shared" si="1150"/>
        <v>1.3672</v>
      </c>
      <c r="O3257" s="13" t="s">
        <v>30</v>
      </c>
      <c r="P3257" s="13">
        <v>60</v>
      </c>
      <c r="Q3257" s="13">
        <v>0</v>
      </c>
      <c r="R3257" s="70">
        <f>M3257*P3257</f>
        <v>1500</v>
      </c>
      <c r="S3257" s="70">
        <v>0</v>
      </c>
      <c r="T3257" s="70">
        <f>M3257*S3257</f>
        <v>0</v>
      </c>
      <c r="U3257" s="70">
        <f>R3257-T3257</f>
        <v>1500</v>
      </c>
      <c r="V3257" s="70">
        <f>U3257*0</f>
        <v>0</v>
      </c>
      <c r="W3257" s="70">
        <f>U3257-V3257</f>
        <v>1500</v>
      </c>
      <c r="X3257" s="70">
        <v>0</v>
      </c>
      <c r="Y3257" s="14">
        <f t="shared" si="1177"/>
        <v>0</v>
      </c>
      <c r="Z3257" s="11" t="s">
        <v>26</v>
      </c>
      <c r="AA3257" s="12" t="s">
        <v>31</v>
      </c>
    </row>
    <row r="3258" spans="1:27" x14ac:dyDescent="0.25">
      <c r="A3258" s="10">
        <v>45706</v>
      </c>
      <c r="B3258" s="11" t="s">
        <v>392</v>
      </c>
      <c r="C3258" s="11" t="s">
        <v>5895</v>
      </c>
      <c r="D3258" s="11">
        <v>17802</v>
      </c>
      <c r="E3258" s="11" t="s">
        <v>325</v>
      </c>
      <c r="F3258" s="11" t="s">
        <v>26</v>
      </c>
      <c r="G3258" s="11" t="s">
        <v>35</v>
      </c>
      <c r="H3258" s="12" t="s">
        <v>36</v>
      </c>
      <c r="I3258" s="12" t="s">
        <v>27</v>
      </c>
      <c r="J3258" s="12" t="s">
        <v>42</v>
      </c>
      <c r="K3258" s="12" t="s">
        <v>43</v>
      </c>
      <c r="L3258" s="13">
        <v>7.98</v>
      </c>
      <c r="M3258" s="13">
        <v>5</v>
      </c>
      <c r="N3258" s="13">
        <f t="shared" si="1150"/>
        <v>1.5960000000000001</v>
      </c>
      <c r="O3258" s="13">
        <v>45</v>
      </c>
      <c r="P3258" s="13" t="s">
        <v>30</v>
      </c>
      <c r="Q3258" s="13">
        <v>0</v>
      </c>
      <c r="R3258" s="70">
        <f>(L3258*O3258)-Q3258</f>
        <v>359.1</v>
      </c>
      <c r="S3258" s="70">
        <v>0</v>
      </c>
      <c r="T3258" s="70">
        <f t="shared" ref="T3258" si="1194">+L3258*S3258</f>
        <v>0</v>
      </c>
      <c r="U3258" s="70">
        <f t="shared" ref="U3258" si="1195">+R3258-T3258</f>
        <v>359.1</v>
      </c>
      <c r="V3258" s="70">
        <f>+U3258*0</f>
        <v>0</v>
      </c>
      <c r="W3258" s="70">
        <f t="shared" ref="W3258" si="1196">+U3258-V3258</f>
        <v>359.1</v>
      </c>
      <c r="X3258" s="70">
        <v>0</v>
      </c>
      <c r="Y3258" s="14">
        <f t="shared" si="1177"/>
        <v>0</v>
      </c>
      <c r="Z3258" s="11" t="s">
        <v>26</v>
      </c>
      <c r="AA3258" s="12" t="s">
        <v>31</v>
      </c>
    </row>
    <row r="3259" spans="1:27" x14ac:dyDescent="0.25">
      <c r="A3259" s="10">
        <v>45706</v>
      </c>
      <c r="B3259" s="11" t="s">
        <v>378</v>
      </c>
      <c r="C3259" s="11" t="s">
        <v>5896</v>
      </c>
      <c r="D3259" s="11">
        <v>17803</v>
      </c>
      <c r="E3259" s="11" t="s">
        <v>1200</v>
      </c>
      <c r="F3259" s="11" t="s">
        <v>26</v>
      </c>
      <c r="G3259" s="11">
        <v>2976</v>
      </c>
      <c r="H3259" s="12" t="s">
        <v>163</v>
      </c>
      <c r="I3259" s="12" t="s">
        <v>55</v>
      </c>
      <c r="J3259" s="12" t="s">
        <v>566</v>
      </c>
      <c r="K3259" s="12" t="s">
        <v>550</v>
      </c>
      <c r="L3259" s="13">
        <v>40.98</v>
      </c>
      <c r="M3259" s="13">
        <v>25</v>
      </c>
      <c r="N3259" s="13">
        <f t="shared" si="1150"/>
        <v>1.6391999999999998</v>
      </c>
      <c r="O3259" s="13">
        <v>25</v>
      </c>
      <c r="P3259" s="13"/>
      <c r="Q3259" s="13">
        <v>0</v>
      </c>
      <c r="R3259" s="70">
        <f>L3259*O3259</f>
        <v>1024.5</v>
      </c>
      <c r="S3259" s="70">
        <v>0</v>
      </c>
      <c r="T3259" s="70">
        <f>L3259*S3259</f>
        <v>0</v>
      </c>
      <c r="U3259" s="70">
        <f>R3259-T3259</f>
        <v>1024.5</v>
      </c>
      <c r="V3259" s="70">
        <f>U3259*0</f>
        <v>0</v>
      </c>
      <c r="W3259" s="70">
        <f>U3259-V3259</f>
        <v>1024.5</v>
      </c>
      <c r="X3259" s="70">
        <v>0</v>
      </c>
      <c r="Y3259" s="14">
        <f t="shared" si="1177"/>
        <v>0</v>
      </c>
      <c r="Z3259" s="11" t="s">
        <v>26</v>
      </c>
      <c r="AA3259" s="12" t="s">
        <v>31</v>
      </c>
    </row>
    <row r="3260" spans="1:27" x14ac:dyDescent="0.25">
      <c r="A3260" s="10">
        <v>45706</v>
      </c>
      <c r="B3260" s="11" t="s">
        <v>5751</v>
      </c>
      <c r="C3260" s="11" t="s">
        <v>5897</v>
      </c>
      <c r="D3260" s="11">
        <v>17804</v>
      </c>
      <c r="E3260" s="11" t="s">
        <v>539</v>
      </c>
      <c r="F3260" s="11" t="s">
        <v>26</v>
      </c>
      <c r="G3260" s="11">
        <v>3366</v>
      </c>
      <c r="H3260" s="12" t="s">
        <v>41</v>
      </c>
      <c r="I3260" s="12" t="s">
        <v>27</v>
      </c>
      <c r="J3260" s="12" t="s">
        <v>42</v>
      </c>
      <c r="K3260" s="12" t="s">
        <v>43</v>
      </c>
      <c r="L3260" s="13">
        <v>42.62</v>
      </c>
      <c r="M3260" s="13">
        <v>25</v>
      </c>
      <c r="N3260" s="13">
        <f t="shared" si="1150"/>
        <v>1.7047999999999999</v>
      </c>
      <c r="O3260" s="13" t="s">
        <v>30</v>
      </c>
      <c r="P3260" s="13">
        <v>64</v>
      </c>
      <c r="Q3260" s="13">
        <v>0</v>
      </c>
      <c r="R3260" s="70">
        <f>M3260*P3260</f>
        <v>1600</v>
      </c>
      <c r="S3260" s="70">
        <v>0</v>
      </c>
      <c r="T3260" s="70">
        <f>M3260*S3260</f>
        <v>0</v>
      </c>
      <c r="U3260" s="70">
        <f>+R3260-T3260</f>
        <v>1600</v>
      </c>
      <c r="V3260" s="70">
        <f t="shared" ref="V3260" si="1197">+U3260*0</f>
        <v>0</v>
      </c>
      <c r="W3260" s="70">
        <f>+U3260-V3260</f>
        <v>1600</v>
      </c>
      <c r="X3260" s="70">
        <v>0</v>
      </c>
      <c r="Y3260" s="14">
        <f t="shared" si="1177"/>
        <v>0</v>
      </c>
      <c r="Z3260" s="11" t="s">
        <v>26</v>
      </c>
      <c r="AA3260" s="12" t="s">
        <v>31</v>
      </c>
    </row>
    <row r="3261" spans="1:27" x14ac:dyDescent="0.25">
      <c r="A3261" s="10">
        <v>45706</v>
      </c>
      <c r="B3261" s="11" t="s">
        <v>116</v>
      </c>
      <c r="C3261" s="11" t="s">
        <v>5898</v>
      </c>
      <c r="D3261" s="11">
        <v>17805</v>
      </c>
      <c r="E3261" s="11" t="s">
        <v>568</v>
      </c>
      <c r="F3261" s="11" t="s">
        <v>26</v>
      </c>
      <c r="G3261" s="11">
        <v>112794</v>
      </c>
      <c r="H3261" s="12" t="s">
        <v>4446</v>
      </c>
      <c r="I3261" s="12" t="s">
        <v>27</v>
      </c>
      <c r="J3261" s="12" t="s">
        <v>42</v>
      </c>
      <c r="K3261" s="12" t="s">
        <v>43</v>
      </c>
      <c r="L3261" s="13">
        <v>40.06</v>
      </c>
      <c r="M3261" s="13">
        <v>25</v>
      </c>
      <c r="N3261" s="13">
        <f t="shared" si="1150"/>
        <v>1.6024</v>
      </c>
      <c r="O3261" s="13">
        <v>42</v>
      </c>
      <c r="P3261" s="13" t="s">
        <v>30</v>
      </c>
      <c r="Q3261" s="13">
        <v>0</v>
      </c>
      <c r="R3261" s="70">
        <f t="shared" ref="R3261:R3263" si="1198">+L3261*O3261</f>
        <v>1682.52</v>
      </c>
      <c r="S3261" s="70">
        <v>0</v>
      </c>
      <c r="T3261" s="70">
        <f>+L3261*S3261</f>
        <v>0</v>
      </c>
      <c r="U3261" s="70">
        <f t="shared" ref="U3261:U3265" si="1199">+R3261-T3261</f>
        <v>1682.52</v>
      </c>
      <c r="V3261" s="70">
        <f>+U3261*1</f>
        <v>1682.52</v>
      </c>
      <c r="W3261" s="70">
        <f t="shared" ref="W3261:W3265" si="1200">+U3261-V3261</f>
        <v>0</v>
      </c>
      <c r="X3261" s="70">
        <v>0</v>
      </c>
      <c r="Y3261" s="14">
        <f t="shared" si="1177"/>
        <v>0</v>
      </c>
      <c r="Z3261" s="11" t="s">
        <v>26</v>
      </c>
      <c r="AA3261" s="12" t="s">
        <v>31</v>
      </c>
    </row>
    <row r="3262" spans="1:27" x14ac:dyDescent="0.25">
      <c r="A3262" s="10">
        <v>45706</v>
      </c>
      <c r="B3262" s="11" t="s">
        <v>5899</v>
      </c>
      <c r="C3262" s="11" t="s">
        <v>5900</v>
      </c>
      <c r="D3262" s="11">
        <v>17806</v>
      </c>
      <c r="E3262" s="11" t="s">
        <v>5901</v>
      </c>
      <c r="F3262" s="11" t="s">
        <v>26</v>
      </c>
      <c r="G3262" s="11">
        <v>112265</v>
      </c>
      <c r="H3262" s="12" t="s">
        <v>4446</v>
      </c>
      <c r="I3262" s="12" t="s">
        <v>27</v>
      </c>
      <c r="J3262" s="12" t="s">
        <v>42</v>
      </c>
      <c r="K3262" s="12" t="s">
        <v>43</v>
      </c>
      <c r="L3262" s="13">
        <v>48.46</v>
      </c>
      <c r="M3262" s="13">
        <v>30</v>
      </c>
      <c r="N3262" s="13">
        <f t="shared" si="1150"/>
        <v>1.6153333333333333</v>
      </c>
      <c r="O3262" s="13">
        <v>42</v>
      </c>
      <c r="P3262" s="13" t="s">
        <v>30</v>
      </c>
      <c r="Q3262" s="13">
        <v>0</v>
      </c>
      <c r="R3262" s="70">
        <f t="shared" si="1198"/>
        <v>2035.32</v>
      </c>
      <c r="S3262" s="70">
        <v>0</v>
      </c>
      <c r="T3262" s="70">
        <f>+L3262*S3262</f>
        <v>0</v>
      </c>
      <c r="U3262" s="70">
        <f t="shared" si="1199"/>
        <v>2035.32</v>
      </c>
      <c r="V3262" s="70">
        <f>+U3262*1</f>
        <v>2035.32</v>
      </c>
      <c r="W3262" s="70">
        <f t="shared" si="1200"/>
        <v>0</v>
      </c>
      <c r="X3262" s="70">
        <v>0</v>
      </c>
      <c r="Y3262" s="14">
        <f t="shared" si="1177"/>
        <v>0</v>
      </c>
      <c r="Z3262" s="11" t="s">
        <v>26</v>
      </c>
      <c r="AA3262" s="12" t="s">
        <v>31</v>
      </c>
    </row>
    <row r="3263" spans="1:27" x14ac:dyDescent="0.25">
      <c r="A3263" s="10">
        <v>45706</v>
      </c>
      <c r="B3263" s="11" t="s">
        <v>5902</v>
      </c>
      <c r="C3263" s="11" t="s">
        <v>5903</v>
      </c>
      <c r="D3263" s="11">
        <v>17807</v>
      </c>
      <c r="E3263" s="11" t="s">
        <v>567</v>
      </c>
      <c r="F3263" s="11" t="s">
        <v>26</v>
      </c>
      <c r="G3263" s="11">
        <v>112797</v>
      </c>
      <c r="H3263" s="12" t="s">
        <v>4446</v>
      </c>
      <c r="I3263" s="12" t="s">
        <v>27</v>
      </c>
      <c r="J3263" s="12" t="s">
        <v>42</v>
      </c>
      <c r="K3263" s="12" t="s">
        <v>43</v>
      </c>
      <c r="L3263" s="13">
        <v>42.06</v>
      </c>
      <c r="M3263" s="13">
        <v>25</v>
      </c>
      <c r="N3263" s="13">
        <f t="shared" si="1150"/>
        <v>1.6824000000000001</v>
      </c>
      <c r="O3263" s="13">
        <v>42</v>
      </c>
      <c r="P3263" s="13" t="s">
        <v>30</v>
      </c>
      <c r="Q3263" s="13">
        <v>0</v>
      </c>
      <c r="R3263" s="70">
        <f t="shared" si="1198"/>
        <v>1766.52</v>
      </c>
      <c r="S3263" s="70">
        <v>0</v>
      </c>
      <c r="T3263" s="70">
        <f>+L3263*S3263</f>
        <v>0</v>
      </c>
      <c r="U3263" s="70">
        <f t="shared" si="1199"/>
        <v>1766.52</v>
      </c>
      <c r="V3263" s="70">
        <f>+U3263*1</f>
        <v>1766.52</v>
      </c>
      <c r="W3263" s="70">
        <f t="shared" si="1200"/>
        <v>0</v>
      </c>
      <c r="X3263" s="70">
        <v>0</v>
      </c>
      <c r="Y3263" s="14">
        <f t="shared" si="1177"/>
        <v>0</v>
      </c>
      <c r="Z3263" s="11" t="s">
        <v>26</v>
      </c>
      <c r="AA3263" s="12" t="s">
        <v>31</v>
      </c>
    </row>
    <row r="3264" spans="1:27" x14ac:dyDescent="0.25">
      <c r="A3264" s="10">
        <v>45706</v>
      </c>
      <c r="B3264" s="11" t="s">
        <v>5904</v>
      </c>
      <c r="C3264" s="11" t="s">
        <v>5905</v>
      </c>
      <c r="D3264" s="11">
        <v>17808</v>
      </c>
      <c r="E3264" s="11" t="s">
        <v>69</v>
      </c>
      <c r="F3264" s="11" t="s">
        <v>26</v>
      </c>
      <c r="G3264" s="11">
        <v>2125</v>
      </c>
      <c r="H3264" s="12" t="s">
        <v>70</v>
      </c>
      <c r="I3264" s="12" t="s">
        <v>27</v>
      </c>
      <c r="J3264" s="12" t="s">
        <v>42</v>
      </c>
      <c r="K3264" s="12" t="s">
        <v>43</v>
      </c>
      <c r="L3264" s="13">
        <v>44.16</v>
      </c>
      <c r="M3264" s="13">
        <v>25</v>
      </c>
      <c r="N3264" s="13">
        <f t="shared" si="1150"/>
        <v>1.7664</v>
      </c>
      <c r="O3264" s="13" t="s">
        <v>30</v>
      </c>
      <c r="P3264" s="13">
        <v>64</v>
      </c>
      <c r="Q3264" s="13">
        <v>0</v>
      </c>
      <c r="R3264" s="70">
        <f>+M3264*P3264</f>
        <v>1600</v>
      </c>
      <c r="S3264" s="70">
        <v>0</v>
      </c>
      <c r="T3264" s="70">
        <f>+M3264*S3264</f>
        <v>0</v>
      </c>
      <c r="U3264" s="70">
        <f t="shared" si="1199"/>
        <v>1600</v>
      </c>
      <c r="V3264" s="70">
        <f t="shared" ref="V3264" si="1201">+U3264*0</f>
        <v>0</v>
      </c>
      <c r="W3264" s="70">
        <f t="shared" si="1200"/>
        <v>1600</v>
      </c>
      <c r="X3264" s="70">
        <v>0</v>
      </c>
      <c r="Y3264" s="14">
        <f t="shared" si="1177"/>
        <v>0</v>
      </c>
      <c r="Z3264" s="11" t="s">
        <v>26</v>
      </c>
      <c r="AA3264" s="12" t="s">
        <v>31</v>
      </c>
    </row>
    <row r="3265" spans="1:27" x14ac:dyDescent="0.25">
      <c r="A3265" s="10">
        <v>45706</v>
      </c>
      <c r="B3265" s="11" t="s">
        <v>5906</v>
      </c>
      <c r="C3265" s="11" t="s">
        <v>5907</v>
      </c>
      <c r="D3265" s="11">
        <v>17809</v>
      </c>
      <c r="E3265" s="11" t="s">
        <v>561</v>
      </c>
      <c r="F3265" s="11" t="s">
        <v>26</v>
      </c>
      <c r="G3265" s="11">
        <v>112894</v>
      </c>
      <c r="H3265" s="12" t="s">
        <v>4446</v>
      </c>
      <c r="I3265" s="12" t="s">
        <v>27</v>
      </c>
      <c r="J3265" s="12" t="s">
        <v>42</v>
      </c>
      <c r="K3265" s="12" t="s">
        <v>43</v>
      </c>
      <c r="L3265" s="13">
        <v>39.74</v>
      </c>
      <c r="M3265" s="13">
        <v>25</v>
      </c>
      <c r="N3265" s="13">
        <f t="shared" si="1150"/>
        <v>1.5896000000000001</v>
      </c>
      <c r="O3265" s="13">
        <v>42</v>
      </c>
      <c r="P3265" s="13" t="s">
        <v>30</v>
      </c>
      <c r="Q3265" s="13">
        <v>0</v>
      </c>
      <c r="R3265" s="70">
        <f t="shared" ref="R3265" si="1202">+L3265*O3265</f>
        <v>1669.0800000000002</v>
      </c>
      <c r="S3265" s="70">
        <v>0</v>
      </c>
      <c r="T3265" s="70">
        <f>+L3265*S3265</f>
        <v>0</v>
      </c>
      <c r="U3265" s="70">
        <f t="shared" si="1199"/>
        <v>1669.0800000000002</v>
      </c>
      <c r="V3265" s="70">
        <f>+U3265*1</f>
        <v>1669.0800000000002</v>
      </c>
      <c r="W3265" s="70">
        <f t="shared" si="1200"/>
        <v>0</v>
      </c>
      <c r="X3265" s="70">
        <v>0</v>
      </c>
      <c r="Y3265" s="14">
        <f t="shared" si="1177"/>
        <v>0</v>
      </c>
      <c r="Z3265" s="11" t="s">
        <v>26</v>
      </c>
      <c r="AA3265" s="12" t="s">
        <v>31</v>
      </c>
    </row>
    <row r="3266" spans="1:27" x14ac:dyDescent="0.25">
      <c r="A3266" s="10">
        <v>45706</v>
      </c>
      <c r="B3266" s="11" t="s">
        <v>5908</v>
      </c>
      <c r="C3266" s="11" t="s">
        <v>5909</v>
      </c>
      <c r="D3266" s="11">
        <v>17810</v>
      </c>
      <c r="E3266" s="11" t="s">
        <v>44</v>
      </c>
      <c r="F3266" s="11" t="s">
        <v>26</v>
      </c>
      <c r="G3266" s="11">
        <v>1662</v>
      </c>
      <c r="H3266" s="12" t="s">
        <v>45</v>
      </c>
      <c r="I3266" s="12" t="s">
        <v>27</v>
      </c>
      <c r="J3266" s="12" t="s">
        <v>33</v>
      </c>
      <c r="K3266" s="12" t="s">
        <v>34</v>
      </c>
      <c r="L3266" s="13">
        <v>39.06</v>
      </c>
      <c r="M3266" s="13">
        <v>25</v>
      </c>
      <c r="N3266" s="13">
        <f t="shared" si="1150"/>
        <v>1.5624</v>
      </c>
      <c r="O3266" s="13" t="s">
        <v>30</v>
      </c>
      <c r="P3266" s="13">
        <v>58</v>
      </c>
      <c r="Q3266" s="13">
        <v>0</v>
      </c>
      <c r="R3266" s="70">
        <f>M3266*P3266</f>
        <v>1450</v>
      </c>
      <c r="S3266" s="70">
        <v>0</v>
      </c>
      <c r="T3266" s="70">
        <f>M3266*S3266</f>
        <v>0</v>
      </c>
      <c r="U3266" s="70">
        <f>R3266-T3266</f>
        <v>1450</v>
      </c>
      <c r="V3266" s="70">
        <f t="shared" ref="V3266" si="1203">U3266*0</f>
        <v>0</v>
      </c>
      <c r="W3266" s="70">
        <f t="shared" ref="W3266" si="1204">U3266-V3266</f>
        <v>1450</v>
      </c>
      <c r="X3266" s="70">
        <v>0</v>
      </c>
      <c r="Y3266" s="14">
        <f t="shared" si="1177"/>
        <v>0</v>
      </c>
      <c r="Z3266" s="11" t="s">
        <v>26</v>
      </c>
      <c r="AA3266" s="12" t="s">
        <v>31</v>
      </c>
    </row>
    <row r="3267" spans="1:27" x14ac:dyDescent="0.25">
      <c r="A3267" s="10">
        <v>45706</v>
      </c>
      <c r="B3267" s="11" t="s">
        <v>5910</v>
      </c>
      <c r="C3267" s="11" t="s">
        <v>5911</v>
      </c>
      <c r="D3267" s="11">
        <v>17811</v>
      </c>
      <c r="E3267" s="11" t="s">
        <v>480</v>
      </c>
      <c r="F3267" s="11" t="s">
        <v>26</v>
      </c>
      <c r="G3267" s="11">
        <v>70426</v>
      </c>
      <c r="H3267" s="12" t="s">
        <v>4448</v>
      </c>
      <c r="I3267" s="12" t="s">
        <v>27</v>
      </c>
      <c r="J3267" s="12" t="s">
        <v>42</v>
      </c>
      <c r="K3267" s="12" t="s">
        <v>43</v>
      </c>
      <c r="L3267" s="13">
        <v>43.28</v>
      </c>
      <c r="M3267" s="13">
        <v>25</v>
      </c>
      <c r="N3267" s="13">
        <f t="shared" si="1150"/>
        <v>1.7312000000000001</v>
      </c>
      <c r="O3267" s="13">
        <v>42.5</v>
      </c>
      <c r="P3267" s="13"/>
      <c r="Q3267" s="13">
        <v>0</v>
      </c>
      <c r="R3267" s="70">
        <f>+L3267*O3267</f>
        <v>1839.4</v>
      </c>
      <c r="S3267" s="70">
        <v>0</v>
      </c>
      <c r="T3267" s="70">
        <f>+L3267*S3267</f>
        <v>0</v>
      </c>
      <c r="U3267" s="70">
        <f>+R3267-T3267</f>
        <v>1839.4</v>
      </c>
      <c r="V3267" s="70">
        <f>+U3267*0.75</f>
        <v>1379.5500000000002</v>
      </c>
      <c r="W3267" s="70">
        <f>+U3267-V3267</f>
        <v>459.84999999999991</v>
      </c>
      <c r="X3267" s="70">
        <v>0</v>
      </c>
      <c r="Y3267" s="14">
        <f t="shared" si="1177"/>
        <v>0</v>
      </c>
      <c r="Z3267" s="11" t="s">
        <v>26</v>
      </c>
      <c r="AA3267" s="12" t="s">
        <v>31</v>
      </c>
    </row>
    <row r="3268" spans="1:27" x14ac:dyDescent="0.25">
      <c r="A3268" s="10">
        <v>45706</v>
      </c>
      <c r="B3268" s="11" t="s">
        <v>5912</v>
      </c>
      <c r="C3268" s="11" t="s">
        <v>5913</v>
      </c>
      <c r="D3268" s="11">
        <v>17812</v>
      </c>
      <c r="E3268" s="11" t="s">
        <v>589</v>
      </c>
      <c r="F3268" s="11" t="s">
        <v>26</v>
      </c>
      <c r="G3268" s="11">
        <v>56930</v>
      </c>
      <c r="H3268" s="12" t="s">
        <v>4423</v>
      </c>
      <c r="I3268" s="12" t="s">
        <v>27</v>
      </c>
      <c r="J3268" s="12" t="s">
        <v>33</v>
      </c>
      <c r="K3268" s="12" t="s">
        <v>34</v>
      </c>
      <c r="L3268" s="13">
        <v>33.840000000000003</v>
      </c>
      <c r="M3268" s="13">
        <v>25</v>
      </c>
      <c r="N3268" s="13">
        <f t="shared" si="1150"/>
        <v>1.3536000000000001</v>
      </c>
      <c r="O3268" s="13">
        <v>45</v>
      </c>
      <c r="P3268" s="13" t="s">
        <v>30</v>
      </c>
      <c r="Q3268" s="13">
        <v>0</v>
      </c>
      <c r="R3268" s="70">
        <f>+L3268*O3268</f>
        <v>1522.8000000000002</v>
      </c>
      <c r="S3268" s="70">
        <v>0</v>
      </c>
      <c r="T3268" s="70">
        <f>+L3268*S3268</f>
        <v>0</v>
      </c>
      <c r="U3268" s="70">
        <f t="shared" ref="U3268:U3270" si="1205">+R3268-T3268</f>
        <v>1522.8000000000002</v>
      </c>
      <c r="V3268" s="70">
        <f>+U3268*1</f>
        <v>1522.8000000000002</v>
      </c>
      <c r="W3268" s="70">
        <f t="shared" ref="W3268:W3270" si="1206">+U3268-V3268</f>
        <v>0</v>
      </c>
      <c r="X3268" s="70">
        <v>0</v>
      </c>
      <c r="Y3268" s="14">
        <f t="shared" si="1177"/>
        <v>0</v>
      </c>
      <c r="Z3268" s="11" t="s">
        <v>26</v>
      </c>
      <c r="AA3268" s="12" t="s">
        <v>31</v>
      </c>
    </row>
    <row r="3269" spans="1:27" x14ac:dyDescent="0.25">
      <c r="A3269" s="10">
        <v>45706</v>
      </c>
      <c r="B3269" s="11" t="s">
        <v>5914</v>
      </c>
      <c r="C3269" s="11" t="s">
        <v>5915</v>
      </c>
      <c r="D3269" s="11">
        <v>17813</v>
      </c>
      <c r="E3269" s="11" t="s">
        <v>593</v>
      </c>
      <c r="F3269" s="11" t="s">
        <v>26</v>
      </c>
      <c r="G3269" s="11">
        <v>44340</v>
      </c>
      <c r="H3269" s="12" t="s">
        <v>4423</v>
      </c>
      <c r="I3269" s="12" t="s">
        <v>27</v>
      </c>
      <c r="J3269" s="12" t="s">
        <v>47</v>
      </c>
      <c r="K3269" s="12" t="s">
        <v>48</v>
      </c>
      <c r="L3269" s="13">
        <v>36.08</v>
      </c>
      <c r="M3269" s="13">
        <v>25</v>
      </c>
      <c r="N3269" s="13">
        <f t="shared" si="1150"/>
        <v>1.4432</v>
      </c>
      <c r="O3269" s="13">
        <v>46</v>
      </c>
      <c r="P3269" s="13" t="s">
        <v>30</v>
      </c>
      <c r="Q3269" s="13">
        <v>0</v>
      </c>
      <c r="R3269" s="70">
        <f t="shared" ref="R3269:R3270" si="1207">+L3269*O3269</f>
        <v>1659.6799999999998</v>
      </c>
      <c r="S3269" s="70">
        <v>0</v>
      </c>
      <c r="T3269" s="70">
        <f t="shared" ref="T3269" si="1208">+L3269*S3269</f>
        <v>0</v>
      </c>
      <c r="U3269" s="70">
        <f t="shared" si="1205"/>
        <v>1659.6799999999998</v>
      </c>
      <c r="V3269" s="70">
        <f>+U3269*1</f>
        <v>1659.6799999999998</v>
      </c>
      <c r="W3269" s="70">
        <f t="shared" si="1206"/>
        <v>0</v>
      </c>
      <c r="X3269" s="70">
        <v>0</v>
      </c>
      <c r="Y3269" s="14">
        <f t="shared" si="1177"/>
        <v>0</v>
      </c>
      <c r="Z3269" s="11" t="s">
        <v>26</v>
      </c>
      <c r="AA3269" s="12" t="s">
        <v>31</v>
      </c>
    </row>
    <row r="3270" spans="1:27" x14ac:dyDescent="0.25">
      <c r="A3270" s="10">
        <v>45706</v>
      </c>
      <c r="B3270" s="11" t="s">
        <v>5916</v>
      </c>
      <c r="C3270" s="11" t="s">
        <v>5917</v>
      </c>
      <c r="D3270" s="11">
        <v>17814</v>
      </c>
      <c r="E3270" s="11" t="s">
        <v>5918</v>
      </c>
      <c r="F3270" s="11" t="s">
        <v>26</v>
      </c>
      <c r="G3270" s="11">
        <v>112235</v>
      </c>
      <c r="H3270" s="12" t="s">
        <v>4446</v>
      </c>
      <c r="I3270" s="12" t="s">
        <v>27</v>
      </c>
      <c r="J3270" s="12" t="s">
        <v>42</v>
      </c>
      <c r="K3270" s="12" t="s">
        <v>43</v>
      </c>
      <c r="L3270" s="13">
        <v>39.64</v>
      </c>
      <c r="M3270" s="13">
        <v>25</v>
      </c>
      <c r="N3270" s="13">
        <f t="shared" si="1150"/>
        <v>1.5856000000000001</v>
      </c>
      <c r="O3270" s="13">
        <v>42</v>
      </c>
      <c r="P3270" s="13" t="s">
        <v>30</v>
      </c>
      <c r="Q3270" s="13">
        <v>0</v>
      </c>
      <c r="R3270" s="70">
        <f t="shared" si="1207"/>
        <v>1664.88</v>
      </c>
      <c r="S3270" s="70">
        <v>0</v>
      </c>
      <c r="T3270" s="70">
        <f>+L3270*S3270</f>
        <v>0</v>
      </c>
      <c r="U3270" s="70">
        <f t="shared" si="1205"/>
        <v>1664.88</v>
      </c>
      <c r="V3270" s="70">
        <f>+U3270*1</f>
        <v>1664.88</v>
      </c>
      <c r="W3270" s="70">
        <f t="shared" si="1206"/>
        <v>0</v>
      </c>
      <c r="X3270" s="70">
        <v>0</v>
      </c>
      <c r="Y3270" s="14">
        <f t="shared" si="1177"/>
        <v>0</v>
      </c>
      <c r="Z3270" s="11" t="s">
        <v>26</v>
      </c>
      <c r="AA3270" s="12" t="s">
        <v>31</v>
      </c>
    </row>
    <row r="3271" spans="1:27" x14ac:dyDescent="0.25">
      <c r="A3271" s="10">
        <v>45706</v>
      </c>
      <c r="B3271" s="11" t="s">
        <v>5919</v>
      </c>
      <c r="C3271" s="11" t="s">
        <v>5920</v>
      </c>
      <c r="D3271" s="11">
        <v>17816</v>
      </c>
      <c r="E3271" s="11" t="s">
        <v>68</v>
      </c>
      <c r="F3271" s="11" t="s">
        <v>26</v>
      </c>
      <c r="G3271" s="11">
        <v>76372</v>
      </c>
      <c r="H3271" s="12" t="s">
        <v>4448</v>
      </c>
      <c r="I3271" s="12" t="s">
        <v>27</v>
      </c>
      <c r="J3271" s="12" t="s">
        <v>42</v>
      </c>
      <c r="K3271" s="12" t="s">
        <v>43</v>
      </c>
      <c r="L3271" s="13">
        <v>46.12</v>
      </c>
      <c r="M3271" s="13">
        <v>29</v>
      </c>
      <c r="N3271" s="13">
        <f t="shared" si="1150"/>
        <v>1.5903448275862069</v>
      </c>
      <c r="O3271" s="13">
        <v>42.5</v>
      </c>
      <c r="P3271" s="13"/>
      <c r="Q3271" s="13">
        <v>0</v>
      </c>
      <c r="R3271" s="70">
        <f>+L3271*O3271</f>
        <v>1960.1</v>
      </c>
      <c r="S3271" s="70">
        <v>0</v>
      </c>
      <c r="T3271" s="70">
        <f>+L3271*S3271</f>
        <v>0</v>
      </c>
      <c r="U3271" s="70">
        <f>+R3271-T3271</f>
        <v>1960.1</v>
      </c>
      <c r="V3271" s="70">
        <f>+U3271*0.75</f>
        <v>1470.0749999999998</v>
      </c>
      <c r="W3271" s="70">
        <f>+U3271-V3271</f>
        <v>490.02500000000009</v>
      </c>
      <c r="X3271" s="70">
        <v>0</v>
      </c>
      <c r="Y3271" s="14">
        <f t="shared" si="1177"/>
        <v>0</v>
      </c>
      <c r="Z3271" s="11" t="s">
        <v>26</v>
      </c>
      <c r="AA3271" s="12" t="s">
        <v>31</v>
      </c>
    </row>
    <row r="3272" spans="1:27" x14ac:dyDescent="0.25">
      <c r="A3272" s="10">
        <v>45706</v>
      </c>
      <c r="B3272" s="11" t="s">
        <v>5921</v>
      </c>
      <c r="C3272" s="11" t="s">
        <v>5922</v>
      </c>
      <c r="D3272" s="11">
        <v>17817</v>
      </c>
      <c r="E3272" s="11" t="s">
        <v>552</v>
      </c>
      <c r="F3272" s="11" t="s">
        <v>26</v>
      </c>
      <c r="G3272" s="11">
        <v>44174</v>
      </c>
      <c r="H3272" s="12" t="s">
        <v>4423</v>
      </c>
      <c r="I3272" s="12" t="s">
        <v>27</v>
      </c>
      <c r="J3272" s="12" t="s">
        <v>33</v>
      </c>
      <c r="K3272" s="12" t="s">
        <v>34</v>
      </c>
      <c r="L3272" s="13">
        <v>35.659999999999997</v>
      </c>
      <c r="M3272" s="13">
        <v>25</v>
      </c>
      <c r="N3272" s="13">
        <f t="shared" si="1150"/>
        <v>1.4263999999999999</v>
      </c>
      <c r="O3272" s="13">
        <v>45</v>
      </c>
      <c r="P3272" s="13" t="s">
        <v>30</v>
      </c>
      <c r="Q3272" s="13">
        <v>0</v>
      </c>
      <c r="R3272" s="70">
        <f>+L3272*O3272</f>
        <v>1604.6999999999998</v>
      </c>
      <c r="S3272" s="70">
        <v>0</v>
      </c>
      <c r="T3272" s="70">
        <f>+L3272*S3272</f>
        <v>0</v>
      </c>
      <c r="U3272" s="70">
        <f t="shared" ref="U3272:U3273" si="1209">+R3272-T3272</f>
        <v>1604.6999999999998</v>
      </c>
      <c r="V3272" s="70">
        <f>+U3272*1</f>
        <v>1604.6999999999998</v>
      </c>
      <c r="W3272" s="70">
        <f t="shared" ref="W3272:W3273" si="1210">+U3272-V3272</f>
        <v>0</v>
      </c>
      <c r="X3272" s="70">
        <v>0</v>
      </c>
      <c r="Y3272" s="14">
        <f t="shared" si="1177"/>
        <v>0</v>
      </c>
      <c r="Z3272" s="11" t="s">
        <v>26</v>
      </c>
      <c r="AA3272" s="12" t="s">
        <v>31</v>
      </c>
    </row>
    <row r="3273" spans="1:27" x14ac:dyDescent="0.25">
      <c r="A3273" s="10">
        <v>45706</v>
      </c>
      <c r="B3273" s="11" t="s">
        <v>698</v>
      </c>
      <c r="C3273" s="11" t="s">
        <v>5923</v>
      </c>
      <c r="D3273" s="11">
        <v>17818</v>
      </c>
      <c r="E3273" s="11" t="s">
        <v>5924</v>
      </c>
      <c r="F3273" s="11" t="s">
        <v>26</v>
      </c>
      <c r="G3273" s="11">
        <v>112236</v>
      </c>
      <c r="H3273" s="12" t="s">
        <v>4446</v>
      </c>
      <c r="I3273" s="12" t="s">
        <v>27</v>
      </c>
      <c r="J3273" s="12" t="s">
        <v>42</v>
      </c>
      <c r="K3273" s="12" t="s">
        <v>43</v>
      </c>
      <c r="L3273" s="13">
        <v>43.6</v>
      </c>
      <c r="M3273" s="13">
        <v>25</v>
      </c>
      <c r="N3273" s="13">
        <f t="shared" si="1150"/>
        <v>1.744</v>
      </c>
      <c r="O3273" s="13">
        <v>42</v>
      </c>
      <c r="P3273" s="13" t="s">
        <v>30</v>
      </c>
      <c r="Q3273" s="13">
        <v>0</v>
      </c>
      <c r="R3273" s="70">
        <f t="shared" ref="R3273" si="1211">+L3273*O3273</f>
        <v>1831.2</v>
      </c>
      <c r="S3273" s="70">
        <v>0</v>
      </c>
      <c r="T3273" s="70">
        <f>+L3273*S3273</f>
        <v>0</v>
      </c>
      <c r="U3273" s="70">
        <f t="shared" si="1209"/>
        <v>1831.2</v>
      </c>
      <c r="V3273" s="70">
        <f>+U3273*1</f>
        <v>1831.2</v>
      </c>
      <c r="W3273" s="70">
        <f t="shared" si="1210"/>
        <v>0</v>
      </c>
      <c r="X3273" s="70">
        <v>0</v>
      </c>
      <c r="Y3273" s="14">
        <f t="shared" si="1177"/>
        <v>0</v>
      </c>
      <c r="Z3273" s="11" t="s">
        <v>26</v>
      </c>
      <c r="AA3273" s="12" t="s">
        <v>31</v>
      </c>
    </row>
    <row r="3274" spans="1:27" x14ac:dyDescent="0.25">
      <c r="A3274" s="10">
        <v>45706</v>
      </c>
      <c r="B3274" s="11" t="s">
        <v>5925</v>
      </c>
      <c r="C3274" s="11" t="s">
        <v>5926</v>
      </c>
      <c r="D3274" s="11">
        <v>17819</v>
      </c>
      <c r="E3274" s="11" t="s">
        <v>57</v>
      </c>
      <c r="F3274" s="11" t="s">
        <v>26</v>
      </c>
      <c r="G3274" s="11">
        <v>3309</v>
      </c>
      <c r="H3274" s="12" t="s">
        <v>41</v>
      </c>
      <c r="I3274" s="12" t="s">
        <v>55</v>
      </c>
      <c r="J3274" s="12" t="s">
        <v>566</v>
      </c>
      <c r="K3274" s="12" t="s">
        <v>550</v>
      </c>
      <c r="L3274" s="13">
        <v>40.340000000000003</v>
      </c>
      <c r="M3274" s="13">
        <v>25</v>
      </c>
      <c r="N3274" s="13">
        <f t="shared" si="1150"/>
        <v>1.6136000000000001</v>
      </c>
      <c r="O3274" s="13">
        <v>25</v>
      </c>
      <c r="P3274" s="13"/>
      <c r="Q3274" s="13">
        <v>0</v>
      </c>
      <c r="R3274" s="70">
        <f>L3274*O3274</f>
        <v>1008.5000000000001</v>
      </c>
      <c r="S3274" s="70">
        <v>0</v>
      </c>
      <c r="T3274" s="70">
        <f t="shared" ref="T3274:T3275" si="1212">L3274*S3274</f>
        <v>0</v>
      </c>
      <c r="U3274" s="70">
        <f>R3274-T3274</f>
        <v>1008.5000000000001</v>
      </c>
      <c r="V3274" s="70">
        <f>U3274*0</f>
        <v>0</v>
      </c>
      <c r="W3274" s="70">
        <f>U3274-V3274</f>
        <v>1008.5000000000001</v>
      </c>
      <c r="X3274" s="70">
        <v>0</v>
      </c>
      <c r="Y3274" s="14">
        <f t="shared" si="1177"/>
        <v>0</v>
      </c>
      <c r="Z3274" s="11" t="s">
        <v>26</v>
      </c>
      <c r="AA3274" s="12" t="s">
        <v>31</v>
      </c>
    </row>
    <row r="3275" spans="1:27" x14ac:dyDescent="0.25">
      <c r="A3275" s="10">
        <v>45706</v>
      </c>
      <c r="B3275" s="11" t="s">
        <v>1221</v>
      </c>
      <c r="C3275" s="11" t="s">
        <v>5927</v>
      </c>
      <c r="D3275" s="11">
        <v>17820</v>
      </c>
      <c r="E3275" s="11" t="s">
        <v>246</v>
      </c>
      <c r="F3275" s="11" t="s">
        <v>26</v>
      </c>
      <c r="G3275" s="11">
        <v>3421</v>
      </c>
      <c r="H3275" s="12" t="s">
        <v>41</v>
      </c>
      <c r="I3275" s="12" t="s">
        <v>55</v>
      </c>
      <c r="J3275" s="12" t="s">
        <v>566</v>
      </c>
      <c r="K3275" s="12" t="s">
        <v>550</v>
      </c>
      <c r="L3275" s="13">
        <v>39.159999999999997</v>
      </c>
      <c r="M3275" s="13">
        <v>24</v>
      </c>
      <c r="N3275" s="13">
        <f t="shared" si="1150"/>
        <v>1.6316666666666666</v>
      </c>
      <c r="O3275" s="13">
        <v>25</v>
      </c>
      <c r="P3275" s="13"/>
      <c r="Q3275" s="13">
        <v>0</v>
      </c>
      <c r="R3275" s="70">
        <f>L3275*O3275</f>
        <v>978.99999999999989</v>
      </c>
      <c r="S3275" s="70">
        <v>0</v>
      </c>
      <c r="T3275" s="70">
        <f t="shared" si="1212"/>
        <v>0</v>
      </c>
      <c r="U3275" s="70">
        <f>R3275-T3275</f>
        <v>978.99999999999989</v>
      </c>
      <c r="V3275" s="70">
        <f>U3275*0</f>
        <v>0</v>
      </c>
      <c r="W3275" s="70">
        <f>U3275-V3275</f>
        <v>978.99999999999989</v>
      </c>
      <c r="X3275" s="70">
        <v>0</v>
      </c>
      <c r="Y3275" s="14">
        <f t="shared" si="1177"/>
        <v>0</v>
      </c>
      <c r="Z3275" s="11" t="s">
        <v>26</v>
      </c>
      <c r="AA3275" s="12" t="s">
        <v>31</v>
      </c>
    </row>
    <row r="3276" spans="1:27" x14ac:dyDescent="0.25">
      <c r="A3276" s="10">
        <v>45706</v>
      </c>
      <c r="B3276" s="11" t="s">
        <v>1196</v>
      </c>
      <c r="C3276" s="11" t="s">
        <v>5928</v>
      </c>
      <c r="D3276" s="11">
        <v>17821</v>
      </c>
      <c r="E3276" s="11" t="s">
        <v>53</v>
      </c>
      <c r="F3276" s="11" t="s">
        <v>26</v>
      </c>
      <c r="G3276" s="11">
        <v>3968</v>
      </c>
      <c r="H3276" s="12" t="s">
        <v>41</v>
      </c>
      <c r="I3276" s="12" t="s">
        <v>27</v>
      </c>
      <c r="J3276" s="12" t="s">
        <v>33</v>
      </c>
      <c r="K3276" s="12" t="s">
        <v>34</v>
      </c>
      <c r="L3276" s="13">
        <v>36.94</v>
      </c>
      <c r="M3276" s="13">
        <v>25</v>
      </c>
      <c r="N3276" s="13">
        <f t="shared" si="1150"/>
        <v>1.4775999999999998</v>
      </c>
      <c r="O3276" s="13" t="s">
        <v>30</v>
      </c>
      <c r="P3276" s="13">
        <v>60</v>
      </c>
      <c r="Q3276" s="13">
        <v>0</v>
      </c>
      <c r="R3276" s="70">
        <f>M3276*P3276</f>
        <v>1500</v>
      </c>
      <c r="S3276" s="70">
        <v>0</v>
      </c>
      <c r="T3276" s="70">
        <f>M3276*S3276</f>
        <v>0</v>
      </c>
      <c r="U3276" s="70">
        <f t="shared" ref="U3276:U3277" si="1213">+R3276-T3276</f>
        <v>1500</v>
      </c>
      <c r="V3276" s="70">
        <f>+U3276*0</f>
        <v>0</v>
      </c>
      <c r="W3276" s="70">
        <f t="shared" ref="W3276:W3277" si="1214">+U3276-V3276</f>
        <v>1500</v>
      </c>
      <c r="X3276" s="70">
        <v>0</v>
      </c>
      <c r="Y3276" s="14">
        <f t="shared" si="1177"/>
        <v>0</v>
      </c>
      <c r="Z3276" s="11" t="s">
        <v>26</v>
      </c>
      <c r="AA3276" s="12" t="s">
        <v>31</v>
      </c>
    </row>
    <row r="3277" spans="1:27" x14ac:dyDescent="0.25">
      <c r="A3277" s="10">
        <v>45706</v>
      </c>
      <c r="B3277" s="11" t="s">
        <v>114</v>
      </c>
      <c r="C3277" s="11" t="s">
        <v>5929</v>
      </c>
      <c r="D3277" s="11">
        <v>17822</v>
      </c>
      <c r="E3277" s="11" t="s">
        <v>60</v>
      </c>
      <c r="F3277" s="11" t="s">
        <v>26</v>
      </c>
      <c r="G3277" s="11" t="s">
        <v>35</v>
      </c>
      <c r="H3277" s="12" t="s">
        <v>36</v>
      </c>
      <c r="I3277" s="12" t="s">
        <v>27</v>
      </c>
      <c r="J3277" s="12" t="s">
        <v>33</v>
      </c>
      <c r="K3277" s="12" t="s">
        <v>34</v>
      </c>
      <c r="L3277" s="13">
        <v>8.4600000000000009</v>
      </c>
      <c r="M3277" s="13">
        <v>6</v>
      </c>
      <c r="N3277" s="13">
        <f t="shared" si="1150"/>
        <v>1.4100000000000001</v>
      </c>
      <c r="O3277" s="13">
        <v>50</v>
      </c>
      <c r="P3277" s="13" t="s">
        <v>30</v>
      </c>
      <c r="Q3277" s="13">
        <v>0</v>
      </c>
      <c r="R3277" s="70">
        <f>(L3277*O3277)-Q3277</f>
        <v>423.00000000000006</v>
      </c>
      <c r="S3277" s="70">
        <v>0</v>
      </c>
      <c r="T3277" s="70">
        <f t="shared" ref="T3277" si="1215">+L3277*S3277</f>
        <v>0</v>
      </c>
      <c r="U3277" s="70">
        <f t="shared" si="1213"/>
        <v>423.00000000000006</v>
      </c>
      <c r="V3277" s="70">
        <f t="shared" ref="V3277:V3278" si="1216">+U3277*0</f>
        <v>0</v>
      </c>
      <c r="W3277" s="70">
        <f t="shared" si="1214"/>
        <v>423.00000000000006</v>
      </c>
      <c r="X3277" s="70">
        <v>0</v>
      </c>
      <c r="Y3277" s="14">
        <f t="shared" si="1177"/>
        <v>0</v>
      </c>
      <c r="Z3277" s="11" t="s">
        <v>26</v>
      </c>
      <c r="AA3277" s="12" t="s">
        <v>31</v>
      </c>
    </row>
    <row r="3278" spans="1:27" x14ac:dyDescent="0.25">
      <c r="A3278" s="10">
        <v>45706</v>
      </c>
      <c r="B3278" s="11" t="s">
        <v>5930</v>
      </c>
      <c r="C3278" s="11" t="s">
        <v>5931</v>
      </c>
      <c r="D3278" s="11">
        <v>17823</v>
      </c>
      <c r="E3278" s="11" t="s">
        <v>570</v>
      </c>
      <c r="F3278" s="11" t="s">
        <v>26</v>
      </c>
      <c r="G3278" s="11">
        <v>10760</v>
      </c>
      <c r="H3278" s="12" t="s">
        <v>140</v>
      </c>
      <c r="I3278" s="12" t="s">
        <v>27</v>
      </c>
      <c r="J3278" s="12" t="s">
        <v>47</v>
      </c>
      <c r="K3278" s="12" t="s">
        <v>48</v>
      </c>
      <c r="L3278" s="13">
        <v>42.1</v>
      </c>
      <c r="M3278" s="13">
        <v>29</v>
      </c>
      <c r="N3278" s="13">
        <f t="shared" si="1150"/>
        <v>1.4517241379310346</v>
      </c>
      <c r="O3278" s="13">
        <v>40</v>
      </c>
      <c r="P3278" s="13"/>
      <c r="Q3278" s="13">
        <v>0</v>
      </c>
      <c r="R3278" s="70">
        <f>+L3278*O3278</f>
        <v>1684</v>
      </c>
      <c r="S3278" s="70">
        <v>0</v>
      </c>
      <c r="T3278" s="70">
        <f>+L3278*S3278</f>
        <v>0</v>
      </c>
      <c r="U3278" s="70">
        <f>+R3278-T3278</f>
        <v>1684</v>
      </c>
      <c r="V3278" s="70">
        <f t="shared" si="1216"/>
        <v>0</v>
      </c>
      <c r="W3278" s="70">
        <f>+U3278-V3278</f>
        <v>1684</v>
      </c>
      <c r="X3278" s="70">
        <v>0</v>
      </c>
      <c r="Y3278" s="14">
        <f t="shared" si="1177"/>
        <v>0</v>
      </c>
      <c r="Z3278" s="11" t="s">
        <v>26</v>
      </c>
      <c r="AA3278" s="12" t="s">
        <v>31</v>
      </c>
    </row>
    <row r="3279" spans="1:27" x14ac:dyDescent="0.25">
      <c r="A3279" s="10">
        <v>45706</v>
      </c>
      <c r="B3279" s="11" t="s">
        <v>1470</v>
      </c>
      <c r="C3279" s="11" t="s">
        <v>5932</v>
      </c>
      <c r="D3279" s="11">
        <v>17824</v>
      </c>
      <c r="E3279" s="11" t="s">
        <v>69</v>
      </c>
      <c r="F3279" s="11" t="s">
        <v>26</v>
      </c>
      <c r="G3279" s="11">
        <v>2126</v>
      </c>
      <c r="H3279" s="12" t="s">
        <v>70</v>
      </c>
      <c r="I3279" s="12" t="s">
        <v>27</v>
      </c>
      <c r="J3279" s="12" t="s">
        <v>33</v>
      </c>
      <c r="K3279" s="12" t="s">
        <v>34</v>
      </c>
      <c r="L3279" s="13">
        <v>38.86</v>
      </c>
      <c r="M3279" s="13">
        <v>25</v>
      </c>
      <c r="N3279" s="13">
        <f t="shared" si="1150"/>
        <v>1.5544</v>
      </c>
      <c r="O3279" s="13" t="s">
        <v>30</v>
      </c>
      <c r="P3279" s="13">
        <v>60</v>
      </c>
      <c r="Q3279" s="13">
        <v>0</v>
      </c>
      <c r="R3279" s="70">
        <f>+M3279*P3279</f>
        <v>1500</v>
      </c>
      <c r="S3279" s="70">
        <v>0</v>
      </c>
      <c r="T3279" s="70">
        <f>+M3279*S3279</f>
        <v>0</v>
      </c>
      <c r="U3279" s="70">
        <f t="shared" ref="U3279" si="1217">+R3279-T3279</f>
        <v>1500</v>
      </c>
      <c r="V3279" s="70">
        <f>+U3279*0</f>
        <v>0</v>
      </c>
      <c r="W3279" s="70">
        <f t="shared" ref="W3279" si="1218">+U3279-V3279</f>
        <v>1500</v>
      </c>
      <c r="X3279" s="70">
        <v>0</v>
      </c>
      <c r="Y3279" s="14">
        <f t="shared" si="1177"/>
        <v>0</v>
      </c>
      <c r="Z3279" s="11" t="s">
        <v>26</v>
      </c>
      <c r="AA3279" s="12" t="s">
        <v>31</v>
      </c>
    </row>
    <row r="3280" spans="1:27" x14ac:dyDescent="0.25">
      <c r="A3280" s="10">
        <v>45706</v>
      </c>
      <c r="B3280" s="11" t="s">
        <v>5933</v>
      </c>
      <c r="C3280" s="11" t="s">
        <v>5934</v>
      </c>
      <c r="D3280" s="11">
        <v>17825</v>
      </c>
      <c r="E3280" s="11" t="s">
        <v>80</v>
      </c>
      <c r="F3280" s="11" t="s">
        <v>26</v>
      </c>
      <c r="G3280" s="11">
        <v>10694</v>
      </c>
      <c r="H3280" s="12" t="s">
        <v>140</v>
      </c>
      <c r="I3280" s="12" t="s">
        <v>27</v>
      </c>
      <c r="J3280" s="12" t="s">
        <v>42</v>
      </c>
      <c r="K3280" s="12" t="s">
        <v>43</v>
      </c>
      <c r="L3280" s="13">
        <v>44.94</v>
      </c>
      <c r="M3280" s="13">
        <v>27</v>
      </c>
      <c r="N3280" s="13">
        <f t="shared" si="1150"/>
        <v>1.6644444444444444</v>
      </c>
      <c r="O3280" s="13">
        <v>35</v>
      </c>
      <c r="P3280" s="13"/>
      <c r="Q3280" s="13">
        <v>0</v>
      </c>
      <c r="R3280" s="70">
        <f>+L3280*O3280</f>
        <v>1572.8999999999999</v>
      </c>
      <c r="S3280" s="70">
        <v>0</v>
      </c>
      <c r="T3280" s="70">
        <f>+L3280*S3280</f>
        <v>0</v>
      </c>
      <c r="U3280" s="70">
        <f>+R3280-T3280</f>
        <v>1572.8999999999999</v>
      </c>
      <c r="V3280" s="70">
        <f t="shared" ref="V3280" si="1219">+U3280*0</f>
        <v>0</v>
      </c>
      <c r="W3280" s="70">
        <f>+U3280-V3280</f>
        <v>1572.8999999999999</v>
      </c>
      <c r="X3280" s="70">
        <v>0</v>
      </c>
      <c r="Y3280" s="14">
        <f t="shared" si="1177"/>
        <v>0</v>
      </c>
      <c r="Z3280" s="11" t="s">
        <v>26</v>
      </c>
      <c r="AA3280" s="12" t="s">
        <v>31</v>
      </c>
    </row>
    <row r="3281" spans="1:27" x14ac:dyDescent="0.25">
      <c r="A3281" s="10">
        <v>45706</v>
      </c>
      <c r="B3281" s="11" t="s">
        <v>5935</v>
      </c>
      <c r="C3281" s="11" t="s">
        <v>5936</v>
      </c>
      <c r="D3281" s="11">
        <v>17826</v>
      </c>
      <c r="E3281" s="11" t="s">
        <v>60</v>
      </c>
      <c r="F3281" s="11" t="s">
        <v>26</v>
      </c>
      <c r="G3281" s="11" t="s">
        <v>35</v>
      </c>
      <c r="H3281" s="12" t="s">
        <v>36</v>
      </c>
      <c r="I3281" s="12" t="s">
        <v>27</v>
      </c>
      <c r="J3281" s="12" t="s">
        <v>42</v>
      </c>
      <c r="K3281" s="12" t="s">
        <v>43</v>
      </c>
      <c r="L3281" s="13">
        <v>9.3000000000000007</v>
      </c>
      <c r="M3281" s="13">
        <v>6</v>
      </c>
      <c r="N3281" s="13">
        <f t="shared" si="1150"/>
        <v>1.55</v>
      </c>
      <c r="O3281" s="13">
        <v>45</v>
      </c>
      <c r="P3281" s="13" t="s">
        <v>30</v>
      </c>
      <c r="Q3281" s="13">
        <v>0</v>
      </c>
      <c r="R3281" s="70">
        <f>(L3281*O3281)-Q3281</f>
        <v>418.50000000000006</v>
      </c>
      <c r="S3281" s="70">
        <v>0</v>
      </c>
      <c r="T3281" s="70">
        <f t="shared" ref="T3281" si="1220">+L3281*S3281</f>
        <v>0</v>
      </c>
      <c r="U3281" s="70">
        <f t="shared" ref="U3281" si="1221">+R3281-T3281</f>
        <v>418.50000000000006</v>
      </c>
      <c r="V3281" s="70">
        <f>+U3281*0</f>
        <v>0</v>
      </c>
      <c r="W3281" s="70">
        <f t="shared" ref="W3281" si="1222">+U3281-V3281</f>
        <v>418.50000000000006</v>
      </c>
      <c r="X3281" s="70">
        <v>0</v>
      </c>
      <c r="Y3281" s="14">
        <f t="shared" si="1177"/>
        <v>0</v>
      </c>
      <c r="Z3281" s="11" t="s">
        <v>26</v>
      </c>
      <c r="AA3281" s="12" t="s">
        <v>31</v>
      </c>
    </row>
    <row r="3282" spans="1:27" x14ac:dyDescent="0.25">
      <c r="A3282" s="10">
        <v>45706</v>
      </c>
      <c r="B3282" s="11" t="s">
        <v>419</v>
      </c>
      <c r="C3282" s="11" t="s">
        <v>5937</v>
      </c>
      <c r="D3282" s="11">
        <v>17827</v>
      </c>
      <c r="E3282" s="11" t="s">
        <v>59</v>
      </c>
      <c r="F3282" s="11" t="s">
        <v>26</v>
      </c>
      <c r="G3282" s="11">
        <v>112897</v>
      </c>
      <c r="H3282" s="12" t="s">
        <v>4446</v>
      </c>
      <c r="I3282" s="12" t="s">
        <v>27</v>
      </c>
      <c r="J3282" s="12" t="s">
        <v>33</v>
      </c>
      <c r="K3282" s="12" t="s">
        <v>34</v>
      </c>
      <c r="L3282" s="13">
        <v>34.479999999999997</v>
      </c>
      <c r="M3282" s="13">
        <v>25</v>
      </c>
      <c r="N3282" s="13">
        <f t="shared" si="1150"/>
        <v>1.3792</v>
      </c>
      <c r="O3282" s="13">
        <v>44</v>
      </c>
      <c r="P3282" s="13" t="s">
        <v>30</v>
      </c>
      <c r="Q3282" s="13">
        <v>0</v>
      </c>
      <c r="R3282" s="70">
        <f t="shared" ref="R3282:R3283" si="1223">+L3282*O3282</f>
        <v>1517.12</v>
      </c>
      <c r="S3282" s="70">
        <v>0</v>
      </c>
      <c r="T3282" s="70">
        <f>+L3282*S3282</f>
        <v>0</v>
      </c>
      <c r="U3282" s="70">
        <f>+R3282-T3282</f>
        <v>1517.12</v>
      </c>
      <c r="V3282" s="70">
        <f>+U3282*1</f>
        <v>1517.12</v>
      </c>
      <c r="W3282" s="70">
        <f>+U3282-V3282</f>
        <v>0</v>
      </c>
      <c r="X3282" s="70">
        <v>0</v>
      </c>
      <c r="Y3282" s="14">
        <f t="shared" si="1177"/>
        <v>0</v>
      </c>
      <c r="Z3282" s="11" t="s">
        <v>26</v>
      </c>
      <c r="AA3282" s="12" t="s">
        <v>31</v>
      </c>
    </row>
    <row r="3283" spans="1:27" x14ac:dyDescent="0.25">
      <c r="A3283" s="10">
        <v>45706</v>
      </c>
      <c r="B3283" s="11" t="s">
        <v>1664</v>
      </c>
      <c r="C3283" s="11" t="s">
        <v>5938</v>
      </c>
      <c r="D3283" s="11">
        <v>17828</v>
      </c>
      <c r="E3283" s="11" t="s">
        <v>567</v>
      </c>
      <c r="F3283" s="11" t="s">
        <v>26</v>
      </c>
      <c r="G3283" s="11">
        <v>112898</v>
      </c>
      <c r="H3283" s="12" t="s">
        <v>4446</v>
      </c>
      <c r="I3283" s="12" t="s">
        <v>27</v>
      </c>
      <c r="J3283" s="12" t="s">
        <v>42</v>
      </c>
      <c r="K3283" s="12" t="s">
        <v>43</v>
      </c>
      <c r="L3283" s="13">
        <v>39.520000000000003</v>
      </c>
      <c r="M3283" s="13">
        <v>25</v>
      </c>
      <c r="N3283" s="13">
        <f t="shared" si="1150"/>
        <v>1.5808000000000002</v>
      </c>
      <c r="O3283" s="13">
        <v>42</v>
      </c>
      <c r="P3283" s="13" t="s">
        <v>30</v>
      </c>
      <c r="Q3283" s="13">
        <v>0</v>
      </c>
      <c r="R3283" s="70">
        <f t="shared" si="1223"/>
        <v>1659.8400000000001</v>
      </c>
      <c r="S3283" s="70">
        <v>0</v>
      </c>
      <c r="T3283" s="70">
        <f>+L3283*S3283</f>
        <v>0</v>
      </c>
      <c r="U3283" s="70">
        <f t="shared" ref="U3283:U3284" si="1224">+R3283-T3283</f>
        <v>1659.8400000000001</v>
      </c>
      <c r="V3283" s="70">
        <f>+U3283*1</f>
        <v>1659.8400000000001</v>
      </c>
      <c r="W3283" s="70">
        <f t="shared" ref="W3283:W3284" si="1225">+U3283-V3283</f>
        <v>0</v>
      </c>
      <c r="X3283" s="70">
        <v>0</v>
      </c>
      <c r="Y3283" s="14">
        <f t="shared" si="1177"/>
        <v>0</v>
      </c>
      <c r="Z3283" s="11" t="s">
        <v>26</v>
      </c>
      <c r="AA3283" s="12" t="s">
        <v>31</v>
      </c>
    </row>
    <row r="3284" spans="1:27" x14ac:dyDescent="0.25">
      <c r="A3284" s="10">
        <v>45706</v>
      </c>
      <c r="B3284" s="11" t="s">
        <v>5939</v>
      </c>
      <c r="C3284" s="11" t="s">
        <v>5940</v>
      </c>
      <c r="D3284" s="11">
        <v>17829</v>
      </c>
      <c r="E3284" s="11" t="s">
        <v>69</v>
      </c>
      <c r="F3284" s="11" t="s">
        <v>26</v>
      </c>
      <c r="G3284" s="11">
        <v>2127</v>
      </c>
      <c r="H3284" s="12" t="s">
        <v>70</v>
      </c>
      <c r="I3284" s="12" t="s">
        <v>27</v>
      </c>
      <c r="J3284" s="12" t="s">
        <v>42</v>
      </c>
      <c r="K3284" s="12" t="s">
        <v>43</v>
      </c>
      <c r="L3284" s="13">
        <v>42.4</v>
      </c>
      <c r="M3284" s="13">
        <v>25</v>
      </c>
      <c r="N3284" s="13">
        <f t="shared" si="1150"/>
        <v>1.696</v>
      </c>
      <c r="O3284" s="13" t="s">
        <v>30</v>
      </c>
      <c r="P3284" s="13">
        <v>64</v>
      </c>
      <c r="Q3284" s="13">
        <v>0</v>
      </c>
      <c r="R3284" s="70">
        <f>+M3284*P3284</f>
        <v>1600</v>
      </c>
      <c r="S3284" s="70">
        <v>0</v>
      </c>
      <c r="T3284" s="70">
        <f>+M3284*S3284</f>
        <v>0</v>
      </c>
      <c r="U3284" s="70">
        <f t="shared" si="1224"/>
        <v>1600</v>
      </c>
      <c r="V3284" s="70">
        <f t="shared" ref="V3284" si="1226">+U3284*0</f>
        <v>0</v>
      </c>
      <c r="W3284" s="70">
        <f t="shared" si="1225"/>
        <v>1600</v>
      </c>
      <c r="X3284" s="70">
        <v>0</v>
      </c>
      <c r="Y3284" s="14">
        <f t="shared" si="1177"/>
        <v>0</v>
      </c>
      <c r="Z3284" s="11" t="s">
        <v>26</v>
      </c>
      <c r="AA3284" s="12" t="s">
        <v>31</v>
      </c>
    </row>
    <row r="3285" spans="1:27" x14ac:dyDescent="0.25">
      <c r="A3285" s="10">
        <v>45706</v>
      </c>
      <c r="B3285" s="11" t="s">
        <v>1603</v>
      </c>
      <c r="C3285" s="11" t="s">
        <v>5941</v>
      </c>
      <c r="D3285" s="11">
        <v>17830</v>
      </c>
      <c r="E3285" s="11" t="s">
        <v>5901</v>
      </c>
      <c r="F3285" s="11" t="s">
        <v>26</v>
      </c>
      <c r="G3285" s="11">
        <v>112888</v>
      </c>
      <c r="H3285" s="12" t="s">
        <v>4446</v>
      </c>
      <c r="I3285" s="12" t="s">
        <v>27</v>
      </c>
      <c r="J3285" s="12" t="s">
        <v>33</v>
      </c>
      <c r="K3285" s="12" t="s">
        <v>34</v>
      </c>
      <c r="L3285" s="13">
        <v>40.18</v>
      </c>
      <c r="M3285" s="13">
        <v>28</v>
      </c>
      <c r="N3285" s="13">
        <f t="shared" si="1150"/>
        <v>1.4350000000000001</v>
      </c>
      <c r="O3285" s="13">
        <v>44</v>
      </c>
      <c r="P3285" s="13" t="s">
        <v>30</v>
      </c>
      <c r="Q3285" s="13">
        <v>0</v>
      </c>
      <c r="R3285" s="70">
        <f t="shared" ref="R3285:R3286" si="1227">+L3285*O3285</f>
        <v>1767.92</v>
      </c>
      <c r="S3285" s="70">
        <v>0</v>
      </c>
      <c r="T3285" s="70">
        <f>+L3285*S3285</f>
        <v>0</v>
      </c>
      <c r="U3285" s="70">
        <f>+R3285-T3285</f>
        <v>1767.92</v>
      </c>
      <c r="V3285" s="70">
        <f>+U3285*1</f>
        <v>1767.92</v>
      </c>
      <c r="W3285" s="70">
        <f>+U3285-V3285</f>
        <v>0</v>
      </c>
      <c r="X3285" s="70">
        <v>0</v>
      </c>
      <c r="Y3285" s="14">
        <f t="shared" si="1177"/>
        <v>0</v>
      </c>
      <c r="Z3285" s="11" t="s">
        <v>26</v>
      </c>
      <c r="AA3285" s="12" t="s">
        <v>31</v>
      </c>
    </row>
    <row r="3286" spans="1:27" x14ac:dyDescent="0.25">
      <c r="A3286" s="10">
        <v>45706</v>
      </c>
      <c r="B3286" s="11" t="s">
        <v>5942</v>
      </c>
      <c r="C3286" s="11" t="s">
        <v>5943</v>
      </c>
      <c r="D3286" s="11">
        <v>17831</v>
      </c>
      <c r="E3286" s="11" t="s">
        <v>568</v>
      </c>
      <c r="F3286" s="11" t="s">
        <v>26</v>
      </c>
      <c r="G3286" s="11">
        <v>112899</v>
      </c>
      <c r="H3286" s="12" t="s">
        <v>4446</v>
      </c>
      <c r="I3286" s="12" t="s">
        <v>27</v>
      </c>
      <c r="J3286" s="12" t="s">
        <v>33</v>
      </c>
      <c r="K3286" s="12" t="s">
        <v>34</v>
      </c>
      <c r="L3286" s="13">
        <v>36.24</v>
      </c>
      <c r="M3286" s="13">
        <v>25</v>
      </c>
      <c r="N3286" s="13">
        <f t="shared" si="1150"/>
        <v>1.4496</v>
      </c>
      <c r="O3286" s="13">
        <v>44</v>
      </c>
      <c r="P3286" s="13" t="s">
        <v>30</v>
      </c>
      <c r="Q3286" s="13">
        <v>0</v>
      </c>
      <c r="R3286" s="70">
        <f t="shared" si="1227"/>
        <v>1594.5600000000002</v>
      </c>
      <c r="S3286" s="70">
        <v>0</v>
      </c>
      <c r="T3286" s="70">
        <f>+L3286*S3286</f>
        <v>0</v>
      </c>
      <c r="U3286" s="70">
        <f>+R3286-T3286</f>
        <v>1594.5600000000002</v>
      </c>
      <c r="V3286" s="70">
        <f>+U3286*1</f>
        <v>1594.5600000000002</v>
      </c>
      <c r="W3286" s="70">
        <f>+U3286-V3286</f>
        <v>0</v>
      </c>
      <c r="X3286" s="70">
        <v>0</v>
      </c>
      <c r="Y3286" s="14">
        <f t="shared" si="1177"/>
        <v>0</v>
      </c>
      <c r="Z3286" s="11" t="s">
        <v>26</v>
      </c>
      <c r="AA3286" s="12" t="s">
        <v>31</v>
      </c>
    </row>
    <row r="3287" spans="1:27" x14ac:dyDescent="0.25">
      <c r="A3287" s="10">
        <v>45706</v>
      </c>
      <c r="B3287" s="11" t="s">
        <v>1713</v>
      </c>
      <c r="C3287" s="11" t="s">
        <v>5944</v>
      </c>
      <c r="D3287" s="11">
        <v>17832</v>
      </c>
      <c r="E3287" s="11" t="s">
        <v>1200</v>
      </c>
      <c r="F3287" s="11" t="s">
        <v>26</v>
      </c>
      <c r="G3287" s="11">
        <v>2977</v>
      </c>
      <c r="H3287" s="12" t="s">
        <v>163</v>
      </c>
      <c r="I3287" s="12" t="s">
        <v>27</v>
      </c>
      <c r="J3287" s="12" t="s">
        <v>47</v>
      </c>
      <c r="K3287" s="12" t="s">
        <v>48</v>
      </c>
      <c r="L3287" s="13">
        <v>36.5</v>
      </c>
      <c r="M3287" s="13">
        <v>25</v>
      </c>
      <c r="N3287" s="13">
        <f t="shared" si="1150"/>
        <v>1.46</v>
      </c>
      <c r="O3287" s="13" t="s">
        <v>30</v>
      </c>
      <c r="P3287" s="13">
        <v>60</v>
      </c>
      <c r="Q3287" s="13">
        <v>0</v>
      </c>
      <c r="R3287" s="70">
        <f>M3287*P3287</f>
        <v>1500</v>
      </c>
      <c r="S3287" s="70">
        <v>0</v>
      </c>
      <c r="T3287" s="70">
        <f>M3287*S3287</f>
        <v>0</v>
      </c>
      <c r="U3287" s="70">
        <f>R3287-T3287</f>
        <v>1500</v>
      </c>
      <c r="V3287" s="70">
        <f>U3287*0</f>
        <v>0</v>
      </c>
      <c r="W3287" s="70">
        <f>U3287-V3287</f>
        <v>1500</v>
      </c>
      <c r="X3287" s="70">
        <v>0</v>
      </c>
      <c r="Y3287" s="14">
        <f t="shared" si="1177"/>
        <v>0</v>
      </c>
      <c r="Z3287" s="11" t="s">
        <v>26</v>
      </c>
      <c r="AA3287" s="12" t="s">
        <v>31</v>
      </c>
    </row>
    <row r="3288" spans="1:27" x14ac:dyDescent="0.25">
      <c r="A3288" s="10">
        <v>45707</v>
      </c>
      <c r="B3288" s="11" t="s">
        <v>5945</v>
      </c>
      <c r="C3288" s="11" t="s">
        <v>5946</v>
      </c>
      <c r="D3288" s="11">
        <v>17833</v>
      </c>
      <c r="E3288" s="11" t="s">
        <v>552</v>
      </c>
      <c r="F3288" s="11" t="s">
        <v>26</v>
      </c>
      <c r="G3288" s="11">
        <v>44175</v>
      </c>
      <c r="H3288" s="12" t="s">
        <v>4423</v>
      </c>
      <c r="I3288" s="12" t="s">
        <v>27</v>
      </c>
      <c r="J3288" s="12" t="s">
        <v>47</v>
      </c>
      <c r="K3288" s="12" t="s">
        <v>48</v>
      </c>
      <c r="L3288" s="13">
        <v>35.92</v>
      </c>
      <c r="M3288" s="13">
        <v>25</v>
      </c>
      <c r="N3288" s="13">
        <f>L3288/M3288</f>
        <v>1.4368000000000001</v>
      </c>
      <c r="O3288" s="13">
        <v>46</v>
      </c>
      <c r="P3288" s="13" t="s">
        <v>30</v>
      </c>
      <c r="Q3288" s="13">
        <v>0</v>
      </c>
      <c r="R3288" s="70">
        <f t="shared" ref="R3288:R3290" si="1228">+L3288*O3288</f>
        <v>1652.3200000000002</v>
      </c>
      <c r="S3288" s="70">
        <v>0</v>
      </c>
      <c r="T3288" s="70">
        <f t="shared" ref="T3288" si="1229">+L3288*S3288</f>
        <v>0</v>
      </c>
      <c r="U3288" s="70">
        <f t="shared" ref="U3288" si="1230">+R3288-T3288</f>
        <v>1652.3200000000002</v>
      </c>
      <c r="V3288" s="70">
        <f>+U3288*1</f>
        <v>1652.3200000000002</v>
      </c>
      <c r="W3288" s="70">
        <f t="shared" ref="W3288" si="1231">+U3288-V3288</f>
        <v>0</v>
      </c>
      <c r="X3288" s="70">
        <v>0</v>
      </c>
      <c r="Y3288" s="14">
        <f t="shared" si="1177"/>
        <v>0</v>
      </c>
      <c r="Z3288" s="11" t="s">
        <v>26</v>
      </c>
      <c r="AA3288" s="12" t="s">
        <v>31</v>
      </c>
    </row>
    <row r="3289" spans="1:27" x14ac:dyDescent="0.25">
      <c r="A3289" s="10">
        <v>45707</v>
      </c>
      <c r="B3289" s="11" t="s">
        <v>2005</v>
      </c>
      <c r="C3289" s="11" t="s">
        <v>5947</v>
      </c>
      <c r="D3289" s="11">
        <v>17834</v>
      </c>
      <c r="E3289" s="11" t="s">
        <v>322</v>
      </c>
      <c r="F3289" s="11" t="s">
        <v>26</v>
      </c>
      <c r="G3289" s="11">
        <v>112903</v>
      </c>
      <c r="H3289" s="12" t="s">
        <v>4446</v>
      </c>
      <c r="I3289" s="12" t="s">
        <v>27</v>
      </c>
      <c r="J3289" s="12" t="s">
        <v>33</v>
      </c>
      <c r="K3289" s="12" t="s">
        <v>34</v>
      </c>
      <c r="L3289" s="13">
        <v>36.18</v>
      </c>
      <c r="M3289" s="13">
        <v>25</v>
      </c>
      <c r="N3289" s="13">
        <f t="shared" ref="N3289:N3352" si="1232">L3289/M3289</f>
        <v>1.4472</v>
      </c>
      <c r="O3289" s="13">
        <v>44</v>
      </c>
      <c r="P3289" s="13" t="s">
        <v>30</v>
      </c>
      <c r="Q3289" s="13">
        <v>0</v>
      </c>
      <c r="R3289" s="70">
        <f t="shared" si="1228"/>
        <v>1591.92</v>
      </c>
      <c r="S3289" s="70">
        <v>0</v>
      </c>
      <c r="T3289" s="70">
        <f>+L3289*S3289</f>
        <v>0</v>
      </c>
      <c r="U3289" s="70">
        <f>+R3289-T3289</f>
        <v>1591.92</v>
      </c>
      <c r="V3289" s="70">
        <f>+U3289*1</f>
        <v>1591.92</v>
      </c>
      <c r="W3289" s="70">
        <f>+U3289-V3289</f>
        <v>0</v>
      </c>
      <c r="X3289" s="70">
        <v>0</v>
      </c>
      <c r="Y3289" s="14">
        <f t="shared" si="1177"/>
        <v>0</v>
      </c>
      <c r="Z3289" s="11" t="s">
        <v>26</v>
      </c>
      <c r="AA3289" s="12" t="s">
        <v>31</v>
      </c>
    </row>
    <row r="3290" spans="1:27" x14ac:dyDescent="0.25">
      <c r="A3290" s="10">
        <v>45707</v>
      </c>
      <c r="B3290" s="11" t="s">
        <v>719</v>
      </c>
      <c r="C3290" s="11" t="s">
        <v>5948</v>
      </c>
      <c r="D3290" s="11">
        <v>17835</v>
      </c>
      <c r="E3290" s="11" t="s">
        <v>224</v>
      </c>
      <c r="F3290" s="11" t="s">
        <v>26</v>
      </c>
      <c r="G3290" s="11">
        <v>3227</v>
      </c>
      <c r="H3290" s="12" t="s">
        <v>4423</v>
      </c>
      <c r="I3290" s="12" t="s">
        <v>27</v>
      </c>
      <c r="J3290" s="12" t="s">
        <v>47</v>
      </c>
      <c r="K3290" s="12" t="s">
        <v>48</v>
      </c>
      <c r="L3290" s="13">
        <v>35.119999999999997</v>
      </c>
      <c r="M3290" s="13">
        <v>25</v>
      </c>
      <c r="N3290" s="13">
        <f t="shared" si="1232"/>
        <v>1.4047999999999998</v>
      </c>
      <c r="O3290" s="13">
        <v>46</v>
      </c>
      <c r="P3290" s="13" t="s">
        <v>30</v>
      </c>
      <c r="Q3290" s="13">
        <v>0</v>
      </c>
      <c r="R3290" s="70">
        <f t="shared" si="1228"/>
        <v>1615.52</v>
      </c>
      <c r="S3290" s="70">
        <v>0</v>
      </c>
      <c r="T3290" s="70">
        <f t="shared" ref="T3290" si="1233">+L3290*S3290</f>
        <v>0</v>
      </c>
      <c r="U3290" s="70">
        <f t="shared" ref="U3290" si="1234">+R3290-T3290</f>
        <v>1615.52</v>
      </c>
      <c r="V3290" s="70">
        <f>+U3290*1</f>
        <v>1615.52</v>
      </c>
      <c r="W3290" s="70">
        <f t="shared" ref="W3290" si="1235">+U3290-V3290</f>
        <v>0</v>
      </c>
      <c r="X3290" s="70">
        <v>0</v>
      </c>
      <c r="Y3290" s="14">
        <f t="shared" si="1177"/>
        <v>0</v>
      </c>
      <c r="Z3290" s="11" t="s">
        <v>26</v>
      </c>
      <c r="AA3290" s="12" t="s">
        <v>31</v>
      </c>
    </row>
    <row r="3291" spans="1:27" x14ac:dyDescent="0.25">
      <c r="A3291" s="10">
        <v>45707</v>
      </c>
      <c r="B3291" s="11" t="s">
        <v>5949</v>
      </c>
      <c r="C3291" s="11" t="s">
        <v>5950</v>
      </c>
      <c r="D3291" s="11">
        <v>17836</v>
      </c>
      <c r="E3291" s="11" t="s">
        <v>32</v>
      </c>
      <c r="F3291" s="11" t="s">
        <v>26</v>
      </c>
      <c r="G3291" s="11">
        <v>1621</v>
      </c>
      <c r="H3291" s="12" t="s">
        <v>45</v>
      </c>
      <c r="I3291" s="12" t="s">
        <v>27</v>
      </c>
      <c r="J3291" s="12" t="s">
        <v>42</v>
      </c>
      <c r="K3291" s="12" t="s">
        <v>43</v>
      </c>
      <c r="L3291" s="13">
        <v>41.82</v>
      </c>
      <c r="M3291" s="13">
        <v>25</v>
      </c>
      <c r="N3291" s="13">
        <f t="shared" si="1232"/>
        <v>1.6728000000000001</v>
      </c>
      <c r="O3291" s="14" t="s">
        <v>30</v>
      </c>
      <c r="P3291" s="13">
        <v>62</v>
      </c>
      <c r="Q3291" s="13">
        <v>0</v>
      </c>
      <c r="R3291" s="70">
        <f>M3291*P3291</f>
        <v>1550</v>
      </c>
      <c r="S3291" s="70">
        <v>0</v>
      </c>
      <c r="T3291" s="70">
        <f>M3291*S3291</f>
        <v>0</v>
      </c>
      <c r="U3291" s="70">
        <f>R3291-T3291</f>
        <v>1550</v>
      </c>
      <c r="V3291" s="70">
        <f>U3291*0</f>
        <v>0</v>
      </c>
      <c r="W3291" s="70">
        <f>U3291-V3291</f>
        <v>1550</v>
      </c>
      <c r="X3291" s="70">
        <v>0</v>
      </c>
      <c r="Y3291" s="14">
        <f t="shared" si="1177"/>
        <v>0</v>
      </c>
      <c r="Z3291" s="11" t="s">
        <v>26</v>
      </c>
      <c r="AA3291" s="12" t="s">
        <v>31</v>
      </c>
    </row>
    <row r="3292" spans="1:27" x14ac:dyDescent="0.25">
      <c r="A3292" s="10">
        <v>45707</v>
      </c>
      <c r="B3292" s="11" t="s">
        <v>5951</v>
      </c>
      <c r="C3292" s="11" t="s">
        <v>5952</v>
      </c>
      <c r="D3292" s="11">
        <v>17837</v>
      </c>
      <c r="E3292" s="11" t="s">
        <v>496</v>
      </c>
      <c r="F3292" s="11" t="s">
        <v>26</v>
      </c>
      <c r="G3292" s="11">
        <v>78959</v>
      </c>
      <c r="H3292" s="12" t="s">
        <v>4448</v>
      </c>
      <c r="I3292" s="12" t="s">
        <v>27</v>
      </c>
      <c r="J3292" s="12" t="s">
        <v>47</v>
      </c>
      <c r="K3292" s="12" t="s">
        <v>48</v>
      </c>
      <c r="L3292" s="13">
        <v>37.659999999999997</v>
      </c>
      <c r="M3292" s="13">
        <v>25</v>
      </c>
      <c r="N3292" s="13">
        <f t="shared" si="1232"/>
        <v>1.5064</v>
      </c>
      <c r="O3292" s="13">
        <v>46.66</v>
      </c>
      <c r="P3292" s="13" t="s">
        <v>30</v>
      </c>
      <c r="Q3292" s="13">
        <v>0</v>
      </c>
      <c r="R3292" s="70">
        <f>+L3292*O3292</f>
        <v>1757.2155999999998</v>
      </c>
      <c r="S3292" s="70">
        <v>0</v>
      </c>
      <c r="T3292" s="70">
        <f>+L3292*S3292</f>
        <v>0</v>
      </c>
      <c r="U3292" s="70">
        <f>+R3292-T3292</f>
        <v>1757.2155999999998</v>
      </c>
      <c r="V3292" s="70">
        <f>+U3292*0.75</f>
        <v>1317.9116999999999</v>
      </c>
      <c r="W3292" s="70">
        <f>+U3292-V3292</f>
        <v>439.30389999999989</v>
      </c>
      <c r="X3292" s="70">
        <v>0</v>
      </c>
      <c r="Y3292" s="14">
        <f t="shared" si="1177"/>
        <v>0</v>
      </c>
      <c r="Z3292" s="11" t="s">
        <v>26</v>
      </c>
      <c r="AA3292" s="12" t="s">
        <v>31</v>
      </c>
    </row>
    <row r="3293" spans="1:27" x14ac:dyDescent="0.25">
      <c r="A3293" s="10">
        <v>45707</v>
      </c>
      <c r="B3293" s="11" t="s">
        <v>3332</v>
      </c>
      <c r="C3293" s="11" t="s">
        <v>5953</v>
      </c>
      <c r="D3293" s="11">
        <v>17838</v>
      </c>
      <c r="E3293" s="11" t="s">
        <v>184</v>
      </c>
      <c r="F3293" s="11" t="s">
        <v>26</v>
      </c>
      <c r="G3293" s="11">
        <v>1022</v>
      </c>
      <c r="H3293" s="12" t="s">
        <v>141</v>
      </c>
      <c r="I3293" s="12" t="s">
        <v>27</v>
      </c>
      <c r="J3293" s="12" t="s">
        <v>33</v>
      </c>
      <c r="K3293" s="12" t="s">
        <v>34</v>
      </c>
      <c r="L3293" s="13">
        <v>38.06</v>
      </c>
      <c r="M3293" s="13">
        <v>25</v>
      </c>
      <c r="N3293" s="13">
        <f t="shared" si="1232"/>
        <v>1.5224000000000002</v>
      </c>
      <c r="O3293" s="13">
        <v>40</v>
      </c>
      <c r="P3293" s="13" t="s">
        <v>30</v>
      </c>
      <c r="Q3293" s="13">
        <v>0</v>
      </c>
      <c r="R3293" s="70">
        <f>L3293*O3293</f>
        <v>1522.4</v>
      </c>
      <c r="S3293" s="70">
        <v>0</v>
      </c>
      <c r="T3293" s="70">
        <f>L3293*S3293</f>
        <v>0</v>
      </c>
      <c r="U3293" s="70">
        <f>R3293-T3293</f>
        <v>1522.4</v>
      </c>
      <c r="V3293" s="70">
        <f>U3293*0</f>
        <v>0</v>
      </c>
      <c r="W3293" s="70">
        <f>U3293-V3293</f>
        <v>1522.4</v>
      </c>
      <c r="X3293" s="70">
        <v>0</v>
      </c>
      <c r="Y3293" s="14">
        <f t="shared" si="1177"/>
        <v>0</v>
      </c>
      <c r="Z3293" s="11" t="s">
        <v>26</v>
      </c>
      <c r="AA3293" s="12" t="s">
        <v>31</v>
      </c>
    </row>
    <row r="3294" spans="1:27" x14ac:dyDescent="0.25">
      <c r="A3294" s="10">
        <v>45707</v>
      </c>
      <c r="B3294" s="11" t="s">
        <v>3804</v>
      </c>
      <c r="C3294" s="11" t="s">
        <v>5954</v>
      </c>
      <c r="D3294" s="11">
        <v>17839</v>
      </c>
      <c r="E3294" s="11" t="s">
        <v>81</v>
      </c>
      <c r="F3294" s="11" t="s">
        <v>26</v>
      </c>
      <c r="G3294" s="11" t="s">
        <v>26</v>
      </c>
      <c r="H3294" s="12" t="s">
        <v>4422</v>
      </c>
      <c r="I3294" s="12" t="s">
        <v>27</v>
      </c>
      <c r="J3294" s="12" t="s">
        <v>42</v>
      </c>
      <c r="K3294" s="12" t="s">
        <v>43</v>
      </c>
      <c r="L3294" s="13">
        <v>44.08</v>
      </c>
      <c r="M3294" s="13">
        <v>25</v>
      </c>
      <c r="N3294" s="13">
        <f t="shared" si="1232"/>
        <v>1.7631999999999999</v>
      </c>
      <c r="O3294" s="13">
        <v>83</v>
      </c>
      <c r="P3294" s="13" t="s">
        <v>30</v>
      </c>
      <c r="Q3294" s="13">
        <v>0</v>
      </c>
      <c r="R3294" s="70">
        <f>L3294*O3294</f>
        <v>3658.64</v>
      </c>
      <c r="S3294" s="70">
        <v>38</v>
      </c>
      <c r="T3294" s="70">
        <f>L3294*S3294</f>
        <v>1675.04</v>
      </c>
      <c r="U3294" s="70">
        <f>R3294-T3294</f>
        <v>1983.6</v>
      </c>
      <c r="V3294" s="70">
        <f>U3294*1</f>
        <v>1983.6</v>
      </c>
      <c r="W3294" s="70">
        <f>U3294-V3294</f>
        <v>0</v>
      </c>
      <c r="X3294" s="70">
        <f>L3294*36</f>
        <v>1586.8799999999999</v>
      </c>
      <c r="Y3294" s="71">
        <f>+T3294-X3294</f>
        <v>88.160000000000082</v>
      </c>
      <c r="Z3294" s="12" t="s">
        <v>141</v>
      </c>
      <c r="AA3294" s="12" t="s">
        <v>78</v>
      </c>
    </row>
    <row r="3295" spans="1:27" x14ac:dyDescent="0.25">
      <c r="A3295" s="10">
        <v>45707</v>
      </c>
      <c r="B3295" s="11" t="s">
        <v>5955</v>
      </c>
      <c r="C3295" s="11" t="s">
        <v>5956</v>
      </c>
      <c r="D3295" s="11">
        <v>17840</v>
      </c>
      <c r="E3295" s="11" t="s">
        <v>501</v>
      </c>
      <c r="F3295" s="11" t="s">
        <v>26</v>
      </c>
      <c r="G3295" s="11" t="s">
        <v>26</v>
      </c>
      <c r="H3295" s="12" t="s">
        <v>4422</v>
      </c>
      <c r="I3295" s="12" t="s">
        <v>27</v>
      </c>
      <c r="J3295" s="12" t="s">
        <v>33</v>
      </c>
      <c r="K3295" s="12" t="s">
        <v>34</v>
      </c>
      <c r="L3295" s="13">
        <v>42.28</v>
      </c>
      <c r="M3295" s="13">
        <v>29</v>
      </c>
      <c r="N3295" s="13">
        <f t="shared" si="1232"/>
        <v>1.4579310344827587</v>
      </c>
      <c r="O3295" s="13">
        <v>85</v>
      </c>
      <c r="P3295" s="13" t="s">
        <v>30</v>
      </c>
      <c r="Q3295" s="13">
        <v>0</v>
      </c>
      <c r="R3295" s="70">
        <f t="shared" ref="R3295:R3296" si="1236">L3295*O3295</f>
        <v>3593.8</v>
      </c>
      <c r="S3295" s="70">
        <v>38</v>
      </c>
      <c r="T3295" s="70">
        <f t="shared" ref="T3295:T3296" si="1237">L3295*S3295</f>
        <v>1606.64</v>
      </c>
      <c r="U3295" s="70">
        <f t="shared" ref="U3295:U3296" si="1238">R3295-T3295</f>
        <v>1987.16</v>
      </c>
      <c r="V3295" s="70">
        <f>U3295*1</f>
        <v>1987.16</v>
      </c>
      <c r="W3295" s="70">
        <f t="shared" ref="W3295:W3296" si="1239">U3295-V3295</f>
        <v>0</v>
      </c>
      <c r="X3295" s="70">
        <f>L3295*36</f>
        <v>1522.08</v>
      </c>
      <c r="Y3295" s="71">
        <f>+T3295-X3295</f>
        <v>84.560000000000173</v>
      </c>
      <c r="Z3295" s="12" t="s">
        <v>141</v>
      </c>
      <c r="AA3295" s="12" t="s">
        <v>78</v>
      </c>
    </row>
    <row r="3296" spans="1:27" x14ac:dyDescent="0.25">
      <c r="A3296" s="10">
        <v>45707</v>
      </c>
      <c r="B3296" s="11" t="s">
        <v>5957</v>
      </c>
      <c r="C3296" s="11" t="s">
        <v>5958</v>
      </c>
      <c r="D3296" s="11">
        <v>17841</v>
      </c>
      <c r="E3296" s="11" t="s">
        <v>605</v>
      </c>
      <c r="F3296" s="11" t="s">
        <v>26</v>
      </c>
      <c r="G3296" s="11" t="s">
        <v>26</v>
      </c>
      <c r="H3296" s="12" t="s">
        <v>4422</v>
      </c>
      <c r="I3296" s="12" t="s">
        <v>27</v>
      </c>
      <c r="J3296" s="12" t="s">
        <v>47</v>
      </c>
      <c r="K3296" s="12" t="s">
        <v>48</v>
      </c>
      <c r="L3296" s="13">
        <v>38.32</v>
      </c>
      <c r="M3296" s="13">
        <v>25</v>
      </c>
      <c r="N3296" s="13">
        <f t="shared" si="1232"/>
        <v>1.5327999999999999</v>
      </c>
      <c r="O3296" s="13">
        <v>87</v>
      </c>
      <c r="P3296" s="13" t="s">
        <v>30</v>
      </c>
      <c r="Q3296" s="13">
        <v>0</v>
      </c>
      <c r="R3296" s="70">
        <f t="shared" si="1236"/>
        <v>3333.84</v>
      </c>
      <c r="S3296" s="70">
        <v>38</v>
      </c>
      <c r="T3296" s="70">
        <f t="shared" si="1237"/>
        <v>1456.16</v>
      </c>
      <c r="U3296" s="70">
        <f t="shared" si="1238"/>
        <v>1877.68</v>
      </c>
      <c r="V3296" s="70">
        <f>U3296*1</f>
        <v>1877.68</v>
      </c>
      <c r="W3296" s="70">
        <f t="shared" si="1239"/>
        <v>0</v>
      </c>
      <c r="X3296" s="70">
        <f>L3296*36</f>
        <v>1379.52</v>
      </c>
      <c r="Y3296" s="71">
        <f>+T3296-X3296</f>
        <v>76.6400000000001</v>
      </c>
      <c r="Z3296" s="12" t="s">
        <v>141</v>
      </c>
      <c r="AA3296" s="12" t="s">
        <v>78</v>
      </c>
    </row>
    <row r="3297" spans="1:27" x14ac:dyDescent="0.25">
      <c r="A3297" s="10">
        <v>45707</v>
      </c>
      <c r="B3297" s="11" t="s">
        <v>5959</v>
      </c>
      <c r="C3297" s="11" t="s">
        <v>5960</v>
      </c>
      <c r="D3297" s="11">
        <v>17842</v>
      </c>
      <c r="E3297" s="11" t="s">
        <v>100</v>
      </c>
      <c r="F3297" s="11" t="s">
        <v>26</v>
      </c>
      <c r="G3297" s="11">
        <v>78253</v>
      </c>
      <c r="H3297" s="12" t="s">
        <v>4448</v>
      </c>
      <c r="I3297" s="12" t="s">
        <v>27</v>
      </c>
      <c r="J3297" s="12" t="s">
        <v>42</v>
      </c>
      <c r="K3297" s="12" t="s">
        <v>43</v>
      </c>
      <c r="L3297" s="13">
        <v>43.7</v>
      </c>
      <c r="M3297" s="13">
        <v>25</v>
      </c>
      <c r="N3297" s="13">
        <f t="shared" si="1232"/>
        <v>1.7480000000000002</v>
      </c>
      <c r="O3297" s="13">
        <v>42.5</v>
      </c>
      <c r="P3297" s="13"/>
      <c r="Q3297" s="13">
        <v>0</v>
      </c>
      <c r="R3297" s="70">
        <f>+L3297*O3297</f>
        <v>1857.2500000000002</v>
      </c>
      <c r="S3297" s="70">
        <v>0</v>
      </c>
      <c r="T3297" s="70">
        <f>+L3297*S3297</f>
        <v>0</v>
      </c>
      <c r="U3297" s="70">
        <f>+R3297-T3297</f>
        <v>1857.2500000000002</v>
      </c>
      <c r="V3297" s="70">
        <f>+U3297*0.75</f>
        <v>1392.9375000000002</v>
      </c>
      <c r="W3297" s="70">
        <f>+U3297-V3297</f>
        <v>464.3125</v>
      </c>
      <c r="X3297" s="70">
        <v>0</v>
      </c>
      <c r="Y3297" s="14">
        <f t="shared" ref="Y3297" si="1240">T3297-X3297</f>
        <v>0</v>
      </c>
      <c r="Z3297" s="11" t="s">
        <v>26</v>
      </c>
      <c r="AA3297" s="12" t="s">
        <v>31</v>
      </c>
    </row>
    <row r="3298" spans="1:27" x14ac:dyDescent="0.25">
      <c r="A3298" s="10">
        <v>45707</v>
      </c>
      <c r="B3298" s="11" t="s">
        <v>1439</v>
      </c>
      <c r="C3298" s="11" t="s">
        <v>5961</v>
      </c>
      <c r="D3298" s="11">
        <v>17843</v>
      </c>
      <c r="E3298" s="11" t="s">
        <v>244</v>
      </c>
      <c r="F3298" s="11" t="s">
        <v>26</v>
      </c>
      <c r="G3298" s="11" t="s">
        <v>26</v>
      </c>
      <c r="H3298" s="12" t="s">
        <v>4422</v>
      </c>
      <c r="I3298" s="12" t="s">
        <v>27</v>
      </c>
      <c r="J3298" s="12" t="s">
        <v>42</v>
      </c>
      <c r="K3298" s="12" t="s">
        <v>43</v>
      </c>
      <c r="L3298" s="13">
        <v>44.94</v>
      </c>
      <c r="M3298" s="13">
        <v>25</v>
      </c>
      <c r="N3298" s="13">
        <f t="shared" si="1232"/>
        <v>1.7975999999999999</v>
      </c>
      <c r="O3298" s="13">
        <v>83</v>
      </c>
      <c r="P3298" s="13" t="s">
        <v>30</v>
      </c>
      <c r="Q3298" s="13">
        <v>0</v>
      </c>
      <c r="R3298" s="70">
        <f>L3298*O3298</f>
        <v>3730.02</v>
      </c>
      <c r="S3298" s="70">
        <v>38</v>
      </c>
      <c r="T3298" s="70">
        <f>L3298*S3298</f>
        <v>1707.7199999999998</v>
      </c>
      <c r="U3298" s="70">
        <f>R3298-T3298</f>
        <v>2022.3000000000002</v>
      </c>
      <c r="V3298" s="70">
        <f>U3298*1</f>
        <v>2022.3000000000002</v>
      </c>
      <c r="W3298" s="70">
        <f>U3298-V3298</f>
        <v>0</v>
      </c>
      <c r="X3298" s="70">
        <f>L3298*36</f>
        <v>1617.84</v>
      </c>
      <c r="Y3298" s="71">
        <f>+T3298-X3298</f>
        <v>89.879999999999882</v>
      </c>
      <c r="Z3298" s="12" t="s">
        <v>141</v>
      </c>
      <c r="AA3298" s="12" t="s">
        <v>78</v>
      </c>
    </row>
    <row r="3299" spans="1:27" x14ac:dyDescent="0.25">
      <c r="A3299" s="10">
        <v>45707</v>
      </c>
      <c r="B3299" s="11" t="s">
        <v>2616</v>
      </c>
      <c r="C3299" s="11" t="s">
        <v>5962</v>
      </c>
      <c r="D3299" s="11">
        <v>17844</v>
      </c>
      <c r="E3299" s="11" t="s">
        <v>539</v>
      </c>
      <c r="F3299" s="11" t="s">
        <v>26</v>
      </c>
      <c r="G3299" s="11" t="s">
        <v>26</v>
      </c>
      <c r="H3299" s="12" t="s">
        <v>4422</v>
      </c>
      <c r="I3299" s="12" t="s">
        <v>27</v>
      </c>
      <c r="J3299" s="12" t="s">
        <v>33</v>
      </c>
      <c r="K3299" s="12" t="s">
        <v>34</v>
      </c>
      <c r="L3299" s="13">
        <v>44.36</v>
      </c>
      <c r="M3299" s="13">
        <v>30</v>
      </c>
      <c r="N3299" s="13">
        <f t="shared" si="1232"/>
        <v>1.4786666666666666</v>
      </c>
      <c r="O3299" s="13">
        <v>85</v>
      </c>
      <c r="P3299" s="13" t="s">
        <v>30</v>
      </c>
      <c r="Q3299" s="13">
        <v>0</v>
      </c>
      <c r="R3299" s="70">
        <f t="shared" ref="R3299" si="1241">L3299*O3299</f>
        <v>3770.6</v>
      </c>
      <c r="S3299" s="70">
        <v>38</v>
      </c>
      <c r="T3299" s="70">
        <f t="shared" ref="T3299" si="1242">L3299*S3299</f>
        <v>1685.68</v>
      </c>
      <c r="U3299" s="70">
        <f t="shared" ref="U3299" si="1243">R3299-T3299</f>
        <v>2084.92</v>
      </c>
      <c r="V3299" s="70">
        <f>U3299*1</f>
        <v>2084.92</v>
      </c>
      <c r="W3299" s="70">
        <f t="shared" ref="W3299" si="1244">U3299-V3299</f>
        <v>0</v>
      </c>
      <c r="X3299" s="70">
        <f>L3299*37</f>
        <v>1641.32</v>
      </c>
      <c r="Y3299" s="71">
        <f>+T3299-X3299</f>
        <v>44.360000000000127</v>
      </c>
      <c r="Z3299" s="12" t="s">
        <v>41</v>
      </c>
      <c r="AA3299" s="12" t="s">
        <v>78</v>
      </c>
    </row>
    <row r="3300" spans="1:27" x14ac:dyDescent="0.25">
      <c r="A3300" s="10">
        <v>45707</v>
      </c>
      <c r="B3300" s="11" t="s">
        <v>5963</v>
      </c>
      <c r="C3300" s="11" t="s">
        <v>5964</v>
      </c>
      <c r="D3300" s="11">
        <v>17845</v>
      </c>
      <c r="E3300" s="11" t="s">
        <v>238</v>
      </c>
      <c r="F3300" s="11" t="s">
        <v>26</v>
      </c>
      <c r="G3300" s="11" t="s">
        <v>35</v>
      </c>
      <c r="H3300" s="12" t="s">
        <v>36</v>
      </c>
      <c r="I3300" s="12" t="s">
        <v>55</v>
      </c>
      <c r="J3300" s="12" t="s">
        <v>55</v>
      </c>
      <c r="K3300" s="12" t="s">
        <v>56</v>
      </c>
      <c r="L3300" s="13">
        <v>34.08</v>
      </c>
      <c r="M3300" s="13">
        <v>23</v>
      </c>
      <c r="N3300" s="13">
        <f t="shared" si="1232"/>
        <v>1.4817391304347824</v>
      </c>
      <c r="O3300" s="13">
        <v>20</v>
      </c>
      <c r="P3300" s="13" t="s">
        <v>30</v>
      </c>
      <c r="Q3300" s="13">
        <v>0</v>
      </c>
      <c r="R3300" s="70">
        <f>(L3300*O3300)-Q3300</f>
        <v>681.59999999999991</v>
      </c>
      <c r="S3300" s="70">
        <v>0</v>
      </c>
      <c r="T3300" s="70">
        <f t="shared" ref="T3300" si="1245">+L3300*S3300</f>
        <v>0</v>
      </c>
      <c r="U3300" s="70">
        <f t="shared" ref="U3300" si="1246">+R3300-T3300</f>
        <v>681.59999999999991</v>
      </c>
      <c r="V3300" s="70">
        <f t="shared" ref="V3300" si="1247">+U3300*0</f>
        <v>0</v>
      </c>
      <c r="W3300" s="70">
        <f t="shared" ref="W3300" si="1248">+U3300-V3300</f>
        <v>681.59999999999991</v>
      </c>
      <c r="X3300" s="70">
        <v>0</v>
      </c>
      <c r="Y3300" s="14">
        <f t="shared" ref="Y3300:Y3306" si="1249">T3300-X3300</f>
        <v>0</v>
      </c>
      <c r="Z3300" s="11" t="s">
        <v>26</v>
      </c>
      <c r="AA3300" s="12" t="s">
        <v>31</v>
      </c>
    </row>
    <row r="3301" spans="1:27" x14ac:dyDescent="0.25">
      <c r="A3301" s="10">
        <v>45707</v>
      </c>
      <c r="B3301" s="11" t="s">
        <v>609</v>
      </c>
      <c r="C3301" s="11" t="s">
        <v>5965</v>
      </c>
      <c r="D3301" s="11">
        <v>17846</v>
      </c>
      <c r="E3301" s="11" t="s">
        <v>57</v>
      </c>
      <c r="F3301" s="11" t="s">
        <v>26</v>
      </c>
      <c r="G3301" s="11">
        <v>3312</v>
      </c>
      <c r="H3301" s="12" t="s">
        <v>41</v>
      </c>
      <c r="I3301" s="12" t="s">
        <v>55</v>
      </c>
      <c r="J3301" s="12" t="s">
        <v>566</v>
      </c>
      <c r="K3301" s="12" t="s">
        <v>550</v>
      </c>
      <c r="L3301" s="13">
        <v>39.56</v>
      </c>
      <c r="M3301" s="13">
        <v>25</v>
      </c>
      <c r="N3301" s="13">
        <f t="shared" si="1232"/>
        <v>1.5824</v>
      </c>
      <c r="O3301" s="13">
        <v>25</v>
      </c>
      <c r="P3301" s="13"/>
      <c r="Q3301" s="13">
        <v>0</v>
      </c>
      <c r="R3301" s="70">
        <f>L3301*O3301</f>
        <v>989</v>
      </c>
      <c r="S3301" s="70">
        <v>0</v>
      </c>
      <c r="T3301" s="70">
        <f t="shared" ref="T3301" si="1250">L3301*S3301</f>
        <v>0</v>
      </c>
      <c r="U3301" s="70">
        <f>R3301-T3301</f>
        <v>989</v>
      </c>
      <c r="V3301" s="70">
        <f>U3301*0</f>
        <v>0</v>
      </c>
      <c r="W3301" s="70">
        <f>U3301-V3301</f>
        <v>989</v>
      </c>
      <c r="X3301" s="70">
        <v>0</v>
      </c>
      <c r="Y3301" s="14">
        <f t="shared" si="1249"/>
        <v>0</v>
      </c>
      <c r="Z3301" s="11" t="s">
        <v>26</v>
      </c>
      <c r="AA3301" s="12" t="s">
        <v>31</v>
      </c>
    </row>
    <row r="3302" spans="1:27" x14ac:dyDescent="0.25">
      <c r="A3302" s="10">
        <v>45707</v>
      </c>
      <c r="B3302" s="11" t="s">
        <v>5966</v>
      </c>
      <c r="C3302" s="11" t="s">
        <v>5967</v>
      </c>
      <c r="D3302" s="11">
        <v>17847</v>
      </c>
      <c r="E3302" s="11" t="s">
        <v>461</v>
      </c>
      <c r="F3302" s="11" t="s">
        <v>26</v>
      </c>
      <c r="G3302" s="11" t="s">
        <v>35</v>
      </c>
      <c r="H3302" s="12" t="s">
        <v>36</v>
      </c>
      <c r="I3302" s="12" t="s">
        <v>55</v>
      </c>
      <c r="J3302" s="12" t="s">
        <v>55</v>
      </c>
      <c r="K3302" s="12" t="s">
        <v>56</v>
      </c>
      <c r="L3302" s="13">
        <v>29.2</v>
      </c>
      <c r="M3302" s="13">
        <v>18</v>
      </c>
      <c r="N3302" s="13">
        <f t="shared" si="1232"/>
        <v>1.6222222222222222</v>
      </c>
      <c r="O3302" s="13">
        <v>20</v>
      </c>
      <c r="P3302" s="13" t="s">
        <v>30</v>
      </c>
      <c r="Q3302" s="13">
        <v>0</v>
      </c>
      <c r="R3302" s="70">
        <f>(L3302*O3302)-Q3302</f>
        <v>584</v>
      </c>
      <c r="S3302" s="70">
        <v>0</v>
      </c>
      <c r="T3302" s="70">
        <f t="shared" ref="T3302:T3303" si="1251">+L3302*S3302</f>
        <v>0</v>
      </c>
      <c r="U3302" s="70">
        <f t="shared" ref="U3302:U3303" si="1252">+R3302-T3302</f>
        <v>584</v>
      </c>
      <c r="V3302" s="70">
        <f t="shared" ref="V3302:V3304" si="1253">+U3302*0</f>
        <v>0</v>
      </c>
      <c r="W3302" s="70">
        <f t="shared" ref="W3302:W3303" si="1254">+U3302-V3302</f>
        <v>584</v>
      </c>
      <c r="X3302" s="70">
        <v>0</v>
      </c>
      <c r="Y3302" s="14">
        <f t="shared" si="1249"/>
        <v>0</v>
      </c>
      <c r="Z3302" s="11" t="s">
        <v>26</v>
      </c>
      <c r="AA3302" s="12" t="s">
        <v>31</v>
      </c>
    </row>
    <row r="3303" spans="1:27" x14ac:dyDescent="0.25">
      <c r="A3303" s="10">
        <v>45707</v>
      </c>
      <c r="B3303" s="11" t="s">
        <v>5968</v>
      </c>
      <c r="C3303" s="11" t="s">
        <v>5969</v>
      </c>
      <c r="D3303" s="11">
        <v>17848</v>
      </c>
      <c r="E3303" s="11" t="s">
        <v>4545</v>
      </c>
      <c r="F3303" s="11" t="s">
        <v>26</v>
      </c>
      <c r="G3303" s="11" t="s">
        <v>35</v>
      </c>
      <c r="H3303" s="12" t="s">
        <v>36</v>
      </c>
      <c r="I3303" s="12" t="s">
        <v>55</v>
      </c>
      <c r="J3303" s="12" t="s">
        <v>55</v>
      </c>
      <c r="K3303" s="12" t="s">
        <v>56</v>
      </c>
      <c r="L3303" s="13">
        <v>31.26</v>
      </c>
      <c r="M3303" s="13">
        <v>23</v>
      </c>
      <c r="N3303" s="13">
        <f t="shared" si="1232"/>
        <v>1.3591304347826088</v>
      </c>
      <c r="O3303" s="13">
        <v>20</v>
      </c>
      <c r="P3303" s="13" t="s">
        <v>30</v>
      </c>
      <c r="Q3303" s="13">
        <v>0</v>
      </c>
      <c r="R3303" s="70">
        <f>(L3303*O3303)-Q3303</f>
        <v>625.20000000000005</v>
      </c>
      <c r="S3303" s="70">
        <v>0</v>
      </c>
      <c r="T3303" s="70">
        <f t="shared" si="1251"/>
        <v>0</v>
      </c>
      <c r="U3303" s="70">
        <f t="shared" si="1252"/>
        <v>625.20000000000005</v>
      </c>
      <c r="V3303" s="70">
        <f t="shared" si="1253"/>
        <v>0</v>
      </c>
      <c r="W3303" s="70">
        <f t="shared" si="1254"/>
        <v>625.20000000000005</v>
      </c>
      <c r="X3303" s="70">
        <v>0</v>
      </c>
      <c r="Y3303" s="14">
        <f t="shared" si="1249"/>
        <v>0</v>
      </c>
      <c r="Z3303" s="11" t="s">
        <v>26</v>
      </c>
      <c r="AA3303" s="12" t="s">
        <v>31</v>
      </c>
    </row>
    <row r="3304" spans="1:27" x14ac:dyDescent="0.25">
      <c r="A3304" s="10">
        <v>45707</v>
      </c>
      <c r="B3304" s="11" t="s">
        <v>5970</v>
      </c>
      <c r="C3304" s="11" t="s">
        <v>5971</v>
      </c>
      <c r="D3304" s="11">
        <v>17849</v>
      </c>
      <c r="E3304" s="11" t="s">
        <v>91</v>
      </c>
      <c r="F3304" s="11" t="s">
        <v>26</v>
      </c>
      <c r="G3304" s="11">
        <v>2475</v>
      </c>
      <c r="H3304" s="12" t="s">
        <v>41</v>
      </c>
      <c r="I3304" s="12" t="s">
        <v>27</v>
      </c>
      <c r="J3304" s="12" t="s">
        <v>42</v>
      </c>
      <c r="K3304" s="12" t="s">
        <v>43</v>
      </c>
      <c r="L3304" s="13">
        <v>36.22</v>
      </c>
      <c r="M3304" s="13">
        <v>22</v>
      </c>
      <c r="N3304" s="13">
        <f t="shared" si="1232"/>
        <v>1.6463636363636363</v>
      </c>
      <c r="O3304" s="14" t="s">
        <v>30</v>
      </c>
      <c r="P3304" s="13">
        <v>64</v>
      </c>
      <c r="Q3304" s="13">
        <v>0</v>
      </c>
      <c r="R3304" s="70">
        <f>M3304*P3304</f>
        <v>1408</v>
      </c>
      <c r="S3304" s="70">
        <v>0</v>
      </c>
      <c r="T3304" s="70">
        <f>M3304*S3304</f>
        <v>0</v>
      </c>
      <c r="U3304" s="70">
        <f>+R3304-T3304</f>
        <v>1408</v>
      </c>
      <c r="V3304" s="70">
        <f t="shared" si="1253"/>
        <v>0</v>
      </c>
      <c r="W3304" s="70">
        <f>+U3304-V3304</f>
        <v>1408</v>
      </c>
      <c r="X3304" s="70">
        <v>0</v>
      </c>
      <c r="Y3304" s="14">
        <f t="shared" si="1249"/>
        <v>0</v>
      </c>
      <c r="Z3304" s="11" t="s">
        <v>26</v>
      </c>
      <c r="AA3304" s="12" t="s">
        <v>31</v>
      </c>
    </row>
    <row r="3305" spans="1:27" x14ac:dyDescent="0.25">
      <c r="A3305" s="10">
        <v>45707</v>
      </c>
      <c r="B3305" s="11" t="s">
        <v>273</v>
      </c>
      <c r="C3305" s="11" t="s">
        <v>5972</v>
      </c>
      <c r="D3305" s="11">
        <v>17850</v>
      </c>
      <c r="E3305" s="11" t="s">
        <v>1200</v>
      </c>
      <c r="F3305" s="11" t="s">
        <v>26</v>
      </c>
      <c r="G3305" s="11">
        <v>2978</v>
      </c>
      <c r="H3305" s="12" t="s">
        <v>163</v>
      </c>
      <c r="I3305" s="12" t="s">
        <v>55</v>
      </c>
      <c r="J3305" s="12" t="s">
        <v>566</v>
      </c>
      <c r="K3305" s="12" t="s">
        <v>550</v>
      </c>
      <c r="L3305" s="13">
        <v>40.5</v>
      </c>
      <c r="M3305" s="13">
        <v>25</v>
      </c>
      <c r="N3305" s="13">
        <f t="shared" si="1232"/>
        <v>1.62</v>
      </c>
      <c r="O3305" s="13">
        <v>25</v>
      </c>
      <c r="P3305" s="13"/>
      <c r="Q3305" s="13">
        <v>0</v>
      </c>
      <c r="R3305" s="70">
        <f>L3305*O3305</f>
        <v>1012.5</v>
      </c>
      <c r="S3305" s="70">
        <v>0</v>
      </c>
      <c r="T3305" s="70">
        <f>L3305*S3305</f>
        <v>0</v>
      </c>
      <c r="U3305" s="70">
        <f>R3305-T3305</f>
        <v>1012.5</v>
      </c>
      <c r="V3305" s="70">
        <f>U3305*0</f>
        <v>0</v>
      </c>
      <c r="W3305" s="70">
        <f>U3305-V3305</f>
        <v>1012.5</v>
      </c>
      <c r="X3305" s="70">
        <v>0</v>
      </c>
      <c r="Y3305" s="14">
        <f t="shared" si="1249"/>
        <v>0</v>
      </c>
      <c r="Z3305" s="11" t="s">
        <v>26</v>
      </c>
      <c r="AA3305" s="12" t="s">
        <v>31</v>
      </c>
    </row>
    <row r="3306" spans="1:27" x14ac:dyDescent="0.25">
      <c r="A3306" s="10">
        <v>45707</v>
      </c>
      <c r="B3306" s="11" t="s">
        <v>5817</v>
      </c>
      <c r="C3306" s="11" t="s">
        <v>5973</v>
      </c>
      <c r="D3306" s="11">
        <v>17851</v>
      </c>
      <c r="E3306" s="11" t="s">
        <v>53</v>
      </c>
      <c r="F3306" s="11" t="s">
        <v>26</v>
      </c>
      <c r="G3306" s="11">
        <v>3969</v>
      </c>
      <c r="H3306" s="12" t="s">
        <v>41</v>
      </c>
      <c r="I3306" s="12" t="s">
        <v>27</v>
      </c>
      <c r="J3306" s="12" t="s">
        <v>42</v>
      </c>
      <c r="K3306" s="12" t="s">
        <v>43</v>
      </c>
      <c r="L3306" s="13">
        <v>42.32</v>
      </c>
      <c r="M3306" s="13">
        <v>25</v>
      </c>
      <c r="N3306" s="13">
        <f t="shared" si="1232"/>
        <v>1.6928000000000001</v>
      </c>
      <c r="O3306" s="14" t="s">
        <v>30</v>
      </c>
      <c r="P3306" s="13">
        <v>64</v>
      </c>
      <c r="Q3306" s="13">
        <v>0</v>
      </c>
      <c r="R3306" s="70">
        <f>M3306*P3306</f>
        <v>1600</v>
      </c>
      <c r="S3306" s="70">
        <v>0</v>
      </c>
      <c r="T3306" s="70">
        <f>M3306*S3306</f>
        <v>0</v>
      </c>
      <c r="U3306" s="70">
        <f>+R3306-T3306</f>
        <v>1600</v>
      </c>
      <c r="V3306" s="70">
        <f t="shared" ref="V3306" si="1255">+U3306*0</f>
        <v>0</v>
      </c>
      <c r="W3306" s="70">
        <f>+U3306-V3306</f>
        <v>1600</v>
      </c>
      <c r="X3306" s="70">
        <v>0</v>
      </c>
      <c r="Y3306" s="14">
        <f t="shared" si="1249"/>
        <v>0</v>
      </c>
      <c r="Z3306" s="11" t="s">
        <v>26</v>
      </c>
      <c r="AA3306" s="12" t="s">
        <v>31</v>
      </c>
    </row>
    <row r="3307" spans="1:27" x14ac:dyDescent="0.25">
      <c r="A3307" s="10">
        <v>45707</v>
      </c>
      <c r="B3307" s="11" t="s">
        <v>5974</v>
      </c>
      <c r="C3307" s="11" t="s">
        <v>5975</v>
      </c>
      <c r="D3307" s="11">
        <v>17852</v>
      </c>
      <c r="E3307" s="11" t="s">
        <v>246</v>
      </c>
      <c r="F3307" s="11" t="s">
        <v>26</v>
      </c>
      <c r="G3307" s="11" t="s">
        <v>26</v>
      </c>
      <c r="H3307" s="12" t="s">
        <v>146</v>
      </c>
      <c r="I3307" s="12" t="s">
        <v>27</v>
      </c>
      <c r="J3307" s="12" t="s">
        <v>33</v>
      </c>
      <c r="K3307" s="12" t="s">
        <v>34</v>
      </c>
      <c r="L3307" s="13">
        <v>44.36</v>
      </c>
      <c r="M3307" s="13">
        <v>30</v>
      </c>
      <c r="N3307" s="13">
        <f t="shared" si="1232"/>
        <v>1.4786666666666666</v>
      </c>
      <c r="O3307" s="13">
        <v>91</v>
      </c>
      <c r="P3307" s="13" t="s">
        <v>30</v>
      </c>
      <c r="Q3307" s="13">
        <v>0</v>
      </c>
      <c r="R3307" s="70">
        <f>+L3307*O3307</f>
        <v>4036.7599999999998</v>
      </c>
      <c r="S3307" s="70">
        <v>40</v>
      </c>
      <c r="T3307" s="70">
        <f>L3307*S3307</f>
        <v>1774.4</v>
      </c>
      <c r="U3307" s="70">
        <f t="shared" ref="U3307" si="1256">R3307-T3307</f>
        <v>2262.3599999999997</v>
      </c>
      <c r="V3307" s="70">
        <f>U3307*1</f>
        <v>2262.3599999999997</v>
      </c>
      <c r="W3307" s="70">
        <f t="shared" ref="W3307" si="1257">U3307-V3307</f>
        <v>0</v>
      </c>
      <c r="X3307" s="70">
        <f>L3307*37</f>
        <v>1641.32</v>
      </c>
      <c r="Y3307" s="71">
        <f>+T3307-X3307</f>
        <v>133.08000000000015</v>
      </c>
      <c r="Z3307" s="12" t="s">
        <v>41</v>
      </c>
      <c r="AA3307" s="12" t="s">
        <v>79</v>
      </c>
    </row>
    <row r="3308" spans="1:27" x14ac:dyDescent="0.25">
      <c r="A3308" s="10">
        <v>45707</v>
      </c>
      <c r="B3308" s="11" t="s">
        <v>5976</v>
      </c>
      <c r="C3308" s="11" t="s">
        <v>5977</v>
      </c>
      <c r="D3308" s="11">
        <v>17853</v>
      </c>
      <c r="E3308" s="11" t="s">
        <v>589</v>
      </c>
      <c r="F3308" s="11" t="s">
        <v>26</v>
      </c>
      <c r="G3308" s="11">
        <v>56931</v>
      </c>
      <c r="H3308" s="12" t="s">
        <v>4423</v>
      </c>
      <c r="I3308" s="12" t="s">
        <v>27</v>
      </c>
      <c r="J3308" s="12" t="s">
        <v>33</v>
      </c>
      <c r="K3308" s="12" t="s">
        <v>34</v>
      </c>
      <c r="L3308" s="13">
        <v>36.24</v>
      </c>
      <c r="M3308" s="13">
        <v>25</v>
      </c>
      <c r="N3308" s="13">
        <f t="shared" si="1232"/>
        <v>1.4496</v>
      </c>
      <c r="O3308" s="13">
        <v>45</v>
      </c>
      <c r="P3308" s="13" t="s">
        <v>30</v>
      </c>
      <c r="Q3308" s="13">
        <v>0</v>
      </c>
      <c r="R3308" s="70">
        <f>+L3308*O3308</f>
        <v>1630.8000000000002</v>
      </c>
      <c r="S3308" s="70">
        <v>0</v>
      </c>
      <c r="T3308" s="70">
        <f>+L3308*S3308</f>
        <v>0</v>
      </c>
      <c r="U3308" s="70">
        <f t="shared" ref="U3308:U3309" si="1258">+R3308-T3308</f>
        <v>1630.8000000000002</v>
      </c>
      <c r="V3308" s="70">
        <f>+U3308*1</f>
        <v>1630.8000000000002</v>
      </c>
      <c r="W3308" s="70">
        <f t="shared" ref="W3308:W3309" si="1259">+U3308-V3308</f>
        <v>0</v>
      </c>
      <c r="X3308" s="70">
        <v>0</v>
      </c>
      <c r="Y3308" s="14">
        <f t="shared" ref="Y3308:Y3309" si="1260">T3308-X3308</f>
        <v>0</v>
      </c>
      <c r="Z3308" s="11" t="s">
        <v>26</v>
      </c>
      <c r="AA3308" s="12" t="s">
        <v>31</v>
      </c>
    </row>
    <row r="3309" spans="1:27" x14ac:dyDescent="0.25">
      <c r="A3309" s="10">
        <v>45707</v>
      </c>
      <c r="B3309" s="11" t="s">
        <v>747</v>
      </c>
      <c r="C3309" s="11" t="s">
        <v>5978</v>
      </c>
      <c r="D3309" s="11">
        <v>17854</v>
      </c>
      <c r="E3309" s="11" t="s">
        <v>593</v>
      </c>
      <c r="F3309" s="11" t="s">
        <v>26</v>
      </c>
      <c r="G3309" s="11">
        <v>44341</v>
      </c>
      <c r="H3309" s="12" t="s">
        <v>4423</v>
      </c>
      <c r="I3309" s="12" t="s">
        <v>27</v>
      </c>
      <c r="J3309" s="12" t="s">
        <v>33</v>
      </c>
      <c r="K3309" s="12" t="s">
        <v>34</v>
      </c>
      <c r="L3309" s="13">
        <v>35.32</v>
      </c>
      <c r="M3309" s="13">
        <v>25</v>
      </c>
      <c r="N3309" s="13">
        <f t="shared" si="1232"/>
        <v>1.4128000000000001</v>
      </c>
      <c r="O3309" s="13">
        <v>45</v>
      </c>
      <c r="P3309" s="13" t="s">
        <v>30</v>
      </c>
      <c r="Q3309" s="13">
        <v>0</v>
      </c>
      <c r="R3309" s="70">
        <f>+L3309*O3309</f>
        <v>1589.4</v>
      </c>
      <c r="S3309" s="70">
        <v>0</v>
      </c>
      <c r="T3309" s="70">
        <f>+L3309*S3309</f>
        <v>0</v>
      </c>
      <c r="U3309" s="70">
        <f t="shared" si="1258"/>
        <v>1589.4</v>
      </c>
      <c r="V3309" s="70">
        <f>+U3309*1</f>
        <v>1589.4</v>
      </c>
      <c r="W3309" s="70">
        <f t="shared" si="1259"/>
        <v>0</v>
      </c>
      <c r="X3309" s="70">
        <v>0</v>
      </c>
      <c r="Y3309" s="14">
        <f t="shared" si="1260"/>
        <v>0</v>
      </c>
      <c r="Z3309" s="11" t="s">
        <v>26</v>
      </c>
      <c r="AA3309" s="12" t="s">
        <v>31</v>
      </c>
    </row>
    <row r="3310" spans="1:27" x14ac:dyDescent="0.25">
      <c r="A3310" s="10">
        <v>45707</v>
      </c>
      <c r="B3310" s="11" t="s">
        <v>1687</v>
      </c>
      <c r="C3310" s="11" t="s">
        <v>5979</v>
      </c>
      <c r="D3310" s="11">
        <v>17855</v>
      </c>
      <c r="E3310" s="11" t="s">
        <v>431</v>
      </c>
      <c r="F3310" s="11" t="s">
        <v>26</v>
      </c>
      <c r="G3310" s="11" t="s">
        <v>26</v>
      </c>
      <c r="H3310" s="12" t="s">
        <v>4422</v>
      </c>
      <c r="I3310" s="12" t="s">
        <v>27</v>
      </c>
      <c r="J3310" s="12" t="s">
        <v>42</v>
      </c>
      <c r="K3310" s="12" t="s">
        <v>43</v>
      </c>
      <c r="L3310" s="13">
        <v>44.2</v>
      </c>
      <c r="M3310" s="13">
        <v>25</v>
      </c>
      <c r="N3310" s="13">
        <f t="shared" si="1232"/>
        <v>1.768</v>
      </c>
      <c r="O3310" s="13">
        <v>83</v>
      </c>
      <c r="P3310" s="13" t="s">
        <v>30</v>
      </c>
      <c r="Q3310" s="13">
        <v>0</v>
      </c>
      <c r="R3310" s="70">
        <f>L3310*O3310</f>
        <v>3668.6000000000004</v>
      </c>
      <c r="S3310" s="70">
        <v>38</v>
      </c>
      <c r="T3310" s="70">
        <f>L3310*S3310</f>
        <v>1679.6000000000001</v>
      </c>
      <c r="U3310" s="70">
        <f>R3310-T3310</f>
        <v>1989.0000000000002</v>
      </c>
      <c r="V3310" s="70">
        <f>U3310*1</f>
        <v>1989.0000000000002</v>
      </c>
      <c r="W3310" s="70">
        <f>U3310-V3310</f>
        <v>0</v>
      </c>
      <c r="X3310" s="70">
        <f>L3310*36</f>
        <v>1591.2</v>
      </c>
      <c r="Y3310" s="71">
        <f>+T3310-X3310</f>
        <v>88.400000000000091</v>
      </c>
      <c r="Z3310" s="12" t="s">
        <v>6328</v>
      </c>
      <c r="AA3310" s="12" t="s">
        <v>78</v>
      </c>
    </row>
    <row r="3311" spans="1:27" x14ac:dyDescent="0.25">
      <c r="A3311" s="10">
        <v>45707</v>
      </c>
      <c r="B3311" s="11" t="s">
        <v>5980</v>
      </c>
      <c r="C3311" s="11" t="s">
        <v>5981</v>
      </c>
      <c r="D3311" s="11">
        <v>17856</v>
      </c>
      <c r="E3311" s="11" t="s">
        <v>435</v>
      </c>
      <c r="F3311" s="11" t="s">
        <v>26</v>
      </c>
      <c r="G3311" s="11" t="s">
        <v>26</v>
      </c>
      <c r="H3311" s="12" t="s">
        <v>146</v>
      </c>
      <c r="I3311" s="12" t="s">
        <v>27</v>
      </c>
      <c r="J3311" s="12" t="s">
        <v>47</v>
      </c>
      <c r="K3311" s="12" t="s">
        <v>48</v>
      </c>
      <c r="L3311" s="13">
        <v>42.16</v>
      </c>
      <c r="M3311" s="13">
        <v>29</v>
      </c>
      <c r="N3311" s="13">
        <f t="shared" si="1232"/>
        <v>1.4537931034482758</v>
      </c>
      <c r="O3311" s="13">
        <v>91</v>
      </c>
      <c r="P3311" s="13" t="s">
        <v>30</v>
      </c>
      <c r="Q3311" s="13">
        <v>0</v>
      </c>
      <c r="R3311" s="70">
        <f>+L3311*O3311</f>
        <v>3836.5599999999995</v>
      </c>
      <c r="S3311" s="70">
        <v>40</v>
      </c>
      <c r="T3311" s="70">
        <f>L3311*S3311</f>
        <v>1686.3999999999999</v>
      </c>
      <c r="U3311" s="70">
        <f t="shared" ref="U3311" si="1261">R3311-T3311</f>
        <v>2150.16</v>
      </c>
      <c r="V3311" s="70">
        <f>U3311*1</f>
        <v>2150.16</v>
      </c>
      <c r="W3311" s="70">
        <f t="shared" ref="W3311" si="1262">U3311-V3311</f>
        <v>0</v>
      </c>
      <c r="X3311" s="70">
        <f>L3311*37</f>
        <v>1559.9199999999998</v>
      </c>
      <c r="Y3311" s="71">
        <f>+T3311-X3311</f>
        <v>126.48000000000002</v>
      </c>
      <c r="Z3311" s="12" t="s">
        <v>41</v>
      </c>
      <c r="AA3311" s="12" t="s">
        <v>79</v>
      </c>
    </row>
    <row r="3312" spans="1:27" x14ac:dyDescent="0.25">
      <c r="A3312" s="10">
        <v>45707</v>
      </c>
      <c r="B3312" s="11" t="s">
        <v>318</v>
      </c>
      <c r="C3312" s="11" t="s">
        <v>5982</v>
      </c>
      <c r="D3312" s="11">
        <v>17857</v>
      </c>
      <c r="E3312" s="11" t="s">
        <v>60</v>
      </c>
      <c r="F3312" s="11" t="s">
        <v>26</v>
      </c>
      <c r="G3312" s="11" t="s">
        <v>35</v>
      </c>
      <c r="H3312" s="12" t="s">
        <v>36</v>
      </c>
      <c r="I3312" s="12" t="s">
        <v>27</v>
      </c>
      <c r="J3312" s="12" t="s">
        <v>33</v>
      </c>
      <c r="K3312" s="12" t="s">
        <v>34</v>
      </c>
      <c r="L3312" s="13">
        <v>9.74</v>
      </c>
      <c r="M3312" s="13">
        <v>6</v>
      </c>
      <c r="N3312" s="13">
        <f t="shared" si="1232"/>
        <v>1.6233333333333333</v>
      </c>
      <c r="O3312" s="13">
        <v>50</v>
      </c>
      <c r="P3312" s="13" t="s">
        <v>30</v>
      </c>
      <c r="Q3312" s="13">
        <v>0</v>
      </c>
      <c r="R3312" s="70">
        <f>(L3312*O3312)-Q3312</f>
        <v>487</v>
      </c>
      <c r="S3312" s="70">
        <v>0</v>
      </c>
      <c r="T3312" s="70">
        <f t="shared" ref="T3312" si="1263">+L3312*S3312</f>
        <v>0</v>
      </c>
      <c r="U3312" s="70">
        <f t="shared" ref="U3312:U3313" si="1264">+R3312-T3312</f>
        <v>487</v>
      </c>
      <c r="V3312" s="70">
        <f t="shared" ref="V3312" si="1265">+U3312*0</f>
        <v>0</v>
      </c>
      <c r="W3312" s="70">
        <f t="shared" ref="W3312:W3313" si="1266">+U3312-V3312</f>
        <v>487</v>
      </c>
      <c r="X3312" s="70">
        <v>0</v>
      </c>
      <c r="Y3312" s="14">
        <f t="shared" ref="Y3312:Y3322" si="1267">T3312-X3312</f>
        <v>0</v>
      </c>
      <c r="Z3312" s="11" t="s">
        <v>26</v>
      </c>
      <c r="AA3312" s="12" t="s">
        <v>31</v>
      </c>
    </row>
    <row r="3313" spans="1:27" x14ac:dyDescent="0.25">
      <c r="A3313" s="10">
        <v>45707</v>
      </c>
      <c r="B3313" s="11" t="s">
        <v>5983</v>
      </c>
      <c r="C3313" s="11" t="s">
        <v>5984</v>
      </c>
      <c r="D3313" s="11">
        <v>17858</v>
      </c>
      <c r="E3313" s="11" t="s">
        <v>240</v>
      </c>
      <c r="F3313" s="11" t="s">
        <v>26</v>
      </c>
      <c r="G3313" s="11">
        <v>3006</v>
      </c>
      <c r="H3313" s="12" t="s">
        <v>41</v>
      </c>
      <c r="I3313" s="12" t="s">
        <v>27</v>
      </c>
      <c r="J3313" s="12" t="s">
        <v>33</v>
      </c>
      <c r="K3313" s="12" t="s">
        <v>34</v>
      </c>
      <c r="L3313" s="13">
        <v>38.56</v>
      </c>
      <c r="M3313" s="13">
        <v>25</v>
      </c>
      <c r="N3313" s="13">
        <f t="shared" si="1232"/>
        <v>1.5424</v>
      </c>
      <c r="O3313" s="14" t="s">
        <v>30</v>
      </c>
      <c r="P3313" s="13">
        <v>60</v>
      </c>
      <c r="Q3313" s="13">
        <v>0</v>
      </c>
      <c r="R3313" s="70">
        <f>M3313*P3313</f>
        <v>1500</v>
      </c>
      <c r="S3313" s="70">
        <v>0</v>
      </c>
      <c r="T3313" s="70">
        <f>M3313*S3313</f>
        <v>0</v>
      </c>
      <c r="U3313" s="70">
        <f t="shared" si="1264"/>
        <v>1500</v>
      </c>
      <c r="V3313" s="70">
        <f>+U3313*0</f>
        <v>0</v>
      </c>
      <c r="W3313" s="70">
        <f t="shared" si="1266"/>
        <v>1500</v>
      </c>
      <c r="X3313" s="70">
        <v>0</v>
      </c>
      <c r="Y3313" s="14">
        <f t="shared" si="1267"/>
        <v>0</v>
      </c>
      <c r="Z3313" s="11" t="s">
        <v>26</v>
      </c>
      <c r="AA3313" s="12" t="s">
        <v>31</v>
      </c>
    </row>
    <row r="3314" spans="1:27" x14ac:dyDescent="0.25">
      <c r="A3314" s="10">
        <v>45707</v>
      </c>
      <c r="B3314" s="11" t="s">
        <v>5985</v>
      </c>
      <c r="C3314" s="11" t="s">
        <v>5986</v>
      </c>
      <c r="D3314" s="11">
        <v>17859</v>
      </c>
      <c r="E3314" s="11" t="s">
        <v>539</v>
      </c>
      <c r="F3314" s="11" t="s">
        <v>26</v>
      </c>
      <c r="G3314" s="11">
        <v>3367</v>
      </c>
      <c r="H3314" s="12" t="s">
        <v>41</v>
      </c>
      <c r="I3314" s="12" t="s">
        <v>27</v>
      </c>
      <c r="J3314" s="12" t="s">
        <v>42</v>
      </c>
      <c r="K3314" s="12" t="s">
        <v>43</v>
      </c>
      <c r="L3314" s="13">
        <v>44.98</v>
      </c>
      <c r="M3314" s="13">
        <v>25</v>
      </c>
      <c r="N3314" s="13">
        <f t="shared" si="1232"/>
        <v>1.7991999999999999</v>
      </c>
      <c r="O3314" s="14" t="s">
        <v>30</v>
      </c>
      <c r="P3314" s="13">
        <v>64</v>
      </c>
      <c r="Q3314" s="13">
        <v>0</v>
      </c>
      <c r="R3314" s="70">
        <f>M3314*P3314</f>
        <v>1600</v>
      </c>
      <c r="S3314" s="70">
        <v>0</v>
      </c>
      <c r="T3314" s="70">
        <f>M3314*S3314</f>
        <v>0</v>
      </c>
      <c r="U3314" s="70">
        <f>+R3314-T3314</f>
        <v>1600</v>
      </c>
      <c r="V3314" s="70">
        <f t="shared" ref="V3314" si="1268">+U3314*0</f>
        <v>0</v>
      </c>
      <c r="W3314" s="70">
        <f>+U3314-V3314</f>
        <v>1600</v>
      </c>
      <c r="X3314" s="70">
        <v>0</v>
      </c>
      <c r="Y3314" s="14">
        <f t="shared" si="1267"/>
        <v>0</v>
      </c>
      <c r="Z3314" s="11" t="s">
        <v>26</v>
      </c>
      <c r="AA3314" s="12" t="s">
        <v>31</v>
      </c>
    </row>
    <row r="3315" spans="1:27" x14ac:dyDescent="0.25">
      <c r="A3315" s="10">
        <v>45707</v>
      </c>
      <c r="B3315" s="11" t="s">
        <v>5987</v>
      </c>
      <c r="C3315" s="11" t="s">
        <v>5988</v>
      </c>
      <c r="D3315" s="11">
        <v>17860</v>
      </c>
      <c r="E3315" s="11" t="s">
        <v>230</v>
      </c>
      <c r="F3315" s="11" t="s">
        <v>26</v>
      </c>
      <c r="G3315" s="11">
        <v>26211</v>
      </c>
      <c r="H3315" s="12" t="s">
        <v>565</v>
      </c>
      <c r="I3315" s="12" t="s">
        <v>27</v>
      </c>
      <c r="J3315" s="12" t="s">
        <v>33</v>
      </c>
      <c r="K3315" s="12" t="s">
        <v>34</v>
      </c>
      <c r="L3315" s="13">
        <v>43.76</v>
      </c>
      <c r="M3315" s="13">
        <v>30</v>
      </c>
      <c r="N3315" s="13">
        <f t="shared" si="1232"/>
        <v>1.4586666666666666</v>
      </c>
      <c r="O3315" s="14"/>
      <c r="P3315" s="13">
        <v>60</v>
      </c>
      <c r="Q3315" s="13">
        <v>0</v>
      </c>
      <c r="R3315" s="70">
        <f>M3315*P3315</f>
        <v>1800</v>
      </c>
      <c r="S3315" s="70">
        <v>0</v>
      </c>
      <c r="T3315" s="70">
        <f>M3315*S3315</f>
        <v>0</v>
      </c>
      <c r="U3315" s="70">
        <f>R3315-T3315</f>
        <v>1800</v>
      </c>
      <c r="V3315" s="70">
        <f>U3315*0</f>
        <v>0</v>
      </c>
      <c r="W3315" s="70">
        <f>+U3315-V3315</f>
        <v>1800</v>
      </c>
      <c r="X3315" s="70">
        <v>0</v>
      </c>
      <c r="Y3315" s="14">
        <f t="shared" si="1267"/>
        <v>0</v>
      </c>
      <c r="Z3315" s="11" t="s">
        <v>26</v>
      </c>
      <c r="AA3315" s="12" t="s">
        <v>31</v>
      </c>
    </row>
    <row r="3316" spans="1:27" x14ac:dyDescent="0.25">
      <c r="A3316" s="10">
        <v>45707</v>
      </c>
      <c r="B3316" s="11" t="s">
        <v>5989</v>
      </c>
      <c r="C3316" s="11" t="s">
        <v>5990</v>
      </c>
      <c r="D3316" s="11">
        <v>17861</v>
      </c>
      <c r="E3316" s="11" t="s">
        <v>60</v>
      </c>
      <c r="F3316" s="11" t="s">
        <v>26</v>
      </c>
      <c r="G3316" s="11" t="s">
        <v>35</v>
      </c>
      <c r="H3316" s="12" t="s">
        <v>36</v>
      </c>
      <c r="I3316" s="12" t="s">
        <v>27</v>
      </c>
      <c r="J3316" s="12" t="s">
        <v>42</v>
      </c>
      <c r="K3316" s="12" t="s">
        <v>43</v>
      </c>
      <c r="L3316" s="13">
        <v>6.08</v>
      </c>
      <c r="M3316" s="13">
        <v>4</v>
      </c>
      <c r="N3316" s="13">
        <f t="shared" si="1232"/>
        <v>1.52</v>
      </c>
      <c r="O3316" s="13">
        <v>45</v>
      </c>
      <c r="P3316" s="13" t="s">
        <v>30</v>
      </c>
      <c r="Q3316" s="13">
        <v>0</v>
      </c>
      <c r="R3316" s="70">
        <f>(L3316*O3316)-Q3316</f>
        <v>273.60000000000002</v>
      </c>
      <c r="S3316" s="70">
        <v>0</v>
      </c>
      <c r="T3316" s="70">
        <f t="shared" ref="T3316" si="1269">+L3316*S3316</f>
        <v>0</v>
      </c>
      <c r="U3316" s="70">
        <f t="shared" ref="U3316" si="1270">+R3316-T3316</f>
        <v>273.60000000000002</v>
      </c>
      <c r="V3316" s="70">
        <f>+U3316*0</f>
        <v>0</v>
      </c>
      <c r="W3316" s="70">
        <f t="shared" ref="W3316" si="1271">+U3316-V3316</f>
        <v>273.60000000000002</v>
      </c>
      <c r="X3316" s="70">
        <v>0</v>
      </c>
      <c r="Y3316" s="14">
        <f t="shared" si="1267"/>
        <v>0</v>
      </c>
      <c r="Z3316" s="11" t="s">
        <v>26</v>
      </c>
      <c r="AA3316" s="12" t="s">
        <v>31</v>
      </c>
    </row>
    <row r="3317" spans="1:27" x14ac:dyDescent="0.25">
      <c r="A3317" s="10">
        <v>45707</v>
      </c>
      <c r="B3317" s="11" t="s">
        <v>5991</v>
      </c>
      <c r="C3317" s="11" t="s">
        <v>5992</v>
      </c>
      <c r="D3317" s="11">
        <v>17862</v>
      </c>
      <c r="E3317" s="11" t="s">
        <v>75</v>
      </c>
      <c r="F3317" s="11" t="s">
        <v>26</v>
      </c>
      <c r="G3317" s="11">
        <v>40660</v>
      </c>
      <c r="H3317" s="12" t="s">
        <v>565</v>
      </c>
      <c r="I3317" s="12" t="s">
        <v>27</v>
      </c>
      <c r="J3317" s="12" t="s">
        <v>42</v>
      </c>
      <c r="K3317" s="12" t="s">
        <v>43</v>
      </c>
      <c r="L3317" s="13">
        <v>46.3</v>
      </c>
      <c r="M3317" s="13">
        <v>29</v>
      </c>
      <c r="N3317" s="13">
        <f t="shared" si="1232"/>
        <v>1.596551724137931</v>
      </c>
      <c r="O3317" s="14"/>
      <c r="P3317" s="13">
        <v>64</v>
      </c>
      <c r="Q3317" s="13">
        <v>0</v>
      </c>
      <c r="R3317" s="70">
        <f>M3317*P3317</f>
        <v>1856</v>
      </c>
      <c r="S3317" s="70">
        <v>0</v>
      </c>
      <c r="T3317" s="70">
        <f>M3317*S3317</f>
        <v>0</v>
      </c>
      <c r="U3317" s="70">
        <f>R3317-T3317</f>
        <v>1856</v>
      </c>
      <c r="V3317" s="70">
        <f>U3317*0</f>
        <v>0</v>
      </c>
      <c r="W3317" s="70">
        <f>+U3317-V3317</f>
        <v>1856</v>
      </c>
      <c r="X3317" s="70">
        <v>0</v>
      </c>
      <c r="Y3317" s="14">
        <f t="shared" si="1267"/>
        <v>0</v>
      </c>
      <c r="Z3317" s="11" t="s">
        <v>26</v>
      </c>
      <c r="AA3317" s="12" t="s">
        <v>31</v>
      </c>
    </row>
    <row r="3318" spans="1:27" x14ac:dyDescent="0.25">
      <c r="A3318" s="10">
        <v>45707</v>
      </c>
      <c r="B3318" s="11" t="s">
        <v>3874</v>
      </c>
      <c r="C3318" s="11" t="s">
        <v>5993</v>
      </c>
      <c r="D3318" s="11">
        <v>17863</v>
      </c>
      <c r="E3318" s="11" t="s">
        <v>461</v>
      </c>
      <c r="F3318" s="11" t="s">
        <v>26</v>
      </c>
      <c r="G3318" s="11">
        <v>128</v>
      </c>
      <c r="H3318" s="12" t="s">
        <v>4444</v>
      </c>
      <c r="I3318" s="12" t="s">
        <v>27</v>
      </c>
      <c r="J3318" s="12" t="s">
        <v>47</v>
      </c>
      <c r="K3318" s="12" t="s">
        <v>48</v>
      </c>
      <c r="L3318" s="13">
        <v>28.8</v>
      </c>
      <c r="M3318" s="13">
        <v>20</v>
      </c>
      <c r="N3318" s="13">
        <f t="shared" si="1232"/>
        <v>1.44</v>
      </c>
      <c r="O3318" s="13">
        <v>42</v>
      </c>
      <c r="P3318" s="13" t="s">
        <v>30</v>
      </c>
      <c r="Q3318" s="13">
        <v>0</v>
      </c>
      <c r="R3318" s="70">
        <f>L3318*O3318</f>
        <v>1209.6000000000001</v>
      </c>
      <c r="S3318" s="70">
        <v>0</v>
      </c>
      <c r="T3318" s="70">
        <f>L3318*S3318</f>
        <v>0</v>
      </c>
      <c r="U3318" s="70">
        <f>R3318-T3318</f>
        <v>1209.6000000000001</v>
      </c>
      <c r="V3318" s="70">
        <f>U3318*0</f>
        <v>0</v>
      </c>
      <c r="W3318" s="70">
        <f>U3318-V3318</f>
        <v>1209.6000000000001</v>
      </c>
      <c r="X3318" s="70">
        <v>0</v>
      </c>
      <c r="Y3318" s="14">
        <f t="shared" si="1267"/>
        <v>0</v>
      </c>
      <c r="Z3318" s="11" t="s">
        <v>26</v>
      </c>
      <c r="AA3318" s="12" t="s">
        <v>31</v>
      </c>
    </row>
    <row r="3319" spans="1:27" x14ac:dyDescent="0.25">
      <c r="A3319" s="10">
        <v>45707</v>
      </c>
      <c r="B3319" s="11" t="s">
        <v>1383</v>
      </c>
      <c r="C3319" s="11" t="s">
        <v>5994</v>
      </c>
      <c r="D3319" s="11">
        <v>17864</v>
      </c>
      <c r="E3319" s="11" t="s">
        <v>57</v>
      </c>
      <c r="F3319" s="11" t="s">
        <v>26</v>
      </c>
      <c r="G3319" s="11">
        <v>3313</v>
      </c>
      <c r="H3319" s="12" t="s">
        <v>41</v>
      </c>
      <c r="I3319" s="12" t="s">
        <v>27</v>
      </c>
      <c r="J3319" s="12" t="s">
        <v>42</v>
      </c>
      <c r="K3319" s="12" t="s">
        <v>43</v>
      </c>
      <c r="L3319" s="13">
        <v>42.98</v>
      </c>
      <c r="M3319" s="13">
        <v>25</v>
      </c>
      <c r="N3319" s="13">
        <f t="shared" si="1232"/>
        <v>1.7191999999999998</v>
      </c>
      <c r="O3319" s="14" t="s">
        <v>30</v>
      </c>
      <c r="P3319" s="13">
        <v>64</v>
      </c>
      <c r="Q3319" s="13">
        <v>0</v>
      </c>
      <c r="R3319" s="70">
        <f>M3319*P3319</f>
        <v>1600</v>
      </c>
      <c r="S3319" s="70">
        <v>0</v>
      </c>
      <c r="T3319" s="70">
        <f>M3319*S3319</f>
        <v>0</v>
      </c>
      <c r="U3319" s="70">
        <f>+R3319-T3319</f>
        <v>1600</v>
      </c>
      <c r="V3319" s="70">
        <f t="shared" ref="V3319" si="1272">+U3319*0</f>
        <v>0</v>
      </c>
      <c r="W3319" s="70">
        <f>+U3319-V3319</f>
        <v>1600</v>
      </c>
      <c r="X3319" s="70">
        <v>0</v>
      </c>
      <c r="Y3319" s="14">
        <f t="shared" si="1267"/>
        <v>0</v>
      </c>
      <c r="Z3319" s="11" t="s">
        <v>26</v>
      </c>
      <c r="AA3319" s="12" t="s">
        <v>31</v>
      </c>
    </row>
    <row r="3320" spans="1:27" x14ac:dyDescent="0.25">
      <c r="A3320" s="10">
        <v>45707</v>
      </c>
      <c r="B3320" s="11" t="s">
        <v>2756</v>
      </c>
      <c r="C3320" s="11" t="s">
        <v>5995</v>
      </c>
      <c r="D3320" s="11">
        <v>17865</v>
      </c>
      <c r="E3320" s="11" t="s">
        <v>1200</v>
      </c>
      <c r="F3320" s="11" t="s">
        <v>26</v>
      </c>
      <c r="G3320" s="11">
        <v>2980</v>
      </c>
      <c r="H3320" s="12" t="s">
        <v>163</v>
      </c>
      <c r="I3320" s="12" t="s">
        <v>55</v>
      </c>
      <c r="J3320" s="12" t="s">
        <v>566</v>
      </c>
      <c r="K3320" s="12" t="s">
        <v>550</v>
      </c>
      <c r="L3320" s="13">
        <v>41.14</v>
      </c>
      <c r="M3320" s="13">
        <v>25</v>
      </c>
      <c r="N3320" s="13">
        <f t="shared" si="1232"/>
        <v>1.6456</v>
      </c>
      <c r="O3320" s="13">
        <v>25</v>
      </c>
      <c r="P3320" s="13"/>
      <c r="Q3320" s="13">
        <v>0</v>
      </c>
      <c r="R3320" s="70">
        <f>L3320*O3320</f>
        <v>1028.5</v>
      </c>
      <c r="S3320" s="70">
        <v>0</v>
      </c>
      <c r="T3320" s="70">
        <f>L3320*S3320</f>
        <v>0</v>
      </c>
      <c r="U3320" s="70">
        <f>R3320-T3320</f>
        <v>1028.5</v>
      </c>
      <c r="V3320" s="70">
        <f>U3320*0</f>
        <v>0</v>
      </c>
      <c r="W3320" s="70">
        <f>U3320-V3320</f>
        <v>1028.5</v>
      </c>
      <c r="X3320" s="70">
        <v>0</v>
      </c>
      <c r="Y3320" s="14">
        <f t="shared" si="1267"/>
        <v>0</v>
      </c>
      <c r="Z3320" s="11" t="s">
        <v>26</v>
      </c>
      <c r="AA3320" s="12" t="s">
        <v>31</v>
      </c>
    </row>
    <row r="3321" spans="1:27" x14ac:dyDescent="0.25">
      <c r="A3321" s="10">
        <v>45707</v>
      </c>
      <c r="B3321" s="11" t="s">
        <v>5996</v>
      </c>
      <c r="C3321" s="11" t="s">
        <v>5997</v>
      </c>
      <c r="D3321" s="11">
        <v>17866</v>
      </c>
      <c r="E3321" s="11" t="s">
        <v>184</v>
      </c>
      <c r="F3321" s="11" t="s">
        <v>26</v>
      </c>
      <c r="G3321" s="11">
        <v>1023</v>
      </c>
      <c r="H3321" s="12" t="s">
        <v>141</v>
      </c>
      <c r="I3321" s="12" t="s">
        <v>27</v>
      </c>
      <c r="J3321" s="12" t="s">
        <v>33</v>
      </c>
      <c r="K3321" s="12" t="s">
        <v>34</v>
      </c>
      <c r="L3321" s="13">
        <v>38.08</v>
      </c>
      <c r="M3321" s="13">
        <v>25</v>
      </c>
      <c r="N3321" s="13">
        <f t="shared" si="1232"/>
        <v>1.5231999999999999</v>
      </c>
      <c r="O3321" s="13">
        <v>40</v>
      </c>
      <c r="P3321" s="13" t="s">
        <v>30</v>
      </c>
      <c r="Q3321" s="13">
        <v>0</v>
      </c>
      <c r="R3321" s="70">
        <f>L3321*O3321</f>
        <v>1523.1999999999998</v>
      </c>
      <c r="S3321" s="70">
        <v>0</v>
      </c>
      <c r="T3321" s="70">
        <f>L3321*S3321</f>
        <v>0</v>
      </c>
      <c r="U3321" s="70">
        <f>R3321-T3321</f>
        <v>1523.1999999999998</v>
      </c>
      <c r="V3321" s="70">
        <f>U3321*0</f>
        <v>0</v>
      </c>
      <c r="W3321" s="70">
        <f>U3321-V3321</f>
        <v>1523.1999999999998</v>
      </c>
      <c r="X3321" s="70">
        <v>0</v>
      </c>
      <c r="Y3321" s="14">
        <f t="shared" si="1267"/>
        <v>0</v>
      </c>
      <c r="Z3321" s="11" t="s">
        <v>26</v>
      </c>
      <c r="AA3321" s="12" t="s">
        <v>31</v>
      </c>
    </row>
    <row r="3322" spans="1:27" x14ac:dyDescent="0.25">
      <c r="A3322" s="10">
        <v>45707</v>
      </c>
      <c r="B3322" s="11" t="s">
        <v>5998</v>
      </c>
      <c r="C3322" s="11" t="s">
        <v>5999</v>
      </c>
      <c r="D3322" s="11">
        <v>17867</v>
      </c>
      <c r="E3322" s="11" t="s">
        <v>605</v>
      </c>
      <c r="F3322" s="11" t="s">
        <v>26</v>
      </c>
      <c r="G3322" s="11">
        <v>2979</v>
      </c>
      <c r="H3322" s="12" t="s">
        <v>163</v>
      </c>
      <c r="I3322" s="12" t="s">
        <v>27</v>
      </c>
      <c r="J3322" s="12" t="s">
        <v>42</v>
      </c>
      <c r="K3322" s="12" t="s">
        <v>43</v>
      </c>
      <c r="L3322" s="13">
        <v>40.92</v>
      </c>
      <c r="M3322" s="13">
        <v>25</v>
      </c>
      <c r="N3322" s="13">
        <f t="shared" si="1232"/>
        <v>1.6368</v>
      </c>
      <c r="O3322" s="14" t="s">
        <v>30</v>
      </c>
      <c r="P3322" s="13">
        <v>64</v>
      </c>
      <c r="Q3322" s="13">
        <v>0</v>
      </c>
      <c r="R3322" s="70">
        <f>M3322*P3322</f>
        <v>1600</v>
      </c>
      <c r="S3322" s="70">
        <v>0</v>
      </c>
      <c r="T3322" s="70">
        <f>M3322*S3322</f>
        <v>0</v>
      </c>
      <c r="U3322" s="70">
        <f>R3322-T3322</f>
        <v>1600</v>
      </c>
      <c r="V3322" s="70">
        <f t="shared" ref="V3322" si="1273">U3322*0</f>
        <v>0</v>
      </c>
      <c r="W3322" s="70">
        <f t="shared" ref="W3322:W3323" si="1274">U3322-V3322</f>
        <v>1600</v>
      </c>
      <c r="X3322" s="70">
        <v>0</v>
      </c>
      <c r="Y3322" s="14">
        <f t="shared" si="1267"/>
        <v>0</v>
      </c>
      <c r="Z3322" s="11" t="s">
        <v>26</v>
      </c>
      <c r="AA3322" s="12" t="s">
        <v>31</v>
      </c>
    </row>
    <row r="3323" spans="1:27" x14ac:dyDescent="0.25">
      <c r="A3323" s="10">
        <v>45707</v>
      </c>
      <c r="B3323" s="11" t="s">
        <v>6000</v>
      </c>
      <c r="C3323" s="11" t="s">
        <v>6001</v>
      </c>
      <c r="D3323" s="11">
        <v>17868</v>
      </c>
      <c r="E3323" s="11" t="s">
        <v>81</v>
      </c>
      <c r="F3323" s="11" t="s">
        <v>26</v>
      </c>
      <c r="G3323" s="11" t="s">
        <v>26</v>
      </c>
      <c r="H3323" s="12" t="s">
        <v>4422</v>
      </c>
      <c r="I3323" s="12" t="s">
        <v>27</v>
      </c>
      <c r="J3323" s="12" t="s">
        <v>33</v>
      </c>
      <c r="K3323" s="12" t="s">
        <v>34</v>
      </c>
      <c r="L3323" s="13">
        <v>42.44</v>
      </c>
      <c r="M3323" s="13">
        <v>29</v>
      </c>
      <c r="N3323" s="13">
        <f t="shared" si="1232"/>
        <v>1.4634482758620688</v>
      </c>
      <c r="O3323" s="13">
        <v>85</v>
      </c>
      <c r="P3323" s="13" t="s">
        <v>30</v>
      </c>
      <c r="Q3323" s="13">
        <v>0</v>
      </c>
      <c r="R3323" s="70">
        <f t="shared" ref="R3323" si="1275">L3323*O3323</f>
        <v>3607.3999999999996</v>
      </c>
      <c r="S3323" s="70">
        <v>38</v>
      </c>
      <c r="T3323" s="70">
        <f t="shared" ref="T3323" si="1276">L3323*S3323</f>
        <v>1612.7199999999998</v>
      </c>
      <c r="U3323" s="70">
        <f t="shared" ref="U3323" si="1277">R3323-T3323</f>
        <v>1994.6799999999998</v>
      </c>
      <c r="V3323" s="70">
        <f>U3323*1</f>
        <v>1994.6799999999998</v>
      </c>
      <c r="W3323" s="70">
        <f t="shared" si="1274"/>
        <v>0</v>
      </c>
      <c r="X3323" s="70">
        <f>L3323*36</f>
        <v>1527.84</v>
      </c>
      <c r="Y3323" s="71">
        <f>+T3323-X3323</f>
        <v>84.879999999999882</v>
      </c>
      <c r="Z3323" s="12" t="s">
        <v>141</v>
      </c>
      <c r="AA3323" s="12" t="s">
        <v>78</v>
      </c>
    </row>
    <row r="3324" spans="1:27" x14ac:dyDescent="0.25">
      <c r="A3324" s="10">
        <v>45707</v>
      </c>
      <c r="B3324" s="11" t="s">
        <v>5877</v>
      </c>
      <c r="C3324" s="11" t="s">
        <v>6002</v>
      </c>
      <c r="D3324" s="11">
        <v>17869</v>
      </c>
      <c r="E3324" s="11" t="s">
        <v>501</v>
      </c>
      <c r="F3324" s="11" t="s">
        <v>26</v>
      </c>
      <c r="G3324" s="11" t="s">
        <v>26</v>
      </c>
      <c r="H3324" s="12" t="s">
        <v>4422</v>
      </c>
      <c r="I3324" s="12" t="s">
        <v>27</v>
      </c>
      <c r="J3324" s="12" t="s">
        <v>42</v>
      </c>
      <c r="K3324" s="12" t="s">
        <v>43</v>
      </c>
      <c r="L3324" s="13">
        <v>45.3</v>
      </c>
      <c r="M3324" s="13">
        <v>28</v>
      </c>
      <c r="N3324" s="13">
        <f t="shared" si="1232"/>
        <v>1.6178571428571427</v>
      </c>
      <c r="O3324" s="13">
        <v>83</v>
      </c>
      <c r="P3324" s="13" t="s">
        <v>30</v>
      </c>
      <c r="Q3324" s="13">
        <v>0</v>
      </c>
      <c r="R3324" s="70">
        <f>L3324*O3324</f>
        <v>3759.8999999999996</v>
      </c>
      <c r="S3324" s="70">
        <v>38</v>
      </c>
      <c r="T3324" s="70">
        <f>L3324*S3324</f>
        <v>1721.3999999999999</v>
      </c>
      <c r="U3324" s="70">
        <f>R3324-T3324</f>
        <v>2038.4999999999998</v>
      </c>
      <c r="V3324" s="70">
        <f>U3324*1</f>
        <v>2038.4999999999998</v>
      </c>
      <c r="W3324" s="70">
        <f>U3324-V3324</f>
        <v>0</v>
      </c>
      <c r="X3324" s="70">
        <f>L3324*36</f>
        <v>1630.8</v>
      </c>
      <c r="Y3324" s="71">
        <f>+T3324-X3324</f>
        <v>90.599999999999909</v>
      </c>
      <c r="Z3324" s="12" t="s">
        <v>141</v>
      </c>
      <c r="AA3324" s="12" t="s">
        <v>78</v>
      </c>
    </row>
    <row r="3325" spans="1:27" x14ac:dyDescent="0.25">
      <c r="A3325" s="10">
        <v>45707</v>
      </c>
      <c r="B3325" s="11" t="s">
        <v>5433</v>
      </c>
      <c r="C3325" s="11" t="s">
        <v>6003</v>
      </c>
      <c r="D3325" s="11">
        <v>17870</v>
      </c>
      <c r="E3325" s="11" t="s">
        <v>44</v>
      </c>
      <c r="F3325" s="11" t="s">
        <v>26</v>
      </c>
      <c r="G3325" s="11">
        <v>1661</v>
      </c>
      <c r="H3325" s="12" t="s">
        <v>45</v>
      </c>
      <c r="I3325" s="12" t="s">
        <v>27</v>
      </c>
      <c r="J3325" s="12" t="s">
        <v>42</v>
      </c>
      <c r="K3325" s="12" t="s">
        <v>43</v>
      </c>
      <c r="L3325" s="13">
        <v>44.58</v>
      </c>
      <c r="M3325" s="13">
        <v>25</v>
      </c>
      <c r="N3325" s="13">
        <f t="shared" si="1232"/>
        <v>1.7831999999999999</v>
      </c>
      <c r="O3325" s="14" t="s">
        <v>30</v>
      </c>
      <c r="P3325" s="13">
        <v>62</v>
      </c>
      <c r="Q3325" s="13">
        <v>0</v>
      </c>
      <c r="R3325" s="70">
        <f>M3325*P3325</f>
        <v>1550</v>
      </c>
      <c r="S3325" s="70">
        <v>0</v>
      </c>
      <c r="T3325" s="70">
        <f>M3325*S3325</f>
        <v>0</v>
      </c>
      <c r="U3325" s="70">
        <f>R3325-T3325</f>
        <v>1550</v>
      </c>
      <c r="V3325" s="70">
        <f>U3325*0</f>
        <v>0</v>
      </c>
      <c r="W3325" s="70">
        <f>U3325-V3325</f>
        <v>1550</v>
      </c>
      <c r="X3325" s="70">
        <v>0</v>
      </c>
      <c r="Y3325" s="14">
        <f t="shared" ref="Y3325:Y3340" si="1278">T3325-X3325</f>
        <v>0</v>
      </c>
      <c r="Z3325" s="11" t="s">
        <v>26</v>
      </c>
      <c r="AA3325" s="12" t="s">
        <v>31</v>
      </c>
    </row>
    <row r="3326" spans="1:27" x14ac:dyDescent="0.25">
      <c r="A3326" s="10">
        <v>45707</v>
      </c>
      <c r="B3326" s="11" t="s">
        <v>1488</v>
      </c>
      <c r="C3326" s="11" t="s">
        <v>6004</v>
      </c>
      <c r="D3326" s="11">
        <v>17871</v>
      </c>
      <c r="E3326" s="11" t="s">
        <v>5103</v>
      </c>
      <c r="F3326" s="11" t="s">
        <v>26</v>
      </c>
      <c r="G3326" s="11">
        <v>78106</v>
      </c>
      <c r="H3326" s="12" t="s">
        <v>4448</v>
      </c>
      <c r="I3326" s="12" t="s">
        <v>27</v>
      </c>
      <c r="J3326" s="12" t="s">
        <v>42</v>
      </c>
      <c r="K3326" s="12" t="s">
        <v>43</v>
      </c>
      <c r="L3326" s="13">
        <v>46.12</v>
      </c>
      <c r="M3326" s="13">
        <v>29</v>
      </c>
      <c r="N3326" s="13">
        <f t="shared" si="1232"/>
        <v>1.5903448275862069</v>
      </c>
      <c r="O3326" s="13">
        <v>42.5</v>
      </c>
      <c r="P3326" s="13"/>
      <c r="Q3326" s="13">
        <v>0</v>
      </c>
      <c r="R3326" s="70">
        <f>+L3326*O3326</f>
        <v>1960.1</v>
      </c>
      <c r="S3326" s="70">
        <v>0</v>
      </c>
      <c r="T3326" s="70">
        <f>+L3326*S3326</f>
        <v>0</v>
      </c>
      <c r="U3326" s="70">
        <f>+R3326-T3326</f>
        <v>1960.1</v>
      </c>
      <c r="V3326" s="70">
        <f>+U3326*0.75</f>
        <v>1470.0749999999998</v>
      </c>
      <c r="W3326" s="70">
        <f>+U3326-V3326</f>
        <v>490.02500000000009</v>
      </c>
      <c r="X3326" s="70">
        <v>0</v>
      </c>
      <c r="Y3326" s="14">
        <f t="shared" si="1278"/>
        <v>0</v>
      </c>
      <c r="Z3326" s="11" t="s">
        <v>26</v>
      </c>
      <c r="AA3326" s="12" t="s">
        <v>31</v>
      </c>
    </row>
    <row r="3327" spans="1:27" x14ac:dyDescent="0.25">
      <c r="A3327" s="10">
        <v>45707</v>
      </c>
      <c r="B3327" s="11" t="s">
        <v>3795</v>
      </c>
      <c r="C3327" s="11" t="s">
        <v>6005</v>
      </c>
      <c r="D3327" s="11">
        <v>17872</v>
      </c>
      <c r="E3327" s="11" t="s">
        <v>203</v>
      </c>
      <c r="F3327" s="11" t="s">
        <v>26</v>
      </c>
      <c r="G3327" s="11" t="s">
        <v>35</v>
      </c>
      <c r="H3327" s="12" t="s">
        <v>36</v>
      </c>
      <c r="I3327" s="12" t="s">
        <v>55</v>
      </c>
      <c r="J3327" s="12" t="s">
        <v>55</v>
      </c>
      <c r="K3327" s="12" t="s">
        <v>56</v>
      </c>
      <c r="L3327" s="13">
        <v>9.8800000000000008</v>
      </c>
      <c r="M3327" s="13">
        <v>6</v>
      </c>
      <c r="N3327" s="13">
        <f t="shared" si="1232"/>
        <v>1.6466666666666667</v>
      </c>
      <c r="O3327" s="13">
        <v>20</v>
      </c>
      <c r="P3327" s="13" t="s">
        <v>30</v>
      </c>
      <c r="Q3327" s="13">
        <v>0</v>
      </c>
      <c r="R3327" s="70">
        <f>(L3327*O3327)-Q3327</f>
        <v>197.60000000000002</v>
      </c>
      <c r="S3327" s="70">
        <v>0</v>
      </c>
      <c r="T3327" s="70">
        <f t="shared" ref="T3327" si="1279">+L3327*S3327</f>
        <v>0</v>
      </c>
      <c r="U3327" s="70">
        <f t="shared" ref="U3327:U3328" si="1280">+R3327-T3327</f>
        <v>197.60000000000002</v>
      </c>
      <c r="V3327" s="70">
        <f t="shared" ref="V3327" si="1281">+U3327*0</f>
        <v>0</v>
      </c>
      <c r="W3327" s="70">
        <f t="shared" ref="W3327:W3328" si="1282">+U3327-V3327</f>
        <v>197.60000000000002</v>
      </c>
      <c r="X3327" s="70">
        <v>0</v>
      </c>
      <c r="Y3327" s="14">
        <f t="shared" si="1278"/>
        <v>0</v>
      </c>
      <c r="Z3327" s="11" t="s">
        <v>26</v>
      </c>
      <c r="AA3327" s="12" t="s">
        <v>31</v>
      </c>
    </row>
    <row r="3328" spans="1:27" x14ac:dyDescent="0.25">
      <c r="A3328" s="10">
        <v>45707</v>
      </c>
      <c r="B3328" s="11" t="s">
        <v>6006</v>
      </c>
      <c r="C3328" s="11" t="s">
        <v>6007</v>
      </c>
      <c r="D3328" s="11">
        <v>17873</v>
      </c>
      <c r="E3328" s="11" t="s">
        <v>53</v>
      </c>
      <c r="F3328" s="11" t="s">
        <v>26</v>
      </c>
      <c r="G3328" s="11">
        <v>3970</v>
      </c>
      <c r="H3328" s="12" t="s">
        <v>41</v>
      </c>
      <c r="I3328" s="12" t="s">
        <v>55</v>
      </c>
      <c r="J3328" s="12" t="s">
        <v>55</v>
      </c>
      <c r="K3328" s="12" t="s">
        <v>56</v>
      </c>
      <c r="L3328" s="13">
        <v>38.96</v>
      </c>
      <c r="M3328" s="13">
        <v>23</v>
      </c>
      <c r="N3328" s="13">
        <f t="shared" si="1232"/>
        <v>1.693913043478261</v>
      </c>
      <c r="O3328" s="14" t="s">
        <v>30</v>
      </c>
      <c r="P3328" s="13">
        <v>24</v>
      </c>
      <c r="Q3328" s="13">
        <v>0</v>
      </c>
      <c r="R3328" s="70">
        <f>+M3328*P3328</f>
        <v>552</v>
      </c>
      <c r="S3328" s="70">
        <v>0</v>
      </c>
      <c r="T3328" s="70">
        <f>+M3328*S3328</f>
        <v>0</v>
      </c>
      <c r="U3328" s="70">
        <f t="shared" si="1280"/>
        <v>552</v>
      </c>
      <c r="V3328" s="70">
        <f>+U3328*0</f>
        <v>0</v>
      </c>
      <c r="W3328" s="70">
        <f t="shared" si="1282"/>
        <v>552</v>
      </c>
      <c r="X3328" s="70">
        <v>0</v>
      </c>
      <c r="Y3328" s="14">
        <f t="shared" si="1278"/>
        <v>0</v>
      </c>
      <c r="Z3328" s="11" t="s">
        <v>26</v>
      </c>
      <c r="AA3328" s="12" t="s">
        <v>31</v>
      </c>
    </row>
    <row r="3329" spans="1:27" x14ac:dyDescent="0.25">
      <c r="A3329" s="10">
        <v>45707</v>
      </c>
      <c r="B3329" s="11" t="s">
        <v>5651</v>
      </c>
      <c r="C3329" s="11" t="s">
        <v>6008</v>
      </c>
      <c r="D3329" s="11">
        <v>17874</v>
      </c>
      <c r="E3329" s="11" t="s">
        <v>49</v>
      </c>
      <c r="F3329" s="11" t="s">
        <v>26</v>
      </c>
      <c r="G3329" s="11">
        <v>1663</v>
      </c>
      <c r="H3329" s="12" t="s">
        <v>45</v>
      </c>
      <c r="I3329" s="12" t="s">
        <v>27</v>
      </c>
      <c r="J3329" s="12" t="s">
        <v>42</v>
      </c>
      <c r="K3329" s="12" t="s">
        <v>43</v>
      </c>
      <c r="L3329" s="13">
        <v>42.4</v>
      </c>
      <c r="M3329" s="13">
        <v>25</v>
      </c>
      <c r="N3329" s="13">
        <f t="shared" si="1232"/>
        <v>1.696</v>
      </c>
      <c r="O3329" s="14" t="s">
        <v>30</v>
      </c>
      <c r="P3329" s="13">
        <v>62</v>
      </c>
      <c r="Q3329" s="13">
        <v>0</v>
      </c>
      <c r="R3329" s="70">
        <f>M3329*P3329</f>
        <v>1550</v>
      </c>
      <c r="S3329" s="70">
        <v>0</v>
      </c>
      <c r="T3329" s="70">
        <f>M3329*S3329</f>
        <v>0</v>
      </c>
      <c r="U3329" s="70">
        <f>R3329-T3329</f>
        <v>1550</v>
      </c>
      <c r="V3329" s="70">
        <f>U3329*0</f>
        <v>0</v>
      </c>
      <c r="W3329" s="70">
        <f>U3329-V3329</f>
        <v>1550</v>
      </c>
      <c r="X3329" s="70">
        <v>0</v>
      </c>
      <c r="Y3329" s="14">
        <f t="shared" si="1278"/>
        <v>0</v>
      </c>
      <c r="Z3329" s="11" t="s">
        <v>26</v>
      </c>
      <c r="AA3329" s="12" t="s">
        <v>31</v>
      </c>
    </row>
    <row r="3330" spans="1:27" x14ac:dyDescent="0.25">
      <c r="A3330" s="10">
        <v>45707</v>
      </c>
      <c r="B3330" s="11" t="s">
        <v>6009</v>
      </c>
      <c r="C3330" s="11" t="s">
        <v>6010</v>
      </c>
      <c r="D3330" s="11">
        <v>17875</v>
      </c>
      <c r="E3330" s="11" t="s">
        <v>461</v>
      </c>
      <c r="F3330" s="11" t="s">
        <v>26</v>
      </c>
      <c r="G3330" s="11" t="s">
        <v>35</v>
      </c>
      <c r="H3330" s="12" t="s">
        <v>36</v>
      </c>
      <c r="I3330" s="12" t="s">
        <v>55</v>
      </c>
      <c r="J3330" s="12" t="s">
        <v>55</v>
      </c>
      <c r="K3330" s="12" t="s">
        <v>56</v>
      </c>
      <c r="L3330" s="13">
        <v>29.02</v>
      </c>
      <c r="M3330" s="13">
        <v>17</v>
      </c>
      <c r="N3330" s="13">
        <f t="shared" si="1232"/>
        <v>1.7070588235294117</v>
      </c>
      <c r="O3330" s="13">
        <v>20</v>
      </c>
      <c r="P3330" s="13" t="s">
        <v>30</v>
      </c>
      <c r="Q3330" s="13">
        <v>0</v>
      </c>
      <c r="R3330" s="70">
        <f>(L3330*O3330)-Q3330</f>
        <v>580.4</v>
      </c>
      <c r="S3330" s="70">
        <v>0</v>
      </c>
      <c r="T3330" s="70">
        <f t="shared" ref="T3330" si="1283">+L3330*S3330</f>
        <v>0</v>
      </c>
      <c r="U3330" s="70">
        <f t="shared" ref="U3330:U3333" si="1284">+R3330-T3330</f>
        <v>580.4</v>
      </c>
      <c r="V3330" s="70">
        <f t="shared" ref="V3330" si="1285">+U3330*0</f>
        <v>0</v>
      </c>
      <c r="W3330" s="70">
        <f t="shared" ref="W3330:W3333" si="1286">+U3330-V3330</f>
        <v>580.4</v>
      </c>
      <c r="X3330" s="70">
        <v>0</v>
      </c>
      <c r="Y3330" s="14">
        <f t="shared" si="1278"/>
        <v>0</v>
      </c>
      <c r="Z3330" s="11" t="s">
        <v>26</v>
      </c>
      <c r="AA3330" s="12" t="s">
        <v>31</v>
      </c>
    </row>
    <row r="3331" spans="1:27" x14ac:dyDescent="0.25">
      <c r="A3331" s="10">
        <v>45707</v>
      </c>
      <c r="B3331" s="11" t="s">
        <v>6011</v>
      </c>
      <c r="C3331" s="11" t="s">
        <v>6012</v>
      </c>
      <c r="D3331" s="11">
        <v>17876</v>
      </c>
      <c r="E3331" s="11" t="s">
        <v>224</v>
      </c>
      <c r="F3331" s="11" t="s">
        <v>26</v>
      </c>
      <c r="G3331" s="11">
        <v>3228</v>
      </c>
      <c r="H3331" s="12" t="s">
        <v>4423</v>
      </c>
      <c r="I3331" s="12" t="s">
        <v>27</v>
      </c>
      <c r="J3331" s="12" t="s">
        <v>33</v>
      </c>
      <c r="K3331" s="12" t="s">
        <v>34</v>
      </c>
      <c r="L3331" s="13">
        <v>35.64</v>
      </c>
      <c r="M3331" s="13">
        <v>25</v>
      </c>
      <c r="N3331" s="13">
        <f t="shared" si="1232"/>
        <v>1.4256</v>
      </c>
      <c r="O3331" s="13">
        <v>45</v>
      </c>
      <c r="P3331" s="13" t="s">
        <v>30</v>
      </c>
      <c r="Q3331" s="13">
        <v>0</v>
      </c>
      <c r="R3331" s="70">
        <f>+L3331*O3331</f>
        <v>1603.8</v>
      </c>
      <c r="S3331" s="70">
        <v>0</v>
      </c>
      <c r="T3331" s="70">
        <f>+L3331*S3331</f>
        <v>0</v>
      </c>
      <c r="U3331" s="70">
        <f t="shared" si="1284"/>
        <v>1603.8</v>
      </c>
      <c r="V3331" s="70">
        <f>+U3331*1</f>
        <v>1603.8</v>
      </c>
      <c r="W3331" s="70">
        <f t="shared" si="1286"/>
        <v>0</v>
      </c>
      <c r="X3331" s="70">
        <v>0</v>
      </c>
      <c r="Y3331" s="14">
        <f t="shared" si="1278"/>
        <v>0</v>
      </c>
      <c r="Z3331" s="11" t="s">
        <v>26</v>
      </c>
      <c r="AA3331" s="12" t="s">
        <v>31</v>
      </c>
    </row>
    <row r="3332" spans="1:27" x14ac:dyDescent="0.25">
      <c r="A3332" s="10">
        <v>45707</v>
      </c>
      <c r="B3332" s="11" t="s">
        <v>6013</v>
      </c>
      <c r="C3332" s="11" t="s">
        <v>6014</v>
      </c>
      <c r="D3332" s="11">
        <v>17877</v>
      </c>
      <c r="E3332" s="11" t="s">
        <v>40</v>
      </c>
      <c r="F3332" s="11" t="s">
        <v>26</v>
      </c>
      <c r="G3332" s="11">
        <v>3275</v>
      </c>
      <c r="H3332" s="12" t="s">
        <v>41</v>
      </c>
      <c r="I3332" s="12" t="s">
        <v>55</v>
      </c>
      <c r="J3332" s="12" t="s">
        <v>55</v>
      </c>
      <c r="K3332" s="12" t="s">
        <v>56</v>
      </c>
      <c r="L3332" s="13">
        <v>37.119999999999997</v>
      </c>
      <c r="M3332" s="13">
        <v>22</v>
      </c>
      <c r="N3332" s="13">
        <f t="shared" si="1232"/>
        <v>1.6872727272727273</v>
      </c>
      <c r="O3332" s="14" t="s">
        <v>30</v>
      </c>
      <c r="P3332" s="13">
        <v>24</v>
      </c>
      <c r="Q3332" s="13">
        <v>0</v>
      </c>
      <c r="R3332" s="70">
        <f>+M3332*P3332</f>
        <v>528</v>
      </c>
      <c r="S3332" s="70">
        <v>0</v>
      </c>
      <c r="T3332" s="70">
        <f>+M3332*S3332</f>
        <v>0</v>
      </c>
      <c r="U3332" s="70">
        <f t="shared" si="1284"/>
        <v>528</v>
      </c>
      <c r="V3332" s="70">
        <f>+U3332*0</f>
        <v>0</v>
      </c>
      <c r="W3332" s="70">
        <f t="shared" si="1286"/>
        <v>528</v>
      </c>
      <c r="X3332" s="70">
        <v>0</v>
      </c>
      <c r="Y3332" s="14">
        <f t="shared" si="1278"/>
        <v>0</v>
      </c>
      <c r="Z3332" s="11" t="s">
        <v>26</v>
      </c>
      <c r="AA3332" s="12" t="s">
        <v>31</v>
      </c>
    </row>
    <row r="3333" spans="1:27" x14ac:dyDescent="0.25">
      <c r="A3333" s="10">
        <v>45707</v>
      </c>
      <c r="B3333" s="11" t="s">
        <v>6015</v>
      </c>
      <c r="C3333" s="11" t="s">
        <v>6016</v>
      </c>
      <c r="D3333" s="11">
        <v>17878</v>
      </c>
      <c r="E3333" s="11" t="s">
        <v>552</v>
      </c>
      <c r="F3333" s="11" t="s">
        <v>26</v>
      </c>
      <c r="G3333" s="11">
        <v>44176</v>
      </c>
      <c r="H3333" s="12" t="s">
        <v>4423</v>
      </c>
      <c r="I3333" s="12" t="s">
        <v>27</v>
      </c>
      <c r="J3333" s="12" t="s">
        <v>42</v>
      </c>
      <c r="K3333" s="12" t="s">
        <v>43</v>
      </c>
      <c r="L3333" s="13">
        <v>32.96</v>
      </c>
      <c r="M3333" s="13">
        <v>25</v>
      </c>
      <c r="N3333" s="13">
        <f t="shared" si="1232"/>
        <v>1.3184</v>
      </c>
      <c r="O3333" s="13">
        <v>42</v>
      </c>
      <c r="P3333" s="13" t="s">
        <v>30</v>
      </c>
      <c r="Q3333" s="13">
        <v>0</v>
      </c>
      <c r="R3333" s="70">
        <f t="shared" ref="R3333" si="1287">+L3333*O3333</f>
        <v>1384.32</v>
      </c>
      <c r="S3333" s="70">
        <v>0</v>
      </c>
      <c r="T3333" s="70">
        <f t="shared" ref="T3333" si="1288">+L3333*S3333</f>
        <v>0</v>
      </c>
      <c r="U3333" s="70">
        <f t="shared" si="1284"/>
        <v>1384.32</v>
      </c>
      <c r="V3333" s="70">
        <f>+U3333*1</f>
        <v>1384.32</v>
      </c>
      <c r="W3333" s="70">
        <f t="shared" si="1286"/>
        <v>0</v>
      </c>
      <c r="X3333" s="70">
        <v>0</v>
      </c>
      <c r="Y3333" s="14">
        <f t="shared" si="1278"/>
        <v>0</v>
      </c>
      <c r="Z3333" s="11" t="s">
        <v>26</v>
      </c>
      <c r="AA3333" s="12" t="s">
        <v>31</v>
      </c>
    </row>
    <row r="3334" spans="1:27" x14ac:dyDescent="0.25">
      <c r="A3334" s="10">
        <v>45707</v>
      </c>
      <c r="B3334" s="11" t="s">
        <v>3381</v>
      </c>
      <c r="C3334" s="11" t="s">
        <v>6017</v>
      </c>
      <c r="D3334" s="11">
        <v>17879</v>
      </c>
      <c r="E3334" s="11" t="s">
        <v>67</v>
      </c>
      <c r="F3334" s="11" t="s">
        <v>26</v>
      </c>
      <c r="G3334" s="11">
        <v>1643</v>
      </c>
      <c r="H3334" s="12" t="s">
        <v>66</v>
      </c>
      <c r="I3334" s="12" t="s">
        <v>37</v>
      </c>
      <c r="J3334" s="12" t="s">
        <v>85</v>
      </c>
      <c r="K3334" s="12" t="s">
        <v>86</v>
      </c>
      <c r="L3334" s="13">
        <v>36.36</v>
      </c>
      <c r="M3334" s="13">
        <v>25</v>
      </c>
      <c r="N3334" s="13">
        <f t="shared" si="1232"/>
        <v>1.4543999999999999</v>
      </c>
      <c r="O3334" s="14" t="s">
        <v>30</v>
      </c>
      <c r="P3334" s="13">
        <v>51</v>
      </c>
      <c r="Q3334" s="13">
        <v>0</v>
      </c>
      <c r="R3334" s="70">
        <f>M3334*P3334</f>
        <v>1275</v>
      </c>
      <c r="S3334" s="70">
        <v>0</v>
      </c>
      <c r="T3334" s="70">
        <f>M3334*S3334</f>
        <v>0</v>
      </c>
      <c r="U3334" s="70">
        <f t="shared" ref="U3334:U3335" si="1289">R3334-T3334</f>
        <v>1275</v>
      </c>
      <c r="V3334" s="70">
        <f>U3334*1</f>
        <v>1275</v>
      </c>
      <c r="W3334" s="70">
        <f>U3334-V3334</f>
        <v>0</v>
      </c>
      <c r="X3334" s="70">
        <v>0</v>
      </c>
      <c r="Y3334" s="14">
        <f t="shared" si="1278"/>
        <v>0</v>
      </c>
      <c r="Z3334" s="11" t="s">
        <v>26</v>
      </c>
      <c r="AA3334" s="12" t="s">
        <v>31</v>
      </c>
    </row>
    <row r="3335" spans="1:27" x14ac:dyDescent="0.25">
      <c r="A3335" s="10">
        <v>45707</v>
      </c>
      <c r="B3335" s="11" t="s">
        <v>1059</v>
      </c>
      <c r="C3335" s="11" t="s">
        <v>6018</v>
      </c>
      <c r="D3335" s="11">
        <v>17880</v>
      </c>
      <c r="E3335" s="11" t="s">
        <v>65</v>
      </c>
      <c r="F3335" s="11" t="s">
        <v>26</v>
      </c>
      <c r="G3335" s="11">
        <v>1709</v>
      </c>
      <c r="H3335" s="12" t="s">
        <v>66</v>
      </c>
      <c r="I3335" s="12" t="s">
        <v>37</v>
      </c>
      <c r="J3335" s="12" t="s">
        <v>85</v>
      </c>
      <c r="K3335" s="12" t="s">
        <v>86</v>
      </c>
      <c r="L3335" s="13">
        <v>37.200000000000003</v>
      </c>
      <c r="M3335" s="13">
        <v>25</v>
      </c>
      <c r="N3335" s="13">
        <f t="shared" si="1232"/>
        <v>1.4880000000000002</v>
      </c>
      <c r="O3335" s="14" t="s">
        <v>30</v>
      </c>
      <c r="P3335" s="13">
        <v>51</v>
      </c>
      <c r="Q3335" s="13">
        <v>0</v>
      </c>
      <c r="R3335" s="70">
        <f>M3335*P3335</f>
        <v>1275</v>
      </c>
      <c r="S3335" s="70">
        <v>0</v>
      </c>
      <c r="T3335" s="70">
        <f>M3335*S3335</f>
        <v>0</v>
      </c>
      <c r="U3335" s="70">
        <f t="shared" si="1289"/>
        <v>1275</v>
      </c>
      <c r="V3335" s="70">
        <f>U3335*1</f>
        <v>1275</v>
      </c>
      <c r="W3335" s="70">
        <f>U3335-V3335</f>
        <v>0</v>
      </c>
      <c r="X3335" s="70">
        <v>0</v>
      </c>
      <c r="Y3335" s="14">
        <f t="shared" si="1278"/>
        <v>0</v>
      </c>
      <c r="Z3335" s="11" t="s">
        <v>26</v>
      </c>
      <c r="AA3335" s="12" t="s">
        <v>31</v>
      </c>
    </row>
    <row r="3336" spans="1:27" x14ac:dyDescent="0.25">
      <c r="A3336" s="10">
        <v>45707</v>
      </c>
      <c r="B3336" s="11" t="s">
        <v>6019</v>
      </c>
      <c r="C3336" s="11" t="s">
        <v>6020</v>
      </c>
      <c r="D3336" s="11">
        <v>17881</v>
      </c>
      <c r="E3336" s="11" t="s">
        <v>570</v>
      </c>
      <c r="F3336" s="11" t="s">
        <v>26</v>
      </c>
      <c r="G3336" s="11">
        <v>10761</v>
      </c>
      <c r="H3336" s="12" t="s">
        <v>140</v>
      </c>
      <c r="I3336" s="12" t="s">
        <v>27</v>
      </c>
      <c r="J3336" s="12" t="s">
        <v>47</v>
      </c>
      <c r="K3336" s="12" t="s">
        <v>48</v>
      </c>
      <c r="L3336" s="13">
        <v>40.76</v>
      </c>
      <c r="M3336" s="13">
        <v>28</v>
      </c>
      <c r="N3336" s="13">
        <f t="shared" si="1232"/>
        <v>1.4557142857142857</v>
      </c>
      <c r="O3336" s="13">
        <v>40</v>
      </c>
      <c r="P3336" s="13"/>
      <c r="Q3336" s="13">
        <v>0</v>
      </c>
      <c r="R3336" s="70">
        <f>+L3336*O3336</f>
        <v>1630.3999999999999</v>
      </c>
      <c r="S3336" s="70">
        <v>0</v>
      </c>
      <c r="T3336" s="70">
        <f>+L3336*S3336</f>
        <v>0</v>
      </c>
      <c r="U3336" s="70">
        <f>+R3336-T3336</f>
        <v>1630.3999999999999</v>
      </c>
      <c r="V3336" s="70">
        <f t="shared" ref="V3336" si="1290">+U3336*0</f>
        <v>0</v>
      </c>
      <c r="W3336" s="70">
        <f>+U3336-V3336</f>
        <v>1630.3999999999999</v>
      </c>
      <c r="X3336" s="70">
        <v>0</v>
      </c>
      <c r="Y3336" s="14">
        <f t="shared" si="1278"/>
        <v>0</v>
      </c>
      <c r="Z3336" s="11" t="s">
        <v>26</v>
      </c>
      <c r="AA3336" s="12" t="s">
        <v>31</v>
      </c>
    </row>
    <row r="3337" spans="1:27" x14ac:dyDescent="0.25">
      <c r="A3337" s="10">
        <v>45707</v>
      </c>
      <c r="B3337" s="11" t="s">
        <v>6021</v>
      </c>
      <c r="C3337" s="11" t="s">
        <v>6022</v>
      </c>
      <c r="D3337" s="11">
        <v>17882</v>
      </c>
      <c r="E3337" s="11" t="s">
        <v>3786</v>
      </c>
      <c r="F3337" s="11" t="s">
        <v>26</v>
      </c>
      <c r="G3337" s="11">
        <v>24343</v>
      </c>
      <c r="H3337" s="12" t="s">
        <v>4448</v>
      </c>
      <c r="I3337" s="12" t="s">
        <v>27</v>
      </c>
      <c r="J3337" s="12" t="s">
        <v>33</v>
      </c>
      <c r="K3337" s="12" t="s">
        <v>34</v>
      </c>
      <c r="L3337" s="13">
        <v>43.02</v>
      </c>
      <c r="M3337" s="13">
        <v>29</v>
      </c>
      <c r="N3337" s="13">
        <f t="shared" si="1232"/>
        <v>1.4834482758620691</v>
      </c>
      <c r="O3337" s="13">
        <v>45.33</v>
      </c>
      <c r="P3337" s="13" t="s">
        <v>30</v>
      </c>
      <c r="Q3337" s="13">
        <v>0</v>
      </c>
      <c r="R3337" s="70">
        <f>+L3337*O3337</f>
        <v>1950.0966000000001</v>
      </c>
      <c r="S3337" s="70">
        <v>0</v>
      </c>
      <c r="T3337" s="70">
        <f>+L3337*S3337</f>
        <v>0</v>
      </c>
      <c r="U3337" s="70">
        <f>+R3337-T3337</f>
        <v>1950.0966000000001</v>
      </c>
      <c r="V3337" s="70">
        <f>+U3337*0.75</f>
        <v>1462.5724500000001</v>
      </c>
      <c r="W3337" s="70">
        <f>+U3337-V3337</f>
        <v>487.52414999999996</v>
      </c>
      <c r="X3337" s="70">
        <v>0</v>
      </c>
      <c r="Y3337" s="14">
        <f t="shared" si="1278"/>
        <v>0</v>
      </c>
      <c r="Z3337" s="11" t="s">
        <v>26</v>
      </c>
      <c r="AA3337" s="12" t="s">
        <v>31</v>
      </c>
    </row>
    <row r="3338" spans="1:27" x14ac:dyDescent="0.25">
      <c r="A3338" s="10">
        <v>45707</v>
      </c>
      <c r="B3338" s="11" t="s">
        <v>3559</v>
      </c>
      <c r="C3338" s="11" t="s">
        <v>6023</v>
      </c>
      <c r="D3338" s="11">
        <v>17883</v>
      </c>
      <c r="E3338" s="11" t="s">
        <v>240</v>
      </c>
      <c r="F3338" s="11" t="s">
        <v>26</v>
      </c>
      <c r="G3338" s="11">
        <v>3007</v>
      </c>
      <c r="H3338" s="12" t="s">
        <v>41</v>
      </c>
      <c r="I3338" s="12" t="s">
        <v>55</v>
      </c>
      <c r="J3338" s="12" t="s">
        <v>55</v>
      </c>
      <c r="K3338" s="12" t="s">
        <v>56</v>
      </c>
      <c r="L3338" s="13">
        <v>36.979999999999997</v>
      </c>
      <c r="M3338" s="13">
        <v>22</v>
      </c>
      <c r="N3338" s="13">
        <f t="shared" si="1232"/>
        <v>1.6809090909090907</v>
      </c>
      <c r="O3338" s="14" t="s">
        <v>30</v>
      </c>
      <c r="P3338" s="13">
        <v>24</v>
      </c>
      <c r="Q3338" s="13">
        <v>0</v>
      </c>
      <c r="R3338" s="70">
        <f>+M3338*P3338</f>
        <v>528</v>
      </c>
      <c r="S3338" s="70">
        <v>0</v>
      </c>
      <c r="T3338" s="70">
        <f>+M3338*S3338</f>
        <v>0</v>
      </c>
      <c r="U3338" s="70">
        <f t="shared" ref="U3338:U3339" si="1291">+R3338-T3338</f>
        <v>528</v>
      </c>
      <c r="V3338" s="70">
        <f>+U3338*0</f>
        <v>0</v>
      </c>
      <c r="W3338" s="70">
        <f t="shared" ref="W3338:W3339" si="1292">+U3338-V3338</f>
        <v>528</v>
      </c>
      <c r="X3338" s="70">
        <v>0</v>
      </c>
      <c r="Y3338" s="14">
        <f t="shared" si="1278"/>
        <v>0</v>
      </c>
      <c r="Z3338" s="11" t="s">
        <v>26</v>
      </c>
      <c r="AA3338" s="12" t="s">
        <v>31</v>
      </c>
    </row>
    <row r="3339" spans="1:27" x14ac:dyDescent="0.25">
      <c r="A3339" s="10">
        <v>45707</v>
      </c>
      <c r="B3339" s="11" t="s">
        <v>6024</v>
      </c>
      <c r="C3339" s="11" t="s">
        <v>6025</v>
      </c>
      <c r="D3339" s="11">
        <v>17884</v>
      </c>
      <c r="E3339" s="11" t="s">
        <v>74</v>
      </c>
      <c r="F3339" s="11" t="s">
        <v>26</v>
      </c>
      <c r="G3339" s="11">
        <v>1338</v>
      </c>
      <c r="H3339" s="12" t="s">
        <v>70</v>
      </c>
      <c r="I3339" s="12" t="s">
        <v>27</v>
      </c>
      <c r="J3339" s="12" t="s">
        <v>33</v>
      </c>
      <c r="K3339" s="12" t="s">
        <v>34</v>
      </c>
      <c r="L3339" s="13">
        <v>36.299999999999997</v>
      </c>
      <c r="M3339" s="13">
        <v>25</v>
      </c>
      <c r="N3339" s="13">
        <f t="shared" si="1232"/>
        <v>1.452</v>
      </c>
      <c r="O3339" s="14" t="s">
        <v>30</v>
      </c>
      <c r="P3339" s="13">
        <v>60</v>
      </c>
      <c r="Q3339" s="13">
        <v>0</v>
      </c>
      <c r="R3339" s="70">
        <f>+M3339*P3339</f>
        <v>1500</v>
      </c>
      <c r="S3339" s="70">
        <v>0</v>
      </c>
      <c r="T3339" s="70">
        <f>+M3339*S3339</f>
        <v>0</v>
      </c>
      <c r="U3339" s="70">
        <f t="shared" si="1291"/>
        <v>1500</v>
      </c>
      <c r="V3339" s="70">
        <f>+U3339*0</f>
        <v>0</v>
      </c>
      <c r="W3339" s="70">
        <f t="shared" si="1292"/>
        <v>1500</v>
      </c>
      <c r="X3339" s="70">
        <v>0</v>
      </c>
      <c r="Y3339" s="14">
        <f t="shared" si="1278"/>
        <v>0</v>
      </c>
      <c r="Z3339" s="11" t="s">
        <v>26</v>
      </c>
      <c r="AA3339" s="12" t="s">
        <v>31</v>
      </c>
    </row>
    <row r="3340" spans="1:27" x14ac:dyDescent="0.25">
      <c r="A3340" s="10">
        <v>45707</v>
      </c>
      <c r="B3340" s="11" t="s">
        <v>6026</v>
      </c>
      <c r="C3340" s="11" t="s">
        <v>6027</v>
      </c>
      <c r="D3340" s="11">
        <v>17885</v>
      </c>
      <c r="E3340" s="11" t="s">
        <v>574</v>
      </c>
      <c r="F3340" s="11" t="s">
        <v>26</v>
      </c>
      <c r="G3340" s="11">
        <v>901</v>
      </c>
      <c r="H3340" s="12" t="s">
        <v>141</v>
      </c>
      <c r="I3340" s="12" t="s">
        <v>55</v>
      </c>
      <c r="J3340" s="12" t="s">
        <v>55</v>
      </c>
      <c r="K3340" s="12" t="s">
        <v>56</v>
      </c>
      <c r="L3340" s="13">
        <v>37.68</v>
      </c>
      <c r="M3340" s="13">
        <v>25</v>
      </c>
      <c r="N3340" s="13">
        <f t="shared" si="1232"/>
        <v>1.5072000000000001</v>
      </c>
      <c r="O3340" s="13">
        <v>15</v>
      </c>
      <c r="P3340" s="13" t="s">
        <v>30</v>
      </c>
      <c r="Q3340" s="13">
        <v>0</v>
      </c>
      <c r="R3340" s="70">
        <f>L3340*O3340</f>
        <v>565.20000000000005</v>
      </c>
      <c r="S3340" s="70">
        <v>0</v>
      </c>
      <c r="T3340" s="70">
        <f>L3340*S3340</f>
        <v>0</v>
      </c>
      <c r="U3340" s="70">
        <f>R3340-T3340</f>
        <v>565.20000000000005</v>
      </c>
      <c r="V3340" s="70">
        <f>U3340*0</f>
        <v>0</v>
      </c>
      <c r="W3340" s="70">
        <f>U3340-V3340</f>
        <v>565.20000000000005</v>
      </c>
      <c r="X3340" s="70">
        <v>0</v>
      </c>
      <c r="Y3340" s="14">
        <f t="shared" si="1278"/>
        <v>0</v>
      </c>
      <c r="Z3340" s="11" t="s">
        <v>26</v>
      </c>
      <c r="AA3340" s="12" t="s">
        <v>31</v>
      </c>
    </row>
    <row r="3341" spans="1:27" x14ac:dyDescent="0.25">
      <c r="A3341" s="10">
        <v>45707</v>
      </c>
      <c r="B3341" s="11" t="s">
        <v>6028</v>
      </c>
      <c r="C3341" s="11" t="s">
        <v>6029</v>
      </c>
      <c r="D3341" s="11">
        <v>17886</v>
      </c>
      <c r="E3341" s="11" t="s">
        <v>184</v>
      </c>
      <c r="F3341" s="11" t="s">
        <v>26</v>
      </c>
      <c r="G3341" s="11" t="s">
        <v>26</v>
      </c>
      <c r="H3341" s="12" t="s">
        <v>4423</v>
      </c>
      <c r="I3341" s="12" t="s">
        <v>27</v>
      </c>
      <c r="J3341" s="12" t="s">
        <v>33</v>
      </c>
      <c r="K3341" s="12" t="s">
        <v>34</v>
      </c>
      <c r="L3341" s="13">
        <v>42.24</v>
      </c>
      <c r="M3341" s="13">
        <v>28</v>
      </c>
      <c r="N3341" s="13">
        <f t="shared" si="1232"/>
        <v>1.5085714285714287</v>
      </c>
      <c r="O3341" s="13">
        <f>45+43</f>
        <v>88</v>
      </c>
      <c r="P3341" s="13" t="s">
        <v>30</v>
      </c>
      <c r="Q3341" s="13">
        <v>0</v>
      </c>
      <c r="R3341" s="70">
        <f>L3341*O3341</f>
        <v>3717.1200000000003</v>
      </c>
      <c r="S3341" s="70">
        <v>43</v>
      </c>
      <c r="T3341" s="70">
        <f>L3341*S3341</f>
        <v>1816.3200000000002</v>
      </c>
      <c r="U3341" s="70">
        <f>R3341-T3341</f>
        <v>1900.8000000000002</v>
      </c>
      <c r="V3341" s="70">
        <f>U3341*1</f>
        <v>1900.8000000000002</v>
      </c>
      <c r="W3341" s="70">
        <f>U3341-V3341</f>
        <v>0</v>
      </c>
      <c r="X3341" s="70">
        <f>L3341*42</f>
        <v>1774.0800000000002</v>
      </c>
      <c r="Y3341" s="14">
        <f>T3341-X3341</f>
        <v>42.240000000000009</v>
      </c>
      <c r="Z3341" s="12" t="s">
        <v>141</v>
      </c>
      <c r="AA3341" s="12" t="s">
        <v>6030</v>
      </c>
    </row>
    <row r="3342" spans="1:27" x14ac:dyDescent="0.25">
      <c r="A3342" s="10">
        <v>45707</v>
      </c>
      <c r="B3342" s="11" t="s">
        <v>4046</v>
      </c>
      <c r="C3342" s="11" t="s">
        <v>6031</v>
      </c>
      <c r="D3342" s="11">
        <v>17887</v>
      </c>
      <c r="E3342" s="11" t="s">
        <v>3637</v>
      </c>
      <c r="F3342" s="11" t="s">
        <v>26</v>
      </c>
      <c r="G3342" s="11" t="s">
        <v>35</v>
      </c>
      <c r="H3342" s="12" t="s">
        <v>36</v>
      </c>
      <c r="I3342" s="12" t="s">
        <v>27</v>
      </c>
      <c r="J3342" s="12" t="s">
        <v>42</v>
      </c>
      <c r="K3342" s="12" t="s">
        <v>43</v>
      </c>
      <c r="L3342" s="13">
        <v>9.7200000000000006</v>
      </c>
      <c r="M3342" s="13">
        <v>6</v>
      </c>
      <c r="N3342" s="13">
        <f t="shared" si="1232"/>
        <v>1.62</v>
      </c>
      <c r="O3342" s="13">
        <v>45</v>
      </c>
      <c r="P3342" s="13" t="s">
        <v>30</v>
      </c>
      <c r="Q3342" s="13">
        <v>0</v>
      </c>
      <c r="R3342" s="70">
        <f>(L3342*O3342)-Q3342</f>
        <v>437.40000000000003</v>
      </c>
      <c r="S3342" s="70">
        <v>0</v>
      </c>
      <c r="T3342" s="70">
        <f t="shared" ref="T3342" si="1293">+L3342*S3342</f>
        <v>0</v>
      </c>
      <c r="U3342" s="70">
        <f t="shared" ref="U3342:U3343" si="1294">+R3342-T3342</f>
        <v>437.40000000000003</v>
      </c>
      <c r="V3342" s="70">
        <f>+U3342*0</f>
        <v>0</v>
      </c>
      <c r="W3342" s="70">
        <f t="shared" ref="W3342:W3343" si="1295">+U3342-V3342</f>
        <v>437.40000000000003</v>
      </c>
      <c r="X3342" s="70">
        <v>0</v>
      </c>
      <c r="Y3342" s="14">
        <f t="shared" ref="Y3342:Y3343" si="1296">T3342-X3342</f>
        <v>0</v>
      </c>
      <c r="Z3342" s="11" t="s">
        <v>26</v>
      </c>
      <c r="AA3342" s="12" t="s">
        <v>31</v>
      </c>
    </row>
    <row r="3343" spans="1:27" x14ac:dyDescent="0.25">
      <c r="A3343" s="10">
        <v>45707</v>
      </c>
      <c r="B3343" s="11" t="s">
        <v>291</v>
      </c>
      <c r="C3343" s="11" t="s">
        <v>6032</v>
      </c>
      <c r="D3343" s="11">
        <v>17888</v>
      </c>
      <c r="E3343" s="11" t="s">
        <v>539</v>
      </c>
      <c r="F3343" s="11" t="s">
        <v>26</v>
      </c>
      <c r="G3343" s="11">
        <v>3368</v>
      </c>
      <c r="H3343" s="12" t="s">
        <v>41</v>
      </c>
      <c r="I3343" s="12" t="s">
        <v>55</v>
      </c>
      <c r="J3343" s="12" t="s">
        <v>55</v>
      </c>
      <c r="K3343" s="12" t="s">
        <v>56</v>
      </c>
      <c r="L3343" s="13">
        <v>38.96</v>
      </c>
      <c r="M3343" s="13">
        <v>23</v>
      </c>
      <c r="N3343" s="13">
        <f t="shared" si="1232"/>
        <v>1.693913043478261</v>
      </c>
      <c r="O3343" s="14" t="s">
        <v>30</v>
      </c>
      <c r="P3343" s="13">
        <v>24</v>
      </c>
      <c r="Q3343" s="13">
        <v>0</v>
      </c>
      <c r="R3343" s="70">
        <f>+M3343*P3343</f>
        <v>552</v>
      </c>
      <c r="S3343" s="70">
        <v>0</v>
      </c>
      <c r="T3343" s="70">
        <f>+M3343*S3343</f>
        <v>0</v>
      </c>
      <c r="U3343" s="70">
        <f t="shared" si="1294"/>
        <v>552</v>
      </c>
      <c r="V3343" s="70">
        <f>+U3343*0</f>
        <v>0</v>
      </c>
      <c r="W3343" s="70">
        <f t="shared" si="1295"/>
        <v>552</v>
      </c>
      <c r="X3343" s="70">
        <v>0</v>
      </c>
      <c r="Y3343" s="14">
        <f t="shared" si="1296"/>
        <v>0</v>
      </c>
      <c r="Z3343" s="11" t="s">
        <v>26</v>
      </c>
      <c r="AA3343" s="12" t="s">
        <v>31</v>
      </c>
    </row>
    <row r="3344" spans="1:27" x14ac:dyDescent="0.25">
      <c r="A3344" s="10">
        <v>45707</v>
      </c>
      <c r="B3344" s="11" t="s">
        <v>6033</v>
      </c>
      <c r="C3344" s="11" t="s">
        <v>6034</v>
      </c>
      <c r="D3344" s="11">
        <v>17889</v>
      </c>
      <c r="E3344" s="11" t="s">
        <v>604</v>
      </c>
      <c r="F3344" s="11" t="s">
        <v>26</v>
      </c>
      <c r="G3344" s="11" t="s">
        <v>26</v>
      </c>
      <c r="H3344" s="12" t="s">
        <v>4423</v>
      </c>
      <c r="I3344" s="12" t="s">
        <v>27</v>
      </c>
      <c r="J3344" s="12" t="s">
        <v>33</v>
      </c>
      <c r="K3344" s="12" t="s">
        <v>34</v>
      </c>
      <c r="L3344" s="13">
        <v>40.86</v>
      </c>
      <c r="M3344" s="13">
        <v>28</v>
      </c>
      <c r="N3344" s="13">
        <f t="shared" si="1232"/>
        <v>1.4592857142857143</v>
      </c>
      <c r="O3344" s="13">
        <f>45+43</f>
        <v>88</v>
      </c>
      <c r="P3344" s="13" t="s">
        <v>30</v>
      </c>
      <c r="Q3344" s="13">
        <v>0</v>
      </c>
      <c r="R3344" s="70">
        <f>L3344*O3344</f>
        <v>3595.68</v>
      </c>
      <c r="S3344" s="70">
        <v>43</v>
      </c>
      <c r="T3344" s="70">
        <f>L3344*S3344</f>
        <v>1756.98</v>
      </c>
      <c r="U3344" s="70">
        <f>R3344-T3344</f>
        <v>1838.6999999999998</v>
      </c>
      <c r="V3344" s="70">
        <f>U3344*1</f>
        <v>1838.6999999999998</v>
      </c>
      <c r="W3344" s="70">
        <f>U3344-V3344</f>
        <v>0</v>
      </c>
      <c r="X3344" s="70">
        <f>L3344*42</f>
        <v>1716.12</v>
      </c>
      <c r="Y3344" s="14">
        <f>T3344-X3344</f>
        <v>40.860000000000127</v>
      </c>
      <c r="Z3344" s="12" t="s">
        <v>141</v>
      </c>
      <c r="AA3344" s="12" t="s">
        <v>6030</v>
      </c>
    </row>
    <row r="3345" spans="1:27" x14ac:dyDescent="0.25">
      <c r="A3345" s="10">
        <v>45707</v>
      </c>
      <c r="B3345" s="11" t="s">
        <v>333</v>
      </c>
      <c r="C3345" s="11" t="s">
        <v>6035</v>
      </c>
      <c r="D3345" s="11">
        <v>17890</v>
      </c>
      <c r="E3345" s="11" t="s">
        <v>431</v>
      </c>
      <c r="F3345" s="11" t="s">
        <v>26</v>
      </c>
      <c r="G3345" s="11">
        <v>1054</v>
      </c>
      <c r="H3345" s="12" t="s">
        <v>6328</v>
      </c>
      <c r="I3345" s="12" t="s">
        <v>27</v>
      </c>
      <c r="J3345" s="12" t="s">
        <v>42</v>
      </c>
      <c r="K3345" s="12" t="s">
        <v>43</v>
      </c>
      <c r="L3345" s="13">
        <v>39.82</v>
      </c>
      <c r="M3345" s="13">
        <v>25</v>
      </c>
      <c r="N3345" s="13">
        <f t="shared" si="1232"/>
        <v>1.5928</v>
      </c>
      <c r="O3345" s="13">
        <v>42.5</v>
      </c>
      <c r="P3345" s="13"/>
      <c r="Q3345" s="13">
        <v>0</v>
      </c>
      <c r="R3345" s="70">
        <f>L3345*O3345</f>
        <v>1692.35</v>
      </c>
      <c r="S3345" s="70">
        <v>0</v>
      </c>
      <c r="T3345" s="70">
        <f>+L3345*S3345</f>
        <v>0</v>
      </c>
      <c r="U3345" s="70">
        <f>R3345-T3345</f>
        <v>1692.35</v>
      </c>
      <c r="V3345" s="70">
        <f>U3345*0</f>
        <v>0</v>
      </c>
      <c r="W3345" s="70">
        <f>U3345-V3345</f>
        <v>1692.35</v>
      </c>
      <c r="X3345" s="70"/>
      <c r="Y3345" s="14">
        <f t="shared" ref="Y3345:Y3348" si="1297">T3345-X3345</f>
        <v>0</v>
      </c>
      <c r="Z3345" s="74" t="s">
        <v>26</v>
      </c>
      <c r="AA3345" s="12" t="s">
        <v>31</v>
      </c>
    </row>
    <row r="3346" spans="1:27" x14ac:dyDescent="0.25">
      <c r="A3346" s="10">
        <v>45707</v>
      </c>
      <c r="B3346" s="11" t="s">
        <v>384</v>
      </c>
      <c r="C3346" s="11" t="s">
        <v>6036</v>
      </c>
      <c r="D3346" s="11">
        <v>17891</v>
      </c>
      <c r="E3346" s="11" t="s">
        <v>520</v>
      </c>
      <c r="F3346" s="11" t="s">
        <v>26</v>
      </c>
      <c r="G3346" s="11">
        <v>10453</v>
      </c>
      <c r="H3346" s="12" t="s">
        <v>140</v>
      </c>
      <c r="I3346" s="12" t="s">
        <v>55</v>
      </c>
      <c r="J3346" s="12" t="s">
        <v>55</v>
      </c>
      <c r="K3346" s="12" t="s">
        <v>56</v>
      </c>
      <c r="L3346" s="13">
        <v>38.56</v>
      </c>
      <c r="M3346" s="13">
        <v>23</v>
      </c>
      <c r="N3346" s="13">
        <f t="shared" si="1232"/>
        <v>1.6765217391304348</v>
      </c>
      <c r="O3346" s="13">
        <v>15</v>
      </c>
      <c r="P3346" s="13"/>
      <c r="Q3346" s="13">
        <v>0</v>
      </c>
      <c r="R3346" s="70">
        <f>+L3346*O3346</f>
        <v>578.40000000000009</v>
      </c>
      <c r="S3346" s="70">
        <v>0</v>
      </c>
      <c r="T3346" s="70">
        <f>+L3346*S3346</f>
        <v>0</v>
      </c>
      <c r="U3346" s="70">
        <f>+R3346-T3346</f>
        <v>578.40000000000009</v>
      </c>
      <c r="V3346" s="70">
        <f t="shared" ref="V3346" si="1298">+U3346*0</f>
        <v>0</v>
      </c>
      <c r="W3346" s="70">
        <f>+U3346-V3346</f>
        <v>578.40000000000009</v>
      </c>
      <c r="X3346" s="70">
        <v>0</v>
      </c>
      <c r="Y3346" s="14">
        <f t="shared" si="1297"/>
        <v>0</v>
      </c>
      <c r="Z3346" s="11" t="s">
        <v>26</v>
      </c>
      <c r="AA3346" s="12" t="s">
        <v>31</v>
      </c>
    </row>
    <row r="3347" spans="1:27" x14ac:dyDescent="0.25">
      <c r="A3347" s="10">
        <v>45707</v>
      </c>
      <c r="B3347" s="11" t="s">
        <v>462</v>
      </c>
      <c r="C3347" s="11" t="s">
        <v>6037</v>
      </c>
      <c r="D3347" s="11">
        <v>17892</v>
      </c>
      <c r="E3347" s="11" t="s">
        <v>5122</v>
      </c>
      <c r="F3347" s="11" t="s">
        <v>26</v>
      </c>
      <c r="G3347" s="11">
        <v>78901</v>
      </c>
      <c r="H3347" s="12" t="s">
        <v>4448</v>
      </c>
      <c r="I3347" s="12" t="s">
        <v>27</v>
      </c>
      <c r="J3347" s="12" t="s">
        <v>42</v>
      </c>
      <c r="K3347" s="12" t="s">
        <v>43</v>
      </c>
      <c r="L3347" s="13">
        <v>43.94</v>
      </c>
      <c r="M3347" s="13">
        <v>25</v>
      </c>
      <c r="N3347" s="13">
        <f t="shared" si="1232"/>
        <v>1.7575999999999998</v>
      </c>
      <c r="O3347" s="13">
        <v>42.5</v>
      </c>
      <c r="P3347" s="13"/>
      <c r="Q3347" s="13">
        <v>0</v>
      </c>
      <c r="R3347" s="70">
        <f>+L3347*O3347</f>
        <v>1867.4499999999998</v>
      </c>
      <c r="S3347" s="70">
        <v>0</v>
      </c>
      <c r="T3347" s="70">
        <f>+L3347*S3347</f>
        <v>0</v>
      </c>
      <c r="U3347" s="70">
        <f>+R3347-T3347</f>
        <v>1867.4499999999998</v>
      </c>
      <c r="V3347" s="70">
        <f>+U3347*0.75</f>
        <v>1400.5874999999999</v>
      </c>
      <c r="W3347" s="70">
        <f>+U3347-V3347</f>
        <v>466.86249999999995</v>
      </c>
      <c r="X3347" s="70">
        <v>0</v>
      </c>
      <c r="Y3347" s="14">
        <f t="shared" si="1297"/>
        <v>0</v>
      </c>
      <c r="Z3347" s="11" t="s">
        <v>26</v>
      </c>
      <c r="AA3347" s="12" t="s">
        <v>31</v>
      </c>
    </row>
    <row r="3348" spans="1:27" x14ac:dyDescent="0.25">
      <c r="A3348" s="10">
        <v>45707</v>
      </c>
      <c r="B3348" s="11" t="s">
        <v>6038</v>
      </c>
      <c r="C3348" s="11" t="s">
        <v>6039</v>
      </c>
      <c r="D3348" s="11">
        <v>17893</v>
      </c>
      <c r="E3348" s="11" t="s">
        <v>593</v>
      </c>
      <c r="F3348" s="11" t="s">
        <v>26</v>
      </c>
      <c r="G3348" s="11">
        <v>44342</v>
      </c>
      <c r="H3348" s="12" t="s">
        <v>4423</v>
      </c>
      <c r="I3348" s="12" t="s">
        <v>27</v>
      </c>
      <c r="J3348" s="12" t="s">
        <v>47</v>
      </c>
      <c r="K3348" s="12" t="s">
        <v>48</v>
      </c>
      <c r="L3348" s="13">
        <v>34.26</v>
      </c>
      <c r="M3348" s="13">
        <v>25</v>
      </c>
      <c r="N3348" s="13">
        <f t="shared" si="1232"/>
        <v>1.3703999999999998</v>
      </c>
      <c r="O3348" s="13">
        <v>46</v>
      </c>
      <c r="P3348" s="13" t="s">
        <v>30</v>
      </c>
      <c r="Q3348" s="13">
        <v>0</v>
      </c>
      <c r="R3348" s="70">
        <f t="shared" ref="R3348" si="1299">+L3348*O3348</f>
        <v>1575.9599999999998</v>
      </c>
      <c r="S3348" s="70">
        <v>0</v>
      </c>
      <c r="T3348" s="70">
        <f t="shared" ref="T3348" si="1300">+L3348*S3348</f>
        <v>0</v>
      </c>
      <c r="U3348" s="70">
        <f t="shared" ref="U3348" si="1301">+R3348-T3348</f>
        <v>1575.9599999999998</v>
      </c>
      <c r="V3348" s="70">
        <f>+U3348*1</f>
        <v>1575.9599999999998</v>
      </c>
      <c r="W3348" s="70">
        <f t="shared" ref="W3348" si="1302">+U3348-V3348</f>
        <v>0</v>
      </c>
      <c r="X3348" s="70">
        <v>0</v>
      </c>
      <c r="Y3348" s="14">
        <f t="shared" si="1297"/>
        <v>0</v>
      </c>
      <c r="Z3348" s="11" t="s">
        <v>26</v>
      </c>
      <c r="AA3348" s="12" t="s">
        <v>31</v>
      </c>
    </row>
    <row r="3349" spans="1:27" x14ac:dyDescent="0.25">
      <c r="A3349" s="10">
        <v>45707</v>
      </c>
      <c r="B3349" s="11" t="s">
        <v>5899</v>
      </c>
      <c r="C3349" s="11" t="s">
        <v>6040</v>
      </c>
      <c r="D3349" s="11">
        <v>17894</v>
      </c>
      <c r="E3349" s="11" t="s">
        <v>605</v>
      </c>
      <c r="F3349" s="11" t="s">
        <v>26</v>
      </c>
      <c r="G3349" s="11" t="s">
        <v>26</v>
      </c>
      <c r="H3349" s="12" t="s">
        <v>4423</v>
      </c>
      <c r="I3349" s="12" t="s">
        <v>27</v>
      </c>
      <c r="J3349" s="12" t="s">
        <v>33</v>
      </c>
      <c r="K3349" s="12" t="s">
        <v>34</v>
      </c>
      <c r="L3349" s="13">
        <v>40.14</v>
      </c>
      <c r="M3349" s="13">
        <v>28</v>
      </c>
      <c r="N3349" s="13">
        <f t="shared" si="1232"/>
        <v>1.4335714285714285</v>
      </c>
      <c r="O3349" s="13">
        <f>45+43</f>
        <v>88</v>
      </c>
      <c r="P3349" s="13" t="s">
        <v>30</v>
      </c>
      <c r="Q3349" s="13">
        <v>0</v>
      </c>
      <c r="R3349" s="70">
        <f>L3349*O3349</f>
        <v>3532.32</v>
      </c>
      <c r="S3349" s="70">
        <v>43</v>
      </c>
      <c r="T3349" s="70">
        <f>L3349*S3349</f>
        <v>1726.02</v>
      </c>
      <c r="U3349" s="70">
        <f>R3349-T3349</f>
        <v>1806.3000000000002</v>
      </c>
      <c r="V3349" s="70">
        <f>U3349*1</f>
        <v>1806.3000000000002</v>
      </c>
      <c r="W3349" s="70">
        <f>U3349-V3349</f>
        <v>0</v>
      </c>
      <c r="X3349" s="70">
        <f>L3349*42</f>
        <v>1685.88</v>
      </c>
      <c r="Y3349" s="14">
        <f>T3349-X3349</f>
        <v>40.139999999999873</v>
      </c>
      <c r="Z3349" s="12" t="s">
        <v>141</v>
      </c>
      <c r="AA3349" s="12" t="s">
        <v>6030</v>
      </c>
    </row>
    <row r="3350" spans="1:27" x14ac:dyDescent="0.25">
      <c r="A3350" s="10">
        <v>45707</v>
      </c>
      <c r="B3350" s="11" t="s">
        <v>5433</v>
      </c>
      <c r="C3350" s="11" t="s">
        <v>6041</v>
      </c>
      <c r="D3350" s="11">
        <v>17895</v>
      </c>
      <c r="E3350" s="11" t="s">
        <v>74</v>
      </c>
      <c r="F3350" s="11" t="s">
        <v>26</v>
      </c>
      <c r="G3350" s="11">
        <v>1339</v>
      </c>
      <c r="H3350" s="12" t="s">
        <v>70</v>
      </c>
      <c r="I3350" s="12" t="s">
        <v>27</v>
      </c>
      <c r="J3350" s="12" t="s">
        <v>42</v>
      </c>
      <c r="K3350" s="12" t="s">
        <v>43</v>
      </c>
      <c r="L3350" s="13">
        <v>40.840000000000003</v>
      </c>
      <c r="M3350" s="13">
        <v>25</v>
      </c>
      <c r="N3350" s="13">
        <f t="shared" si="1232"/>
        <v>1.6336000000000002</v>
      </c>
      <c r="O3350" s="14" t="s">
        <v>30</v>
      </c>
      <c r="P3350" s="13">
        <v>64</v>
      </c>
      <c r="Q3350" s="13">
        <v>0</v>
      </c>
      <c r="R3350" s="70">
        <f>+M3350*P3350</f>
        <v>1600</v>
      </c>
      <c r="S3350" s="70">
        <v>0</v>
      </c>
      <c r="T3350" s="70">
        <f>+M3350*S3350</f>
        <v>0</v>
      </c>
      <c r="U3350" s="70">
        <f t="shared" ref="U3350:U3351" si="1303">+R3350-T3350</f>
        <v>1600</v>
      </c>
      <c r="V3350" s="70">
        <f t="shared" ref="V3350" si="1304">+U3350*0</f>
        <v>0</v>
      </c>
      <c r="W3350" s="70">
        <f t="shared" ref="W3350:W3351" si="1305">+U3350-V3350</f>
        <v>1600</v>
      </c>
      <c r="X3350" s="70">
        <v>0</v>
      </c>
      <c r="Y3350" s="14">
        <f t="shared" ref="Y3350:Y3362" si="1306">T3350-X3350</f>
        <v>0</v>
      </c>
      <c r="Z3350" s="11" t="s">
        <v>26</v>
      </c>
      <c r="AA3350" s="12" t="s">
        <v>31</v>
      </c>
    </row>
    <row r="3351" spans="1:27" x14ac:dyDescent="0.25">
      <c r="A3351" s="10">
        <v>45707</v>
      </c>
      <c r="B3351" s="11" t="s">
        <v>6042</v>
      </c>
      <c r="C3351" s="11" t="s">
        <v>6043</v>
      </c>
      <c r="D3351" s="11">
        <v>17896</v>
      </c>
      <c r="E3351" s="11" t="s">
        <v>69</v>
      </c>
      <c r="F3351" s="11" t="s">
        <v>26</v>
      </c>
      <c r="G3351" s="11">
        <v>2128</v>
      </c>
      <c r="H3351" s="12" t="s">
        <v>70</v>
      </c>
      <c r="I3351" s="12" t="s">
        <v>27</v>
      </c>
      <c r="J3351" s="12" t="s">
        <v>33</v>
      </c>
      <c r="K3351" s="12" t="s">
        <v>34</v>
      </c>
      <c r="L3351" s="13">
        <v>38.880000000000003</v>
      </c>
      <c r="M3351" s="13">
        <v>25</v>
      </c>
      <c r="N3351" s="13">
        <f t="shared" si="1232"/>
        <v>1.5552000000000001</v>
      </c>
      <c r="O3351" s="14" t="s">
        <v>30</v>
      </c>
      <c r="P3351" s="13">
        <v>60</v>
      </c>
      <c r="Q3351" s="13">
        <v>0</v>
      </c>
      <c r="R3351" s="70">
        <f>+M3351*P3351</f>
        <v>1500</v>
      </c>
      <c r="S3351" s="70">
        <v>0</v>
      </c>
      <c r="T3351" s="70">
        <f>+M3351*S3351</f>
        <v>0</v>
      </c>
      <c r="U3351" s="70">
        <f t="shared" si="1303"/>
        <v>1500</v>
      </c>
      <c r="V3351" s="70">
        <f>+U3351*0</f>
        <v>0</v>
      </c>
      <c r="W3351" s="70">
        <f t="shared" si="1305"/>
        <v>1500</v>
      </c>
      <c r="X3351" s="70">
        <v>0</v>
      </c>
      <c r="Y3351" s="14">
        <f t="shared" si="1306"/>
        <v>0</v>
      </c>
      <c r="Z3351" s="11" t="s">
        <v>26</v>
      </c>
      <c r="AA3351" s="12" t="s">
        <v>31</v>
      </c>
    </row>
    <row r="3352" spans="1:27" x14ac:dyDescent="0.25">
      <c r="A3352" s="10">
        <v>45707</v>
      </c>
      <c r="B3352" s="11" t="s">
        <v>3319</v>
      </c>
      <c r="C3352" s="11" t="s">
        <v>6044</v>
      </c>
      <c r="D3352" s="11">
        <v>17897</v>
      </c>
      <c r="E3352" s="11" t="s">
        <v>63</v>
      </c>
      <c r="F3352" s="11" t="s">
        <v>26</v>
      </c>
      <c r="G3352" s="11">
        <v>10197</v>
      </c>
      <c r="H3352" s="12" t="s">
        <v>140</v>
      </c>
      <c r="I3352" s="12" t="s">
        <v>55</v>
      </c>
      <c r="J3352" s="12" t="s">
        <v>55</v>
      </c>
      <c r="K3352" s="12" t="s">
        <v>56</v>
      </c>
      <c r="L3352" s="13">
        <v>36.520000000000003</v>
      </c>
      <c r="M3352" s="13">
        <v>22</v>
      </c>
      <c r="N3352" s="13">
        <f t="shared" si="1232"/>
        <v>1.6600000000000001</v>
      </c>
      <c r="O3352" s="13">
        <v>15</v>
      </c>
      <c r="P3352" s="13"/>
      <c r="Q3352" s="13">
        <v>0</v>
      </c>
      <c r="R3352" s="70">
        <f>+L3352*O3352</f>
        <v>547.80000000000007</v>
      </c>
      <c r="S3352" s="70">
        <v>0</v>
      </c>
      <c r="T3352" s="70">
        <f>+L3352*S3352</f>
        <v>0</v>
      </c>
      <c r="U3352" s="70">
        <f>+R3352-T3352</f>
        <v>547.80000000000007</v>
      </c>
      <c r="V3352" s="70">
        <f t="shared" ref="V3352" si="1307">+U3352*0</f>
        <v>0</v>
      </c>
      <c r="W3352" s="70">
        <f>+U3352-V3352</f>
        <v>547.80000000000007</v>
      </c>
      <c r="X3352" s="70">
        <v>0</v>
      </c>
      <c r="Y3352" s="14">
        <f t="shared" si="1306"/>
        <v>0</v>
      </c>
      <c r="Z3352" s="11" t="s">
        <v>26</v>
      </c>
      <c r="AA3352" s="12" t="s">
        <v>31</v>
      </c>
    </row>
    <row r="3353" spans="1:27" x14ac:dyDescent="0.25">
      <c r="A3353" s="10">
        <v>45707</v>
      </c>
      <c r="B3353" s="11" t="s">
        <v>4359</v>
      </c>
      <c r="C3353" s="11" t="s">
        <v>6045</v>
      </c>
      <c r="D3353" s="11">
        <v>17898</v>
      </c>
      <c r="E3353" s="11" t="s">
        <v>5742</v>
      </c>
      <c r="F3353" s="11" t="s">
        <v>26</v>
      </c>
      <c r="G3353" s="11">
        <v>2720</v>
      </c>
      <c r="H3353" s="12" t="s">
        <v>41</v>
      </c>
      <c r="I3353" s="12" t="s">
        <v>37</v>
      </c>
      <c r="J3353" s="12" t="s">
        <v>228</v>
      </c>
      <c r="K3353" s="12" t="s">
        <v>38</v>
      </c>
      <c r="L3353" s="13">
        <v>33.479999999999997</v>
      </c>
      <c r="M3353" s="13">
        <v>20</v>
      </c>
      <c r="N3353" s="13">
        <f t="shared" ref="N3353:N3366" si="1308">L3353/M3353</f>
        <v>1.6739999999999999</v>
      </c>
      <c r="O3353" s="14" t="s">
        <v>30</v>
      </c>
      <c r="P3353" s="13">
        <v>43.5</v>
      </c>
      <c r="Q3353" s="13">
        <v>0</v>
      </c>
      <c r="R3353" s="70">
        <f>+M3353*P3353</f>
        <v>870</v>
      </c>
      <c r="S3353" s="70">
        <v>0</v>
      </c>
      <c r="T3353" s="70">
        <f>+M3353*S3353</f>
        <v>0</v>
      </c>
      <c r="U3353" s="70">
        <f t="shared" ref="U3353" si="1309">+R3353-T3353</f>
        <v>870</v>
      </c>
      <c r="V3353" s="70">
        <f>+U3353*0</f>
        <v>0</v>
      </c>
      <c r="W3353" s="70">
        <f t="shared" ref="W3353" si="1310">+U3353-V3353</f>
        <v>870</v>
      </c>
      <c r="X3353" s="70">
        <v>0</v>
      </c>
      <c r="Y3353" s="14">
        <f t="shared" si="1306"/>
        <v>0</v>
      </c>
      <c r="Z3353" s="11" t="s">
        <v>26</v>
      </c>
      <c r="AA3353" s="12" t="s">
        <v>31</v>
      </c>
    </row>
    <row r="3354" spans="1:27" x14ac:dyDescent="0.25">
      <c r="A3354" s="10">
        <v>45707</v>
      </c>
      <c r="B3354" s="11" t="s">
        <v>6046</v>
      </c>
      <c r="C3354" s="11" t="s">
        <v>6047</v>
      </c>
      <c r="D3354" s="11">
        <v>17899</v>
      </c>
      <c r="E3354" s="11" t="s">
        <v>65</v>
      </c>
      <c r="F3354" s="11" t="s">
        <v>26</v>
      </c>
      <c r="G3354" s="11">
        <v>1710</v>
      </c>
      <c r="H3354" s="12" t="s">
        <v>66</v>
      </c>
      <c r="I3354" s="12" t="s">
        <v>37</v>
      </c>
      <c r="J3354" s="12" t="s">
        <v>85</v>
      </c>
      <c r="K3354" s="12" t="s">
        <v>86</v>
      </c>
      <c r="L3354" s="13">
        <v>37.4</v>
      </c>
      <c r="M3354" s="13">
        <v>25</v>
      </c>
      <c r="N3354" s="13">
        <f t="shared" si="1308"/>
        <v>1.496</v>
      </c>
      <c r="O3354" s="14" t="s">
        <v>30</v>
      </c>
      <c r="P3354" s="13">
        <v>51</v>
      </c>
      <c r="Q3354" s="13">
        <v>0</v>
      </c>
      <c r="R3354" s="70">
        <f>M3354*P3354</f>
        <v>1275</v>
      </c>
      <c r="S3354" s="70">
        <v>0</v>
      </c>
      <c r="T3354" s="70">
        <f>M3354*S3354</f>
        <v>0</v>
      </c>
      <c r="U3354" s="70">
        <f t="shared" ref="U3354" si="1311">R3354-T3354</f>
        <v>1275</v>
      </c>
      <c r="V3354" s="70">
        <f>U3354*1</f>
        <v>1275</v>
      </c>
      <c r="W3354" s="70">
        <f>U3354-V3354</f>
        <v>0</v>
      </c>
      <c r="X3354" s="70">
        <v>0</v>
      </c>
      <c r="Y3354" s="14">
        <f t="shared" si="1306"/>
        <v>0</v>
      </c>
      <c r="Z3354" s="11" t="s">
        <v>26</v>
      </c>
      <c r="AA3354" s="12" t="s">
        <v>31</v>
      </c>
    </row>
    <row r="3355" spans="1:27" x14ac:dyDescent="0.25">
      <c r="A3355" s="10">
        <v>45707</v>
      </c>
      <c r="B3355" s="11" t="s">
        <v>6048</v>
      </c>
      <c r="C3355" s="11" t="s">
        <v>6049</v>
      </c>
      <c r="D3355" s="11">
        <v>17900</v>
      </c>
      <c r="E3355" s="11" t="s">
        <v>1200</v>
      </c>
      <c r="F3355" s="11" t="s">
        <v>26</v>
      </c>
      <c r="G3355" s="11">
        <v>2981</v>
      </c>
      <c r="H3355" s="12" t="s">
        <v>163</v>
      </c>
      <c r="I3355" s="12" t="s">
        <v>55</v>
      </c>
      <c r="J3355" s="12" t="s">
        <v>566</v>
      </c>
      <c r="K3355" s="12" t="s">
        <v>550</v>
      </c>
      <c r="L3355" s="13">
        <v>42.66</v>
      </c>
      <c r="M3355" s="13">
        <v>25</v>
      </c>
      <c r="N3355" s="13">
        <f t="shared" si="1308"/>
        <v>1.7063999999999999</v>
      </c>
      <c r="O3355" s="13">
        <v>25</v>
      </c>
      <c r="P3355" s="13"/>
      <c r="Q3355" s="13">
        <v>0</v>
      </c>
      <c r="R3355" s="70">
        <f>L3355*O3355</f>
        <v>1066.5</v>
      </c>
      <c r="S3355" s="70">
        <v>0</v>
      </c>
      <c r="T3355" s="70">
        <f>L3355*S3355</f>
        <v>0</v>
      </c>
      <c r="U3355" s="70">
        <f>R3355-T3355</f>
        <v>1066.5</v>
      </c>
      <c r="V3355" s="70">
        <f>U3355*0</f>
        <v>0</v>
      </c>
      <c r="W3355" s="70">
        <f>U3355-V3355</f>
        <v>1066.5</v>
      </c>
      <c r="X3355" s="70">
        <v>0</v>
      </c>
      <c r="Y3355" s="14">
        <f t="shared" si="1306"/>
        <v>0</v>
      </c>
      <c r="Z3355" s="11" t="s">
        <v>26</v>
      </c>
      <c r="AA3355" s="12" t="s">
        <v>31</v>
      </c>
    </row>
    <row r="3356" spans="1:27" x14ac:dyDescent="0.25">
      <c r="A3356" s="10">
        <v>45707</v>
      </c>
      <c r="B3356" s="11" t="s">
        <v>6050</v>
      </c>
      <c r="C3356" s="11" t="s">
        <v>6051</v>
      </c>
      <c r="D3356" s="11">
        <v>17901</v>
      </c>
      <c r="E3356" s="11" t="s">
        <v>67</v>
      </c>
      <c r="F3356" s="11" t="s">
        <v>26</v>
      </c>
      <c r="G3356" s="11">
        <v>1644</v>
      </c>
      <c r="H3356" s="12" t="s">
        <v>66</v>
      </c>
      <c r="I3356" s="12" t="s">
        <v>37</v>
      </c>
      <c r="J3356" s="12" t="s">
        <v>85</v>
      </c>
      <c r="K3356" s="12" t="s">
        <v>86</v>
      </c>
      <c r="L3356" s="13">
        <v>38.36</v>
      </c>
      <c r="M3356" s="13">
        <v>25</v>
      </c>
      <c r="N3356" s="13">
        <f t="shared" si="1308"/>
        <v>1.5344</v>
      </c>
      <c r="O3356" s="14" t="s">
        <v>30</v>
      </c>
      <c r="P3356" s="13">
        <v>51</v>
      </c>
      <c r="Q3356" s="13">
        <v>0</v>
      </c>
      <c r="R3356" s="70">
        <f>M3356*P3356</f>
        <v>1275</v>
      </c>
      <c r="S3356" s="70">
        <v>0</v>
      </c>
      <c r="T3356" s="70">
        <f>M3356*S3356</f>
        <v>0</v>
      </c>
      <c r="U3356" s="70">
        <f t="shared" ref="U3356" si="1312">R3356-T3356</f>
        <v>1275</v>
      </c>
      <c r="V3356" s="70">
        <f>U3356*1</f>
        <v>1275</v>
      </c>
      <c r="W3356" s="70">
        <f>U3356-V3356</f>
        <v>0</v>
      </c>
      <c r="X3356" s="70">
        <v>0</v>
      </c>
      <c r="Y3356" s="14">
        <f t="shared" si="1306"/>
        <v>0</v>
      </c>
      <c r="Z3356" s="11" t="s">
        <v>26</v>
      </c>
      <c r="AA3356" s="12" t="s">
        <v>31</v>
      </c>
    </row>
    <row r="3357" spans="1:27" x14ac:dyDescent="0.25">
      <c r="A3357" s="10">
        <v>45707</v>
      </c>
      <c r="B3357" s="11" t="s">
        <v>6052</v>
      </c>
      <c r="C3357" s="11" t="s">
        <v>6053</v>
      </c>
      <c r="D3357" s="11">
        <v>17902</v>
      </c>
      <c r="E3357" s="11" t="s">
        <v>6054</v>
      </c>
      <c r="F3357" s="11" t="s">
        <v>26</v>
      </c>
      <c r="G3357" s="11">
        <v>10198</v>
      </c>
      <c r="H3357" s="12" t="s">
        <v>140</v>
      </c>
      <c r="I3357" s="12" t="s">
        <v>55</v>
      </c>
      <c r="J3357" s="12" t="s">
        <v>55</v>
      </c>
      <c r="K3357" s="12" t="s">
        <v>56</v>
      </c>
      <c r="L3357" s="13">
        <v>39.96</v>
      </c>
      <c r="M3357" s="13">
        <v>25</v>
      </c>
      <c r="N3357" s="13">
        <f t="shared" si="1308"/>
        <v>1.5984</v>
      </c>
      <c r="O3357" s="13">
        <v>15</v>
      </c>
      <c r="P3357" s="13"/>
      <c r="Q3357" s="13">
        <v>0</v>
      </c>
      <c r="R3357" s="70">
        <f>+L3357*O3357</f>
        <v>599.4</v>
      </c>
      <c r="S3357" s="70">
        <v>0</v>
      </c>
      <c r="T3357" s="70">
        <f>+L3357*S3357</f>
        <v>0</v>
      </c>
      <c r="U3357" s="70">
        <f>+R3357-T3357</f>
        <v>599.4</v>
      </c>
      <c r="V3357" s="70">
        <f t="shared" ref="V3357" si="1313">+U3357*0</f>
        <v>0</v>
      </c>
      <c r="W3357" s="70">
        <f>+U3357-V3357</f>
        <v>599.4</v>
      </c>
      <c r="X3357" s="70">
        <v>0</v>
      </c>
      <c r="Y3357" s="14">
        <f t="shared" si="1306"/>
        <v>0</v>
      </c>
      <c r="Z3357" s="11" t="s">
        <v>26</v>
      </c>
      <c r="AA3357" s="12" t="s">
        <v>31</v>
      </c>
    </row>
    <row r="3358" spans="1:27" x14ac:dyDescent="0.25">
      <c r="A3358" s="10">
        <v>45707</v>
      </c>
      <c r="B3358" s="11" t="s">
        <v>6055</v>
      </c>
      <c r="C3358" s="11" t="s">
        <v>6056</v>
      </c>
      <c r="D3358" s="11">
        <v>17903</v>
      </c>
      <c r="E3358" s="11" t="s">
        <v>90</v>
      </c>
      <c r="F3358" s="11" t="s">
        <v>26</v>
      </c>
      <c r="G3358" s="11">
        <v>60518</v>
      </c>
      <c r="H3358" s="12" t="s">
        <v>4423</v>
      </c>
      <c r="I3358" s="12" t="s">
        <v>27</v>
      </c>
      <c r="J3358" s="12" t="s">
        <v>42</v>
      </c>
      <c r="K3358" s="12" t="s">
        <v>43</v>
      </c>
      <c r="L3358" s="13">
        <v>39.08</v>
      </c>
      <c r="M3358" s="13">
        <v>25</v>
      </c>
      <c r="N3358" s="13">
        <f t="shared" si="1308"/>
        <v>1.5631999999999999</v>
      </c>
      <c r="O3358" s="13">
        <v>42</v>
      </c>
      <c r="P3358" s="13" t="s">
        <v>30</v>
      </c>
      <c r="Q3358" s="13">
        <v>0</v>
      </c>
      <c r="R3358" s="70">
        <f t="shared" ref="R3358" si="1314">+L3358*O3358</f>
        <v>1641.36</v>
      </c>
      <c r="S3358" s="70">
        <v>0</v>
      </c>
      <c r="T3358" s="70">
        <f t="shared" ref="T3358" si="1315">+L3358*S3358</f>
        <v>0</v>
      </c>
      <c r="U3358" s="70">
        <f t="shared" ref="U3358" si="1316">+R3358-T3358</f>
        <v>1641.36</v>
      </c>
      <c r="V3358" s="70">
        <f>+U3358*1</f>
        <v>1641.36</v>
      </c>
      <c r="W3358" s="70">
        <f t="shared" ref="W3358" si="1317">+U3358-V3358</f>
        <v>0</v>
      </c>
      <c r="X3358" s="70">
        <v>0</v>
      </c>
      <c r="Y3358" s="14">
        <f t="shared" si="1306"/>
        <v>0</v>
      </c>
      <c r="Z3358" s="11" t="s">
        <v>26</v>
      </c>
      <c r="AA3358" s="12" t="s">
        <v>31</v>
      </c>
    </row>
    <row r="3359" spans="1:27" x14ac:dyDescent="0.25">
      <c r="A3359" s="10">
        <v>45707</v>
      </c>
      <c r="B3359" s="11" t="s">
        <v>3037</v>
      </c>
      <c r="C3359" s="11" t="s">
        <v>6057</v>
      </c>
      <c r="D3359" s="11">
        <v>17904</v>
      </c>
      <c r="E3359" s="11" t="s">
        <v>570</v>
      </c>
      <c r="F3359" s="11" t="s">
        <v>26</v>
      </c>
      <c r="G3359" s="11">
        <v>10762</v>
      </c>
      <c r="H3359" s="12" t="s">
        <v>140</v>
      </c>
      <c r="I3359" s="12" t="s">
        <v>27</v>
      </c>
      <c r="J3359" s="12" t="s">
        <v>42</v>
      </c>
      <c r="K3359" s="12" t="s">
        <v>43</v>
      </c>
      <c r="L3359" s="13">
        <v>42.08</v>
      </c>
      <c r="M3359" s="13">
        <v>25</v>
      </c>
      <c r="N3359" s="13">
        <f t="shared" si="1308"/>
        <v>1.6832</v>
      </c>
      <c r="O3359" s="13">
        <v>35</v>
      </c>
      <c r="P3359" s="13"/>
      <c r="Q3359" s="13">
        <v>0</v>
      </c>
      <c r="R3359" s="70">
        <f>+L3359*O3359</f>
        <v>1472.8</v>
      </c>
      <c r="S3359" s="70">
        <v>0</v>
      </c>
      <c r="T3359" s="70">
        <f>+L3359*S3359</f>
        <v>0</v>
      </c>
      <c r="U3359" s="70">
        <f>+R3359-T3359</f>
        <v>1472.8</v>
      </c>
      <c r="V3359" s="70">
        <f t="shared" ref="V3359" si="1318">+U3359*0</f>
        <v>0</v>
      </c>
      <c r="W3359" s="70">
        <f>+U3359-V3359</f>
        <v>1472.8</v>
      </c>
      <c r="X3359" s="70">
        <v>0</v>
      </c>
      <c r="Y3359" s="14">
        <f t="shared" si="1306"/>
        <v>0</v>
      </c>
      <c r="Z3359" s="11" t="s">
        <v>26</v>
      </c>
      <c r="AA3359" s="12" t="s">
        <v>31</v>
      </c>
    </row>
    <row r="3360" spans="1:27" x14ac:dyDescent="0.25">
      <c r="A3360" s="10">
        <v>45707</v>
      </c>
      <c r="B3360" s="11" t="s">
        <v>3341</v>
      </c>
      <c r="C3360" s="11" t="s">
        <v>6058</v>
      </c>
      <c r="D3360" s="11">
        <v>17905</v>
      </c>
      <c r="E3360" s="11" t="s">
        <v>442</v>
      </c>
      <c r="F3360" s="11" t="s">
        <v>26</v>
      </c>
      <c r="G3360" s="11">
        <v>4735</v>
      </c>
      <c r="H3360" s="12" t="s">
        <v>41</v>
      </c>
      <c r="I3360" s="12" t="s">
        <v>55</v>
      </c>
      <c r="J3360" s="12" t="s">
        <v>55</v>
      </c>
      <c r="K3360" s="12" t="s">
        <v>56</v>
      </c>
      <c r="L3360" s="13">
        <v>36.380000000000003</v>
      </c>
      <c r="M3360" s="13">
        <v>22</v>
      </c>
      <c r="N3360" s="13">
        <f t="shared" si="1308"/>
        <v>1.6536363636363638</v>
      </c>
      <c r="O3360" s="14" t="s">
        <v>30</v>
      </c>
      <c r="P3360" s="13">
        <v>24</v>
      </c>
      <c r="Q3360" s="13">
        <v>0</v>
      </c>
      <c r="R3360" s="70">
        <f>+M3360*P3360</f>
        <v>528</v>
      </c>
      <c r="S3360" s="70">
        <v>0</v>
      </c>
      <c r="T3360" s="70">
        <f>+M3360*S3360</f>
        <v>0</v>
      </c>
      <c r="U3360" s="70">
        <f t="shared" ref="U3360" si="1319">+R3360-T3360</f>
        <v>528</v>
      </c>
      <c r="V3360" s="70">
        <f>+U3360*0</f>
        <v>0</v>
      </c>
      <c r="W3360" s="70">
        <f t="shared" ref="W3360" si="1320">+U3360-V3360</f>
        <v>528</v>
      </c>
      <c r="X3360" s="70">
        <v>0</v>
      </c>
      <c r="Y3360" s="14">
        <f t="shared" si="1306"/>
        <v>0</v>
      </c>
      <c r="Z3360" s="11" t="s">
        <v>26</v>
      </c>
      <c r="AA3360" s="12" t="s">
        <v>31</v>
      </c>
    </row>
    <row r="3361" spans="1:27" x14ac:dyDescent="0.25">
      <c r="A3361" s="10">
        <v>45707</v>
      </c>
      <c r="B3361" s="11" t="s">
        <v>6059</v>
      </c>
      <c r="C3361" s="11" t="s">
        <v>6060</v>
      </c>
      <c r="D3361" s="11">
        <v>17906</v>
      </c>
      <c r="E3361" s="11" t="s">
        <v>75</v>
      </c>
      <c r="F3361" s="11" t="s">
        <v>26</v>
      </c>
      <c r="G3361" s="11">
        <v>40661</v>
      </c>
      <c r="H3361" s="12" t="s">
        <v>565</v>
      </c>
      <c r="I3361" s="12" t="s">
        <v>27</v>
      </c>
      <c r="J3361" s="12" t="s">
        <v>33</v>
      </c>
      <c r="K3361" s="12" t="s">
        <v>34</v>
      </c>
      <c r="L3361" s="13">
        <v>41.82</v>
      </c>
      <c r="M3361" s="13">
        <v>29</v>
      </c>
      <c r="N3361" s="13">
        <f t="shared" si="1308"/>
        <v>1.4420689655172414</v>
      </c>
      <c r="O3361" s="14"/>
      <c r="P3361" s="13">
        <v>60</v>
      </c>
      <c r="Q3361" s="13">
        <v>0</v>
      </c>
      <c r="R3361" s="70">
        <f>M3361*P3361</f>
        <v>1740</v>
      </c>
      <c r="S3361" s="70">
        <v>0</v>
      </c>
      <c r="T3361" s="70">
        <f>M3361*S3361</f>
        <v>0</v>
      </c>
      <c r="U3361" s="70">
        <f>R3361-T3361</f>
        <v>1740</v>
      </c>
      <c r="V3361" s="70">
        <f>U3361*0</f>
        <v>0</v>
      </c>
      <c r="W3361" s="70">
        <f>+U3361-V3361</f>
        <v>1740</v>
      </c>
      <c r="X3361" s="70">
        <v>0</v>
      </c>
      <c r="Y3361" s="14">
        <f t="shared" si="1306"/>
        <v>0</v>
      </c>
      <c r="Z3361" s="11" t="s">
        <v>26</v>
      </c>
      <c r="AA3361" s="12" t="s">
        <v>31</v>
      </c>
    </row>
    <row r="3362" spans="1:27" x14ac:dyDescent="0.25">
      <c r="A3362" s="10">
        <v>45707</v>
      </c>
      <c r="B3362" s="11" t="s">
        <v>6061</v>
      </c>
      <c r="C3362" s="11" t="s">
        <v>6062</v>
      </c>
      <c r="D3362" s="11">
        <v>17907</v>
      </c>
      <c r="E3362" s="11" t="s">
        <v>230</v>
      </c>
      <c r="F3362" s="11" t="s">
        <v>26</v>
      </c>
      <c r="G3362" s="11">
        <v>26212</v>
      </c>
      <c r="H3362" s="12" t="s">
        <v>565</v>
      </c>
      <c r="I3362" s="12" t="s">
        <v>27</v>
      </c>
      <c r="J3362" s="12" t="s">
        <v>33</v>
      </c>
      <c r="K3362" s="12" t="s">
        <v>34</v>
      </c>
      <c r="L3362" s="13">
        <v>42.04</v>
      </c>
      <c r="M3362" s="13">
        <v>29</v>
      </c>
      <c r="N3362" s="13">
        <f t="shared" si="1308"/>
        <v>1.4496551724137932</v>
      </c>
      <c r="O3362" s="14"/>
      <c r="P3362" s="13">
        <v>60</v>
      </c>
      <c r="Q3362" s="13">
        <v>0</v>
      </c>
      <c r="R3362" s="70">
        <f>M3362*P3362</f>
        <v>1740</v>
      </c>
      <c r="S3362" s="70">
        <v>0</v>
      </c>
      <c r="T3362" s="70">
        <f>M3362*S3362</f>
        <v>0</v>
      </c>
      <c r="U3362" s="70">
        <f>R3362-T3362</f>
        <v>1740</v>
      </c>
      <c r="V3362" s="70">
        <f>U3362*0</f>
        <v>0</v>
      </c>
      <c r="W3362" s="70">
        <f>+U3362-V3362</f>
        <v>1740</v>
      </c>
      <c r="X3362" s="70">
        <v>0</v>
      </c>
      <c r="Y3362" s="14">
        <f t="shared" si="1306"/>
        <v>0</v>
      </c>
      <c r="Z3362" s="11" t="s">
        <v>26</v>
      </c>
      <c r="AA3362" s="12" t="s">
        <v>31</v>
      </c>
    </row>
    <row r="3363" spans="1:27" x14ac:dyDescent="0.25">
      <c r="A3363" s="10">
        <v>45707</v>
      </c>
      <c r="B3363" s="11" t="s">
        <v>6063</v>
      </c>
      <c r="C3363" s="11" t="s">
        <v>6064</v>
      </c>
      <c r="D3363" s="11">
        <v>17908</v>
      </c>
      <c r="E3363" s="11" t="s">
        <v>244</v>
      </c>
      <c r="F3363" s="11" t="s">
        <v>26</v>
      </c>
      <c r="G3363" s="11" t="s">
        <v>26</v>
      </c>
      <c r="H3363" s="12" t="s">
        <v>4423</v>
      </c>
      <c r="I3363" s="12" t="s">
        <v>27</v>
      </c>
      <c r="J3363" s="12" t="s">
        <v>47</v>
      </c>
      <c r="K3363" s="12" t="s">
        <v>48</v>
      </c>
      <c r="L3363" s="13">
        <v>39.159999999999997</v>
      </c>
      <c r="M3363" s="13">
        <v>27</v>
      </c>
      <c r="N3363" s="13">
        <f t="shared" si="1308"/>
        <v>1.4503703703703703</v>
      </c>
      <c r="O3363" s="13">
        <f>46+43</f>
        <v>89</v>
      </c>
      <c r="P3363" s="13" t="s">
        <v>30</v>
      </c>
      <c r="Q3363" s="13">
        <v>0</v>
      </c>
      <c r="R3363" s="70">
        <f>L3363*O3363</f>
        <v>3485.24</v>
      </c>
      <c r="S3363" s="70">
        <v>43</v>
      </c>
      <c r="T3363" s="70">
        <f>L3363*S3363</f>
        <v>1683.8799999999999</v>
      </c>
      <c r="U3363" s="70">
        <f>R3363-T3363</f>
        <v>1801.36</v>
      </c>
      <c r="V3363" s="70">
        <f>U3363*1</f>
        <v>1801.36</v>
      </c>
      <c r="W3363" s="70">
        <f>U3363-V3363</f>
        <v>0</v>
      </c>
      <c r="X3363" s="70">
        <f>L3363*42</f>
        <v>1644.7199999999998</v>
      </c>
      <c r="Y3363" s="14">
        <f>T3363-X3363</f>
        <v>39.160000000000082</v>
      </c>
      <c r="Z3363" s="12" t="s">
        <v>141</v>
      </c>
      <c r="AA3363" s="12" t="s">
        <v>6030</v>
      </c>
    </row>
    <row r="3364" spans="1:27" x14ac:dyDescent="0.25">
      <c r="A3364" s="10">
        <v>45707</v>
      </c>
      <c r="B3364" s="11" t="s">
        <v>6065</v>
      </c>
      <c r="C3364" s="11" t="s">
        <v>6066</v>
      </c>
      <c r="D3364" s="11">
        <v>17909</v>
      </c>
      <c r="E3364" s="11" t="s">
        <v>501</v>
      </c>
      <c r="F3364" s="11" t="s">
        <v>26</v>
      </c>
      <c r="G3364" s="11">
        <v>822</v>
      </c>
      <c r="H3364" s="12" t="s">
        <v>141</v>
      </c>
      <c r="I3364" s="12" t="s">
        <v>27</v>
      </c>
      <c r="J3364" s="12" t="s">
        <v>42</v>
      </c>
      <c r="K3364" s="12" t="s">
        <v>43</v>
      </c>
      <c r="L3364" s="13">
        <v>44.04</v>
      </c>
      <c r="M3364" s="13">
        <v>25</v>
      </c>
      <c r="N3364" s="13">
        <f t="shared" si="1308"/>
        <v>1.7616000000000001</v>
      </c>
      <c r="O3364" s="13">
        <v>40</v>
      </c>
      <c r="P3364" s="13" t="s">
        <v>30</v>
      </c>
      <c r="Q3364" s="13">
        <v>0</v>
      </c>
      <c r="R3364" s="70">
        <f>L3364*O3364</f>
        <v>1761.6</v>
      </c>
      <c r="S3364" s="70">
        <v>0</v>
      </c>
      <c r="T3364" s="70">
        <f>L3364*S3364</f>
        <v>0</v>
      </c>
      <c r="U3364" s="70">
        <f>R3364-T3364</f>
        <v>1761.6</v>
      </c>
      <c r="V3364" s="70">
        <f>U3364*0</f>
        <v>0</v>
      </c>
      <c r="W3364" s="70">
        <f>U3364-V3364</f>
        <v>1761.6</v>
      </c>
      <c r="X3364" s="70">
        <v>0</v>
      </c>
      <c r="Y3364" s="14">
        <f t="shared" ref="Y3364:Y3372" si="1321">T3364-X3364</f>
        <v>0</v>
      </c>
      <c r="Z3364" s="11" t="s">
        <v>26</v>
      </c>
      <c r="AA3364" s="12" t="s">
        <v>31</v>
      </c>
    </row>
    <row r="3365" spans="1:27" x14ac:dyDescent="0.25">
      <c r="A3365" s="10">
        <v>45707</v>
      </c>
      <c r="B3365" s="11" t="s">
        <v>6067</v>
      </c>
      <c r="C3365" s="11" t="s">
        <v>6068</v>
      </c>
      <c r="D3365" s="11">
        <v>17910</v>
      </c>
      <c r="E3365" s="11" t="s">
        <v>81</v>
      </c>
      <c r="F3365" s="11" t="s">
        <v>26</v>
      </c>
      <c r="G3365" s="11">
        <v>1221</v>
      </c>
      <c r="H3365" s="12" t="s">
        <v>141</v>
      </c>
      <c r="I3365" s="12" t="s">
        <v>27</v>
      </c>
      <c r="J3365" s="12" t="s">
        <v>42</v>
      </c>
      <c r="K3365" s="12" t="s">
        <v>43</v>
      </c>
      <c r="L3365" s="13">
        <v>42.98</v>
      </c>
      <c r="M3365" s="13">
        <v>25</v>
      </c>
      <c r="N3365" s="13">
        <f t="shared" si="1308"/>
        <v>1.7191999999999998</v>
      </c>
      <c r="O3365" s="13">
        <v>40</v>
      </c>
      <c r="P3365" s="13" t="s">
        <v>30</v>
      </c>
      <c r="Q3365" s="13">
        <v>0</v>
      </c>
      <c r="R3365" s="70">
        <f>L3365*O3365</f>
        <v>1719.1999999999998</v>
      </c>
      <c r="S3365" s="70">
        <v>0</v>
      </c>
      <c r="T3365" s="70">
        <f>L3365*S3365</f>
        <v>0</v>
      </c>
      <c r="U3365" s="70">
        <f>R3365-T3365</f>
        <v>1719.1999999999998</v>
      </c>
      <c r="V3365" s="70">
        <f>U3365*0</f>
        <v>0</v>
      </c>
      <c r="W3365" s="70">
        <f>U3365-V3365</f>
        <v>1719.1999999999998</v>
      </c>
      <c r="X3365" s="70">
        <v>0</v>
      </c>
      <c r="Y3365" s="14">
        <f t="shared" si="1321"/>
        <v>0</v>
      </c>
      <c r="Z3365" s="11" t="s">
        <v>26</v>
      </c>
      <c r="AA3365" s="12" t="s">
        <v>31</v>
      </c>
    </row>
    <row r="3366" spans="1:27" x14ac:dyDescent="0.25">
      <c r="A3366" s="10">
        <v>45707</v>
      </c>
      <c r="B3366" s="11" t="s">
        <v>2686</v>
      </c>
      <c r="C3366" s="11" t="s">
        <v>6069</v>
      </c>
      <c r="D3366" s="11">
        <v>17911</v>
      </c>
      <c r="E3366" s="11" t="s">
        <v>53</v>
      </c>
      <c r="F3366" s="11" t="s">
        <v>26</v>
      </c>
      <c r="G3366" s="11">
        <v>3965</v>
      </c>
      <c r="H3366" s="12" t="s">
        <v>41</v>
      </c>
      <c r="I3366" s="12" t="s">
        <v>27</v>
      </c>
      <c r="J3366" s="12" t="s">
        <v>33</v>
      </c>
      <c r="K3366" s="12" t="s">
        <v>34</v>
      </c>
      <c r="L3366" s="13">
        <v>38.36</v>
      </c>
      <c r="M3366" s="13">
        <v>25</v>
      </c>
      <c r="N3366" s="13">
        <f t="shared" si="1308"/>
        <v>1.5344</v>
      </c>
      <c r="O3366" s="14" t="s">
        <v>30</v>
      </c>
      <c r="P3366" s="13">
        <v>60</v>
      </c>
      <c r="Q3366" s="13">
        <v>0</v>
      </c>
      <c r="R3366" s="70">
        <f>M3366*P3366</f>
        <v>1500</v>
      </c>
      <c r="S3366" s="70">
        <v>0</v>
      </c>
      <c r="T3366" s="70">
        <f>M3366*S3366</f>
        <v>0</v>
      </c>
      <c r="U3366" s="70">
        <f t="shared" ref="U3366" si="1322">+R3366-T3366</f>
        <v>1500</v>
      </c>
      <c r="V3366" s="70">
        <f>+U3366*0</f>
        <v>0</v>
      </c>
      <c r="W3366" s="70">
        <f t="shared" ref="W3366" si="1323">+U3366-V3366</f>
        <v>1500</v>
      </c>
      <c r="X3366" s="70">
        <v>0</v>
      </c>
      <c r="Y3366" s="14">
        <f t="shared" si="1321"/>
        <v>0</v>
      </c>
      <c r="Z3366" s="11" t="s">
        <v>26</v>
      </c>
      <c r="AA3366" s="12" t="s">
        <v>31</v>
      </c>
    </row>
    <row r="3367" spans="1:27" x14ac:dyDescent="0.25">
      <c r="A3367" s="10">
        <v>45708</v>
      </c>
      <c r="B3367" s="11" t="s">
        <v>6070</v>
      </c>
      <c r="C3367" s="11" t="s">
        <v>6071</v>
      </c>
      <c r="D3367" s="11">
        <v>17912</v>
      </c>
      <c r="E3367" s="11" t="s">
        <v>32</v>
      </c>
      <c r="F3367" s="11" t="s">
        <v>26</v>
      </c>
      <c r="G3367" s="11">
        <v>75039</v>
      </c>
      <c r="H3367" s="12" t="s">
        <v>4448</v>
      </c>
      <c r="I3367" s="12" t="s">
        <v>27</v>
      </c>
      <c r="J3367" s="12" t="s">
        <v>47</v>
      </c>
      <c r="K3367" s="12" t="s">
        <v>48</v>
      </c>
      <c r="L3367" s="13">
        <v>37.86</v>
      </c>
      <c r="M3367" s="13">
        <v>25</v>
      </c>
      <c r="N3367" s="13">
        <f>+L3367/M3367</f>
        <v>1.5144</v>
      </c>
      <c r="O3367" s="13">
        <v>46.66</v>
      </c>
      <c r="P3367" s="13" t="s">
        <v>30</v>
      </c>
      <c r="Q3367" s="13">
        <v>0</v>
      </c>
      <c r="R3367" s="70">
        <f>+L3367*O3367</f>
        <v>1766.5475999999999</v>
      </c>
      <c r="S3367" s="70">
        <v>0</v>
      </c>
      <c r="T3367" s="70">
        <f>+L3367*S3367</f>
        <v>0</v>
      </c>
      <c r="U3367" s="70">
        <f>+R3367-T3367</f>
        <v>1766.5475999999999</v>
      </c>
      <c r="V3367" s="70">
        <f>+U3367*0.75</f>
        <v>1324.9106999999999</v>
      </c>
      <c r="W3367" s="70">
        <f>+U3367-V3367</f>
        <v>441.63689999999997</v>
      </c>
      <c r="X3367" s="70">
        <v>0</v>
      </c>
      <c r="Y3367" s="14">
        <f t="shared" si="1321"/>
        <v>0</v>
      </c>
      <c r="Z3367" s="11" t="s">
        <v>26</v>
      </c>
      <c r="AA3367" s="12" t="s">
        <v>31</v>
      </c>
    </row>
    <row r="3368" spans="1:27" x14ac:dyDescent="0.25">
      <c r="A3368" s="10">
        <v>45708</v>
      </c>
      <c r="B3368" s="11" t="s">
        <v>6072</v>
      </c>
      <c r="C3368" s="11" t="s">
        <v>6073</v>
      </c>
      <c r="D3368" s="11">
        <v>17913</v>
      </c>
      <c r="E3368" s="11" t="s">
        <v>525</v>
      </c>
      <c r="F3368" s="11" t="s">
        <v>26</v>
      </c>
      <c r="G3368" s="11">
        <v>78555</v>
      </c>
      <c r="H3368" s="12" t="s">
        <v>4448</v>
      </c>
      <c r="I3368" s="12" t="s">
        <v>27</v>
      </c>
      <c r="J3368" s="12" t="s">
        <v>33</v>
      </c>
      <c r="K3368" s="12" t="s">
        <v>34</v>
      </c>
      <c r="L3368" s="13">
        <v>36.36</v>
      </c>
      <c r="M3368" s="13">
        <v>25</v>
      </c>
      <c r="N3368" s="13">
        <f t="shared" ref="N3368:N3419" si="1324">+L3368/M3368</f>
        <v>1.4543999999999999</v>
      </c>
      <c r="O3368" s="13">
        <v>45.33</v>
      </c>
      <c r="P3368" s="13" t="s">
        <v>30</v>
      </c>
      <c r="Q3368" s="13">
        <v>0</v>
      </c>
      <c r="R3368" s="70">
        <f>+L3368*O3368</f>
        <v>1648.1987999999999</v>
      </c>
      <c r="S3368" s="70">
        <v>0</v>
      </c>
      <c r="T3368" s="70">
        <f>+L3368*S3368</f>
        <v>0</v>
      </c>
      <c r="U3368" s="70">
        <f>+R3368-T3368</f>
        <v>1648.1987999999999</v>
      </c>
      <c r="V3368" s="70">
        <f>+U3368*0.75</f>
        <v>1236.1490999999999</v>
      </c>
      <c r="W3368" s="70">
        <f>+U3368-V3368</f>
        <v>412.04970000000003</v>
      </c>
      <c r="X3368" s="70">
        <v>0</v>
      </c>
      <c r="Y3368" s="14">
        <f t="shared" si="1321"/>
        <v>0</v>
      </c>
      <c r="Z3368" s="11" t="s">
        <v>26</v>
      </c>
      <c r="AA3368" s="12" t="s">
        <v>31</v>
      </c>
    </row>
    <row r="3369" spans="1:27" x14ac:dyDescent="0.25">
      <c r="A3369" s="10">
        <v>45708</v>
      </c>
      <c r="B3369" s="11" t="s">
        <v>1802</v>
      </c>
      <c r="C3369" s="11" t="s">
        <v>6074</v>
      </c>
      <c r="D3369" s="11">
        <v>17914</v>
      </c>
      <c r="E3369" s="11" t="s">
        <v>552</v>
      </c>
      <c r="F3369" s="11" t="s">
        <v>26</v>
      </c>
      <c r="G3369" s="11">
        <v>44177</v>
      </c>
      <c r="H3369" s="12" t="s">
        <v>4423</v>
      </c>
      <c r="I3369" s="12" t="s">
        <v>27</v>
      </c>
      <c r="J3369" s="12" t="s">
        <v>42</v>
      </c>
      <c r="K3369" s="12" t="s">
        <v>43</v>
      </c>
      <c r="L3369" s="13">
        <v>37.28</v>
      </c>
      <c r="M3369" s="13">
        <v>25</v>
      </c>
      <c r="N3369" s="13">
        <f t="shared" si="1324"/>
        <v>1.4912000000000001</v>
      </c>
      <c r="O3369" s="13">
        <v>42</v>
      </c>
      <c r="P3369" s="13" t="s">
        <v>30</v>
      </c>
      <c r="Q3369" s="13">
        <v>0</v>
      </c>
      <c r="R3369" s="70">
        <f t="shared" ref="R3369" si="1325">+L3369*O3369</f>
        <v>1565.76</v>
      </c>
      <c r="S3369" s="70">
        <v>0</v>
      </c>
      <c r="T3369" s="70">
        <f t="shared" ref="T3369" si="1326">+L3369*S3369</f>
        <v>0</v>
      </c>
      <c r="U3369" s="70">
        <f t="shared" ref="U3369:U3370" si="1327">+R3369-T3369</f>
        <v>1565.76</v>
      </c>
      <c r="V3369" s="70">
        <f>+U3369*1</f>
        <v>1565.76</v>
      </c>
      <c r="W3369" s="70">
        <f t="shared" ref="W3369:W3370" si="1328">+U3369-V3369</f>
        <v>0</v>
      </c>
      <c r="X3369" s="70">
        <v>0</v>
      </c>
      <c r="Y3369" s="14">
        <f t="shared" si="1321"/>
        <v>0</v>
      </c>
      <c r="Z3369" s="11" t="s">
        <v>26</v>
      </c>
      <c r="AA3369" s="12" t="s">
        <v>31</v>
      </c>
    </row>
    <row r="3370" spans="1:27" x14ac:dyDescent="0.25">
      <c r="A3370" s="10">
        <v>45708</v>
      </c>
      <c r="B3370" s="11" t="s">
        <v>6075</v>
      </c>
      <c r="C3370" s="11" t="s">
        <v>6076</v>
      </c>
      <c r="D3370" s="11">
        <v>17915</v>
      </c>
      <c r="E3370" s="11" t="s">
        <v>553</v>
      </c>
      <c r="F3370" s="11" t="s">
        <v>26</v>
      </c>
      <c r="G3370" s="11">
        <v>60603</v>
      </c>
      <c r="H3370" s="12" t="s">
        <v>4423</v>
      </c>
      <c r="I3370" s="12" t="s">
        <v>27</v>
      </c>
      <c r="J3370" s="12" t="s">
        <v>33</v>
      </c>
      <c r="K3370" s="12" t="s">
        <v>34</v>
      </c>
      <c r="L3370" s="13">
        <v>32.380000000000003</v>
      </c>
      <c r="M3370" s="13">
        <v>25</v>
      </c>
      <c r="N3370" s="13">
        <f t="shared" si="1324"/>
        <v>1.2952000000000001</v>
      </c>
      <c r="O3370" s="13">
        <v>45</v>
      </c>
      <c r="P3370" s="13" t="s">
        <v>30</v>
      </c>
      <c r="Q3370" s="13">
        <v>0</v>
      </c>
      <c r="R3370" s="70">
        <f>+L3370*O3370</f>
        <v>1457.1000000000001</v>
      </c>
      <c r="S3370" s="70">
        <v>0</v>
      </c>
      <c r="T3370" s="70">
        <f>+L3370*S3370</f>
        <v>0</v>
      </c>
      <c r="U3370" s="70">
        <f t="shared" si="1327"/>
        <v>1457.1000000000001</v>
      </c>
      <c r="V3370" s="70">
        <f>+U3370*1</f>
        <v>1457.1000000000001</v>
      </c>
      <c r="W3370" s="70">
        <f t="shared" si="1328"/>
        <v>0</v>
      </c>
      <c r="X3370" s="70">
        <v>0</v>
      </c>
      <c r="Y3370" s="14">
        <f t="shared" si="1321"/>
        <v>0</v>
      </c>
      <c r="Z3370" s="11" t="s">
        <v>26</v>
      </c>
      <c r="AA3370" s="12" t="s">
        <v>31</v>
      </c>
    </row>
    <row r="3371" spans="1:27" x14ac:dyDescent="0.25">
      <c r="A3371" s="10">
        <v>45708</v>
      </c>
      <c r="B3371" s="11" t="s">
        <v>102</v>
      </c>
      <c r="C3371" s="11" t="s">
        <v>6077</v>
      </c>
      <c r="D3371" s="11">
        <v>17916</v>
      </c>
      <c r="E3371" s="11" t="s">
        <v>68</v>
      </c>
      <c r="F3371" s="11" t="s">
        <v>26</v>
      </c>
      <c r="G3371" s="11">
        <v>76373</v>
      </c>
      <c r="H3371" s="12" t="s">
        <v>4448</v>
      </c>
      <c r="I3371" s="12" t="s">
        <v>27</v>
      </c>
      <c r="J3371" s="12" t="s">
        <v>33</v>
      </c>
      <c r="K3371" s="12" t="s">
        <v>34</v>
      </c>
      <c r="L3371" s="13">
        <v>40.78</v>
      </c>
      <c r="M3371" s="13">
        <v>28</v>
      </c>
      <c r="N3371" s="13">
        <f t="shared" si="1324"/>
        <v>1.4564285714285714</v>
      </c>
      <c r="O3371" s="13">
        <v>45.33</v>
      </c>
      <c r="P3371" s="13" t="s">
        <v>30</v>
      </c>
      <c r="Q3371" s="13">
        <v>0</v>
      </c>
      <c r="R3371" s="70">
        <f>+L3371*O3371</f>
        <v>1848.5573999999999</v>
      </c>
      <c r="S3371" s="70">
        <v>0</v>
      </c>
      <c r="T3371" s="70">
        <f>+L3371*S3371</f>
        <v>0</v>
      </c>
      <c r="U3371" s="70">
        <f>+R3371-T3371</f>
        <v>1848.5573999999999</v>
      </c>
      <c r="V3371" s="70">
        <f>+U3371*0.75</f>
        <v>1386.41805</v>
      </c>
      <c r="W3371" s="70">
        <f>+U3371-V3371</f>
        <v>462.13934999999992</v>
      </c>
      <c r="X3371" s="70">
        <v>0</v>
      </c>
      <c r="Y3371" s="14">
        <f t="shared" si="1321"/>
        <v>0</v>
      </c>
      <c r="Z3371" s="11" t="s">
        <v>26</v>
      </c>
      <c r="AA3371" s="12" t="s">
        <v>31</v>
      </c>
    </row>
    <row r="3372" spans="1:27" x14ac:dyDescent="0.25">
      <c r="A3372" s="10">
        <v>45708</v>
      </c>
      <c r="B3372" s="11" t="s">
        <v>6078</v>
      </c>
      <c r="C3372" s="11" t="s">
        <v>6079</v>
      </c>
      <c r="D3372" s="11">
        <v>17917</v>
      </c>
      <c r="E3372" s="11" t="s">
        <v>50</v>
      </c>
      <c r="F3372" s="11" t="s">
        <v>26</v>
      </c>
      <c r="G3372" s="11">
        <v>759</v>
      </c>
      <c r="H3372" s="12" t="s">
        <v>163</v>
      </c>
      <c r="I3372" s="12" t="s">
        <v>27</v>
      </c>
      <c r="J3372" s="12" t="s">
        <v>42</v>
      </c>
      <c r="K3372" s="12" t="s">
        <v>43</v>
      </c>
      <c r="L3372" s="13">
        <v>42.6</v>
      </c>
      <c r="M3372" s="13">
        <v>25</v>
      </c>
      <c r="N3372" s="13">
        <f t="shared" si="1324"/>
        <v>1.704</v>
      </c>
      <c r="O3372" s="13" t="s">
        <v>30</v>
      </c>
      <c r="P3372" s="13">
        <v>64</v>
      </c>
      <c r="Q3372" s="13">
        <v>0</v>
      </c>
      <c r="R3372" s="70">
        <f>M3372*P3372</f>
        <v>1600</v>
      </c>
      <c r="S3372" s="70">
        <v>0</v>
      </c>
      <c r="T3372" s="70">
        <f>M3372*S3372</f>
        <v>0</v>
      </c>
      <c r="U3372" s="70">
        <f>R3372-T3372</f>
        <v>1600</v>
      </c>
      <c r="V3372" s="70">
        <f t="shared" ref="V3372" si="1329">U3372*0</f>
        <v>0</v>
      </c>
      <c r="W3372" s="70">
        <f t="shared" ref="W3372:W3373" si="1330">U3372-V3372</f>
        <v>1600</v>
      </c>
      <c r="X3372" s="70">
        <v>0</v>
      </c>
      <c r="Y3372" s="14">
        <f t="shared" si="1321"/>
        <v>0</v>
      </c>
      <c r="Z3372" s="11" t="s">
        <v>26</v>
      </c>
      <c r="AA3372" s="12" t="s">
        <v>31</v>
      </c>
    </row>
    <row r="3373" spans="1:27" x14ac:dyDescent="0.25">
      <c r="A3373" s="10">
        <v>45708</v>
      </c>
      <c r="B3373" s="11" t="s">
        <v>6080</v>
      </c>
      <c r="C3373" s="11" t="s">
        <v>6081</v>
      </c>
      <c r="D3373" s="11">
        <v>17918</v>
      </c>
      <c r="E3373" s="11" t="s">
        <v>240</v>
      </c>
      <c r="F3373" s="11" t="s">
        <v>26</v>
      </c>
      <c r="G3373" s="11" t="s">
        <v>26</v>
      </c>
      <c r="H3373" s="12" t="s">
        <v>146</v>
      </c>
      <c r="I3373" s="12" t="s">
        <v>27</v>
      </c>
      <c r="J3373" s="12" t="s">
        <v>42</v>
      </c>
      <c r="K3373" s="12" t="s">
        <v>43</v>
      </c>
      <c r="L3373" s="13">
        <v>42.46</v>
      </c>
      <c r="M3373" s="13">
        <v>25</v>
      </c>
      <c r="N3373" s="13">
        <f t="shared" si="1324"/>
        <v>1.6984000000000001</v>
      </c>
      <c r="O3373" s="13">
        <v>91</v>
      </c>
      <c r="P3373" s="13" t="s">
        <v>30</v>
      </c>
      <c r="Q3373" s="13">
        <v>0</v>
      </c>
      <c r="R3373" s="70">
        <f>+L3373*O3373</f>
        <v>3863.86</v>
      </c>
      <c r="S3373" s="70">
        <v>40</v>
      </c>
      <c r="T3373" s="70">
        <f>L3373*S3373</f>
        <v>1698.4</v>
      </c>
      <c r="U3373" s="70">
        <f t="shared" ref="U3373" si="1331">R3373-T3373</f>
        <v>2165.46</v>
      </c>
      <c r="V3373" s="70">
        <f>U3373*1</f>
        <v>2165.46</v>
      </c>
      <c r="W3373" s="70">
        <f t="shared" si="1330"/>
        <v>0</v>
      </c>
      <c r="X3373" s="70">
        <f>L3373*37</f>
        <v>1571.02</v>
      </c>
      <c r="Y3373" s="71">
        <f>+T3373-X3373</f>
        <v>127.38000000000011</v>
      </c>
      <c r="Z3373" s="12" t="s">
        <v>41</v>
      </c>
      <c r="AA3373" s="12" t="s">
        <v>79</v>
      </c>
    </row>
    <row r="3374" spans="1:27" x14ac:dyDescent="0.25">
      <c r="A3374" s="10">
        <v>45708</v>
      </c>
      <c r="B3374" s="11" t="s">
        <v>6075</v>
      </c>
      <c r="C3374" s="11" t="s">
        <v>6082</v>
      </c>
      <c r="D3374" s="11">
        <v>17919</v>
      </c>
      <c r="E3374" s="11" t="s">
        <v>184</v>
      </c>
      <c r="F3374" s="11" t="s">
        <v>26</v>
      </c>
      <c r="G3374" s="11" t="s">
        <v>26</v>
      </c>
      <c r="H3374" s="12" t="s">
        <v>4423</v>
      </c>
      <c r="I3374" s="12" t="s">
        <v>27</v>
      </c>
      <c r="J3374" s="12" t="s">
        <v>33</v>
      </c>
      <c r="K3374" s="12" t="s">
        <v>34</v>
      </c>
      <c r="L3374" s="13">
        <v>43.28</v>
      </c>
      <c r="M3374" s="13">
        <v>30</v>
      </c>
      <c r="N3374" s="13">
        <f t="shared" si="1324"/>
        <v>1.4426666666666668</v>
      </c>
      <c r="O3374" s="13">
        <f>45+43</f>
        <v>88</v>
      </c>
      <c r="P3374" s="13" t="s">
        <v>30</v>
      </c>
      <c r="Q3374" s="13">
        <v>0</v>
      </c>
      <c r="R3374" s="70">
        <f>L3374*O3374</f>
        <v>3808.6400000000003</v>
      </c>
      <c r="S3374" s="70">
        <v>43</v>
      </c>
      <c r="T3374" s="70">
        <f>L3374*S3374</f>
        <v>1861.04</v>
      </c>
      <c r="U3374" s="70">
        <f>R3374-T3374</f>
        <v>1947.6000000000004</v>
      </c>
      <c r="V3374" s="70">
        <f>U3374*1</f>
        <v>1947.6000000000004</v>
      </c>
      <c r="W3374" s="70">
        <f>U3374-V3374</f>
        <v>0</v>
      </c>
      <c r="X3374" s="70">
        <f>L3374*42</f>
        <v>1817.76</v>
      </c>
      <c r="Y3374" s="14">
        <f>T3374-X3374</f>
        <v>43.279999999999973</v>
      </c>
      <c r="Z3374" s="12" t="s">
        <v>141</v>
      </c>
      <c r="AA3374" s="12" t="s">
        <v>6030</v>
      </c>
    </row>
    <row r="3375" spans="1:27" x14ac:dyDescent="0.25">
      <c r="A3375" s="10">
        <v>45708</v>
      </c>
      <c r="B3375" s="11" t="s">
        <v>6083</v>
      </c>
      <c r="C3375" s="11" t="s">
        <v>6084</v>
      </c>
      <c r="D3375" s="11">
        <v>17920</v>
      </c>
      <c r="E3375" s="11" t="s">
        <v>67</v>
      </c>
      <c r="F3375" s="11" t="s">
        <v>26</v>
      </c>
      <c r="G3375" s="11">
        <v>1645</v>
      </c>
      <c r="H3375" s="12" t="s">
        <v>66</v>
      </c>
      <c r="I3375" s="12" t="s">
        <v>37</v>
      </c>
      <c r="J3375" s="12" t="s">
        <v>85</v>
      </c>
      <c r="K3375" s="12" t="s">
        <v>86</v>
      </c>
      <c r="L3375" s="13">
        <v>36.479999999999997</v>
      </c>
      <c r="M3375" s="13">
        <v>25</v>
      </c>
      <c r="N3375" s="13">
        <f t="shared" si="1324"/>
        <v>1.4591999999999998</v>
      </c>
      <c r="O3375" s="13" t="s">
        <v>30</v>
      </c>
      <c r="P3375" s="13">
        <v>51</v>
      </c>
      <c r="Q3375" s="13">
        <v>0</v>
      </c>
      <c r="R3375" s="70">
        <f>M3375*P3375</f>
        <v>1275</v>
      </c>
      <c r="S3375" s="70">
        <v>0</v>
      </c>
      <c r="T3375" s="70">
        <f>M3375*S3375</f>
        <v>0</v>
      </c>
      <c r="U3375" s="70">
        <f t="shared" ref="U3375" si="1332">R3375-T3375</f>
        <v>1275</v>
      </c>
      <c r="V3375" s="70">
        <f>U3375*1</f>
        <v>1275</v>
      </c>
      <c r="W3375" s="70">
        <f>U3375-V3375</f>
        <v>0</v>
      </c>
      <c r="X3375" s="70">
        <v>0</v>
      </c>
      <c r="Y3375" s="14">
        <f t="shared" ref="Y3375:Y3380" si="1333">T3375-X3375</f>
        <v>0</v>
      </c>
      <c r="Z3375" s="11" t="s">
        <v>26</v>
      </c>
      <c r="AA3375" s="12" t="s">
        <v>31</v>
      </c>
    </row>
    <row r="3376" spans="1:27" x14ac:dyDescent="0.25">
      <c r="A3376" s="10">
        <v>45708</v>
      </c>
      <c r="B3376" s="11" t="s">
        <v>6085</v>
      </c>
      <c r="C3376" s="11" t="s">
        <v>6086</v>
      </c>
      <c r="D3376" s="11">
        <v>17921</v>
      </c>
      <c r="E3376" s="11" t="s">
        <v>63</v>
      </c>
      <c r="F3376" s="11" t="s">
        <v>26</v>
      </c>
      <c r="G3376" s="11">
        <v>10200</v>
      </c>
      <c r="H3376" s="12" t="s">
        <v>140</v>
      </c>
      <c r="I3376" s="12" t="s">
        <v>27</v>
      </c>
      <c r="J3376" s="12" t="s">
        <v>42</v>
      </c>
      <c r="K3376" s="12" t="s">
        <v>43</v>
      </c>
      <c r="L3376" s="13">
        <v>43.6</v>
      </c>
      <c r="M3376" s="13">
        <v>25</v>
      </c>
      <c r="N3376" s="13">
        <f t="shared" si="1324"/>
        <v>1.744</v>
      </c>
      <c r="O3376" s="13">
        <v>35</v>
      </c>
      <c r="P3376" s="13"/>
      <c r="Q3376" s="13">
        <v>0</v>
      </c>
      <c r="R3376" s="70">
        <f>+L3376*O3376</f>
        <v>1526</v>
      </c>
      <c r="S3376" s="70">
        <v>0</v>
      </c>
      <c r="T3376" s="70">
        <f>+L3376*S3376</f>
        <v>0</v>
      </c>
      <c r="U3376" s="70">
        <f>+R3376-T3376</f>
        <v>1526</v>
      </c>
      <c r="V3376" s="70">
        <f t="shared" ref="V3376" si="1334">+U3376*0</f>
        <v>0</v>
      </c>
      <c r="W3376" s="70">
        <f>+U3376-V3376</f>
        <v>1526</v>
      </c>
      <c r="X3376" s="70">
        <v>0</v>
      </c>
      <c r="Y3376" s="14">
        <f t="shared" si="1333"/>
        <v>0</v>
      </c>
      <c r="Z3376" s="11" t="s">
        <v>26</v>
      </c>
      <c r="AA3376" s="12" t="s">
        <v>31</v>
      </c>
    </row>
    <row r="3377" spans="1:27" x14ac:dyDescent="0.25">
      <c r="A3377" s="10">
        <v>45708</v>
      </c>
      <c r="B3377" s="11" t="s">
        <v>1848</v>
      </c>
      <c r="C3377" s="11" t="s">
        <v>6087</v>
      </c>
      <c r="D3377" s="11">
        <v>17922</v>
      </c>
      <c r="E3377" s="11" t="s">
        <v>1200</v>
      </c>
      <c r="F3377" s="11" t="s">
        <v>26</v>
      </c>
      <c r="G3377" s="11">
        <v>2982</v>
      </c>
      <c r="H3377" s="12" t="s">
        <v>163</v>
      </c>
      <c r="I3377" s="12" t="s">
        <v>55</v>
      </c>
      <c r="J3377" s="12" t="s">
        <v>566</v>
      </c>
      <c r="K3377" s="12" t="s">
        <v>550</v>
      </c>
      <c r="L3377" s="13">
        <v>42.78</v>
      </c>
      <c r="M3377" s="13">
        <v>25</v>
      </c>
      <c r="N3377" s="13">
        <f t="shared" si="1324"/>
        <v>1.7112000000000001</v>
      </c>
      <c r="O3377" s="13">
        <v>25</v>
      </c>
      <c r="P3377" s="13"/>
      <c r="Q3377" s="13">
        <v>0</v>
      </c>
      <c r="R3377" s="70">
        <f>L3377*O3377</f>
        <v>1069.5</v>
      </c>
      <c r="S3377" s="70">
        <v>0</v>
      </c>
      <c r="T3377" s="70">
        <f>L3377*S3377</f>
        <v>0</v>
      </c>
      <c r="U3377" s="70">
        <f>R3377-T3377</f>
        <v>1069.5</v>
      </c>
      <c r="V3377" s="70">
        <f>U3377*0</f>
        <v>0</v>
      </c>
      <c r="W3377" s="70">
        <f>U3377-V3377</f>
        <v>1069.5</v>
      </c>
      <c r="X3377" s="70">
        <v>0</v>
      </c>
      <c r="Y3377" s="14">
        <f t="shared" si="1333"/>
        <v>0</v>
      </c>
      <c r="Z3377" s="11" t="s">
        <v>26</v>
      </c>
      <c r="AA3377" s="12" t="s">
        <v>31</v>
      </c>
    </row>
    <row r="3378" spans="1:27" x14ac:dyDescent="0.25">
      <c r="A3378" s="10">
        <v>45708</v>
      </c>
      <c r="B3378" s="11" t="s">
        <v>4171</v>
      </c>
      <c r="C3378" s="11" t="s">
        <v>6088</v>
      </c>
      <c r="D3378" s="11">
        <v>17923</v>
      </c>
      <c r="E3378" s="11" t="s">
        <v>80</v>
      </c>
      <c r="F3378" s="11" t="s">
        <v>26</v>
      </c>
      <c r="G3378" s="11">
        <v>10695</v>
      </c>
      <c r="H3378" s="12" t="s">
        <v>140</v>
      </c>
      <c r="I3378" s="12" t="s">
        <v>27</v>
      </c>
      <c r="J3378" s="12" t="s">
        <v>42</v>
      </c>
      <c r="K3378" s="12" t="s">
        <v>43</v>
      </c>
      <c r="L3378" s="13">
        <v>42.94</v>
      </c>
      <c r="M3378" s="13">
        <v>25</v>
      </c>
      <c r="N3378" s="13">
        <f t="shared" si="1324"/>
        <v>1.7176</v>
      </c>
      <c r="O3378" s="13">
        <v>35</v>
      </c>
      <c r="P3378" s="13"/>
      <c r="Q3378" s="13">
        <v>0</v>
      </c>
      <c r="R3378" s="70">
        <f>+L3378*O3378</f>
        <v>1502.8999999999999</v>
      </c>
      <c r="S3378" s="70">
        <v>0</v>
      </c>
      <c r="T3378" s="70">
        <f>+L3378*S3378</f>
        <v>0</v>
      </c>
      <c r="U3378" s="70">
        <f>+R3378-T3378</f>
        <v>1502.8999999999999</v>
      </c>
      <c r="V3378" s="70">
        <f t="shared" ref="V3378" si="1335">+U3378*0</f>
        <v>0</v>
      </c>
      <c r="W3378" s="70">
        <f>+U3378-V3378</f>
        <v>1502.8999999999999</v>
      </c>
      <c r="X3378" s="70">
        <v>0</v>
      </c>
      <c r="Y3378" s="14">
        <f t="shared" si="1333"/>
        <v>0</v>
      </c>
      <c r="Z3378" s="11" t="s">
        <v>26</v>
      </c>
      <c r="AA3378" s="12" t="s">
        <v>31</v>
      </c>
    </row>
    <row r="3379" spans="1:27" x14ac:dyDescent="0.25">
      <c r="A3379" s="10">
        <v>45708</v>
      </c>
      <c r="B3379" s="11" t="s">
        <v>1748</v>
      </c>
      <c r="C3379" s="11" t="s">
        <v>6089</v>
      </c>
      <c r="D3379" s="11">
        <v>17924</v>
      </c>
      <c r="E3379" s="11" t="s">
        <v>65</v>
      </c>
      <c r="F3379" s="11" t="s">
        <v>26</v>
      </c>
      <c r="G3379" s="11">
        <v>1711</v>
      </c>
      <c r="H3379" s="12" t="s">
        <v>66</v>
      </c>
      <c r="I3379" s="12" t="s">
        <v>37</v>
      </c>
      <c r="J3379" s="12" t="s">
        <v>85</v>
      </c>
      <c r="K3379" s="12" t="s">
        <v>86</v>
      </c>
      <c r="L3379" s="13">
        <v>37.76</v>
      </c>
      <c r="M3379" s="13">
        <v>25</v>
      </c>
      <c r="N3379" s="13">
        <f t="shared" si="1324"/>
        <v>1.5104</v>
      </c>
      <c r="O3379" s="13" t="s">
        <v>30</v>
      </c>
      <c r="P3379" s="13">
        <v>51</v>
      </c>
      <c r="Q3379" s="13">
        <v>0</v>
      </c>
      <c r="R3379" s="70">
        <f>M3379*P3379</f>
        <v>1275</v>
      </c>
      <c r="S3379" s="70">
        <v>0</v>
      </c>
      <c r="T3379" s="70">
        <f>M3379*S3379</f>
        <v>0</v>
      </c>
      <c r="U3379" s="70">
        <f t="shared" ref="U3379" si="1336">R3379-T3379</f>
        <v>1275</v>
      </c>
      <c r="V3379" s="70">
        <f>U3379*1</f>
        <v>1275</v>
      </c>
      <c r="W3379" s="70">
        <f>U3379-V3379</f>
        <v>0</v>
      </c>
      <c r="X3379" s="70">
        <v>0</v>
      </c>
      <c r="Y3379" s="14">
        <f t="shared" si="1333"/>
        <v>0</v>
      </c>
      <c r="Z3379" s="11" t="s">
        <v>26</v>
      </c>
      <c r="AA3379" s="12" t="s">
        <v>31</v>
      </c>
    </row>
    <row r="3380" spans="1:27" x14ac:dyDescent="0.25">
      <c r="A3380" s="10">
        <v>45708</v>
      </c>
      <c r="B3380" s="11" t="s">
        <v>6090</v>
      </c>
      <c r="C3380" s="11" t="s">
        <v>6091</v>
      </c>
      <c r="D3380" s="11">
        <v>17925</v>
      </c>
      <c r="E3380" s="11" t="s">
        <v>224</v>
      </c>
      <c r="F3380" s="11" t="s">
        <v>26</v>
      </c>
      <c r="G3380" s="11">
        <v>3229</v>
      </c>
      <c r="H3380" s="12" t="s">
        <v>4423</v>
      </c>
      <c r="I3380" s="12" t="s">
        <v>27</v>
      </c>
      <c r="J3380" s="12" t="s">
        <v>47</v>
      </c>
      <c r="K3380" s="12" t="s">
        <v>48</v>
      </c>
      <c r="L3380" s="13">
        <v>35.840000000000003</v>
      </c>
      <c r="M3380" s="13">
        <v>25</v>
      </c>
      <c r="N3380" s="13">
        <f t="shared" si="1324"/>
        <v>1.4336000000000002</v>
      </c>
      <c r="O3380" s="13">
        <v>46</v>
      </c>
      <c r="P3380" s="13" t="s">
        <v>30</v>
      </c>
      <c r="Q3380" s="13">
        <v>0</v>
      </c>
      <c r="R3380" s="70">
        <f t="shared" ref="R3380" si="1337">+L3380*O3380</f>
        <v>1648.64</v>
      </c>
      <c r="S3380" s="70">
        <v>0</v>
      </c>
      <c r="T3380" s="70">
        <f t="shared" ref="T3380" si="1338">+L3380*S3380</f>
        <v>0</v>
      </c>
      <c r="U3380" s="70">
        <f t="shared" ref="U3380" si="1339">+R3380-T3380</f>
        <v>1648.64</v>
      </c>
      <c r="V3380" s="70">
        <f>+U3380*1</f>
        <v>1648.64</v>
      </c>
      <c r="W3380" s="70">
        <f t="shared" ref="W3380" si="1340">+U3380-V3380</f>
        <v>0</v>
      </c>
      <c r="X3380" s="70">
        <v>0</v>
      </c>
      <c r="Y3380" s="14">
        <f t="shared" si="1333"/>
        <v>0</v>
      </c>
      <c r="Z3380" s="11" t="s">
        <v>26</v>
      </c>
      <c r="AA3380" s="12" t="s">
        <v>31</v>
      </c>
    </row>
    <row r="3381" spans="1:27" x14ac:dyDescent="0.25">
      <c r="A3381" s="10">
        <v>45708</v>
      </c>
      <c r="B3381" s="11" t="s">
        <v>6092</v>
      </c>
      <c r="C3381" s="11" t="s">
        <v>6093</v>
      </c>
      <c r="D3381" s="11">
        <v>17926</v>
      </c>
      <c r="E3381" s="11" t="s">
        <v>605</v>
      </c>
      <c r="F3381" s="11" t="s">
        <v>26</v>
      </c>
      <c r="G3381" s="11" t="s">
        <v>26</v>
      </c>
      <c r="H3381" s="12" t="s">
        <v>4423</v>
      </c>
      <c r="I3381" s="12" t="s">
        <v>27</v>
      </c>
      <c r="J3381" s="12" t="s">
        <v>33</v>
      </c>
      <c r="K3381" s="12" t="s">
        <v>34</v>
      </c>
      <c r="L3381" s="13">
        <v>39.119999999999997</v>
      </c>
      <c r="M3381" s="13">
        <v>27</v>
      </c>
      <c r="N3381" s="13">
        <f t="shared" si="1324"/>
        <v>1.4488888888888889</v>
      </c>
      <c r="O3381" s="13">
        <f>45+43</f>
        <v>88</v>
      </c>
      <c r="P3381" s="13" t="s">
        <v>30</v>
      </c>
      <c r="Q3381" s="13">
        <v>0</v>
      </c>
      <c r="R3381" s="70">
        <f>L3381*O3381</f>
        <v>3442.56</v>
      </c>
      <c r="S3381" s="70">
        <v>43</v>
      </c>
      <c r="T3381" s="70">
        <f>L3381*S3381</f>
        <v>1682.1599999999999</v>
      </c>
      <c r="U3381" s="70">
        <f>R3381-T3381</f>
        <v>1760.4</v>
      </c>
      <c r="V3381" s="70">
        <f>U3381*1</f>
        <v>1760.4</v>
      </c>
      <c r="W3381" s="70">
        <f>U3381-V3381</f>
        <v>0</v>
      </c>
      <c r="X3381" s="70">
        <f>L3381*42</f>
        <v>1643.04</v>
      </c>
      <c r="Y3381" s="14">
        <f>T3381-X3381</f>
        <v>39.119999999999891</v>
      </c>
      <c r="Z3381" s="12" t="s">
        <v>141</v>
      </c>
      <c r="AA3381" s="12" t="s">
        <v>6030</v>
      </c>
    </row>
    <row r="3382" spans="1:27" x14ac:dyDescent="0.25">
      <c r="A3382" s="10">
        <v>45708</v>
      </c>
      <c r="B3382" s="11" t="s">
        <v>6094</v>
      </c>
      <c r="C3382" s="11" t="s">
        <v>6095</v>
      </c>
      <c r="D3382" s="11">
        <v>17927</v>
      </c>
      <c r="E3382" s="11" t="s">
        <v>75</v>
      </c>
      <c r="F3382" s="11" t="s">
        <v>26</v>
      </c>
      <c r="G3382" s="11">
        <v>40662</v>
      </c>
      <c r="H3382" s="12" t="s">
        <v>565</v>
      </c>
      <c r="I3382" s="12" t="s">
        <v>27</v>
      </c>
      <c r="J3382" s="12" t="s">
        <v>42</v>
      </c>
      <c r="K3382" s="12" t="s">
        <v>43</v>
      </c>
      <c r="L3382" s="13">
        <v>42.54</v>
      </c>
      <c r="M3382" s="13">
        <v>25</v>
      </c>
      <c r="N3382" s="13">
        <f t="shared" si="1324"/>
        <v>1.7016</v>
      </c>
      <c r="O3382" s="13"/>
      <c r="P3382" s="13">
        <v>64</v>
      </c>
      <c r="Q3382" s="13">
        <v>0</v>
      </c>
      <c r="R3382" s="70">
        <f>M3382*P3382</f>
        <v>1600</v>
      </c>
      <c r="S3382" s="70">
        <v>0</v>
      </c>
      <c r="T3382" s="70">
        <f>M3382*S3382</f>
        <v>0</v>
      </c>
      <c r="U3382" s="70">
        <f>R3382-T3382</f>
        <v>1600</v>
      </c>
      <c r="V3382" s="70">
        <f>U3382*0</f>
        <v>0</v>
      </c>
      <c r="W3382" s="70">
        <f>+U3382-V3382</f>
        <v>1600</v>
      </c>
      <c r="X3382" s="70">
        <v>0</v>
      </c>
      <c r="Y3382" s="14">
        <f t="shared" ref="Y3382:Y3384" si="1341">T3382-X3382</f>
        <v>0</v>
      </c>
      <c r="Z3382" s="11" t="s">
        <v>26</v>
      </c>
      <c r="AA3382" s="12" t="s">
        <v>31</v>
      </c>
    </row>
    <row r="3383" spans="1:27" x14ac:dyDescent="0.25">
      <c r="A3383" s="10">
        <v>45708</v>
      </c>
      <c r="B3383" s="11" t="s">
        <v>1057</v>
      </c>
      <c r="C3383" s="11" t="s">
        <v>6096</v>
      </c>
      <c r="D3383" s="11">
        <v>17928</v>
      </c>
      <c r="E3383" s="11" t="s">
        <v>570</v>
      </c>
      <c r="F3383" s="11" t="s">
        <v>26</v>
      </c>
      <c r="G3383" s="11">
        <v>10763</v>
      </c>
      <c r="H3383" s="12" t="s">
        <v>140</v>
      </c>
      <c r="I3383" s="12" t="s">
        <v>27</v>
      </c>
      <c r="J3383" s="12" t="s">
        <v>42</v>
      </c>
      <c r="K3383" s="12" t="s">
        <v>43</v>
      </c>
      <c r="L3383" s="13">
        <v>42.56</v>
      </c>
      <c r="M3383" s="13">
        <v>25</v>
      </c>
      <c r="N3383" s="13">
        <f t="shared" si="1324"/>
        <v>1.7024000000000001</v>
      </c>
      <c r="O3383" s="13">
        <v>35</v>
      </c>
      <c r="P3383" s="13"/>
      <c r="Q3383" s="13">
        <v>0</v>
      </c>
      <c r="R3383" s="70">
        <f>+L3383*O3383</f>
        <v>1489.6000000000001</v>
      </c>
      <c r="S3383" s="70">
        <v>0</v>
      </c>
      <c r="T3383" s="70">
        <f>+L3383*S3383</f>
        <v>0</v>
      </c>
      <c r="U3383" s="70">
        <f>+R3383-T3383</f>
        <v>1489.6000000000001</v>
      </c>
      <c r="V3383" s="70">
        <f t="shared" ref="V3383" si="1342">+U3383*0</f>
        <v>0</v>
      </c>
      <c r="W3383" s="70">
        <f>+U3383-V3383</f>
        <v>1489.6000000000001</v>
      </c>
      <c r="X3383" s="70">
        <v>0</v>
      </c>
      <c r="Y3383" s="14">
        <f t="shared" si="1341"/>
        <v>0</v>
      </c>
      <c r="Z3383" s="11" t="s">
        <v>26</v>
      </c>
      <c r="AA3383" s="12" t="s">
        <v>31</v>
      </c>
    </row>
    <row r="3384" spans="1:27" x14ac:dyDescent="0.25">
      <c r="A3384" s="10">
        <v>45708</v>
      </c>
      <c r="B3384" s="11" t="s">
        <v>6097</v>
      </c>
      <c r="C3384" s="11" t="s">
        <v>6098</v>
      </c>
      <c r="D3384" s="11">
        <v>17929</v>
      </c>
      <c r="E3384" s="11" t="s">
        <v>593</v>
      </c>
      <c r="F3384" s="11" t="s">
        <v>26</v>
      </c>
      <c r="G3384" s="11">
        <v>44343</v>
      </c>
      <c r="H3384" s="12" t="s">
        <v>4423</v>
      </c>
      <c r="I3384" s="12" t="s">
        <v>27</v>
      </c>
      <c r="J3384" s="12" t="s">
        <v>42</v>
      </c>
      <c r="K3384" s="12" t="s">
        <v>43</v>
      </c>
      <c r="L3384" s="13">
        <v>38.18</v>
      </c>
      <c r="M3384" s="13">
        <v>25</v>
      </c>
      <c r="N3384" s="13">
        <f t="shared" si="1324"/>
        <v>1.5271999999999999</v>
      </c>
      <c r="O3384" s="13">
        <v>42</v>
      </c>
      <c r="P3384" s="13" t="s">
        <v>30</v>
      </c>
      <c r="Q3384" s="13">
        <v>0</v>
      </c>
      <c r="R3384" s="70">
        <f t="shared" ref="R3384" si="1343">+L3384*O3384</f>
        <v>1603.56</v>
      </c>
      <c r="S3384" s="70">
        <v>0</v>
      </c>
      <c r="T3384" s="70">
        <f t="shared" ref="T3384" si="1344">+L3384*S3384</f>
        <v>0</v>
      </c>
      <c r="U3384" s="70">
        <f t="shared" ref="U3384" si="1345">+R3384-T3384</f>
        <v>1603.56</v>
      </c>
      <c r="V3384" s="70">
        <f>+U3384*1</f>
        <v>1603.56</v>
      </c>
      <c r="W3384" s="70">
        <f t="shared" ref="W3384" si="1346">+U3384-V3384</f>
        <v>0</v>
      </c>
      <c r="X3384" s="70">
        <v>0</v>
      </c>
      <c r="Y3384" s="14">
        <f t="shared" si="1341"/>
        <v>0</v>
      </c>
      <c r="Z3384" s="11" t="s">
        <v>26</v>
      </c>
      <c r="AA3384" s="12" t="s">
        <v>31</v>
      </c>
    </row>
    <row r="3385" spans="1:27" x14ac:dyDescent="0.25">
      <c r="A3385" s="10">
        <v>45708</v>
      </c>
      <c r="B3385" s="11" t="s">
        <v>6099</v>
      </c>
      <c r="C3385" s="11" t="s">
        <v>6100</v>
      </c>
      <c r="D3385" s="11">
        <v>17930</v>
      </c>
      <c r="E3385" s="11" t="s">
        <v>246</v>
      </c>
      <c r="F3385" s="11" t="s">
        <v>26</v>
      </c>
      <c r="G3385" s="11" t="s">
        <v>26</v>
      </c>
      <c r="H3385" s="12" t="s">
        <v>4422</v>
      </c>
      <c r="I3385" s="12" t="s">
        <v>27</v>
      </c>
      <c r="J3385" s="12" t="s">
        <v>33</v>
      </c>
      <c r="K3385" s="12" t="s">
        <v>34</v>
      </c>
      <c r="L3385" s="13">
        <v>43.16</v>
      </c>
      <c r="M3385" s="13">
        <v>30</v>
      </c>
      <c r="N3385" s="13">
        <f t="shared" si="1324"/>
        <v>1.4386666666666665</v>
      </c>
      <c r="O3385" s="13">
        <v>85</v>
      </c>
      <c r="P3385" s="13" t="s">
        <v>30</v>
      </c>
      <c r="Q3385" s="13">
        <v>0</v>
      </c>
      <c r="R3385" s="70">
        <f t="shared" ref="R3385" si="1347">L3385*O3385</f>
        <v>3668.6</v>
      </c>
      <c r="S3385" s="70">
        <v>38</v>
      </c>
      <c r="T3385" s="70">
        <f t="shared" ref="T3385" si="1348">L3385*S3385</f>
        <v>1640.08</v>
      </c>
      <c r="U3385" s="70">
        <f t="shared" ref="U3385:U3386" si="1349">R3385-T3385</f>
        <v>2028.52</v>
      </c>
      <c r="V3385" s="70">
        <f>U3385*1</f>
        <v>2028.52</v>
      </c>
      <c r="W3385" s="70">
        <f t="shared" ref="W3385:W3387" si="1350">U3385-V3385</f>
        <v>0</v>
      </c>
      <c r="X3385" s="70">
        <f>L3385*37</f>
        <v>1596.9199999999998</v>
      </c>
      <c r="Y3385" s="71">
        <f>+T3385-X3385</f>
        <v>43.160000000000082</v>
      </c>
      <c r="Z3385" s="12" t="s">
        <v>41</v>
      </c>
      <c r="AA3385" s="12" t="s">
        <v>78</v>
      </c>
    </row>
    <row r="3386" spans="1:27" x14ac:dyDescent="0.25">
      <c r="A3386" s="10">
        <v>45708</v>
      </c>
      <c r="B3386" s="11" t="s">
        <v>6101</v>
      </c>
      <c r="C3386" s="11" t="s">
        <v>6102</v>
      </c>
      <c r="D3386" s="11">
        <v>17931</v>
      </c>
      <c r="E3386" s="11" t="s">
        <v>539</v>
      </c>
      <c r="F3386" s="11" t="s">
        <v>26</v>
      </c>
      <c r="G3386" s="11" t="s">
        <v>26</v>
      </c>
      <c r="H3386" s="12" t="s">
        <v>146</v>
      </c>
      <c r="I3386" s="12" t="s">
        <v>27</v>
      </c>
      <c r="J3386" s="12" t="s">
        <v>47</v>
      </c>
      <c r="K3386" s="12" t="s">
        <v>48</v>
      </c>
      <c r="L3386" s="13">
        <v>41.42</v>
      </c>
      <c r="M3386" s="13">
        <v>28</v>
      </c>
      <c r="N3386" s="13">
        <f t="shared" si="1324"/>
        <v>1.4792857142857143</v>
      </c>
      <c r="O3386" s="13">
        <v>91</v>
      </c>
      <c r="P3386" s="13" t="s">
        <v>30</v>
      </c>
      <c r="Q3386" s="13">
        <v>0</v>
      </c>
      <c r="R3386" s="70">
        <f>+L3386*O3386</f>
        <v>3769.2200000000003</v>
      </c>
      <c r="S3386" s="70">
        <v>40</v>
      </c>
      <c r="T3386" s="70">
        <f>L3386*S3386</f>
        <v>1656.8000000000002</v>
      </c>
      <c r="U3386" s="70">
        <f t="shared" si="1349"/>
        <v>2112.42</v>
      </c>
      <c r="V3386" s="70">
        <f>U3386*1</f>
        <v>2112.42</v>
      </c>
      <c r="W3386" s="70">
        <f t="shared" si="1350"/>
        <v>0</v>
      </c>
      <c r="X3386" s="70">
        <f>L3386*37</f>
        <v>1532.54</v>
      </c>
      <c r="Y3386" s="71">
        <f>+T3386-X3386</f>
        <v>124.26000000000022</v>
      </c>
      <c r="Z3386" s="12" t="s">
        <v>41</v>
      </c>
      <c r="AA3386" s="12" t="s">
        <v>79</v>
      </c>
    </row>
    <row r="3387" spans="1:27" x14ac:dyDescent="0.25">
      <c r="A3387" s="10">
        <v>45708</v>
      </c>
      <c r="B3387" s="11" t="s">
        <v>6103</v>
      </c>
      <c r="C3387" s="11" t="s">
        <v>6104</v>
      </c>
      <c r="D3387" s="11">
        <v>17932</v>
      </c>
      <c r="E3387" s="11" t="s">
        <v>50</v>
      </c>
      <c r="F3387" s="11" t="s">
        <v>26</v>
      </c>
      <c r="G3387" s="11">
        <v>760</v>
      </c>
      <c r="H3387" s="12" t="s">
        <v>163</v>
      </c>
      <c r="I3387" s="12" t="s">
        <v>27</v>
      </c>
      <c r="J3387" s="12" t="s">
        <v>42</v>
      </c>
      <c r="K3387" s="12" t="s">
        <v>43</v>
      </c>
      <c r="L3387" s="13">
        <v>42.86</v>
      </c>
      <c r="M3387" s="13">
        <v>25</v>
      </c>
      <c r="N3387" s="13">
        <f t="shared" si="1324"/>
        <v>1.7143999999999999</v>
      </c>
      <c r="O3387" s="13" t="s">
        <v>30</v>
      </c>
      <c r="P3387" s="13">
        <v>64</v>
      </c>
      <c r="Q3387" s="13">
        <v>0</v>
      </c>
      <c r="R3387" s="70">
        <f>M3387*P3387</f>
        <v>1600</v>
      </c>
      <c r="S3387" s="70">
        <v>0</v>
      </c>
      <c r="T3387" s="70">
        <f>M3387*S3387</f>
        <v>0</v>
      </c>
      <c r="U3387" s="70">
        <f>R3387-T3387</f>
        <v>1600</v>
      </c>
      <c r="V3387" s="70">
        <f t="shared" ref="V3387" si="1351">U3387*0</f>
        <v>0</v>
      </c>
      <c r="W3387" s="70">
        <f t="shared" si="1350"/>
        <v>1600</v>
      </c>
      <c r="X3387" s="70">
        <v>0</v>
      </c>
      <c r="Y3387" s="14">
        <f t="shared" ref="Y3387:Y3403" si="1352">T3387-X3387</f>
        <v>0</v>
      </c>
      <c r="Z3387" s="11" t="s">
        <v>26</v>
      </c>
      <c r="AA3387" s="12" t="s">
        <v>31</v>
      </c>
    </row>
    <row r="3388" spans="1:27" x14ac:dyDescent="0.25">
      <c r="A3388" s="10">
        <v>45708</v>
      </c>
      <c r="B3388" s="11" t="s">
        <v>6105</v>
      </c>
      <c r="C3388" s="11" t="s">
        <v>6106</v>
      </c>
      <c r="D3388" s="11">
        <v>17933</v>
      </c>
      <c r="E3388" s="11" t="s">
        <v>97</v>
      </c>
      <c r="F3388" s="11" t="s">
        <v>26</v>
      </c>
      <c r="G3388" s="11">
        <v>9801</v>
      </c>
      <c r="H3388" s="12" t="s">
        <v>4447</v>
      </c>
      <c r="I3388" s="12" t="s">
        <v>27</v>
      </c>
      <c r="J3388" s="12" t="s">
        <v>42</v>
      </c>
      <c r="K3388" s="12" t="s">
        <v>43</v>
      </c>
      <c r="L3388" s="13">
        <v>19.88</v>
      </c>
      <c r="M3388" s="13">
        <v>12</v>
      </c>
      <c r="N3388" s="13">
        <f t="shared" si="1324"/>
        <v>1.6566666666666665</v>
      </c>
      <c r="O3388" s="13" t="s">
        <v>30</v>
      </c>
      <c r="P3388" s="13">
        <v>65.599999999999994</v>
      </c>
      <c r="Q3388" s="13">
        <v>0</v>
      </c>
      <c r="R3388" s="70">
        <f>+M3388*P3388</f>
        <v>787.19999999999993</v>
      </c>
      <c r="S3388" s="70">
        <v>0</v>
      </c>
      <c r="T3388" s="70">
        <f>+M3388*S3388</f>
        <v>0</v>
      </c>
      <c r="U3388" s="70">
        <f t="shared" ref="U3388" si="1353">+R3388-T3388</f>
        <v>787.19999999999993</v>
      </c>
      <c r="V3388" s="70">
        <f>+U3388*1</f>
        <v>787.19999999999993</v>
      </c>
      <c r="W3388" s="70">
        <f t="shared" ref="W3388" si="1354">+U3388-V3388</f>
        <v>0</v>
      </c>
      <c r="X3388" s="70">
        <v>0</v>
      </c>
      <c r="Y3388" s="14">
        <f t="shared" si="1352"/>
        <v>0</v>
      </c>
      <c r="Z3388" s="11" t="s">
        <v>26</v>
      </c>
      <c r="AA3388" s="12" t="s">
        <v>31</v>
      </c>
    </row>
    <row r="3389" spans="1:27" x14ac:dyDescent="0.25">
      <c r="A3389" s="10">
        <v>45708</v>
      </c>
      <c r="B3389" s="11" t="s">
        <v>679</v>
      </c>
      <c r="C3389" s="11" t="s">
        <v>6107</v>
      </c>
      <c r="D3389" s="11">
        <v>17934</v>
      </c>
      <c r="E3389" s="11" t="s">
        <v>67</v>
      </c>
      <c r="F3389" s="11" t="s">
        <v>26</v>
      </c>
      <c r="G3389" s="11">
        <v>1646</v>
      </c>
      <c r="H3389" s="12" t="s">
        <v>66</v>
      </c>
      <c r="I3389" s="12" t="s">
        <v>37</v>
      </c>
      <c r="J3389" s="12" t="s">
        <v>1909</v>
      </c>
      <c r="K3389" s="12" t="s">
        <v>82</v>
      </c>
      <c r="L3389" s="13">
        <v>39.06</v>
      </c>
      <c r="M3389" s="13">
        <v>25</v>
      </c>
      <c r="N3389" s="13">
        <f t="shared" si="1324"/>
        <v>1.5624</v>
      </c>
      <c r="O3389" s="13" t="s">
        <v>30</v>
      </c>
      <c r="P3389" s="13">
        <v>54</v>
      </c>
      <c r="Q3389" s="13">
        <v>0</v>
      </c>
      <c r="R3389" s="70">
        <f>M3389*P3389</f>
        <v>1350</v>
      </c>
      <c r="S3389" s="70">
        <v>0</v>
      </c>
      <c r="T3389" s="70">
        <f>M3389*S3389</f>
        <v>0</v>
      </c>
      <c r="U3389" s="70">
        <f t="shared" ref="U3389" si="1355">R3389-T3389</f>
        <v>1350</v>
      </c>
      <c r="V3389" s="70">
        <f>U3389*1</f>
        <v>1350</v>
      </c>
      <c r="W3389" s="70">
        <f>U3389-V3389</f>
        <v>0</v>
      </c>
      <c r="X3389" s="70">
        <v>0</v>
      </c>
      <c r="Y3389" s="14">
        <f t="shared" si="1352"/>
        <v>0</v>
      </c>
      <c r="Z3389" s="11" t="s">
        <v>26</v>
      </c>
      <c r="AA3389" s="12" t="s">
        <v>31</v>
      </c>
    </row>
    <row r="3390" spans="1:27" x14ac:dyDescent="0.25">
      <c r="A3390" s="10">
        <v>45708</v>
      </c>
      <c r="B3390" s="11" t="s">
        <v>6108</v>
      </c>
      <c r="C3390" s="11" t="s">
        <v>6109</v>
      </c>
      <c r="D3390" s="11">
        <v>17935</v>
      </c>
      <c r="E3390" s="11" t="s">
        <v>53</v>
      </c>
      <c r="F3390" s="11" t="s">
        <v>26</v>
      </c>
      <c r="G3390" s="11">
        <v>3971</v>
      </c>
      <c r="H3390" s="12" t="s">
        <v>41</v>
      </c>
      <c r="I3390" s="12" t="s">
        <v>27</v>
      </c>
      <c r="J3390" s="12" t="s">
        <v>33</v>
      </c>
      <c r="K3390" s="12" t="s">
        <v>34</v>
      </c>
      <c r="L3390" s="13">
        <v>37.22</v>
      </c>
      <c r="M3390" s="13">
        <v>25</v>
      </c>
      <c r="N3390" s="13">
        <f t="shared" si="1324"/>
        <v>1.4887999999999999</v>
      </c>
      <c r="O3390" s="13" t="s">
        <v>30</v>
      </c>
      <c r="P3390" s="13">
        <v>60</v>
      </c>
      <c r="Q3390" s="13">
        <v>0</v>
      </c>
      <c r="R3390" s="70">
        <f>M3390*P3390</f>
        <v>1500</v>
      </c>
      <c r="S3390" s="70">
        <v>0</v>
      </c>
      <c r="T3390" s="70">
        <f>M3390*S3390</f>
        <v>0</v>
      </c>
      <c r="U3390" s="70">
        <f t="shared" ref="U3390:U3392" si="1356">+R3390-T3390</f>
        <v>1500</v>
      </c>
      <c r="V3390" s="70">
        <f>+U3390*0</f>
        <v>0</v>
      </c>
      <c r="W3390" s="70">
        <f t="shared" ref="W3390:W3392" si="1357">+U3390-V3390</f>
        <v>1500</v>
      </c>
      <c r="X3390" s="70">
        <v>0</v>
      </c>
      <c r="Y3390" s="14">
        <f t="shared" si="1352"/>
        <v>0</v>
      </c>
      <c r="Z3390" s="11" t="s">
        <v>26</v>
      </c>
      <c r="AA3390" s="12" t="s">
        <v>31</v>
      </c>
    </row>
    <row r="3391" spans="1:27" x14ac:dyDescent="0.25">
      <c r="A3391" s="10">
        <v>45708</v>
      </c>
      <c r="B3391" s="11" t="s">
        <v>6110</v>
      </c>
      <c r="C3391" s="11" t="s">
        <v>6111</v>
      </c>
      <c r="D3391" s="11">
        <v>17936</v>
      </c>
      <c r="E3391" s="11" t="s">
        <v>483</v>
      </c>
      <c r="F3391" s="11" t="s">
        <v>26</v>
      </c>
      <c r="G3391" s="11">
        <v>3052</v>
      </c>
      <c r="H3391" s="12" t="s">
        <v>41</v>
      </c>
      <c r="I3391" s="12" t="s">
        <v>27</v>
      </c>
      <c r="J3391" s="12" t="s">
        <v>33</v>
      </c>
      <c r="K3391" s="12" t="s">
        <v>34</v>
      </c>
      <c r="L3391" s="13">
        <v>38.020000000000003</v>
      </c>
      <c r="M3391" s="13">
        <v>25</v>
      </c>
      <c r="N3391" s="13">
        <f t="shared" si="1324"/>
        <v>1.5208000000000002</v>
      </c>
      <c r="O3391" s="13" t="s">
        <v>30</v>
      </c>
      <c r="P3391" s="13">
        <v>60</v>
      </c>
      <c r="Q3391" s="13">
        <v>0</v>
      </c>
      <c r="R3391" s="70">
        <f>M3391*P3391</f>
        <v>1500</v>
      </c>
      <c r="S3391" s="70">
        <v>0</v>
      </c>
      <c r="T3391" s="70">
        <f>M3391*S3391</f>
        <v>0</v>
      </c>
      <c r="U3391" s="70">
        <f t="shared" si="1356"/>
        <v>1500</v>
      </c>
      <c r="V3391" s="70">
        <f>+U3391*0</f>
        <v>0</v>
      </c>
      <c r="W3391" s="70">
        <f t="shared" si="1357"/>
        <v>1500</v>
      </c>
      <c r="X3391" s="70">
        <v>0</v>
      </c>
      <c r="Y3391" s="14">
        <f t="shared" si="1352"/>
        <v>0</v>
      </c>
      <c r="Z3391" s="11" t="s">
        <v>26</v>
      </c>
      <c r="AA3391" s="12" t="s">
        <v>31</v>
      </c>
    </row>
    <row r="3392" spans="1:27" x14ac:dyDescent="0.25">
      <c r="A3392" s="10">
        <v>45708</v>
      </c>
      <c r="B3392" s="11" t="s">
        <v>6112</v>
      </c>
      <c r="C3392" s="11" t="s">
        <v>6113</v>
      </c>
      <c r="D3392" s="11">
        <v>17937</v>
      </c>
      <c r="E3392" s="11" t="s">
        <v>435</v>
      </c>
      <c r="F3392" s="11" t="s">
        <v>26</v>
      </c>
      <c r="G3392" s="11">
        <v>2786</v>
      </c>
      <c r="H3392" s="12" t="s">
        <v>41</v>
      </c>
      <c r="I3392" s="12" t="s">
        <v>55</v>
      </c>
      <c r="J3392" s="12" t="s">
        <v>55</v>
      </c>
      <c r="K3392" s="12" t="s">
        <v>56</v>
      </c>
      <c r="L3392" s="13">
        <v>39.9</v>
      </c>
      <c r="M3392" s="13">
        <v>24</v>
      </c>
      <c r="N3392" s="13">
        <f t="shared" si="1324"/>
        <v>1.6624999999999999</v>
      </c>
      <c r="O3392" s="13" t="s">
        <v>30</v>
      </c>
      <c r="P3392" s="13">
        <v>24</v>
      </c>
      <c r="Q3392" s="13">
        <v>0</v>
      </c>
      <c r="R3392" s="70">
        <f>+M3392*P3392</f>
        <v>576</v>
      </c>
      <c r="S3392" s="70">
        <v>0</v>
      </c>
      <c r="T3392" s="70">
        <f>+M3392*S3392</f>
        <v>0</v>
      </c>
      <c r="U3392" s="70">
        <f t="shared" si="1356"/>
        <v>576</v>
      </c>
      <c r="V3392" s="70">
        <f>+U3392*0</f>
        <v>0</v>
      </c>
      <c r="W3392" s="70">
        <f t="shared" si="1357"/>
        <v>576</v>
      </c>
      <c r="X3392" s="70">
        <v>0</v>
      </c>
      <c r="Y3392" s="14">
        <f t="shared" si="1352"/>
        <v>0</v>
      </c>
      <c r="Z3392" s="11" t="s">
        <v>26</v>
      </c>
      <c r="AA3392" s="12" t="s">
        <v>31</v>
      </c>
    </row>
    <row r="3393" spans="1:27" x14ac:dyDescent="0.25">
      <c r="A3393" s="10">
        <v>45708</v>
      </c>
      <c r="B3393" s="11" t="s">
        <v>2819</v>
      </c>
      <c r="C3393" s="11" t="s">
        <v>6114</v>
      </c>
      <c r="D3393" s="11">
        <v>17938</v>
      </c>
      <c r="E3393" s="11" t="s">
        <v>65</v>
      </c>
      <c r="F3393" s="11" t="s">
        <v>26</v>
      </c>
      <c r="G3393" s="11">
        <v>1712</v>
      </c>
      <c r="H3393" s="12" t="s">
        <v>66</v>
      </c>
      <c r="I3393" s="12" t="s">
        <v>37</v>
      </c>
      <c r="J3393" s="12" t="s">
        <v>1909</v>
      </c>
      <c r="K3393" s="12" t="s">
        <v>82</v>
      </c>
      <c r="L3393" s="13">
        <v>40.04</v>
      </c>
      <c r="M3393" s="13">
        <v>25</v>
      </c>
      <c r="N3393" s="13">
        <f t="shared" si="1324"/>
        <v>1.6015999999999999</v>
      </c>
      <c r="O3393" s="13" t="s">
        <v>30</v>
      </c>
      <c r="P3393" s="13">
        <v>54</v>
      </c>
      <c r="Q3393" s="13">
        <v>0</v>
      </c>
      <c r="R3393" s="70">
        <f>M3393*P3393</f>
        <v>1350</v>
      </c>
      <c r="S3393" s="70">
        <v>0</v>
      </c>
      <c r="T3393" s="70">
        <f>M3393*S3393</f>
        <v>0</v>
      </c>
      <c r="U3393" s="70">
        <f t="shared" ref="U3393" si="1358">R3393-T3393</f>
        <v>1350</v>
      </c>
      <c r="V3393" s="70">
        <f>U3393*1</f>
        <v>1350</v>
      </c>
      <c r="W3393" s="70">
        <f>U3393-V3393</f>
        <v>0</v>
      </c>
      <c r="X3393" s="70">
        <v>0</v>
      </c>
      <c r="Y3393" s="14">
        <f t="shared" si="1352"/>
        <v>0</v>
      </c>
      <c r="Z3393" s="11" t="s">
        <v>26</v>
      </c>
      <c r="AA3393" s="12" t="s">
        <v>31</v>
      </c>
    </row>
    <row r="3394" spans="1:27" x14ac:dyDescent="0.25">
      <c r="A3394" s="10">
        <v>45708</v>
      </c>
      <c r="B3394" s="11" t="s">
        <v>6115</v>
      </c>
      <c r="C3394" s="11" t="s">
        <v>6116</v>
      </c>
      <c r="D3394" s="11">
        <v>17939</v>
      </c>
      <c r="E3394" s="11" t="s">
        <v>589</v>
      </c>
      <c r="F3394" s="11" t="s">
        <v>26</v>
      </c>
      <c r="G3394" s="11">
        <v>56933</v>
      </c>
      <c r="H3394" s="12" t="s">
        <v>4423</v>
      </c>
      <c r="I3394" s="12" t="s">
        <v>27</v>
      </c>
      <c r="J3394" s="12" t="s">
        <v>47</v>
      </c>
      <c r="K3394" s="12" t="s">
        <v>48</v>
      </c>
      <c r="L3394" s="13">
        <v>33.44</v>
      </c>
      <c r="M3394" s="13">
        <v>25</v>
      </c>
      <c r="N3394" s="13">
        <f t="shared" si="1324"/>
        <v>1.3375999999999999</v>
      </c>
      <c r="O3394" s="13">
        <v>46</v>
      </c>
      <c r="P3394" s="13" t="s">
        <v>30</v>
      </c>
      <c r="Q3394" s="13">
        <v>0</v>
      </c>
      <c r="R3394" s="70">
        <f t="shared" ref="R3394" si="1359">+L3394*O3394</f>
        <v>1538.2399999999998</v>
      </c>
      <c r="S3394" s="70">
        <v>0</v>
      </c>
      <c r="T3394" s="70">
        <f t="shared" ref="T3394:T3395" si="1360">+L3394*S3394</f>
        <v>0</v>
      </c>
      <c r="U3394" s="70">
        <f t="shared" ref="U3394:U3395" si="1361">+R3394-T3394</f>
        <v>1538.2399999999998</v>
      </c>
      <c r="V3394" s="70">
        <f>+U3394*1</f>
        <v>1538.2399999999998</v>
      </c>
      <c r="W3394" s="70">
        <f t="shared" ref="W3394:W3395" si="1362">+U3394-V3394</f>
        <v>0</v>
      </c>
      <c r="X3394" s="70">
        <v>0</v>
      </c>
      <c r="Y3394" s="14">
        <f t="shared" si="1352"/>
        <v>0</v>
      </c>
      <c r="Z3394" s="11" t="s">
        <v>26</v>
      </c>
      <c r="AA3394" s="12" t="s">
        <v>31</v>
      </c>
    </row>
    <row r="3395" spans="1:27" x14ac:dyDescent="0.25">
      <c r="A3395" s="10">
        <v>45708</v>
      </c>
      <c r="B3395" s="11" t="s">
        <v>617</v>
      </c>
      <c r="C3395" s="11" t="s">
        <v>6117</v>
      </c>
      <c r="D3395" s="11">
        <v>17940</v>
      </c>
      <c r="E3395" s="11" t="s">
        <v>61</v>
      </c>
      <c r="F3395" s="11" t="s">
        <v>26</v>
      </c>
      <c r="G3395" s="11" t="s">
        <v>35</v>
      </c>
      <c r="H3395" s="12" t="s">
        <v>36</v>
      </c>
      <c r="I3395" s="12" t="s">
        <v>27</v>
      </c>
      <c r="J3395" s="12" t="s">
        <v>42</v>
      </c>
      <c r="K3395" s="12" t="s">
        <v>43</v>
      </c>
      <c r="L3395" s="13">
        <v>10.039999999999999</v>
      </c>
      <c r="M3395" s="13">
        <v>6</v>
      </c>
      <c r="N3395" s="13">
        <f t="shared" si="1324"/>
        <v>1.6733333333333331</v>
      </c>
      <c r="O3395" s="13">
        <v>45</v>
      </c>
      <c r="P3395" s="13" t="s">
        <v>30</v>
      </c>
      <c r="Q3395" s="13">
        <v>0</v>
      </c>
      <c r="R3395" s="70">
        <f>(L3395*O3395)-Q3395</f>
        <v>451.79999999999995</v>
      </c>
      <c r="S3395" s="70">
        <v>0</v>
      </c>
      <c r="T3395" s="70">
        <f t="shared" si="1360"/>
        <v>0</v>
      </c>
      <c r="U3395" s="70">
        <f t="shared" si="1361"/>
        <v>451.79999999999995</v>
      </c>
      <c r="V3395" s="70">
        <f>+U3395*0</f>
        <v>0</v>
      </c>
      <c r="W3395" s="70">
        <f t="shared" si="1362"/>
        <v>451.79999999999995</v>
      </c>
      <c r="X3395" s="70">
        <v>0</v>
      </c>
      <c r="Y3395" s="14">
        <f t="shared" si="1352"/>
        <v>0</v>
      </c>
      <c r="Z3395" s="11" t="s">
        <v>26</v>
      </c>
      <c r="AA3395" s="12" t="s">
        <v>31</v>
      </c>
    </row>
    <row r="3396" spans="1:27" x14ac:dyDescent="0.25">
      <c r="A3396" s="10">
        <v>45708</v>
      </c>
      <c r="B3396" s="11" t="s">
        <v>6118</v>
      </c>
      <c r="C3396" s="11" t="s">
        <v>6119</v>
      </c>
      <c r="D3396" s="11">
        <v>17941</v>
      </c>
      <c r="E3396" s="11" t="s">
        <v>32</v>
      </c>
      <c r="F3396" s="11" t="s">
        <v>26</v>
      </c>
      <c r="G3396" s="11">
        <v>1620</v>
      </c>
      <c r="H3396" s="12" t="s">
        <v>45</v>
      </c>
      <c r="I3396" s="12" t="s">
        <v>27</v>
      </c>
      <c r="J3396" s="12" t="s">
        <v>33</v>
      </c>
      <c r="K3396" s="12" t="s">
        <v>34</v>
      </c>
      <c r="L3396" s="13">
        <v>37</v>
      </c>
      <c r="M3396" s="13">
        <v>25</v>
      </c>
      <c r="N3396" s="13">
        <f t="shared" si="1324"/>
        <v>1.48</v>
      </c>
      <c r="O3396" s="13" t="s">
        <v>30</v>
      </c>
      <c r="P3396" s="13">
        <v>58</v>
      </c>
      <c r="Q3396" s="13">
        <v>0</v>
      </c>
      <c r="R3396" s="70">
        <f>M3396*P3396</f>
        <v>1450</v>
      </c>
      <c r="S3396" s="70">
        <v>0</v>
      </c>
      <c r="T3396" s="70">
        <f>M3396*S3396</f>
        <v>0</v>
      </c>
      <c r="U3396" s="70">
        <f>R3396-T3396</f>
        <v>1450</v>
      </c>
      <c r="V3396" s="70">
        <f t="shared" ref="V3396" si="1363">U3396*0</f>
        <v>0</v>
      </c>
      <c r="W3396" s="70">
        <f t="shared" ref="W3396" si="1364">U3396-V3396</f>
        <v>1450</v>
      </c>
      <c r="X3396" s="70">
        <v>0</v>
      </c>
      <c r="Y3396" s="14">
        <f t="shared" si="1352"/>
        <v>0</v>
      </c>
      <c r="Z3396" s="11" t="s">
        <v>26</v>
      </c>
      <c r="AA3396" s="12" t="s">
        <v>31</v>
      </c>
    </row>
    <row r="3397" spans="1:27" x14ac:dyDescent="0.25">
      <c r="A3397" s="10">
        <v>45708</v>
      </c>
      <c r="B3397" s="11" t="s">
        <v>6120</v>
      </c>
      <c r="C3397" s="11" t="s">
        <v>6121</v>
      </c>
      <c r="D3397" s="11">
        <v>17942</v>
      </c>
      <c r="E3397" s="11" t="s">
        <v>60</v>
      </c>
      <c r="F3397" s="11" t="s">
        <v>26</v>
      </c>
      <c r="G3397" s="11" t="s">
        <v>35</v>
      </c>
      <c r="H3397" s="12" t="s">
        <v>36</v>
      </c>
      <c r="I3397" s="12" t="s">
        <v>27</v>
      </c>
      <c r="J3397" s="12" t="s">
        <v>28</v>
      </c>
      <c r="K3397" s="12" t="s">
        <v>29</v>
      </c>
      <c r="L3397" s="13">
        <v>3.5</v>
      </c>
      <c r="M3397" s="13">
        <v>3</v>
      </c>
      <c r="N3397" s="13">
        <f t="shared" si="1324"/>
        <v>1.1666666666666667</v>
      </c>
      <c r="O3397" s="13">
        <v>32</v>
      </c>
      <c r="P3397" s="13" t="s">
        <v>30</v>
      </c>
      <c r="Q3397" s="13">
        <v>0</v>
      </c>
      <c r="R3397" s="70">
        <f>(L3397*O3397)-Q3397</f>
        <v>112</v>
      </c>
      <c r="S3397" s="70">
        <v>0</v>
      </c>
      <c r="T3397" s="70">
        <f t="shared" ref="T3397" si="1365">+L3397*S3397</f>
        <v>0</v>
      </c>
      <c r="U3397" s="70">
        <f t="shared" ref="U3397:U3399" si="1366">+R3397-T3397</f>
        <v>112</v>
      </c>
      <c r="V3397" s="70">
        <f>+U3397*0</f>
        <v>0</v>
      </c>
      <c r="W3397" s="70">
        <f t="shared" ref="W3397:W3399" si="1367">+U3397-V3397</f>
        <v>112</v>
      </c>
      <c r="X3397" s="70">
        <v>0</v>
      </c>
      <c r="Y3397" s="14">
        <f t="shared" si="1352"/>
        <v>0</v>
      </c>
      <c r="Z3397" s="11" t="s">
        <v>26</v>
      </c>
      <c r="AA3397" s="12" t="s">
        <v>31</v>
      </c>
    </row>
    <row r="3398" spans="1:27" x14ac:dyDescent="0.25">
      <c r="A3398" s="10">
        <v>45708</v>
      </c>
      <c r="B3398" s="11" t="s">
        <v>6122</v>
      </c>
      <c r="C3398" s="11" t="s">
        <v>6123</v>
      </c>
      <c r="D3398" s="11">
        <v>17943</v>
      </c>
      <c r="E3398" s="11" t="s">
        <v>74</v>
      </c>
      <c r="F3398" s="11" t="s">
        <v>26</v>
      </c>
      <c r="G3398" s="11">
        <v>1340</v>
      </c>
      <c r="H3398" s="12" t="s">
        <v>70</v>
      </c>
      <c r="I3398" s="12" t="s">
        <v>27</v>
      </c>
      <c r="J3398" s="12" t="s">
        <v>42</v>
      </c>
      <c r="K3398" s="12" t="s">
        <v>43</v>
      </c>
      <c r="L3398" s="13">
        <v>40.42</v>
      </c>
      <c r="M3398" s="13">
        <v>25</v>
      </c>
      <c r="N3398" s="13">
        <f t="shared" si="1324"/>
        <v>1.6168</v>
      </c>
      <c r="O3398" s="13" t="s">
        <v>30</v>
      </c>
      <c r="P3398" s="13">
        <v>64</v>
      </c>
      <c r="Q3398" s="13">
        <v>0</v>
      </c>
      <c r="R3398" s="70">
        <f>+M3398*P3398</f>
        <v>1600</v>
      </c>
      <c r="S3398" s="70">
        <v>0</v>
      </c>
      <c r="T3398" s="70">
        <f>+M3398*S3398</f>
        <v>0</v>
      </c>
      <c r="U3398" s="70">
        <f t="shared" si="1366"/>
        <v>1600</v>
      </c>
      <c r="V3398" s="70">
        <f t="shared" ref="V3398:V3400" si="1368">+U3398*0</f>
        <v>0</v>
      </c>
      <c r="W3398" s="70">
        <f t="shared" si="1367"/>
        <v>1600</v>
      </c>
      <c r="X3398" s="70">
        <v>0</v>
      </c>
      <c r="Y3398" s="14">
        <f t="shared" si="1352"/>
        <v>0</v>
      </c>
      <c r="Z3398" s="11" t="s">
        <v>26</v>
      </c>
      <c r="AA3398" s="12" t="s">
        <v>31</v>
      </c>
    </row>
    <row r="3399" spans="1:27" x14ac:dyDescent="0.25">
      <c r="A3399" s="10">
        <v>45708</v>
      </c>
      <c r="B3399" s="11" t="s">
        <v>6124</v>
      </c>
      <c r="C3399" s="11" t="s">
        <v>6125</v>
      </c>
      <c r="D3399" s="11">
        <v>17944</v>
      </c>
      <c r="E3399" s="11" t="s">
        <v>69</v>
      </c>
      <c r="F3399" s="11" t="s">
        <v>26</v>
      </c>
      <c r="G3399" s="11">
        <v>2129</v>
      </c>
      <c r="H3399" s="12" t="s">
        <v>70</v>
      </c>
      <c r="I3399" s="12" t="s">
        <v>27</v>
      </c>
      <c r="J3399" s="12" t="s">
        <v>42</v>
      </c>
      <c r="K3399" s="12" t="s">
        <v>43</v>
      </c>
      <c r="L3399" s="13">
        <v>44</v>
      </c>
      <c r="M3399" s="13">
        <v>25</v>
      </c>
      <c r="N3399" s="13">
        <f t="shared" si="1324"/>
        <v>1.76</v>
      </c>
      <c r="O3399" s="13" t="s">
        <v>30</v>
      </c>
      <c r="P3399" s="13">
        <v>64</v>
      </c>
      <c r="Q3399" s="13">
        <v>0</v>
      </c>
      <c r="R3399" s="70">
        <f>+M3399*P3399</f>
        <v>1600</v>
      </c>
      <c r="S3399" s="70">
        <v>0</v>
      </c>
      <c r="T3399" s="70">
        <f>+M3399*S3399</f>
        <v>0</v>
      </c>
      <c r="U3399" s="70">
        <f t="shared" si="1366"/>
        <v>1600</v>
      </c>
      <c r="V3399" s="70">
        <f t="shared" si="1368"/>
        <v>0</v>
      </c>
      <c r="W3399" s="70">
        <f t="shared" si="1367"/>
        <v>1600</v>
      </c>
      <c r="X3399" s="70">
        <v>0</v>
      </c>
      <c r="Y3399" s="14">
        <f t="shared" si="1352"/>
        <v>0</v>
      </c>
      <c r="Z3399" s="11" t="s">
        <v>26</v>
      </c>
      <c r="AA3399" s="12" t="s">
        <v>31</v>
      </c>
    </row>
    <row r="3400" spans="1:27" x14ac:dyDescent="0.25">
      <c r="A3400" s="10">
        <v>45708</v>
      </c>
      <c r="B3400" s="11" t="s">
        <v>6126</v>
      </c>
      <c r="C3400" s="11" t="s">
        <v>6127</v>
      </c>
      <c r="D3400" s="11">
        <v>17945</v>
      </c>
      <c r="E3400" s="11" t="s">
        <v>80</v>
      </c>
      <c r="F3400" s="11" t="s">
        <v>26</v>
      </c>
      <c r="G3400" s="11">
        <v>10696</v>
      </c>
      <c r="H3400" s="12" t="s">
        <v>140</v>
      </c>
      <c r="I3400" s="12" t="s">
        <v>27</v>
      </c>
      <c r="J3400" s="12" t="s">
        <v>33</v>
      </c>
      <c r="K3400" s="12" t="s">
        <v>34</v>
      </c>
      <c r="L3400" s="13">
        <v>40.86</v>
      </c>
      <c r="M3400" s="13">
        <v>28</v>
      </c>
      <c r="N3400" s="13">
        <f t="shared" si="1324"/>
        <v>1.4592857142857143</v>
      </c>
      <c r="O3400" s="13">
        <v>40</v>
      </c>
      <c r="P3400" s="13"/>
      <c r="Q3400" s="13">
        <v>0</v>
      </c>
      <c r="R3400" s="70">
        <f>+L3400*O3400</f>
        <v>1634.4</v>
      </c>
      <c r="S3400" s="70">
        <v>0</v>
      </c>
      <c r="T3400" s="70">
        <f>+L3400*S3400</f>
        <v>0</v>
      </c>
      <c r="U3400" s="70">
        <f>+R3400-T3400</f>
        <v>1634.4</v>
      </c>
      <c r="V3400" s="70">
        <f t="shared" si="1368"/>
        <v>0</v>
      </c>
      <c r="W3400" s="70">
        <f>+U3400-V3400</f>
        <v>1634.4</v>
      </c>
      <c r="X3400" s="70">
        <v>0</v>
      </c>
      <c r="Y3400" s="14">
        <f t="shared" si="1352"/>
        <v>0</v>
      </c>
      <c r="Z3400" s="11" t="s">
        <v>26</v>
      </c>
      <c r="AA3400" s="12" t="s">
        <v>31</v>
      </c>
    </row>
    <row r="3401" spans="1:27" x14ac:dyDescent="0.25">
      <c r="A3401" s="10">
        <v>45708</v>
      </c>
      <c r="B3401" s="11" t="s">
        <v>6128</v>
      </c>
      <c r="C3401" s="11" t="s">
        <v>6129</v>
      </c>
      <c r="D3401" s="11">
        <v>17946</v>
      </c>
      <c r="E3401" s="11" t="s">
        <v>224</v>
      </c>
      <c r="F3401" s="11" t="s">
        <v>26</v>
      </c>
      <c r="G3401" s="11">
        <v>3230</v>
      </c>
      <c r="H3401" s="12" t="s">
        <v>4423</v>
      </c>
      <c r="I3401" s="12" t="s">
        <v>27</v>
      </c>
      <c r="J3401" s="12" t="s">
        <v>33</v>
      </c>
      <c r="K3401" s="12" t="s">
        <v>34</v>
      </c>
      <c r="L3401" s="13">
        <v>35.880000000000003</v>
      </c>
      <c r="M3401" s="13">
        <v>25</v>
      </c>
      <c r="N3401" s="13">
        <f t="shared" si="1324"/>
        <v>1.4352</v>
      </c>
      <c r="O3401" s="13">
        <v>45</v>
      </c>
      <c r="P3401" s="13" t="s">
        <v>30</v>
      </c>
      <c r="Q3401" s="13">
        <v>0</v>
      </c>
      <c r="R3401" s="70">
        <f>+L3401*O3401</f>
        <v>1614.6000000000001</v>
      </c>
      <c r="S3401" s="70">
        <v>0</v>
      </c>
      <c r="T3401" s="70">
        <f>+L3401*S3401</f>
        <v>0</v>
      </c>
      <c r="U3401" s="70">
        <f t="shared" ref="U3401" si="1369">+R3401-T3401</f>
        <v>1614.6000000000001</v>
      </c>
      <c r="V3401" s="70">
        <f>+U3401*1</f>
        <v>1614.6000000000001</v>
      </c>
      <c r="W3401" s="70">
        <f t="shared" ref="W3401" si="1370">+U3401-V3401</f>
        <v>0</v>
      </c>
      <c r="X3401" s="70">
        <v>0</v>
      </c>
      <c r="Y3401" s="14">
        <f t="shared" si="1352"/>
        <v>0</v>
      </c>
      <c r="Z3401" s="11" t="s">
        <v>26</v>
      </c>
      <c r="AA3401" s="12" t="s">
        <v>31</v>
      </c>
    </row>
    <row r="3402" spans="1:27" x14ac:dyDescent="0.25">
      <c r="A3402" s="10">
        <v>45708</v>
      </c>
      <c r="B3402" s="11" t="s">
        <v>6130</v>
      </c>
      <c r="C3402" s="11" t="s">
        <v>6131</v>
      </c>
      <c r="D3402" s="11">
        <v>17947</v>
      </c>
      <c r="E3402" s="11" t="s">
        <v>520</v>
      </c>
      <c r="F3402" s="11" t="s">
        <v>26</v>
      </c>
      <c r="G3402" s="11">
        <v>10454</v>
      </c>
      <c r="H3402" s="12" t="s">
        <v>140</v>
      </c>
      <c r="I3402" s="12" t="s">
        <v>27</v>
      </c>
      <c r="J3402" s="12" t="s">
        <v>42</v>
      </c>
      <c r="K3402" s="12" t="s">
        <v>43</v>
      </c>
      <c r="L3402" s="13">
        <v>43.62</v>
      </c>
      <c r="M3402" s="13">
        <v>25</v>
      </c>
      <c r="N3402" s="13">
        <f t="shared" si="1324"/>
        <v>1.7447999999999999</v>
      </c>
      <c r="O3402" s="13">
        <v>35</v>
      </c>
      <c r="P3402" s="13"/>
      <c r="Q3402" s="13">
        <v>0</v>
      </c>
      <c r="R3402" s="70">
        <f>+L3402*O3402</f>
        <v>1526.6999999999998</v>
      </c>
      <c r="S3402" s="70">
        <v>0</v>
      </c>
      <c r="T3402" s="70">
        <f>+L3402*S3402</f>
        <v>0</v>
      </c>
      <c r="U3402" s="70">
        <f>+R3402-T3402</f>
        <v>1526.6999999999998</v>
      </c>
      <c r="V3402" s="70">
        <f t="shared" ref="V3402:V3403" si="1371">+U3402*0</f>
        <v>0</v>
      </c>
      <c r="W3402" s="70">
        <f>+U3402-V3402</f>
        <v>1526.6999999999998</v>
      </c>
      <c r="X3402" s="70">
        <v>0</v>
      </c>
      <c r="Y3402" s="14">
        <f t="shared" si="1352"/>
        <v>0</v>
      </c>
      <c r="Z3402" s="11" t="s">
        <v>26</v>
      </c>
      <c r="AA3402" s="12" t="s">
        <v>31</v>
      </c>
    </row>
    <row r="3403" spans="1:27" x14ac:dyDescent="0.25">
      <c r="A3403" s="10">
        <v>45708</v>
      </c>
      <c r="B3403" s="11" t="s">
        <v>1101</v>
      </c>
      <c r="C3403" s="11" t="s">
        <v>6132</v>
      </c>
      <c r="D3403" s="11">
        <v>17948</v>
      </c>
      <c r="E3403" s="11" t="s">
        <v>446</v>
      </c>
      <c r="F3403" s="11" t="s">
        <v>26</v>
      </c>
      <c r="G3403" s="11" t="s">
        <v>35</v>
      </c>
      <c r="H3403" s="12" t="s">
        <v>36</v>
      </c>
      <c r="I3403" s="12" t="s">
        <v>55</v>
      </c>
      <c r="J3403" s="12" t="s">
        <v>55</v>
      </c>
      <c r="K3403" s="12" t="s">
        <v>56</v>
      </c>
      <c r="L3403" s="13">
        <v>33.520000000000003</v>
      </c>
      <c r="M3403" s="13">
        <v>22</v>
      </c>
      <c r="N3403" s="13">
        <f t="shared" si="1324"/>
        <v>1.5236363636363637</v>
      </c>
      <c r="O3403" s="13">
        <v>20</v>
      </c>
      <c r="P3403" s="13" t="s">
        <v>30</v>
      </c>
      <c r="Q3403" s="13">
        <v>0</v>
      </c>
      <c r="R3403" s="70">
        <f>(L3403*O3403)-Q3403</f>
        <v>670.40000000000009</v>
      </c>
      <c r="S3403" s="70">
        <v>0</v>
      </c>
      <c r="T3403" s="70">
        <f t="shared" ref="T3403" si="1372">+L3403*S3403</f>
        <v>0</v>
      </c>
      <c r="U3403" s="70">
        <f t="shared" ref="U3403" si="1373">+R3403-T3403</f>
        <v>670.40000000000009</v>
      </c>
      <c r="V3403" s="70">
        <f t="shared" si="1371"/>
        <v>0</v>
      </c>
      <c r="W3403" s="70">
        <f t="shared" ref="W3403" si="1374">+U3403-V3403</f>
        <v>670.40000000000009</v>
      </c>
      <c r="X3403" s="70">
        <v>0</v>
      </c>
      <c r="Y3403" s="14">
        <f t="shared" si="1352"/>
        <v>0</v>
      </c>
      <c r="Z3403" s="11" t="s">
        <v>26</v>
      </c>
      <c r="AA3403" s="12" t="s">
        <v>31</v>
      </c>
    </row>
    <row r="3404" spans="1:27" x14ac:dyDescent="0.25">
      <c r="A3404" s="10">
        <v>45708</v>
      </c>
      <c r="B3404" s="11" t="s">
        <v>6133</v>
      </c>
      <c r="C3404" s="11" t="s">
        <v>6134</v>
      </c>
      <c r="D3404" s="11">
        <v>17949</v>
      </c>
      <c r="E3404" s="11" t="s">
        <v>6135</v>
      </c>
      <c r="F3404" s="11" t="s">
        <v>26</v>
      </c>
      <c r="G3404" s="11">
        <v>2962</v>
      </c>
      <c r="H3404" s="12" t="s">
        <v>4442</v>
      </c>
      <c r="I3404" s="12" t="s">
        <v>27</v>
      </c>
      <c r="J3404" s="12" t="s">
        <v>33</v>
      </c>
      <c r="K3404" s="12" t="s">
        <v>34</v>
      </c>
      <c r="L3404" s="13">
        <v>13.68</v>
      </c>
      <c r="M3404" s="13">
        <v>10</v>
      </c>
      <c r="N3404" s="13">
        <f t="shared" si="1324"/>
        <v>1.3679999999999999</v>
      </c>
      <c r="O3404" s="13">
        <v>42</v>
      </c>
      <c r="P3404" s="13" t="s">
        <v>30</v>
      </c>
      <c r="Q3404" s="13">
        <v>0</v>
      </c>
      <c r="R3404" s="70">
        <f>L3404*O3404</f>
        <v>574.55999999999995</v>
      </c>
      <c r="S3404" s="70">
        <v>0</v>
      </c>
      <c r="T3404" s="70">
        <f>L3404*S3404</f>
        <v>0</v>
      </c>
      <c r="U3404" s="70">
        <f>R3404-T3404</f>
        <v>574.55999999999995</v>
      </c>
      <c r="V3404" s="70">
        <f>U3404*1</f>
        <v>574.55999999999995</v>
      </c>
      <c r="W3404" s="70">
        <f>U3404-V3404</f>
        <v>0</v>
      </c>
      <c r="X3404" s="70">
        <v>0</v>
      </c>
      <c r="Y3404" s="71">
        <f>T3404-X3404</f>
        <v>0</v>
      </c>
      <c r="Z3404" s="11" t="s">
        <v>26</v>
      </c>
      <c r="AA3404" s="12" t="s">
        <v>31</v>
      </c>
    </row>
    <row r="3405" spans="1:27" x14ac:dyDescent="0.25">
      <c r="A3405" s="10">
        <v>45708</v>
      </c>
      <c r="B3405" s="11" t="s">
        <v>6136</v>
      </c>
      <c r="C3405" s="11" t="s">
        <v>6137</v>
      </c>
      <c r="D3405" s="11">
        <v>17950</v>
      </c>
      <c r="E3405" s="11" t="s">
        <v>501</v>
      </c>
      <c r="F3405" s="11" t="s">
        <v>26</v>
      </c>
      <c r="G3405" s="11" t="s">
        <v>26</v>
      </c>
      <c r="H3405" s="12" t="s">
        <v>4423</v>
      </c>
      <c r="I3405" s="12" t="s">
        <v>27</v>
      </c>
      <c r="J3405" s="12" t="s">
        <v>47</v>
      </c>
      <c r="K3405" s="12" t="s">
        <v>48</v>
      </c>
      <c r="L3405" s="13">
        <v>42.22</v>
      </c>
      <c r="M3405" s="13">
        <v>29</v>
      </c>
      <c r="N3405" s="13">
        <f t="shared" si="1324"/>
        <v>1.4558620689655173</v>
      </c>
      <c r="O3405" s="13">
        <f>46+43</f>
        <v>89</v>
      </c>
      <c r="P3405" s="13" t="s">
        <v>30</v>
      </c>
      <c r="Q3405" s="13">
        <v>0</v>
      </c>
      <c r="R3405" s="70">
        <f>L3405*O3405</f>
        <v>3757.58</v>
      </c>
      <c r="S3405" s="70">
        <v>43</v>
      </c>
      <c r="T3405" s="70">
        <f>L3405*S3405</f>
        <v>1815.46</v>
      </c>
      <c r="U3405" s="70">
        <f>R3405-T3405</f>
        <v>1942.12</v>
      </c>
      <c r="V3405" s="70">
        <f>U3405*1</f>
        <v>1942.12</v>
      </c>
      <c r="W3405" s="70">
        <f>U3405-V3405</f>
        <v>0</v>
      </c>
      <c r="X3405" s="70">
        <f>L3405*42</f>
        <v>1773.24</v>
      </c>
      <c r="Y3405" s="14">
        <f>T3405-X3405</f>
        <v>42.220000000000027</v>
      </c>
      <c r="Z3405" s="12" t="s">
        <v>141</v>
      </c>
      <c r="AA3405" s="12" t="s">
        <v>6030</v>
      </c>
    </row>
    <row r="3406" spans="1:27" x14ac:dyDescent="0.25">
      <c r="A3406" s="10">
        <v>45708</v>
      </c>
      <c r="B3406" s="11" t="s">
        <v>407</v>
      </c>
      <c r="C3406" s="11" t="s">
        <v>6138</v>
      </c>
      <c r="D3406" s="11">
        <v>17951</v>
      </c>
      <c r="E3406" s="11" t="s">
        <v>67</v>
      </c>
      <c r="F3406" s="11" t="s">
        <v>26</v>
      </c>
      <c r="G3406" s="11">
        <v>1647</v>
      </c>
      <c r="H3406" s="12" t="s">
        <v>66</v>
      </c>
      <c r="I3406" s="12" t="s">
        <v>37</v>
      </c>
      <c r="J3406" s="12" t="s">
        <v>1909</v>
      </c>
      <c r="K3406" s="12" t="s">
        <v>82</v>
      </c>
      <c r="L3406" s="13">
        <v>40.32</v>
      </c>
      <c r="M3406" s="13">
        <v>25</v>
      </c>
      <c r="N3406" s="13">
        <f t="shared" si="1324"/>
        <v>1.6128</v>
      </c>
      <c r="O3406" s="13" t="s">
        <v>30</v>
      </c>
      <c r="P3406" s="13">
        <v>54</v>
      </c>
      <c r="Q3406" s="13">
        <v>0</v>
      </c>
      <c r="R3406" s="70">
        <f>M3406*P3406</f>
        <v>1350</v>
      </c>
      <c r="S3406" s="70">
        <v>0</v>
      </c>
      <c r="T3406" s="70">
        <f>M3406*S3406</f>
        <v>0</v>
      </c>
      <c r="U3406" s="70">
        <f t="shared" ref="U3406" si="1375">R3406-T3406</f>
        <v>1350</v>
      </c>
      <c r="V3406" s="70">
        <f>U3406*1</f>
        <v>1350</v>
      </c>
      <c r="W3406" s="70">
        <f>U3406-V3406</f>
        <v>0</v>
      </c>
      <c r="X3406" s="70">
        <v>0</v>
      </c>
      <c r="Y3406" s="14">
        <f t="shared" ref="Y3406:Y3425" si="1376">T3406-X3406</f>
        <v>0</v>
      </c>
      <c r="Z3406" s="11" t="s">
        <v>26</v>
      </c>
      <c r="AA3406" s="12" t="s">
        <v>31</v>
      </c>
    </row>
    <row r="3407" spans="1:27" x14ac:dyDescent="0.25">
      <c r="A3407" s="10">
        <v>45708</v>
      </c>
      <c r="B3407" s="11" t="s">
        <v>370</v>
      </c>
      <c r="C3407" s="11" t="s">
        <v>6139</v>
      </c>
      <c r="D3407" s="11">
        <v>17952</v>
      </c>
      <c r="E3407" s="11" t="s">
        <v>60</v>
      </c>
      <c r="F3407" s="11" t="s">
        <v>26</v>
      </c>
      <c r="G3407" s="11" t="s">
        <v>35</v>
      </c>
      <c r="H3407" s="12" t="s">
        <v>36</v>
      </c>
      <c r="I3407" s="12" t="s">
        <v>27</v>
      </c>
      <c r="J3407" s="12" t="s">
        <v>28</v>
      </c>
      <c r="K3407" s="12" t="s">
        <v>29</v>
      </c>
      <c r="L3407" s="13">
        <v>4.7</v>
      </c>
      <c r="M3407" s="13">
        <v>3</v>
      </c>
      <c r="N3407" s="13">
        <f t="shared" si="1324"/>
        <v>1.5666666666666667</v>
      </c>
      <c r="O3407" s="13">
        <v>32</v>
      </c>
      <c r="P3407" s="13" t="s">
        <v>30</v>
      </c>
      <c r="Q3407" s="13">
        <v>0</v>
      </c>
      <c r="R3407" s="70">
        <f>(L3407*O3407)-Q3407</f>
        <v>150.4</v>
      </c>
      <c r="S3407" s="70">
        <v>0</v>
      </c>
      <c r="T3407" s="70">
        <f t="shared" ref="T3407" si="1377">+L3407*S3407</f>
        <v>0</v>
      </c>
      <c r="U3407" s="70">
        <f t="shared" ref="U3407" si="1378">+R3407-T3407</f>
        <v>150.4</v>
      </c>
      <c r="V3407" s="70">
        <f>+U3407*0</f>
        <v>0</v>
      </c>
      <c r="W3407" s="70">
        <f t="shared" ref="W3407" si="1379">+U3407-V3407</f>
        <v>150.4</v>
      </c>
      <c r="X3407" s="70">
        <v>0</v>
      </c>
      <c r="Y3407" s="14">
        <f t="shared" si="1376"/>
        <v>0</v>
      </c>
      <c r="Z3407" s="11" t="s">
        <v>26</v>
      </c>
      <c r="AA3407" s="12" t="s">
        <v>31</v>
      </c>
    </row>
    <row r="3408" spans="1:27" x14ac:dyDescent="0.25">
      <c r="A3408" s="10">
        <v>45708</v>
      </c>
      <c r="B3408" s="11" t="s">
        <v>6140</v>
      </c>
      <c r="C3408" s="11" t="s">
        <v>6141</v>
      </c>
      <c r="D3408" s="11">
        <v>17953</v>
      </c>
      <c r="E3408" s="11" t="s">
        <v>1200</v>
      </c>
      <c r="F3408" s="11" t="s">
        <v>26</v>
      </c>
      <c r="G3408" s="11">
        <v>2983</v>
      </c>
      <c r="H3408" s="12" t="s">
        <v>163</v>
      </c>
      <c r="I3408" s="12" t="s">
        <v>27</v>
      </c>
      <c r="J3408" s="12" t="s">
        <v>33</v>
      </c>
      <c r="K3408" s="12" t="s">
        <v>34</v>
      </c>
      <c r="L3408" s="13">
        <v>37.32</v>
      </c>
      <c r="M3408" s="13">
        <v>25</v>
      </c>
      <c r="N3408" s="13">
        <f t="shared" si="1324"/>
        <v>1.4927999999999999</v>
      </c>
      <c r="O3408" s="13" t="s">
        <v>30</v>
      </c>
      <c r="P3408" s="13">
        <v>60</v>
      </c>
      <c r="Q3408" s="13">
        <v>0</v>
      </c>
      <c r="R3408" s="70">
        <f>M3408*P3408</f>
        <v>1500</v>
      </c>
      <c r="S3408" s="70">
        <v>0</v>
      </c>
      <c r="T3408" s="70">
        <f>M3408*S3408</f>
        <v>0</v>
      </c>
      <c r="U3408" s="70">
        <f>R3408-T3408</f>
        <v>1500</v>
      </c>
      <c r="V3408" s="70">
        <f>U3408*0</f>
        <v>0</v>
      </c>
      <c r="W3408" s="70">
        <f>U3408-V3408</f>
        <v>1500</v>
      </c>
      <c r="X3408" s="70">
        <v>0</v>
      </c>
      <c r="Y3408" s="14">
        <f t="shared" si="1376"/>
        <v>0</v>
      </c>
      <c r="Z3408" s="11" t="s">
        <v>26</v>
      </c>
      <c r="AA3408" s="12" t="s">
        <v>31</v>
      </c>
    </row>
    <row r="3409" spans="1:27" x14ac:dyDescent="0.25">
      <c r="A3409" s="10">
        <v>45708</v>
      </c>
      <c r="B3409" s="11" t="s">
        <v>5466</v>
      </c>
      <c r="C3409" s="11" t="s">
        <v>6142</v>
      </c>
      <c r="D3409" s="11">
        <v>17954</v>
      </c>
      <c r="E3409" s="11" t="s">
        <v>69</v>
      </c>
      <c r="F3409" s="11" t="s">
        <v>26</v>
      </c>
      <c r="G3409" s="11">
        <v>2130</v>
      </c>
      <c r="H3409" s="12" t="s">
        <v>70</v>
      </c>
      <c r="I3409" s="12" t="s">
        <v>27</v>
      </c>
      <c r="J3409" s="12" t="s">
        <v>33</v>
      </c>
      <c r="K3409" s="12" t="s">
        <v>34</v>
      </c>
      <c r="L3409" s="13">
        <v>38.04</v>
      </c>
      <c r="M3409" s="13">
        <v>25</v>
      </c>
      <c r="N3409" s="13">
        <f t="shared" si="1324"/>
        <v>1.5216000000000001</v>
      </c>
      <c r="O3409" s="13" t="s">
        <v>30</v>
      </c>
      <c r="P3409" s="13">
        <v>60</v>
      </c>
      <c r="Q3409" s="13">
        <v>0</v>
      </c>
      <c r="R3409" s="70">
        <f>+M3409*P3409</f>
        <v>1500</v>
      </c>
      <c r="S3409" s="70">
        <v>0</v>
      </c>
      <c r="T3409" s="70">
        <f>+M3409*S3409</f>
        <v>0</v>
      </c>
      <c r="U3409" s="70">
        <f t="shared" ref="U3409" si="1380">+R3409-T3409</f>
        <v>1500</v>
      </c>
      <c r="V3409" s="70">
        <f>+U3409*0</f>
        <v>0</v>
      </c>
      <c r="W3409" s="70">
        <f t="shared" ref="W3409" si="1381">+U3409-V3409</f>
        <v>1500</v>
      </c>
      <c r="X3409" s="70">
        <v>0</v>
      </c>
      <c r="Y3409" s="14">
        <f t="shared" si="1376"/>
        <v>0</v>
      </c>
      <c r="Z3409" s="11" t="s">
        <v>26</v>
      </c>
      <c r="AA3409" s="12" t="s">
        <v>31</v>
      </c>
    </row>
    <row r="3410" spans="1:27" x14ac:dyDescent="0.25">
      <c r="A3410" s="10">
        <v>45708</v>
      </c>
      <c r="B3410" s="11" t="s">
        <v>727</v>
      </c>
      <c r="C3410" s="11" t="s">
        <v>6143</v>
      </c>
      <c r="D3410" s="11">
        <v>17955</v>
      </c>
      <c r="E3410" s="11" t="s">
        <v>6144</v>
      </c>
      <c r="F3410" s="11" t="s">
        <v>26</v>
      </c>
      <c r="G3410" s="11">
        <v>4672</v>
      </c>
      <c r="H3410" s="12" t="s">
        <v>140</v>
      </c>
      <c r="I3410" s="12" t="s">
        <v>55</v>
      </c>
      <c r="J3410" s="12" t="s">
        <v>55</v>
      </c>
      <c r="K3410" s="12" t="s">
        <v>56</v>
      </c>
      <c r="L3410" s="13">
        <v>38.020000000000003</v>
      </c>
      <c r="M3410" s="13">
        <v>23</v>
      </c>
      <c r="N3410" s="13">
        <f t="shared" si="1324"/>
        <v>1.6530434782608696</v>
      </c>
      <c r="O3410" s="13">
        <v>15</v>
      </c>
      <c r="P3410" s="13"/>
      <c r="Q3410" s="13">
        <v>0</v>
      </c>
      <c r="R3410" s="70">
        <f>+L3410*O3410</f>
        <v>570.30000000000007</v>
      </c>
      <c r="S3410" s="70">
        <v>0</v>
      </c>
      <c r="T3410" s="70">
        <f>+L3410*S3410</f>
        <v>0</v>
      </c>
      <c r="U3410" s="70">
        <f>+R3410-T3410</f>
        <v>570.30000000000007</v>
      </c>
      <c r="V3410" s="70">
        <f t="shared" ref="V3410:V3411" si="1382">+U3410*0</f>
        <v>0</v>
      </c>
      <c r="W3410" s="70">
        <f>+U3410-V3410</f>
        <v>570.30000000000007</v>
      </c>
      <c r="X3410" s="70">
        <v>0</v>
      </c>
      <c r="Y3410" s="14">
        <f t="shared" si="1376"/>
        <v>0</v>
      </c>
      <c r="Z3410" s="11" t="s">
        <v>26</v>
      </c>
      <c r="AA3410" s="12" t="s">
        <v>31</v>
      </c>
    </row>
    <row r="3411" spans="1:27" x14ac:dyDescent="0.25">
      <c r="A3411" s="10">
        <v>45708</v>
      </c>
      <c r="B3411" s="11" t="s">
        <v>6145</v>
      </c>
      <c r="C3411" s="11" t="s">
        <v>6146</v>
      </c>
      <c r="D3411" s="11">
        <v>17956</v>
      </c>
      <c r="E3411" s="11" t="s">
        <v>570</v>
      </c>
      <c r="F3411" s="11" t="s">
        <v>26</v>
      </c>
      <c r="G3411" s="11">
        <v>10764</v>
      </c>
      <c r="H3411" s="12" t="s">
        <v>140</v>
      </c>
      <c r="I3411" s="12" t="s">
        <v>27</v>
      </c>
      <c r="J3411" s="12" t="s">
        <v>47</v>
      </c>
      <c r="K3411" s="12" t="s">
        <v>48</v>
      </c>
      <c r="L3411" s="13">
        <v>39.6</v>
      </c>
      <c r="M3411" s="13">
        <v>27</v>
      </c>
      <c r="N3411" s="13">
        <f t="shared" si="1324"/>
        <v>1.4666666666666668</v>
      </c>
      <c r="O3411" s="13">
        <v>40</v>
      </c>
      <c r="P3411" s="13"/>
      <c r="Q3411" s="13">
        <v>0</v>
      </c>
      <c r="R3411" s="70">
        <f>+L3411*O3411</f>
        <v>1584</v>
      </c>
      <c r="S3411" s="70">
        <v>0</v>
      </c>
      <c r="T3411" s="70">
        <f>+L3411*S3411</f>
        <v>0</v>
      </c>
      <c r="U3411" s="70">
        <f>+R3411-T3411</f>
        <v>1584</v>
      </c>
      <c r="V3411" s="70">
        <f t="shared" si="1382"/>
        <v>0</v>
      </c>
      <c r="W3411" s="70">
        <f>+U3411-V3411</f>
        <v>1584</v>
      </c>
      <c r="X3411" s="70">
        <v>0</v>
      </c>
      <c r="Y3411" s="14">
        <f t="shared" si="1376"/>
        <v>0</v>
      </c>
      <c r="Z3411" s="11" t="s">
        <v>26</v>
      </c>
      <c r="AA3411" s="12" t="s">
        <v>31</v>
      </c>
    </row>
    <row r="3412" spans="1:27" x14ac:dyDescent="0.25">
      <c r="A3412" s="10">
        <v>45708</v>
      </c>
      <c r="B3412" s="11" t="s">
        <v>6147</v>
      </c>
      <c r="C3412" s="11" t="s">
        <v>6148</v>
      </c>
      <c r="D3412" s="11">
        <v>17957</v>
      </c>
      <c r="E3412" s="11" t="s">
        <v>74</v>
      </c>
      <c r="F3412" s="11" t="s">
        <v>26</v>
      </c>
      <c r="G3412" s="11">
        <v>1341</v>
      </c>
      <c r="H3412" s="12" t="s">
        <v>70</v>
      </c>
      <c r="I3412" s="12" t="s">
        <v>27</v>
      </c>
      <c r="J3412" s="12" t="s">
        <v>33</v>
      </c>
      <c r="K3412" s="12" t="s">
        <v>34</v>
      </c>
      <c r="L3412" s="13">
        <v>37.82</v>
      </c>
      <c r="M3412" s="13">
        <v>25</v>
      </c>
      <c r="N3412" s="13">
        <f t="shared" si="1324"/>
        <v>1.5127999999999999</v>
      </c>
      <c r="O3412" s="13" t="s">
        <v>30</v>
      </c>
      <c r="P3412" s="13">
        <v>60</v>
      </c>
      <c r="Q3412" s="13">
        <v>0</v>
      </c>
      <c r="R3412" s="70">
        <f>+M3412*P3412</f>
        <v>1500</v>
      </c>
      <c r="S3412" s="70">
        <v>0</v>
      </c>
      <c r="T3412" s="70">
        <f>+M3412*S3412</f>
        <v>0</v>
      </c>
      <c r="U3412" s="70">
        <f t="shared" ref="U3412" si="1383">+R3412-T3412</f>
        <v>1500</v>
      </c>
      <c r="V3412" s="70">
        <f>+U3412*0</f>
        <v>0</v>
      </c>
      <c r="W3412" s="70">
        <f t="shared" ref="W3412" si="1384">+U3412-V3412</f>
        <v>1500</v>
      </c>
      <c r="X3412" s="70">
        <v>0</v>
      </c>
      <c r="Y3412" s="14">
        <f t="shared" si="1376"/>
        <v>0</v>
      </c>
      <c r="Z3412" s="11" t="s">
        <v>26</v>
      </c>
      <c r="AA3412" s="12" t="s">
        <v>31</v>
      </c>
    </row>
    <row r="3413" spans="1:27" x14ac:dyDescent="0.25">
      <c r="A3413" s="10">
        <v>45708</v>
      </c>
      <c r="B3413" s="11" t="s">
        <v>409</v>
      </c>
      <c r="C3413" s="11" t="s">
        <v>6149</v>
      </c>
      <c r="D3413" s="11">
        <v>17958</v>
      </c>
      <c r="E3413" s="11" t="s">
        <v>65</v>
      </c>
      <c r="F3413" s="11" t="s">
        <v>26</v>
      </c>
      <c r="G3413" s="11">
        <v>1713</v>
      </c>
      <c r="H3413" s="12" t="s">
        <v>66</v>
      </c>
      <c r="I3413" s="12" t="s">
        <v>37</v>
      </c>
      <c r="J3413" s="12" t="s">
        <v>1909</v>
      </c>
      <c r="K3413" s="12" t="s">
        <v>82</v>
      </c>
      <c r="L3413" s="13">
        <v>40.380000000000003</v>
      </c>
      <c r="M3413" s="13">
        <v>25</v>
      </c>
      <c r="N3413" s="13">
        <f t="shared" si="1324"/>
        <v>1.6152000000000002</v>
      </c>
      <c r="O3413" s="13" t="s">
        <v>30</v>
      </c>
      <c r="P3413" s="13">
        <v>54</v>
      </c>
      <c r="Q3413" s="13">
        <v>0</v>
      </c>
      <c r="R3413" s="70">
        <f>M3413*P3413</f>
        <v>1350</v>
      </c>
      <c r="S3413" s="70">
        <v>0</v>
      </c>
      <c r="T3413" s="70">
        <f>M3413*S3413</f>
        <v>0</v>
      </c>
      <c r="U3413" s="70">
        <f t="shared" ref="U3413" si="1385">R3413-T3413</f>
        <v>1350</v>
      </c>
      <c r="V3413" s="70">
        <f>U3413*1</f>
        <v>1350</v>
      </c>
      <c r="W3413" s="70">
        <f>U3413-V3413</f>
        <v>0</v>
      </c>
      <c r="X3413" s="70">
        <v>0</v>
      </c>
      <c r="Y3413" s="14">
        <f t="shared" si="1376"/>
        <v>0</v>
      </c>
      <c r="Z3413" s="11" t="s">
        <v>26</v>
      </c>
      <c r="AA3413" s="12" t="s">
        <v>31</v>
      </c>
    </row>
    <row r="3414" spans="1:27" x14ac:dyDescent="0.25">
      <c r="A3414" s="10">
        <v>45708</v>
      </c>
      <c r="B3414" s="11" t="s">
        <v>5260</v>
      </c>
      <c r="C3414" s="11" t="s">
        <v>6150</v>
      </c>
      <c r="D3414" s="11">
        <v>17959</v>
      </c>
      <c r="E3414" s="11" t="s">
        <v>50</v>
      </c>
      <c r="F3414" s="11" t="s">
        <v>26</v>
      </c>
      <c r="G3414" s="11">
        <v>761</v>
      </c>
      <c r="H3414" s="12" t="s">
        <v>163</v>
      </c>
      <c r="I3414" s="12" t="s">
        <v>27</v>
      </c>
      <c r="J3414" s="12" t="s">
        <v>33</v>
      </c>
      <c r="K3414" s="12" t="s">
        <v>34</v>
      </c>
      <c r="L3414" s="13">
        <v>35.94</v>
      </c>
      <c r="M3414" s="13">
        <v>25</v>
      </c>
      <c r="N3414" s="13">
        <f t="shared" si="1324"/>
        <v>1.4376</v>
      </c>
      <c r="O3414" s="13" t="s">
        <v>30</v>
      </c>
      <c r="P3414" s="13">
        <v>60</v>
      </c>
      <c r="Q3414" s="13">
        <v>0</v>
      </c>
      <c r="R3414" s="70">
        <f>M3414*P3414</f>
        <v>1500</v>
      </c>
      <c r="S3414" s="70">
        <v>0</v>
      </c>
      <c r="T3414" s="70">
        <f>M3414*S3414</f>
        <v>0</v>
      </c>
      <c r="U3414" s="70">
        <f>R3414-T3414</f>
        <v>1500</v>
      </c>
      <c r="V3414" s="70">
        <f>U3414*0</f>
        <v>0</v>
      </c>
      <c r="W3414" s="70">
        <f>U3414-V3414</f>
        <v>1500</v>
      </c>
      <c r="X3414" s="70">
        <v>0</v>
      </c>
      <c r="Y3414" s="14">
        <f t="shared" si="1376"/>
        <v>0</v>
      </c>
      <c r="Z3414" s="11" t="s">
        <v>26</v>
      </c>
      <c r="AA3414" s="12" t="s">
        <v>31</v>
      </c>
    </row>
    <row r="3415" spans="1:27" x14ac:dyDescent="0.25">
      <c r="A3415" s="10">
        <v>45708</v>
      </c>
      <c r="B3415" s="11" t="s">
        <v>6151</v>
      </c>
      <c r="C3415" s="11" t="s">
        <v>6152</v>
      </c>
      <c r="D3415" s="11">
        <v>17960</v>
      </c>
      <c r="E3415" s="11" t="s">
        <v>589</v>
      </c>
      <c r="F3415" s="11" t="s">
        <v>26</v>
      </c>
      <c r="G3415" s="11">
        <v>56934</v>
      </c>
      <c r="H3415" s="12" t="s">
        <v>4423</v>
      </c>
      <c r="I3415" s="12" t="s">
        <v>27</v>
      </c>
      <c r="J3415" s="12" t="s">
        <v>33</v>
      </c>
      <c r="K3415" s="12" t="s">
        <v>34</v>
      </c>
      <c r="L3415" s="13">
        <v>34.44</v>
      </c>
      <c r="M3415" s="13">
        <v>25</v>
      </c>
      <c r="N3415" s="13">
        <f t="shared" si="1324"/>
        <v>1.3775999999999999</v>
      </c>
      <c r="O3415" s="13">
        <v>45</v>
      </c>
      <c r="P3415" s="13" t="s">
        <v>30</v>
      </c>
      <c r="Q3415" s="13">
        <v>0</v>
      </c>
      <c r="R3415" s="70">
        <f>+L3415*O3415</f>
        <v>1549.8</v>
      </c>
      <c r="S3415" s="70">
        <v>0</v>
      </c>
      <c r="T3415" s="70">
        <f>+L3415*S3415</f>
        <v>0</v>
      </c>
      <c r="U3415" s="70">
        <f t="shared" ref="U3415:U3416" si="1386">+R3415-T3415</f>
        <v>1549.8</v>
      </c>
      <c r="V3415" s="70">
        <f>+U3415*1</f>
        <v>1549.8</v>
      </c>
      <c r="W3415" s="70">
        <f t="shared" ref="W3415:W3416" si="1387">+U3415-V3415</f>
        <v>0</v>
      </c>
      <c r="X3415" s="70">
        <v>0</v>
      </c>
      <c r="Y3415" s="14">
        <f t="shared" si="1376"/>
        <v>0</v>
      </c>
      <c r="Z3415" s="11" t="s">
        <v>26</v>
      </c>
      <c r="AA3415" s="12" t="s">
        <v>31</v>
      </c>
    </row>
    <row r="3416" spans="1:27" x14ac:dyDescent="0.25">
      <c r="A3416" s="10">
        <v>45708</v>
      </c>
      <c r="B3416" s="11" t="s">
        <v>1790</v>
      </c>
      <c r="C3416" s="11" t="s">
        <v>6153</v>
      </c>
      <c r="D3416" s="11">
        <v>17961</v>
      </c>
      <c r="E3416" s="11" t="s">
        <v>4762</v>
      </c>
      <c r="F3416" s="11" t="s">
        <v>26</v>
      </c>
      <c r="G3416" s="11" t="s">
        <v>35</v>
      </c>
      <c r="H3416" s="12" t="s">
        <v>36</v>
      </c>
      <c r="I3416" s="12" t="s">
        <v>27</v>
      </c>
      <c r="J3416" s="12" t="s">
        <v>42</v>
      </c>
      <c r="K3416" s="12" t="s">
        <v>43</v>
      </c>
      <c r="L3416" s="13">
        <v>41.46</v>
      </c>
      <c r="M3416" s="13">
        <v>25</v>
      </c>
      <c r="N3416" s="13">
        <f t="shared" si="1324"/>
        <v>1.6584000000000001</v>
      </c>
      <c r="O3416" s="13">
        <v>45</v>
      </c>
      <c r="P3416" s="13" t="s">
        <v>30</v>
      </c>
      <c r="Q3416" s="13">
        <v>0</v>
      </c>
      <c r="R3416" s="70">
        <f>(L3416*O3416)-Q3416</f>
        <v>1865.7</v>
      </c>
      <c r="S3416" s="70">
        <v>0</v>
      </c>
      <c r="T3416" s="70">
        <f t="shared" ref="T3416" si="1388">+L3416*S3416</f>
        <v>0</v>
      </c>
      <c r="U3416" s="70">
        <f t="shared" si="1386"/>
        <v>1865.7</v>
      </c>
      <c r="V3416" s="70">
        <f>+U3416*0</f>
        <v>0</v>
      </c>
      <c r="W3416" s="70">
        <f t="shared" si="1387"/>
        <v>1865.7</v>
      </c>
      <c r="X3416" s="70">
        <v>0</v>
      </c>
      <c r="Y3416" s="14">
        <f t="shared" si="1376"/>
        <v>0</v>
      </c>
      <c r="Z3416" s="11" t="s">
        <v>26</v>
      </c>
      <c r="AA3416" s="12" t="s">
        <v>31</v>
      </c>
    </row>
    <row r="3417" spans="1:27" x14ac:dyDescent="0.25">
      <c r="A3417" s="10">
        <v>45708</v>
      </c>
      <c r="B3417" s="11" t="s">
        <v>2967</v>
      </c>
      <c r="C3417" s="11" t="s">
        <v>6154</v>
      </c>
      <c r="D3417" s="11">
        <v>17962</v>
      </c>
      <c r="E3417" s="11" t="s">
        <v>80</v>
      </c>
      <c r="F3417" s="11" t="s">
        <v>26</v>
      </c>
      <c r="G3417" s="11">
        <v>10697</v>
      </c>
      <c r="H3417" s="12" t="s">
        <v>140</v>
      </c>
      <c r="I3417" s="12" t="s">
        <v>27</v>
      </c>
      <c r="J3417" s="12" t="s">
        <v>47</v>
      </c>
      <c r="K3417" s="12" t="s">
        <v>48</v>
      </c>
      <c r="L3417" s="13">
        <v>40.44</v>
      </c>
      <c r="M3417" s="13">
        <v>28</v>
      </c>
      <c r="N3417" s="13">
        <f t="shared" si="1324"/>
        <v>1.4442857142857142</v>
      </c>
      <c r="O3417" s="13">
        <v>40</v>
      </c>
      <c r="P3417" s="13"/>
      <c r="Q3417" s="13">
        <v>0</v>
      </c>
      <c r="R3417" s="70">
        <f>+L3417*O3417</f>
        <v>1617.6</v>
      </c>
      <c r="S3417" s="70">
        <v>0</v>
      </c>
      <c r="T3417" s="70">
        <f>+L3417*S3417</f>
        <v>0</v>
      </c>
      <c r="U3417" s="70">
        <f>+R3417-T3417</f>
        <v>1617.6</v>
      </c>
      <c r="V3417" s="70">
        <f t="shared" ref="V3417" si="1389">+U3417*0</f>
        <v>0</v>
      </c>
      <c r="W3417" s="70">
        <f>+U3417-V3417</f>
        <v>1617.6</v>
      </c>
      <c r="X3417" s="70">
        <v>0</v>
      </c>
      <c r="Y3417" s="14">
        <f t="shared" si="1376"/>
        <v>0</v>
      </c>
      <c r="Z3417" s="11" t="s">
        <v>26</v>
      </c>
      <c r="AA3417" s="12" t="s">
        <v>31</v>
      </c>
    </row>
    <row r="3418" spans="1:27" x14ac:dyDescent="0.25">
      <c r="A3418" s="10">
        <v>45708</v>
      </c>
      <c r="B3418" s="11" t="s">
        <v>6155</v>
      </c>
      <c r="C3418" s="11" t="s">
        <v>6156</v>
      </c>
      <c r="D3418" s="11">
        <v>17963</v>
      </c>
      <c r="E3418" s="11" t="s">
        <v>184</v>
      </c>
      <c r="F3418" s="11" t="s">
        <v>26</v>
      </c>
      <c r="G3418" s="11">
        <v>1024</v>
      </c>
      <c r="H3418" s="12" t="s">
        <v>141</v>
      </c>
      <c r="I3418" s="12" t="s">
        <v>27</v>
      </c>
      <c r="J3418" s="12" t="s">
        <v>42</v>
      </c>
      <c r="K3418" s="12" t="s">
        <v>43</v>
      </c>
      <c r="L3418" s="13">
        <v>43.76</v>
      </c>
      <c r="M3418" s="13">
        <v>25</v>
      </c>
      <c r="N3418" s="13">
        <f t="shared" si="1324"/>
        <v>1.7504</v>
      </c>
      <c r="O3418" s="13">
        <v>40</v>
      </c>
      <c r="P3418" s="13" t="s">
        <v>30</v>
      </c>
      <c r="Q3418" s="13">
        <v>0</v>
      </c>
      <c r="R3418" s="70">
        <f>L3418*O3418</f>
        <v>1750.3999999999999</v>
      </c>
      <c r="S3418" s="70">
        <v>0</v>
      </c>
      <c r="T3418" s="70">
        <f>L3418*S3418</f>
        <v>0</v>
      </c>
      <c r="U3418" s="70">
        <f>R3418-T3418</f>
        <v>1750.3999999999999</v>
      </c>
      <c r="V3418" s="70">
        <f>U3418*0</f>
        <v>0</v>
      </c>
      <c r="W3418" s="70">
        <f>U3418-V3418</f>
        <v>1750.3999999999999</v>
      </c>
      <c r="X3418" s="70">
        <v>0</v>
      </c>
      <c r="Y3418" s="14">
        <f t="shared" si="1376"/>
        <v>0</v>
      </c>
      <c r="Z3418" s="11" t="s">
        <v>26</v>
      </c>
      <c r="AA3418" s="12" t="s">
        <v>31</v>
      </c>
    </row>
    <row r="3419" spans="1:27" x14ac:dyDescent="0.25">
      <c r="A3419" s="10">
        <v>45708</v>
      </c>
      <c r="B3419" s="11" t="s">
        <v>6157</v>
      </c>
      <c r="C3419" s="11" t="s">
        <v>6158</v>
      </c>
      <c r="D3419" s="11">
        <v>17964</v>
      </c>
      <c r="E3419" s="11" t="s">
        <v>1200</v>
      </c>
      <c r="F3419" s="11" t="s">
        <v>26</v>
      </c>
      <c r="G3419" s="11">
        <v>2984</v>
      </c>
      <c r="H3419" s="12" t="s">
        <v>163</v>
      </c>
      <c r="I3419" s="12" t="s">
        <v>27</v>
      </c>
      <c r="J3419" s="12" t="s">
        <v>33</v>
      </c>
      <c r="K3419" s="12" t="s">
        <v>34</v>
      </c>
      <c r="L3419" s="13">
        <v>36.96</v>
      </c>
      <c r="M3419" s="13">
        <v>25</v>
      </c>
      <c r="N3419" s="13">
        <f t="shared" si="1324"/>
        <v>1.4783999999999999</v>
      </c>
      <c r="O3419" s="13" t="s">
        <v>30</v>
      </c>
      <c r="P3419" s="13">
        <v>60</v>
      </c>
      <c r="Q3419" s="13">
        <v>0</v>
      </c>
      <c r="R3419" s="70">
        <f>M3419*P3419</f>
        <v>1500</v>
      </c>
      <c r="S3419" s="70">
        <v>0</v>
      </c>
      <c r="T3419" s="70">
        <f>M3419*S3419</f>
        <v>0</v>
      </c>
      <c r="U3419" s="70">
        <f>R3419-T3419</f>
        <v>1500</v>
      </c>
      <c r="V3419" s="70">
        <f>U3419*0</f>
        <v>0</v>
      </c>
      <c r="W3419" s="70">
        <f>U3419-V3419</f>
        <v>1500</v>
      </c>
      <c r="X3419" s="70">
        <v>0</v>
      </c>
      <c r="Y3419" s="14">
        <f t="shared" si="1376"/>
        <v>0</v>
      </c>
      <c r="Z3419" s="11" t="s">
        <v>26</v>
      </c>
      <c r="AA3419" s="12" t="s">
        <v>31</v>
      </c>
    </row>
    <row r="3420" spans="1:27" x14ac:dyDescent="0.25">
      <c r="A3420" s="10">
        <v>45709</v>
      </c>
      <c r="B3420" s="11" t="s">
        <v>5341</v>
      </c>
      <c r="C3420" s="11" t="s">
        <v>6172</v>
      </c>
      <c r="D3420" s="11">
        <v>17965</v>
      </c>
      <c r="E3420" s="11" t="s">
        <v>68</v>
      </c>
      <c r="F3420" s="11" t="s">
        <v>26</v>
      </c>
      <c r="G3420" s="11">
        <v>76374</v>
      </c>
      <c r="H3420" s="12" t="s">
        <v>4448</v>
      </c>
      <c r="I3420" s="12" t="s">
        <v>27</v>
      </c>
      <c r="J3420" s="12" t="s">
        <v>42</v>
      </c>
      <c r="K3420" s="12" t="s">
        <v>43</v>
      </c>
      <c r="L3420" s="13">
        <v>44.06</v>
      </c>
      <c r="M3420" s="13">
        <v>25</v>
      </c>
      <c r="N3420" s="13">
        <f>L3420/M3420</f>
        <v>1.7624000000000002</v>
      </c>
      <c r="O3420" s="13">
        <v>42.5</v>
      </c>
      <c r="P3420" s="13"/>
      <c r="Q3420" s="13">
        <v>0</v>
      </c>
      <c r="R3420" s="70">
        <f>+L3420*O3420</f>
        <v>1872.5500000000002</v>
      </c>
      <c r="S3420" s="70">
        <v>0</v>
      </c>
      <c r="T3420" s="70">
        <f>+L3420*S3420</f>
        <v>0</v>
      </c>
      <c r="U3420" s="70">
        <f>+R3420-T3420</f>
        <v>1872.5500000000002</v>
      </c>
      <c r="V3420" s="70">
        <f>+U3420*0.75</f>
        <v>1404.4125000000001</v>
      </c>
      <c r="W3420" s="70">
        <f>+U3420-V3420</f>
        <v>468.13750000000005</v>
      </c>
      <c r="X3420" s="70">
        <v>0</v>
      </c>
      <c r="Y3420" s="14">
        <f t="shared" si="1376"/>
        <v>0</v>
      </c>
      <c r="Z3420" s="11" t="s">
        <v>26</v>
      </c>
      <c r="AA3420" s="12" t="s">
        <v>31</v>
      </c>
    </row>
    <row r="3421" spans="1:27" x14ac:dyDescent="0.25">
      <c r="A3421" s="10">
        <v>45709</v>
      </c>
      <c r="B3421" s="11" t="s">
        <v>367</v>
      </c>
      <c r="C3421" s="11" t="s">
        <v>6173</v>
      </c>
      <c r="D3421" s="11">
        <v>17966</v>
      </c>
      <c r="E3421" s="11" t="s">
        <v>32</v>
      </c>
      <c r="F3421" s="11" t="s">
        <v>26</v>
      </c>
      <c r="G3421" s="11">
        <v>75040</v>
      </c>
      <c r="H3421" s="12" t="s">
        <v>4448</v>
      </c>
      <c r="I3421" s="12" t="s">
        <v>27</v>
      </c>
      <c r="J3421" s="12" t="s">
        <v>47</v>
      </c>
      <c r="K3421" s="12" t="s">
        <v>48</v>
      </c>
      <c r="L3421" s="13">
        <v>36.68</v>
      </c>
      <c r="M3421" s="13">
        <v>25</v>
      </c>
      <c r="N3421" s="13">
        <f t="shared" ref="N3421:N3484" si="1390">L3421/M3421</f>
        <v>1.4672000000000001</v>
      </c>
      <c r="O3421" s="13">
        <v>46.66</v>
      </c>
      <c r="P3421" s="13" t="s">
        <v>30</v>
      </c>
      <c r="Q3421" s="13">
        <v>0</v>
      </c>
      <c r="R3421" s="70">
        <f>+L3421*O3421</f>
        <v>1711.4887999999999</v>
      </c>
      <c r="S3421" s="70">
        <v>0</v>
      </c>
      <c r="T3421" s="70">
        <f>+L3421*S3421</f>
        <v>0</v>
      </c>
      <c r="U3421" s="70">
        <f>+R3421-T3421</f>
        <v>1711.4887999999999</v>
      </c>
      <c r="V3421" s="70">
        <f>+U3421*0.75</f>
        <v>1283.6165999999998</v>
      </c>
      <c r="W3421" s="70">
        <f>+U3421-V3421</f>
        <v>427.87220000000002</v>
      </c>
      <c r="X3421" s="70">
        <v>0</v>
      </c>
      <c r="Y3421" s="14">
        <f t="shared" si="1376"/>
        <v>0</v>
      </c>
      <c r="Z3421" s="11" t="s">
        <v>26</v>
      </c>
      <c r="AA3421" s="12" t="s">
        <v>31</v>
      </c>
    </row>
    <row r="3422" spans="1:27" x14ac:dyDescent="0.25">
      <c r="A3422" s="10">
        <v>45709</v>
      </c>
      <c r="B3422" s="11" t="s">
        <v>6050</v>
      </c>
      <c r="C3422" s="11" t="s">
        <v>6174</v>
      </c>
      <c r="D3422" s="11">
        <v>17967</v>
      </c>
      <c r="E3422" s="11" t="s">
        <v>50</v>
      </c>
      <c r="F3422" s="11" t="s">
        <v>26</v>
      </c>
      <c r="G3422" s="11">
        <v>762</v>
      </c>
      <c r="H3422" s="12" t="s">
        <v>163</v>
      </c>
      <c r="I3422" s="12" t="s">
        <v>27</v>
      </c>
      <c r="J3422" s="12" t="s">
        <v>33</v>
      </c>
      <c r="K3422" s="12" t="s">
        <v>34</v>
      </c>
      <c r="L3422" s="13">
        <v>35.4</v>
      </c>
      <c r="M3422" s="13">
        <v>25</v>
      </c>
      <c r="N3422" s="13">
        <f t="shared" si="1390"/>
        <v>1.4159999999999999</v>
      </c>
      <c r="O3422" s="13" t="s">
        <v>30</v>
      </c>
      <c r="P3422" s="13">
        <v>60</v>
      </c>
      <c r="Q3422" s="13">
        <v>0</v>
      </c>
      <c r="R3422" s="70">
        <f>M3422*P3422</f>
        <v>1500</v>
      </c>
      <c r="S3422" s="70">
        <v>0</v>
      </c>
      <c r="T3422" s="70">
        <f>M3422*S3422</f>
        <v>0</v>
      </c>
      <c r="U3422" s="70">
        <f>R3422-T3422</f>
        <v>1500</v>
      </c>
      <c r="V3422" s="70">
        <f>U3422*0</f>
        <v>0</v>
      </c>
      <c r="W3422" s="70">
        <f>U3422-V3422</f>
        <v>1500</v>
      </c>
      <c r="X3422" s="70">
        <v>0</v>
      </c>
      <c r="Y3422" s="14">
        <f t="shared" si="1376"/>
        <v>0</v>
      </c>
      <c r="Z3422" s="11" t="s">
        <v>26</v>
      </c>
      <c r="AA3422" s="12" t="s">
        <v>31</v>
      </c>
    </row>
    <row r="3423" spans="1:27" x14ac:dyDescent="0.25">
      <c r="A3423" s="10">
        <v>45709</v>
      </c>
      <c r="B3423" s="11" t="s">
        <v>338</v>
      </c>
      <c r="C3423" s="11" t="s">
        <v>6175</v>
      </c>
      <c r="D3423" s="11">
        <v>17968</v>
      </c>
      <c r="E3423" s="11" t="s">
        <v>224</v>
      </c>
      <c r="F3423" s="11" t="s">
        <v>26</v>
      </c>
      <c r="G3423" s="11">
        <v>3231</v>
      </c>
      <c r="H3423" s="12" t="s">
        <v>4423</v>
      </c>
      <c r="I3423" s="12" t="s">
        <v>27</v>
      </c>
      <c r="J3423" s="12" t="s">
        <v>33</v>
      </c>
      <c r="K3423" s="12" t="s">
        <v>34</v>
      </c>
      <c r="L3423" s="13">
        <v>36.200000000000003</v>
      </c>
      <c r="M3423" s="13">
        <v>25</v>
      </c>
      <c r="N3423" s="13">
        <f t="shared" si="1390"/>
        <v>1.4480000000000002</v>
      </c>
      <c r="O3423" s="13">
        <v>45</v>
      </c>
      <c r="P3423" s="13" t="s">
        <v>30</v>
      </c>
      <c r="Q3423" s="13">
        <v>0</v>
      </c>
      <c r="R3423" s="70">
        <f>+L3423*O3423</f>
        <v>1629.0000000000002</v>
      </c>
      <c r="S3423" s="70">
        <v>0</v>
      </c>
      <c r="T3423" s="70">
        <f>+L3423*S3423</f>
        <v>0</v>
      </c>
      <c r="U3423" s="70">
        <f t="shared" ref="U3423:U3424" si="1391">+R3423-T3423</f>
        <v>1629.0000000000002</v>
      </c>
      <c r="V3423" s="70">
        <f>+U3423*1</f>
        <v>1629.0000000000002</v>
      </c>
      <c r="W3423" s="70">
        <f t="shared" ref="W3423:W3424" si="1392">+U3423-V3423</f>
        <v>0</v>
      </c>
      <c r="X3423" s="70">
        <v>0</v>
      </c>
      <c r="Y3423" s="14">
        <f t="shared" si="1376"/>
        <v>0</v>
      </c>
      <c r="Z3423" s="11" t="s">
        <v>26</v>
      </c>
      <c r="AA3423" s="12" t="s">
        <v>31</v>
      </c>
    </row>
    <row r="3424" spans="1:27" x14ac:dyDescent="0.25">
      <c r="A3424" s="10">
        <v>45709</v>
      </c>
      <c r="B3424" s="11" t="s">
        <v>417</v>
      </c>
      <c r="C3424" s="11" t="s">
        <v>6176</v>
      </c>
      <c r="D3424" s="11">
        <v>17969</v>
      </c>
      <c r="E3424" s="11" t="s">
        <v>552</v>
      </c>
      <c r="F3424" s="11" t="s">
        <v>26</v>
      </c>
      <c r="G3424" s="11">
        <v>44179</v>
      </c>
      <c r="H3424" s="12" t="s">
        <v>4423</v>
      </c>
      <c r="I3424" s="12" t="s">
        <v>27</v>
      </c>
      <c r="J3424" s="12" t="s">
        <v>47</v>
      </c>
      <c r="K3424" s="12" t="s">
        <v>48</v>
      </c>
      <c r="L3424" s="13">
        <v>32.979999999999997</v>
      </c>
      <c r="M3424" s="13">
        <v>25</v>
      </c>
      <c r="N3424" s="13">
        <f t="shared" si="1390"/>
        <v>1.3191999999999999</v>
      </c>
      <c r="O3424" s="13">
        <v>46</v>
      </c>
      <c r="P3424" s="13" t="s">
        <v>30</v>
      </c>
      <c r="Q3424" s="13">
        <v>0</v>
      </c>
      <c r="R3424" s="70">
        <f t="shared" ref="R3424" si="1393">+L3424*O3424</f>
        <v>1517.08</v>
      </c>
      <c r="S3424" s="70">
        <v>0</v>
      </c>
      <c r="T3424" s="70">
        <f t="shared" ref="T3424" si="1394">+L3424*S3424</f>
        <v>0</v>
      </c>
      <c r="U3424" s="70">
        <f t="shared" si="1391"/>
        <v>1517.08</v>
      </c>
      <c r="V3424" s="70">
        <f>+U3424*1</f>
        <v>1517.08</v>
      </c>
      <c r="W3424" s="70">
        <f t="shared" si="1392"/>
        <v>0</v>
      </c>
      <c r="X3424" s="70">
        <v>0</v>
      </c>
      <c r="Y3424" s="14">
        <f t="shared" si="1376"/>
        <v>0</v>
      </c>
      <c r="Z3424" s="11" t="s">
        <v>26</v>
      </c>
      <c r="AA3424" s="12" t="s">
        <v>31</v>
      </c>
    </row>
    <row r="3425" spans="1:27" x14ac:dyDescent="0.25">
      <c r="A3425" s="10">
        <v>45709</v>
      </c>
      <c r="B3425" s="11" t="s">
        <v>5635</v>
      </c>
      <c r="C3425" s="11" t="s">
        <v>6177</v>
      </c>
      <c r="D3425" s="11">
        <v>17970</v>
      </c>
      <c r="E3425" s="11" t="s">
        <v>184</v>
      </c>
      <c r="F3425" s="11" t="s">
        <v>26</v>
      </c>
      <c r="G3425" s="11">
        <v>1025</v>
      </c>
      <c r="H3425" s="12" t="s">
        <v>141</v>
      </c>
      <c r="I3425" s="12" t="s">
        <v>27</v>
      </c>
      <c r="J3425" s="12" t="s">
        <v>33</v>
      </c>
      <c r="K3425" s="12" t="s">
        <v>34</v>
      </c>
      <c r="L3425" s="13">
        <v>38.1</v>
      </c>
      <c r="M3425" s="13">
        <v>25</v>
      </c>
      <c r="N3425" s="13">
        <f t="shared" si="1390"/>
        <v>1.524</v>
      </c>
      <c r="O3425" s="13">
        <v>40</v>
      </c>
      <c r="P3425" s="13" t="s">
        <v>30</v>
      </c>
      <c r="Q3425" s="13">
        <v>0</v>
      </c>
      <c r="R3425" s="70">
        <f>L3425*O3425</f>
        <v>1524</v>
      </c>
      <c r="S3425" s="70">
        <v>0</v>
      </c>
      <c r="T3425" s="70">
        <f>L3425*S3425</f>
        <v>0</v>
      </c>
      <c r="U3425" s="70">
        <f>R3425-T3425</f>
        <v>1524</v>
      </c>
      <c r="V3425" s="70">
        <f>U3425*0</f>
        <v>0</v>
      </c>
      <c r="W3425" s="70">
        <f>U3425-V3425</f>
        <v>1524</v>
      </c>
      <c r="X3425" s="70">
        <v>0</v>
      </c>
      <c r="Y3425" s="14">
        <f t="shared" si="1376"/>
        <v>0</v>
      </c>
      <c r="Z3425" s="11" t="s">
        <v>26</v>
      </c>
      <c r="AA3425" s="12" t="s">
        <v>31</v>
      </c>
    </row>
    <row r="3426" spans="1:27" x14ac:dyDescent="0.25">
      <c r="A3426" s="10">
        <v>45709</v>
      </c>
      <c r="B3426" s="11" t="s">
        <v>2814</v>
      </c>
      <c r="C3426" s="11" t="s">
        <v>6178</v>
      </c>
      <c r="D3426" s="11">
        <v>17971</v>
      </c>
      <c r="E3426" s="11" t="s">
        <v>501</v>
      </c>
      <c r="F3426" s="11" t="s">
        <v>26</v>
      </c>
      <c r="G3426" s="11" t="s">
        <v>26</v>
      </c>
      <c r="H3426" s="12" t="s">
        <v>4422</v>
      </c>
      <c r="I3426" s="12" t="s">
        <v>27</v>
      </c>
      <c r="J3426" s="12" t="s">
        <v>47</v>
      </c>
      <c r="K3426" s="12" t="s">
        <v>48</v>
      </c>
      <c r="L3426" s="13">
        <v>39.92</v>
      </c>
      <c r="M3426" s="13">
        <v>27</v>
      </c>
      <c r="N3426" s="13">
        <f t="shared" si="1390"/>
        <v>1.4785185185185186</v>
      </c>
      <c r="O3426" s="13">
        <v>87</v>
      </c>
      <c r="P3426" s="13" t="s">
        <v>30</v>
      </c>
      <c r="Q3426" s="13">
        <v>0</v>
      </c>
      <c r="R3426" s="70">
        <f t="shared" ref="R3426" si="1395">L3426*O3426</f>
        <v>3473.04</v>
      </c>
      <c r="S3426" s="70">
        <v>38</v>
      </c>
      <c r="T3426" s="70">
        <f t="shared" ref="T3426" si="1396">L3426*S3426</f>
        <v>1516.96</v>
      </c>
      <c r="U3426" s="70">
        <f t="shared" ref="U3426" si="1397">R3426-T3426</f>
        <v>1956.08</v>
      </c>
      <c r="V3426" s="70">
        <f>U3426*1</f>
        <v>1956.08</v>
      </c>
      <c r="W3426" s="70">
        <f t="shared" ref="W3426" si="1398">U3426-V3426</f>
        <v>0</v>
      </c>
      <c r="X3426" s="70">
        <f>L3426*36</f>
        <v>1437.1200000000001</v>
      </c>
      <c r="Y3426" s="71">
        <f>+T3426-X3426</f>
        <v>79.839999999999918</v>
      </c>
      <c r="Z3426" s="12" t="s">
        <v>141</v>
      </c>
      <c r="AA3426" s="12" t="s">
        <v>78</v>
      </c>
    </row>
    <row r="3427" spans="1:27" x14ac:dyDescent="0.25">
      <c r="A3427" s="10">
        <v>45709</v>
      </c>
      <c r="B3427" s="11" t="s">
        <v>3643</v>
      </c>
      <c r="C3427" s="11" t="s">
        <v>6179</v>
      </c>
      <c r="D3427" s="11">
        <v>17972</v>
      </c>
      <c r="E3427" s="11" t="s">
        <v>2126</v>
      </c>
      <c r="F3427" s="11" t="s">
        <v>26</v>
      </c>
      <c r="G3427" s="11">
        <v>112926</v>
      </c>
      <c r="H3427" s="12" t="s">
        <v>4446</v>
      </c>
      <c r="I3427" s="12" t="s">
        <v>27</v>
      </c>
      <c r="J3427" s="12" t="s">
        <v>33</v>
      </c>
      <c r="K3427" s="12" t="s">
        <v>34</v>
      </c>
      <c r="L3427" s="13">
        <v>34.36</v>
      </c>
      <c r="M3427" s="13">
        <v>25</v>
      </c>
      <c r="N3427" s="13">
        <f t="shared" si="1390"/>
        <v>1.3744000000000001</v>
      </c>
      <c r="O3427" s="13">
        <v>44</v>
      </c>
      <c r="P3427" s="13" t="s">
        <v>30</v>
      </c>
      <c r="Q3427" s="13">
        <v>0</v>
      </c>
      <c r="R3427" s="70">
        <f t="shared" ref="R3427" si="1399">+L3427*O3427</f>
        <v>1511.84</v>
      </c>
      <c r="S3427" s="70">
        <v>0</v>
      </c>
      <c r="T3427" s="70">
        <f>+L3427*S3427</f>
        <v>0</v>
      </c>
      <c r="U3427" s="70">
        <f>+R3427-T3427</f>
        <v>1511.84</v>
      </c>
      <c r="V3427" s="70">
        <f>+U3427*1</f>
        <v>1511.84</v>
      </c>
      <c r="W3427" s="70">
        <f>+U3427-V3427</f>
        <v>0</v>
      </c>
      <c r="X3427" s="70">
        <v>0</v>
      </c>
      <c r="Y3427" s="14">
        <f t="shared" ref="Y3427:Y3428" si="1400">T3427-X3427</f>
        <v>0</v>
      </c>
      <c r="Z3427" s="11" t="s">
        <v>26</v>
      </c>
      <c r="AA3427" s="12" t="s">
        <v>31</v>
      </c>
    </row>
    <row r="3428" spans="1:27" x14ac:dyDescent="0.25">
      <c r="A3428" s="10">
        <v>45709</v>
      </c>
      <c r="B3428" s="11" t="s">
        <v>4145</v>
      </c>
      <c r="C3428" s="11" t="s">
        <v>6180</v>
      </c>
      <c r="D3428" s="11">
        <v>17973</v>
      </c>
      <c r="E3428" s="11" t="s">
        <v>570</v>
      </c>
      <c r="F3428" s="11" t="s">
        <v>26</v>
      </c>
      <c r="G3428" s="11">
        <v>10765</v>
      </c>
      <c r="H3428" s="12" t="s">
        <v>140</v>
      </c>
      <c r="I3428" s="12" t="s">
        <v>27</v>
      </c>
      <c r="J3428" s="12" t="s">
        <v>42</v>
      </c>
      <c r="K3428" s="12" t="s">
        <v>43</v>
      </c>
      <c r="L3428" s="13">
        <v>42.2</v>
      </c>
      <c r="M3428" s="13">
        <v>25</v>
      </c>
      <c r="N3428" s="13">
        <f t="shared" si="1390"/>
        <v>1.6880000000000002</v>
      </c>
      <c r="O3428" s="13">
        <v>35</v>
      </c>
      <c r="P3428" s="13"/>
      <c r="Q3428" s="13">
        <v>0</v>
      </c>
      <c r="R3428" s="70">
        <f>+L3428*O3428</f>
        <v>1477</v>
      </c>
      <c r="S3428" s="70">
        <v>0</v>
      </c>
      <c r="T3428" s="70">
        <f>+L3428*S3428</f>
        <v>0</v>
      </c>
      <c r="U3428" s="70">
        <f>+R3428-T3428</f>
        <v>1477</v>
      </c>
      <c r="V3428" s="70">
        <f t="shared" ref="V3428" si="1401">+U3428*0</f>
        <v>0</v>
      </c>
      <c r="W3428" s="70">
        <f>+U3428-V3428</f>
        <v>1477</v>
      </c>
      <c r="X3428" s="70">
        <v>0</v>
      </c>
      <c r="Y3428" s="14">
        <f t="shared" si="1400"/>
        <v>0</v>
      </c>
      <c r="Z3428" s="11" t="s">
        <v>26</v>
      </c>
      <c r="AA3428" s="12" t="s">
        <v>31</v>
      </c>
    </row>
    <row r="3429" spans="1:27" x14ac:dyDescent="0.25">
      <c r="A3429" s="10">
        <v>45709</v>
      </c>
      <c r="B3429" s="11" t="s">
        <v>2720</v>
      </c>
      <c r="C3429" s="11" t="s">
        <v>6181</v>
      </c>
      <c r="D3429" s="11">
        <v>17974</v>
      </c>
      <c r="E3429" s="11" t="s">
        <v>605</v>
      </c>
      <c r="F3429" s="11" t="s">
        <v>26</v>
      </c>
      <c r="G3429" s="11" t="s">
        <v>26</v>
      </c>
      <c r="H3429" s="12" t="s">
        <v>4422</v>
      </c>
      <c r="I3429" s="12" t="s">
        <v>27</v>
      </c>
      <c r="J3429" s="12" t="s">
        <v>42</v>
      </c>
      <c r="K3429" s="12" t="s">
        <v>43</v>
      </c>
      <c r="L3429" s="13">
        <v>43.62</v>
      </c>
      <c r="M3429" s="13">
        <v>25</v>
      </c>
      <c r="N3429" s="13">
        <f t="shared" si="1390"/>
        <v>1.7447999999999999</v>
      </c>
      <c r="O3429" s="13">
        <v>83</v>
      </c>
      <c r="P3429" s="13" t="s">
        <v>30</v>
      </c>
      <c r="Q3429" s="13">
        <v>0</v>
      </c>
      <c r="R3429" s="70">
        <f>L3429*O3429</f>
        <v>3620.4599999999996</v>
      </c>
      <c r="S3429" s="70">
        <v>38</v>
      </c>
      <c r="T3429" s="70">
        <f>L3429*S3429</f>
        <v>1657.56</v>
      </c>
      <c r="U3429" s="70">
        <f t="shared" ref="U3429:U3436" si="1402">R3429-T3429</f>
        <v>1962.8999999999996</v>
      </c>
      <c r="V3429" s="70">
        <f>U3429*1</f>
        <v>1962.8999999999996</v>
      </c>
      <c r="W3429" s="70">
        <f t="shared" ref="W3429:W3436" si="1403">U3429-V3429</f>
        <v>0</v>
      </c>
      <c r="X3429" s="70">
        <f>L3429*36</f>
        <v>1570.32</v>
      </c>
      <c r="Y3429" s="71">
        <f>+T3429-X3429</f>
        <v>87.240000000000009</v>
      </c>
      <c r="Z3429" s="12" t="s">
        <v>141</v>
      </c>
      <c r="AA3429" s="12" t="s">
        <v>78</v>
      </c>
    </row>
    <row r="3430" spans="1:27" x14ac:dyDescent="0.25">
      <c r="A3430" s="10">
        <v>45709</v>
      </c>
      <c r="B3430" s="11" t="s">
        <v>6182</v>
      </c>
      <c r="C3430" s="11" t="s">
        <v>6183</v>
      </c>
      <c r="D3430" s="11">
        <v>17975</v>
      </c>
      <c r="E3430" s="11" t="s">
        <v>44</v>
      </c>
      <c r="F3430" s="11" t="s">
        <v>26</v>
      </c>
      <c r="G3430" s="11">
        <v>1659</v>
      </c>
      <c r="H3430" s="12" t="s">
        <v>45</v>
      </c>
      <c r="I3430" s="12" t="s">
        <v>27</v>
      </c>
      <c r="J3430" s="12" t="s">
        <v>42</v>
      </c>
      <c r="K3430" s="12" t="s">
        <v>43</v>
      </c>
      <c r="L3430" s="13">
        <v>44.88</v>
      </c>
      <c r="M3430" s="13">
        <v>25</v>
      </c>
      <c r="N3430" s="13">
        <f t="shared" si="1390"/>
        <v>1.7952000000000001</v>
      </c>
      <c r="O3430" s="13" t="s">
        <v>30</v>
      </c>
      <c r="P3430" s="13">
        <v>62</v>
      </c>
      <c r="Q3430" s="13">
        <v>0</v>
      </c>
      <c r="R3430" s="70">
        <f>M3430*P3430</f>
        <v>1550</v>
      </c>
      <c r="S3430" s="70">
        <v>0</v>
      </c>
      <c r="T3430" s="70">
        <f>M3430*S3430</f>
        <v>0</v>
      </c>
      <c r="U3430" s="70">
        <f t="shared" si="1402"/>
        <v>1550</v>
      </c>
      <c r="V3430" s="70">
        <f>U3430*0</f>
        <v>0</v>
      </c>
      <c r="W3430" s="70">
        <f t="shared" si="1403"/>
        <v>1550</v>
      </c>
      <c r="X3430" s="70">
        <v>0</v>
      </c>
      <c r="Y3430" s="14">
        <f t="shared" ref="Y3430" si="1404">T3430-X3430</f>
        <v>0</v>
      </c>
      <c r="Z3430" s="11" t="s">
        <v>26</v>
      </c>
      <c r="AA3430" s="12" t="s">
        <v>31</v>
      </c>
    </row>
    <row r="3431" spans="1:27" x14ac:dyDescent="0.25">
      <c r="A3431" s="10">
        <v>45709</v>
      </c>
      <c r="B3431" s="11" t="s">
        <v>6184</v>
      </c>
      <c r="C3431" s="11" t="s">
        <v>6185</v>
      </c>
      <c r="D3431" s="11">
        <v>17976</v>
      </c>
      <c r="E3431" s="11" t="s">
        <v>539</v>
      </c>
      <c r="F3431" s="11" t="s">
        <v>26</v>
      </c>
      <c r="G3431" s="11" t="s">
        <v>26</v>
      </c>
      <c r="H3431" s="12" t="s">
        <v>4422</v>
      </c>
      <c r="I3431" s="12" t="s">
        <v>27</v>
      </c>
      <c r="J3431" s="12" t="s">
        <v>42</v>
      </c>
      <c r="K3431" s="12" t="s">
        <v>43</v>
      </c>
      <c r="L3431" s="13">
        <v>43.24</v>
      </c>
      <c r="M3431" s="13">
        <v>25</v>
      </c>
      <c r="N3431" s="13">
        <f t="shared" si="1390"/>
        <v>1.7296</v>
      </c>
      <c r="O3431" s="13">
        <v>83</v>
      </c>
      <c r="P3431" s="13" t="s">
        <v>30</v>
      </c>
      <c r="Q3431" s="13">
        <v>0</v>
      </c>
      <c r="R3431" s="70">
        <f>L3431*O3431</f>
        <v>3588.92</v>
      </c>
      <c r="S3431" s="70">
        <v>38</v>
      </c>
      <c r="T3431" s="70">
        <f>L3431*S3431</f>
        <v>1643.1200000000001</v>
      </c>
      <c r="U3431" s="70">
        <f t="shared" si="1402"/>
        <v>1945.8</v>
      </c>
      <c r="V3431" s="70">
        <f>U3431*1</f>
        <v>1945.8</v>
      </c>
      <c r="W3431" s="70">
        <f t="shared" si="1403"/>
        <v>0</v>
      </c>
      <c r="X3431" s="70">
        <f>L3431*37</f>
        <v>1599.88</v>
      </c>
      <c r="Y3431" s="71">
        <f>+T3431-X3431</f>
        <v>43.240000000000009</v>
      </c>
      <c r="Z3431" s="12" t="s">
        <v>41</v>
      </c>
      <c r="AA3431" s="12" t="s">
        <v>78</v>
      </c>
    </row>
    <row r="3432" spans="1:27" x14ac:dyDescent="0.25">
      <c r="A3432" s="10">
        <v>45709</v>
      </c>
      <c r="B3432" s="11" t="s">
        <v>408</v>
      </c>
      <c r="C3432" s="11" t="s">
        <v>6186</v>
      </c>
      <c r="D3432" s="11">
        <v>17977</v>
      </c>
      <c r="E3432" s="11" t="s">
        <v>49</v>
      </c>
      <c r="F3432" s="11" t="s">
        <v>26</v>
      </c>
      <c r="G3432" s="11">
        <v>1665</v>
      </c>
      <c r="H3432" s="12" t="s">
        <v>45</v>
      </c>
      <c r="I3432" s="12" t="s">
        <v>27</v>
      </c>
      <c r="J3432" s="12" t="s">
        <v>42</v>
      </c>
      <c r="K3432" s="12" t="s">
        <v>43</v>
      </c>
      <c r="L3432" s="13">
        <v>43.02</v>
      </c>
      <c r="M3432" s="13">
        <v>25</v>
      </c>
      <c r="N3432" s="13">
        <f t="shared" si="1390"/>
        <v>1.7208000000000001</v>
      </c>
      <c r="O3432" s="13" t="s">
        <v>30</v>
      </c>
      <c r="P3432" s="13">
        <v>62</v>
      </c>
      <c r="Q3432" s="13">
        <v>0</v>
      </c>
      <c r="R3432" s="70">
        <f>M3432*P3432</f>
        <v>1550</v>
      </c>
      <c r="S3432" s="70">
        <v>0</v>
      </c>
      <c r="T3432" s="70">
        <f>M3432*S3432</f>
        <v>0</v>
      </c>
      <c r="U3432" s="70">
        <f t="shared" si="1402"/>
        <v>1550</v>
      </c>
      <c r="V3432" s="70">
        <f>U3432*0</f>
        <v>0</v>
      </c>
      <c r="W3432" s="70">
        <f t="shared" si="1403"/>
        <v>1550</v>
      </c>
      <c r="X3432" s="70">
        <v>0</v>
      </c>
      <c r="Y3432" s="14">
        <f t="shared" ref="Y3432" si="1405">T3432-X3432</f>
        <v>0</v>
      </c>
      <c r="Z3432" s="11" t="s">
        <v>26</v>
      </c>
      <c r="AA3432" s="12" t="s">
        <v>31</v>
      </c>
    </row>
    <row r="3433" spans="1:27" x14ac:dyDescent="0.25">
      <c r="A3433" s="10">
        <v>45709</v>
      </c>
      <c r="B3433" s="11" t="s">
        <v>5383</v>
      </c>
      <c r="C3433" s="11" t="s">
        <v>6187</v>
      </c>
      <c r="D3433" s="11">
        <v>17978</v>
      </c>
      <c r="E3433" s="11" t="s">
        <v>246</v>
      </c>
      <c r="F3433" s="11" t="s">
        <v>26</v>
      </c>
      <c r="G3433" s="11" t="s">
        <v>26</v>
      </c>
      <c r="H3433" s="12" t="s">
        <v>4422</v>
      </c>
      <c r="I3433" s="12" t="s">
        <v>27</v>
      </c>
      <c r="J3433" s="12" t="s">
        <v>42</v>
      </c>
      <c r="K3433" s="12" t="s">
        <v>43</v>
      </c>
      <c r="L3433" s="13">
        <v>43.68</v>
      </c>
      <c r="M3433" s="13">
        <v>25</v>
      </c>
      <c r="N3433" s="13">
        <f t="shared" si="1390"/>
        <v>1.7472000000000001</v>
      </c>
      <c r="O3433" s="13">
        <v>83</v>
      </c>
      <c r="P3433" s="13" t="s">
        <v>30</v>
      </c>
      <c r="Q3433" s="13">
        <v>0</v>
      </c>
      <c r="R3433" s="70">
        <f>L3433*O3433</f>
        <v>3625.44</v>
      </c>
      <c r="S3433" s="70">
        <v>38</v>
      </c>
      <c r="T3433" s="70">
        <f>L3433*S3433</f>
        <v>1659.84</v>
      </c>
      <c r="U3433" s="70">
        <f t="shared" si="1402"/>
        <v>1965.6000000000001</v>
      </c>
      <c r="V3433" s="70">
        <f>U3433*1</f>
        <v>1965.6000000000001</v>
      </c>
      <c r="W3433" s="70">
        <f t="shared" si="1403"/>
        <v>0</v>
      </c>
      <c r="X3433" s="70">
        <f>L3433*37</f>
        <v>1616.16</v>
      </c>
      <c r="Y3433" s="71">
        <f>+T3433-X3433</f>
        <v>43.679999999999836</v>
      </c>
      <c r="Z3433" s="12" t="s">
        <v>41</v>
      </c>
      <c r="AA3433" s="12" t="s">
        <v>78</v>
      </c>
    </row>
    <row r="3434" spans="1:27" x14ac:dyDescent="0.25">
      <c r="A3434" s="10">
        <v>45709</v>
      </c>
      <c r="B3434" s="11" t="s">
        <v>6188</v>
      </c>
      <c r="C3434" s="11" t="s">
        <v>6189</v>
      </c>
      <c r="D3434" s="11">
        <v>17979</v>
      </c>
      <c r="E3434" s="11" t="s">
        <v>1200</v>
      </c>
      <c r="F3434" s="11" t="s">
        <v>26</v>
      </c>
      <c r="G3434" s="11">
        <v>2985</v>
      </c>
      <c r="H3434" s="12" t="s">
        <v>163</v>
      </c>
      <c r="I3434" s="12" t="s">
        <v>55</v>
      </c>
      <c r="J3434" s="12" t="s">
        <v>566</v>
      </c>
      <c r="K3434" s="12" t="s">
        <v>550</v>
      </c>
      <c r="L3434" s="13">
        <v>41.1</v>
      </c>
      <c r="M3434" s="13">
        <v>25</v>
      </c>
      <c r="N3434" s="13">
        <f t="shared" si="1390"/>
        <v>1.6440000000000001</v>
      </c>
      <c r="O3434" s="13">
        <v>25</v>
      </c>
      <c r="P3434" s="13"/>
      <c r="Q3434" s="13">
        <v>0</v>
      </c>
      <c r="R3434" s="70">
        <f>L3434*O3434</f>
        <v>1027.5</v>
      </c>
      <c r="S3434" s="70">
        <v>0</v>
      </c>
      <c r="T3434" s="70">
        <f>L3434*S3434</f>
        <v>0</v>
      </c>
      <c r="U3434" s="70">
        <f t="shared" si="1402"/>
        <v>1027.5</v>
      </c>
      <c r="V3434" s="70">
        <f>U3434*0</f>
        <v>0</v>
      </c>
      <c r="W3434" s="70">
        <f t="shared" si="1403"/>
        <v>1027.5</v>
      </c>
      <c r="X3434" s="70">
        <v>0</v>
      </c>
      <c r="Y3434" s="14">
        <f t="shared" ref="Y3434" si="1406">T3434-X3434</f>
        <v>0</v>
      </c>
      <c r="Z3434" s="11" t="s">
        <v>26</v>
      </c>
      <c r="AA3434" s="12" t="s">
        <v>31</v>
      </c>
    </row>
    <row r="3435" spans="1:27" x14ac:dyDescent="0.25">
      <c r="A3435" s="10">
        <v>45709</v>
      </c>
      <c r="B3435" s="11" t="s">
        <v>4066</v>
      </c>
      <c r="C3435" s="11" t="s">
        <v>6190</v>
      </c>
      <c r="D3435" s="11">
        <v>17980</v>
      </c>
      <c r="E3435" s="11" t="s">
        <v>81</v>
      </c>
      <c r="F3435" s="11" t="s">
        <v>26</v>
      </c>
      <c r="G3435" s="11" t="s">
        <v>26</v>
      </c>
      <c r="H3435" s="12" t="s">
        <v>4422</v>
      </c>
      <c r="I3435" s="12" t="s">
        <v>27</v>
      </c>
      <c r="J3435" s="12" t="s">
        <v>42</v>
      </c>
      <c r="K3435" s="12" t="s">
        <v>43</v>
      </c>
      <c r="L3435" s="13">
        <v>41.52</v>
      </c>
      <c r="M3435" s="13">
        <v>25</v>
      </c>
      <c r="N3435" s="13">
        <f t="shared" si="1390"/>
        <v>1.6608000000000001</v>
      </c>
      <c r="O3435" s="13">
        <v>83</v>
      </c>
      <c r="P3435" s="13" t="s">
        <v>30</v>
      </c>
      <c r="Q3435" s="13">
        <v>0</v>
      </c>
      <c r="R3435" s="70">
        <f>L3435*O3435</f>
        <v>3446.1600000000003</v>
      </c>
      <c r="S3435" s="70">
        <v>38</v>
      </c>
      <c r="T3435" s="70">
        <f>L3435*S3435</f>
        <v>1577.7600000000002</v>
      </c>
      <c r="U3435" s="70">
        <f t="shared" si="1402"/>
        <v>1868.4</v>
      </c>
      <c r="V3435" s="70">
        <f>U3435*1</f>
        <v>1868.4</v>
      </c>
      <c r="W3435" s="70">
        <f t="shared" si="1403"/>
        <v>0</v>
      </c>
      <c r="X3435" s="70">
        <f>L3435*36</f>
        <v>1494.72</v>
      </c>
      <c r="Y3435" s="71">
        <f>+T3435-X3435</f>
        <v>83.040000000000191</v>
      </c>
      <c r="Z3435" s="12" t="s">
        <v>141</v>
      </c>
      <c r="AA3435" s="12" t="s">
        <v>78</v>
      </c>
    </row>
    <row r="3436" spans="1:27" x14ac:dyDescent="0.25">
      <c r="A3436" s="10">
        <v>45709</v>
      </c>
      <c r="B3436" s="11" t="s">
        <v>6191</v>
      </c>
      <c r="C3436" s="11" t="s">
        <v>6192</v>
      </c>
      <c r="D3436" s="11">
        <v>17981</v>
      </c>
      <c r="E3436" s="11" t="s">
        <v>65</v>
      </c>
      <c r="F3436" s="11" t="s">
        <v>26</v>
      </c>
      <c r="G3436" s="11">
        <v>1714</v>
      </c>
      <c r="H3436" s="12" t="s">
        <v>66</v>
      </c>
      <c r="I3436" s="12" t="s">
        <v>37</v>
      </c>
      <c r="J3436" s="12" t="s">
        <v>1909</v>
      </c>
      <c r="K3436" s="12" t="s">
        <v>82</v>
      </c>
      <c r="L3436" s="13">
        <v>40</v>
      </c>
      <c r="M3436" s="13">
        <v>25</v>
      </c>
      <c r="N3436" s="13">
        <f t="shared" si="1390"/>
        <v>1.6</v>
      </c>
      <c r="O3436" s="13" t="s">
        <v>30</v>
      </c>
      <c r="P3436" s="13">
        <v>54</v>
      </c>
      <c r="Q3436" s="13">
        <v>0</v>
      </c>
      <c r="R3436" s="70">
        <f>M3436*P3436</f>
        <v>1350</v>
      </c>
      <c r="S3436" s="70">
        <v>0</v>
      </c>
      <c r="T3436" s="70">
        <f>M3436*S3436</f>
        <v>0</v>
      </c>
      <c r="U3436" s="70">
        <f t="shared" si="1402"/>
        <v>1350</v>
      </c>
      <c r="V3436" s="70">
        <f>U3436*1</f>
        <v>1350</v>
      </c>
      <c r="W3436" s="70">
        <f t="shared" si="1403"/>
        <v>0</v>
      </c>
      <c r="X3436" s="70">
        <v>0</v>
      </c>
      <c r="Y3436" s="14">
        <f t="shared" ref="Y3436:Y3450" si="1407">T3436-X3436</f>
        <v>0</v>
      </c>
      <c r="Z3436" s="11" t="s">
        <v>26</v>
      </c>
      <c r="AA3436" s="12" t="s">
        <v>31</v>
      </c>
    </row>
    <row r="3437" spans="1:27" x14ac:dyDescent="0.25">
      <c r="A3437" s="10">
        <v>45709</v>
      </c>
      <c r="B3437" s="11" t="s">
        <v>6193</v>
      </c>
      <c r="C3437" s="11" t="s">
        <v>6194</v>
      </c>
      <c r="D3437" s="11">
        <v>17982</v>
      </c>
      <c r="E3437" s="11" t="s">
        <v>2109</v>
      </c>
      <c r="F3437" s="11" t="s">
        <v>26</v>
      </c>
      <c r="G3437" s="11">
        <v>10629</v>
      </c>
      <c r="H3437" s="12" t="s">
        <v>140</v>
      </c>
      <c r="I3437" s="12" t="s">
        <v>27</v>
      </c>
      <c r="J3437" s="12" t="s">
        <v>42</v>
      </c>
      <c r="K3437" s="12" t="s">
        <v>43</v>
      </c>
      <c r="L3437" s="13">
        <v>43.5</v>
      </c>
      <c r="M3437" s="13">
        <v>25</v>
      </c>
      <c r="N3437" s="13">
        <f t="shared" si="1390"/>
        <v>1.74</v>
      </c>
      <c r="O3437" s="13">
        <v>35</v>
      </c>
      <c r="P3437" s="13"/>
      <c r="Q3437" s="13">
        <v>0</v>
      </c>
      <c r="R3437" s="70">
        <f>+L3437*O3437</f>
        <v>1522.5</v>
      </c>
      <c r="S3437" s="70">
        <v>0</v>
      </c>
      <c r="T3437" s="70">
        <f>+L3437*S3437</f>
        <v>0</v>
      </c>
      <c r="U3437" s="70">
        <f>+R3437-T3437</f>
        <v>1522.5</v>
      </c>
      <c r="V3437" s="70">
        <f t="shared" ref="V3437" si="1408">+U3437*0</f>
        <v>0</v>
      </c>
      <c r="W3437" s="70">
        <f>+U3437-V3437</f>
        <v>1522.5</v>
      </c>
      <c r="X3437" s="70">
        <v>0</v>
      </c>
      <c r="Y3437" s="14">
        <f t="shared" si="1407"/>
        <v>0</v>
      </c>
      <c r="Z3437" s="11" t="s">
        <v>26</v>
      </c>
      <c r="AA3437" s="12" t="s">
        <v>31</v>
      </c>
    </row>
    <row r="3438" spans="1:27" x14ac:dyDescent="0.25">
      <c r="A3438" s="10">
        <v>45709</v>
      </c>
      <c r="B3438" s="11" t="s">
        <v>647</v>
      </c>
      <c r="C3438" s="11" t="s">
        <v>6195</v>
      </c>
      <c r="D3438" s="11">
        <v>17983</v>
      </c>
      <c r="E3438" s="11" t="s">
        <v>431</v>
      </c>
      <c r="F3438" s="11" t="s">
        <v>26</v>
      </c>
      <c r="G3438" s="11">
        <v>1055</v>
      </c>
      <c r="H3438" s="12" t="s">
        <v>6328</v>
      </c>
      <c r="I3438" s="12" t="s">
        <v>27</v>
      </c>
      <c r="J3438" s="12" t="s">
        <v>42</v>
      </c>
      <c r="K3438" s="12" t="s">
        <v>43</v>
      </c>
      <c r="L3438" s="13">
        <v>39.020000000000003</v>
      </c>
      <c r="M3438" s="13">
        <v>25</v>
      </c>
      <c r="N3438" s="13">
        <f t="shared" si="1390"/>
        <v>1.5608000000000002</v>
      </c>
      <c r="O3438" s="13">
        <v>42.5</v>
      </c>
      <c r="P3438" s="13"/>
      <c r="Q3438" s="13">
        <v>0</v>
      </c>
      <c r="R3438" s="70">
        <f>L3438*O3438</f>
        <v>1658.3500000000001</v>
      </c>
      <c r="S3438" s="70">
        <v>0</v>
      </c>
      <c r="T3438" s="70">
        <f>+L3438*S3438</f>
        <v>0</v>
      </c>
      <c r="U3438" s="70">
        <f>R3438-T3438</f>
        <v>1658.3500000000001</v>
      </c>
      <c r="V3438" s="70">
        <f>U3438*0</f>
        <v>0</v>
      </c>
      <c r="W3438" s="70">
        <f>U3438-V3438</f>
        <v>1658.3500000000001</v>
      </c>
      <c r="X3438" s="70"/>
      <c r="Y3438" s="14">
        <f t="shared" si="1407"/>
        <v>0</v>
      </c>
      <c r="Z3438" s="74" t="s">
        <v>26</v>
      </c>
      <c r="AA3438" s="12" t="s">
        <v>31</v>
      </c>
    </row>
    <row r="3439" spans="1:27" x14ac:dyDescent="0.25">
      <c r="A3439" s="10">
        <v>45709</v>
      </c>
      <c r="B3439" s="11" t="s">
        <v>704</v>
      </c>
      <c r="C3439" s="11" t="s">
        <v>6196</v>
      </c>
      <c r="D3439" s="11">
        <v>17984</v>
      </c>
      <c r="E3439" s="11" t="s">
        <v>80</v>
      </c>
      <c r="F3439" s="11" t="s">
        <v>26</v>
      </c>
      <c r="G3439" s="11">
        <v>10698</v>
      </c>
      <c r="H3439" s="12" t="s">
        <v>140</v>
      </c>
      <c r="I3439" s="12" t="s">
        <v>27</v>
      </c>
      <c r="J3439" s="12" t="s">
        <v>42</v>
      </c>
      <c r="K3439" s="12" t="s">
        <v>43</v>
      </c>
      <c r="L3439" s="13">
        <v>45</v>
      </c>
      <c r="M3439" s="13">
        <v>25</v>
      </c>
      <c r="N3439" s="13">
        <f t="shared" si="1390"/>
        <v>1.8</v>
      </c>
      <c r="O3439" s="13">
        <v>35</v>
      </c>
      <c r="P3439" s="13"/>
      <c r="Q3439" s="13">
        <v>0</v>
      </c>
      <c r="R3439" s="70">
        <f>+L3439*O3439</f>
        <v>1575</v>
      </c>
      <c r="S3439" s="70">
        <v>0</v>
      </c>
      <c r="T3439" s="70">
        <f>+L3439*S3439</f>
        <v>0</v>
      </c>
      <c r="U3439" s="70">
        <f>+R3439-T3439</f>
        <v>1575</v>
      </c>
      <c r="V3439" s="70">
        <f t="shared" ref="V3439" si="1409">+U3439*0</f>
        <v>0</v>
      </c>
      <c r="W3439" s="70">
        <f>+U3439-V3439</f>
        <v>1575</v>
      </c>
      <c r="X3439" s="70">
        <v>0</v>
      </c>
      <c r="Y3439" s="14">
        <f t="shared" si="1407"/>
        <v>0</v>
      </c>
      <c r="Z3439" s="11" t="s">
        <v>26</v>
      </c>
      <c r="AA3439" s="12" t="s">
        <v>31</v>
      </c>
    </row>
    <row r="3440" spans="1:27" x14ac:dyDescent="0.25">
      <c r="A3440" s="10">
        <v>45709</v>
      </c>
      <c r="B3440" s="11" t="s">
        <v>696</v>
      </c>
      <c r="C3440" s="11" t="s">
        <v>6197</v>
      </c>
      <c r="D3440" s="11">
        <v>17985</v>
      </c>
      <c r="E3440" s="11" t="s">
        <v>67</v>
      </c>
      <c r="F3440" s="11" t="s">
        <v>26</v>
      </c>
      <c r="G3440" s="11">
        <v>1648</v>
      </c>
      <c r="H3440" s="12" t="s">
        <v>66</v>
      </c>
      <c r="I3440" s="12" t="s">
        <v>37</v>
      </c>
      <c r="J3440" s="12" t="s">
        <v>1909</v>
      </c>
      <c r="K3440" s="12" t="s">
        <v>82</v>
      </c>
      <c r="L3440" s="13">
        <v>39.659999999999997</v>
      </c>
      <c r="M3440" s="13">
        <v>25</v>
      </c>
      <c r="N3440" s="13">
        <f t="shared" si="1390"/>
        <v>1.5863999999999998</v>
      </c>
      <c r="O3440" s="13" t="s">
        <v>30</v>
      </c>
      <c r="P3440" s="13">
        <v>54</v>
      </c>
      <c r="Q3440" s="13">
        <v>0</v>
      </c>
      <c r="R3440" s="70">
        <f>M3440*P3440</f>
        <v>1350</v>
      </c>
      <c r="S3440" s="70">
        <v>0</v>
      </c>
      <c r="T3440" s="70">
        <f>M3440*S3440</f>
        <v>0</v>
      </c>
      <c r="U3440" s="70">
        <f t="shared" ref="U3440" si="1410">R3440-T3440</f>
        <v>1350</v>
      </c>
      <c r="V3440" s="70">
        <f>U3440*1</f>
        <v>1350</v>
      </c>
      <c r="W3440" s="70">
        <f>U3440-V3440</f>
        <v>0</v>
      </c>
      <c r="X3440" s="70">
        <v>0</v>
      </c>
      <c r="Y3440" s="14">
        <f t="shared" si="1407"/>
        <v>0</v>
      </c>
      <c r="Z3440" s="11" t="s">
        <v>26</v>
      </c>
      <c r="AA3440" s="12" t="s">
        <v>31</v>
      </c>
    </row>
    <row r="3441" spans="1:27" x14ac:dyDescent="0.25">
      <c r="A3441" s="10">
        <v>45709</v>
      </c>
      <c r="B3441" s="11" t="s">
        <v>6198</v>
      </c>
      <c r="C3441" s="11" t="s">
        <v>6199</v>
      </c>
      <c r="D3441" s="11">
        <v>17986</v>
      </c>
      <c r="E3441" s="11" t="s">
        <v>561</v>
      </c>
      <c r="F3441" s="11" t="s">
        <v>26</v>
      </c>
      <c r="G3441" s="11">
        <v>112928</v>
      </c>
      <c r="H3441" s="12" t="s">
        <v>4446</v>
      </c>
      <c r="I3441" s="12" t="s">
        <v>27</v>
      </c>
      <c r="J3441" s="12" t="s">
        <v>33</v>
      </c>
      <c r="K3441" s="12" t="s">
        <v>34</v>
      </c>
      <c r="L3441" s="13">
        <v>34.56</v>
      </c>
      <c r="M3441" s="13">
        <v>25</v>
      </c>
      <c r="N3441" s="13">
        <f t="shared" si="1390"/>
        <v>1.3824000000000001</v>
      </c>
      <c r="O3441" s="13">
        <v>44</v>
      </c>
      <c r="P3441" s="13" t="s">
        <v>30</v>
      </c>
      <c r="Q3441" s="13">
        <v>0</v>
      </c>
      <c r="R3441" s="70">
        <f t="shared" ref="R3441" si="1411">+L3441*O3441</f>
        <v>1520.64</v>
      </c>
      <c r="S3441" s="70">
        <v>0</v>
      </c>
      <c r="T3441" s="70">
        <f>+L3441*S3441</f>
        <v>0</v>
      </c>
      <c r="U3441" s="70">
        <f>+R3441-T3441</f>
        <v>1520.64</v>
      </c>
      <c r="V3441" s="70">
        <f>+U3441*1</f>
        <v>1520.64</v>
      </c>
      <c r="W3441" s="70">
        <f>+U3441-V3441</f>
        <v>0</v>
      </c>
      <c r="X3441" s="70">
        <v>0</v>
      </c>
      <c r="Y3441" s="14">
        <f t="shared" si="1407"/>
        <v>0</v>
      </c>
      <c r="Z3441" s="11" t="s">
        <v>26</v>
      </c>
      <c r="AA3441" s="12" t="s">
        <v>31</v>
      </c>
    </row>
    <row r="3442" spans="1:27" x14ac:dyDescent="0.25">
      <c r="A3442" s="10">
        <v>45709</v>
      </c>
      <c r="B3442" s="11" t="s">
        <v>3960</v>
      </c>
      <c r="C3442" s="11" t="s">
        <v>6200</v>
      </c>
      <c r="D3442" s="11">
        <v>17987</v>
      </c>
      <c r="E3442" s="11" t="s">
        <v>520</v>
      </c>
      <c r="F3442" s="11" t="s">
        <v>26</v>
      </c>
      <c r="G3442" s="11">
        <v>10455</v>
      </c>
      <c r="H3442" s="12" t="s">
        <v>140</v>
      </c>
      <c r="I3442" s="12" t="s">
        <v>27</v>
      </c>
      <c r="J3442" s="12" t="s">
        <v>42</v>
      </c>
      <c r="K3442" s="12" t="s">
        <v>43</v>
      </c>
      <c r="L3442" s="13">
        <v>43.2</v>
      </c>
      <c r="M3442" s="13">
        <v>25</v>
      </c>
      <c r="N3442" s="13">
        <f t="shared" si="1390"/>
        <v>1.7280000000000002</v>
      </c>
      <c r="O3442" s="13">
        <v>35</v>
      </c>
      <c r="P3442" s="13"/>
      <c r="Q3442" s="13">
        <v>0</v>
      </c>
      <c r="R3442" s="70">
        <f>+L3442*O3442</f>
        <v>1512</v>
      </c>
      <c r="S3442" s="70">
        <v>0</v>
      </c>
      <c r="T3442" s="70">
        <f>+L3442*S3442</f>
        <v>0</v>
      </c>
      <c r="U3442" s="70">
        <f>+R3442-T3442</f>
        <v>1512</v>
      </c>
      <c r="V3442" s="70">
        <f t="shared" ref="V3442:V3444" si="1412">+U3442*0</f>
        <v>0</v>
      </c>
      <c r="W3442" s="70">
        <f>+U3442-V3442</f>
        <v>1512</v>
      </c>
      <c r="X3442" s="70">
        <v>0</v>
      </c>
      <c r="Y3442" s="14">
        <f t="shared" si="1407"/>
        <v>0</v>
      </c>
      <c r="Z3442" s="11" t="s">
        <v>26</v>
      </c>
      <c r="AA3442" s="12" t="s">
        <v>31</v>
      </c>
    </row>
    <row r="3443" spans="1:27" x14ac:dyDescent="0.25">
      <c r="A3443" s="10">
        <v>45709</v>
      </c>
      <c r="B3443" s="11" t="s">
        <v>6201</v>
      </c>
      <c r="C3443" s="11" t="s">
        <v>6202</v>
      </c>
      <c r="D3443" s="11">
        <v>17988</v>
      </c>
      <c r="E3443" s="11" t="s">
        <v>63</v>
      </c>
      <c r="F3443" s="11" t="s">
        <v>26</v>
      </c>
      <c r="G3443" s="11">
        <v>10851</v>
      </c>
      <c r="H3443" s="12" t="s">
        <v>140</v>
      </c>
      <c r="I3443" s="12" t="s">
        <v>27</v>
      </c>
      <c r="J3443" s="12" t="s">
        <v>33</v>
      </c>
      <c r="K3443" s="12" t="s">
        <v>34</v>
      </c>
      <c r="L3443" s="13">
        <v>40.76</v>
      </c>
      <c r="M3443" s="13">
        <v>28</v>
      </c>
      <c r="N3443" s="13">
        <f t="shared" si="1390"/>
        <v>1.4557142857142857</v>
      </c>
      <c r="O3443" s="13">
        <v>40</v>
      </c>
      <c r="P3443" s="13"/>
      <c r="Q3443" s="13">
        <v>0</v>
      </c>
      <c r="R3443" s="70">
        <f>+L3443*O3443</f>
        <v>1630.3999999999999</v>
      </c>
      <c r="S3443" s="70">
        <v>0</v>
      </c>
      <c r="T3443" s="70">
        <f>+L3443*S3443</f>
        <v>0</v>
      </c>
      <c r="U3443" s="70">
        <f>+R3443-T3443</f>
        <v>1630.3999999999999</v>
      </c>
      <c r="V3443" s="70">
        <f t="shared" si="1412"/>
        <v>0</v>
      </c>
      <c r="W3443" s="70">
        <f>+U3443-V3443</f>
        <v>1630.3999999999999</v>
      </c>
      <c r="X3443" s="70">
        <v>0</v>
      </c>
      <c r="Y3443" s="14">
        <f t="shared" si="1407"/>
        <v>0</v>
      </c>
      <c r="Z3443" s="11" t="s">
        <v>26</v>
      </c>
      <c r="AA3443" s="12" t="s">
        <v>31</v>
      </c>
    </row>
    <row r="3444" spans="1:27" x14ac:dyDescent="0.25">
      <c r="A3444" s="10">
        <v>45709</v>
      </c>
      <c r="B3444" s="11" t="s">
        <v>6122</v>
      </c>
      <c r="C3444" s="11" t="s">
        <v>6203</v>
      </c>
      <c r="D3444" s="11">
        <v>17989</v>
      </c>
      <c r="E3444" s="11" t="s">
        <v>446</v>
      </c>
      <c r="F3444" s="11" t="s">
        <v>26</v>
      </c>
      <c r="G3444" s="11" t="s">
        <v>35</v>
      </c>
      <c r="H3444" s="12" t="s">
        <v>36</v>
      </c>
      <c r="I3444" s="12" t="s">
        <v>55</v>
      </c>
      <c r="J3444" s="12" t="s">
        <v>55</v>
      </c>
      <c r="K3444" s="12" t="s">
        <v>56</v>
      </c>
      <c r="L3444" s="13">
        <v>33.68</v>
      </c>
      <c r="M3444" s="13">
        <v>22</v>
      </c>
      <c r="N3444" s="13">
        <f t="shared" si="1390"/>
        <v>1.530909090909091</v>
      </c>
      <c r="O3444" s="13">
        <v>20</v>
      </c>
      <c r="P3444" s="13" t="s">
        <v>30</v>
      </c>
      <c r="Q3444" s="13">
        <v>0</v>
      </c>
      <c r="R3444" s="70">
        <f>(L3444*O3444)-Q3444</f>
        <v>673.6</v>
      </c>
      <c r="S3444" s="70">
        <v>0</v>
      </c>
      <c r="T3444" s="70">
        <f t="shared" ref="T3444" si="1413">+L3444*S3444</f>
        <v>0</v>
      </c>
      <c r="U3444" s="70">
        <f t="shared" ref="U3444:U3447" si="1414">+R3444-T3444</f>
        <v>673.6</v>
      </c>
      <c r="V3444" s="70">
        <f t="shared" si="1412"/>
        <v>0</v>
      </c>
      <c r="W3444" s="70">
        <f t="shared" ref="W3444:W3447" si="1415">+U3444-V3444</f>
        <v>673.6</v>
      </c>
      <c r="X3444" s="70">
        <v>0</v>
      </c>
      <c r="Y3444" s="14">
        <f t="shared" si="1407"/>
        <v>0</v>
      </c>
      <c r="Z3444" s="11" t="s">
        <v>26</v>
      </c>
      <c r="AA3444" s="12" t="s">
        <v>31</v>
      </c>
    </row>
    <row r="3445" spans="1:27" x14ac:dyDescent="0.25">
      <c r="A3445" s="10">
        <v>45709</v>
      </c>
      <c r="B3445" s="11" t="s">
        <v>6201</v>
      </c>
      <c r="C3445" s="11" t="s">
        <v>6204</v>
      </c>
      <c r="D3445" s="11">
        <v>17990</v>
      </c>
      <c r="E3445" s="11" t="s">
        <v>593</v>
      </c>
      <c r="F3445" s="11" t="s">
        <v>26</v>
      </c>
      <c r="G3445" s="11">
        <v>44345</v>
      </c>
      <c r="H3445" s="12" t="s">
        <v>4423</v>
      </c>
      <c r="I3445" s="12" t="s">
        <v>27</v>
      </c>
      <c r="J3445" s="12" t="s">
        <v>33</v>
      </c>
      <c r="K3445" s="12" t="s">
        <v>34</v>
      </c>
      <c r="L3445" s="13">
        <v>35.74</v>
      </c>
      <c r="M3445" s="13">
        <v>25</v>
      </c>
      <c r="N3445" s="13">
        <f t="shared" si="1390"/>
        <v>1.4296</v>
      </c>
      <c r="O3445" s="13">
        <v>45</v>
      </c>
      <c r="P3445" s="13" t="s">
        <v>30</v>
      </c>
      <c r="Q3445" s="13">
        <v>0</v>
      </c>
      <c r="R3445" s="70">
        <f>+L3445*O3445</f>
        <v>1608.3000000000002</v>
      </c>
      <c r="S3445" s="70">
        <v>0</v>
      </c>
      <c r="T3445" s="70">
        <f>+L3445*S3445</f>
        <v>0</v>
      </c>
      <c r="U3445" s="70">
        <f t="shared" si="1414"/>
        <v>1608.3000000000002</v>
      </c>
      <c r="V3445" s="70">
        <f>+U3445*1</f>
        <v>1608.3000000000002</v>
      </c>
      <c r="W3445" s="70">
        <f t="shared" si="1415"/>
        <v>0</v>
      </c>
      <c r="X3445" s="70">
        <v>0</v>
      </c>
      <c r="Y3445" s="14">
        <f t="shared" si="1407"/>
        <v>0</v>
      </c>
      <c r="Z3445" s="11" t="s">
        <v>26</v>
      </c>
      <c r="AA3445" s="12" t="s">
        <v>31</v>
      </c>
    </row>
    <row r="3446" spans="1:27" x14ac:dyDescent="0.25">
      <c r="A3446" s="10">
        <v>45709</v>
      </c>
      <c r="B3446" s="11" t="s">
        <v>465</v>
      </c>
      <c r="C3446" s="11" t="s">
        <v>6205</v>
      </c>
      <c r="D3446" s="11">
        <v>17991</v>
      </c>
      <c r="E3446" s="11" t="s">
        <v>4762</v>
      </c>
      <c r="F3446" s="11" t="s">
        <v>26</v>
      </c>
      <c r="G3446" s="11" t="s">
        <v>35</v>
      </c>
      <c r="H3446" s="12" t="s">
        <v>36</v>
      </c>
      <c r="I3446" s="12" t="s">
        <v>27</v>
      </c>
      <c r="J3446" s="12" t="s">
        <v>42</v>
      </c>
      <c r="K3446" s="12" t="s">
        <v>43</v>
      </c>
      <c r="L3446" s="13">
        <v>40.14</v>
      </c>
      <c r="M3446" s="13">
        <v>25</v>
      </c>
      <c r="N3446" s="13">
        <f t="shared" si="1390"/>
        <v>1.6055999999999999</v>
      </c>
      <c r="O3446" s="13">
        <v>45</v>
      </c>
      <c r="P3446" s="13" t="s">
        <v>30</v>
      </c>
      <c r="Q3446" s="13">
        <v>0</v>
      </c>
      <c r="R3446" s="70">
        <f>(L3446*O3446)-Q3446</f>
        <v>1806.3</v>
      </c>
      <c r="S3446" s="70">
        <v>0</v>
      </c>
      <c r="T3446" s="70">
        <f t="shared" ref="T3446" si="1416">+L3446*S3446</f>
        <v>0</v>
      </c>
      <c r="U3446" s="70">
        <f t="shared" si="1414"/>
        <v>1806.3</v>
      </c>
      <c r="V3446" s="70">
        <f>+U3446*0</f>
        <v>0</v>
      </c>
      <c r="W3446" s="70">
        <f t="shared" si="1415"/>
        <v>1806.3</v>
      </c>
      <c r="X3446" s="70">
        <v>0</v>
      </c>
      <c r="Y3446" s="14">
        <f t="shared" si="1407"/>
        <v>0</v>
      </c>
      <c r="Z3446" s="11" t="s">
        <v>26</v>
      </c>
      <c r="AA3446" s="12" t="s">
        <v>31</v>
      </c>
    </row>
    <row r="3447" spans="1:27" x14ac:dyDescent="0.25">
      <c r="A3447" s="10">
        <v>45709</v>
      </c>
      <c r="B3447" s="11" t="s">
        <v>6055</v>
      </c>
      <c r="C3447" s="11" t="s">
        <v>6206</v>
      </c>
      <c r="D3447" s="11">
        <v>17992</v>
      </c>
      <c r="E3447" s="11" t="s">
        <v>552</v>
      </c>
      <c r="F3447" s="11" t="s">
        <v>26</v>
      </c>
      <c r="G3447" s="11">
        <v>44180</v>
      </c>
      <c r="H3447" s="12" t="s">
        <v>4423</v>
      </c>
      <c r="I3447" s="12" t="s">
        <v>27</v>
      </c>
      <c r="J3447" s="12" t="s">
        <v>33</v>
      </c>
      <c r="K3447" s="12" t="s">
        <v>34</v>
      </c>
      <c r="L3447" s="13">
        <v>34.979999999999997</v>
      </c>
      <c r="M3447" s="13">
        <v>25</v>
      </c>
      <c r="N3447" s="13">
        <f t="shared" si="1390"/>
        <v>1.3991999999999998</v>
      </c>
      <c r="O3447" s="13">
        <v>45</v>
      </c>
      <c r="P3447" s="13" t="s">
        <v>30</v>
      </c>
      <c r="Q3447" s="13">
        <v>0</v>
      </c>
      <c r="R3447" s="70">
        <f>+L3447*O3447</f>
        <v>1574.1</v>
      </c>
      <c r="S3447" s="70">
        <v>0</v>
      </c>
      <c r="T3447" s="70">
        <f>+L3447*S3447</f>
        <v>0</v>
      </c>
      <c r="U3447" s="70">
        <f t="shared" si="1414"/>
        <v>1574.1</v>
      </c>
      <c r="V3447" s="70">
        <f>+U3447*1</f>
        <v>1574.1</v>
      </c>
      <c r="W3447" s="70">
        <f t="shared" si="1415"/>
        <v>0</v>
      </c>
      <c r="X3447" s="70">
        <v>0</v>
      </c>
      <c r="Y3447" s="14">
        <f t="shared" si="1407"/>
        <v>0</v>
      </c>
      <c r="Z3447" s="11" t="s">
        <v>26</v>
      </c>
      <c r="AA3447" s="12" t="s">
        <v>31</v>
      </c>
    </row>
    <row r="3448" spans="1:27" x14ac:dyDescent="0.25">
      <c r="A3448" s="10">
        <v>45709</v>
      </c>
      <c r="B3448" s="11" t="s">
        <v>631</v>
      </c>
      <c r="C3448" s="11" t="s">
        <v>6207</v>
      </c>
      <c r="D3448" s="11">
        <v>17993</v>
      </c>
      <c r="E3448" s="11" t="s">
        <v>50</v>
      </c>
      <c r="F3448" s="11" t="s">
        <v>26</v>
      </c>
      <c r="G3448" s="11">
        <v>763</v>
      </c>
      <c r="H3448" s="12" t="s">
        <v>163</v>
      </c>
      <c r="I3448" s="12" t="s">
        <v>27</v>
      </c>
      <c r="J3448" s="12" t="s">
        <v>47</v>
      </c>
      <c r="K3448" s="12" t="s">
        <v>48</v>
      </c>
      <c r="L3448" s="13">
        <v>35.36</v>
      </c>
      <c r="M3448" s="13">
        <v>25</v>
      </c>
      <c r="N3448" s="13">
        <f t="shared" si="1390"/>
        <v>1.4143999999999999</v>
      </c>
      <c r="O3448" s="13" t="s">
        <v>30</v>
      </c>
      <c r="P3448" s="13">
        <v>60</v>
      </c>
      <c r="Q3448" s="13">
        <v>0</v>
      </c>
      <c r="R3448" s="70">
        <f>M3448*P3448</f>
        <v>1500</v>
      </c>
      <c r="S3448" s="70">
        <v>0</v>
      </c>
      <c r="T3448" s="70">
        <f>M3448*S3448</f>
        <v>0</v>
      </c>
      <c r="U3448" s="70">
        <f>R3448-T3448</f>
        <v>1500</v>
      </c>
      <c r="V3448" s="70">
        <f>U3448*0</f>
        <v>0</v>
      </c>
      <c r="W3448" s="70">
        <f>U3448-V3448</f>
        <v>1500</v>
      </c>
      <c r="X3448" s="70">
        <v>0</v>
      </c>
      <c r="Y3448" s="14">
        <f t="shared" si="1407"/>
        <v>0</v>
      </c>
      <c r="Z3448" s="11" t="s">
        <v>26</v>
      </c>
      <c r="AA3448" s="12" t="s">
        <v>31</v>
      </c>
    </row>
    <row r="3449" spans="1:27" x14ac:dyDescent="0.25">
      <c r="A3449" s="10">
        <v>45709</v>
      </c>
      <c r="B3449" s="11" t="s">
        <v>352</v>
      </c>
      <c r="C3449" s="11" t="s">
        <v>6208</v>
      </c>
      <c r="D3449" s="11">
        <v>17994</v>
      </c>
      <c r="E3449" s="11" t="s">
        <v>184</v>
      </c>
      <c r="F3449" s="11" t="s">
        <v>26</v>
      </c>
      <c r="G3449" s="11">
        <v>1026</v>
      </c>
      <c r="H3449" s="12" t="s">
        <v>141</v>
      </c>
      <c r="I3449" s="12" t="s">
        <v>55</v>
      </c>
      <c r="J3449" s="12" t="s">
        <v>55</v>
      </c>
      <c r="K3449" s="12" t="s">
        <v>56</v>
      </c>
      <c r="L3449" s="13">
        <v>39.82</v>
      </c>
      <c r="M3449" s="13">
        <v>25</v>
      </c>
      <c r="N3449" s="13">
        <f t="shared" si="1390"/>
        <v>1.5928</v>
      </c>
      <c r="O3449" s="13">
        <v>15</v>
      </c>
      <c r="P3449" s="13" t="s">
        <v>30</v>
      </c>
      <c r="Q3449" s="13">
        <v>0</v>
      </c>
      <c r="R3449" s="70">
        <f>L3449*O3449</f>
        <v>597.29999999999995</v>
      </c>
      <c r="S3449" s="70">
        <v>0</v>
      </c>
      <c r="T3449" s="70">
        <f>L3449*S3449</f>
        <v>0</v>
      </c>
      <c r="U3449" s="70">
        <f>R3449-T3449</f>
        <v>597.29999999999995</v>
      </c>
      <c r="V3449" s="70">
        <f>U3449*0</f>
        <v>0</v>
      </c>
      <c r="W3449" s="70">
        <f>U3449-V3449</f>
        <v>597.29999999999995</v>
      </c>
      <c r="X3449" s="70">
        <v>0</v>
      </c>
      <c r="Y3449" s="14">
        <f t="shared" si="1407"/>
        <v>0</v>
      </c>
      <c r="Z3449" s="11" t="s">
        <v>26</v>
      </c>
      <c r="AA3449" s="12" t="s">
        <v>31</v>
      </c>
    </row>
    <row r="3450" spans="1:27" x14ac:dyDescent="0.25">
      <c r="A3450" s="10">
        <v>45709</v>
      </c>
      <c r="B3450" s="11" t="s">
        <v>1105</v>
      </c>
      <c r="C3450" s="11" t="s">
        <v>6209</v>
      </c>
      <c r="D3450" s="11">
        <v>17995</v>
      </c>
      <c r="E3450" s="11" t="s">
        <v>605</v>
      </c>
      <c r="F3450" s="11" t="s">
        <v>26</v>
      </c>
      <c r="G3450" s="11">
        <v>1071</v>
      </c>
      <c r="H3450" s="12" t="s">
        <v>141</v>
      </c>
      <c r="I3450" s="12" t="s">
        <v>55</v>
      </c>
      <c r="J3450" s="12" t="s">
        <v>55</v>
      </c>
      <c r="K3450" s="12" t="s">
        <v>56</v>
      </c>
      <c r="L3450" s="13">
        <v>40.92</v>
      </c>
      <c r="M3450" s="13">
        <v>25</v>
      </c>
      <c r="N3450" s="13">
        <f t="shared" si="1390"/>
        <v>1.6368</v>
      </c>
      <c r="O3450" s="13">
        <v>15</v>
      </c>
      <c r="P3450" s="13" t="s">
        <v>30</v>
      </c>
      <c r="Q3450" s="13">
        <v>0</v>
      </c>
      <c r="R3450" s="70">
        <f>L3450*O3450</f>
        <v>613.80000000000007</v>
      </c>
      <c r="S3450" s="70">
        <v>0</v>
      </c>
      <c r="T3450" s="70">
        <f>L3450*S3450</f>
        <v>0</v>
      </c>
      <c r="U3450" s="70">
        <f>R3450-T3450</f>
        <v>613.80000000000007</v>
      </c>
      <c r="V3450" s="70">
        <f>U3450*0</f>
        <v>0</v>
      </c>
      <c r="W3450" s="70">
        <f>U3450-V3450</f>
        <v>613.80000000000007</v>
      </c>
      <c r="X3450" s="70">
        <v>0</v>
      </c>
      <c r="Y3450" s="14">
        <f t="shared" si="1407"/>
        <v>0</v>
      </c>
      <c r="Z3450" s="11" t="s">
        <v>26</v>
      </c>
      <c r="AA3450" s="12" t="s">
        <v>31</v>
      </c>
    </row>
    <row r="3451" spans="1:27" x14ac:dyDescent="0.25">
      <c r="A3451" s="10">
        <v>45709</v>
      </c>
      <c r="B3451" s="11" t="s">
        <v>6210</v>
      </c>
      <c r="C3451" s="11" t="s">
        <v>6211</v>
      </c>
      <c r="D3451" s="11">
        <v>17996</v>
      </c>
      <c r="E3451" s="11" t="s">
        <v>501</v>
      </c>
      <c r="F3451" s="11" t="s">
        <v>26</v>
      </c>
      <c r="G3451" s="11" t="s">
        <v>26</v>
      </c>
      <c r="H3451" s="12" t="s">
        <v>4422</v>
      </c>
      <c r="I3451" s="12" t="s">
        <v>27</v>
      </c>
      <c r="J3451" s="12" t="s">
        <v>33</v>
      </c>
      <c r="K3451" s="12" t="s">
        <v>34</v>
      </c>
      <c r="L3451" s="13">
        <v>40.72</v>
      </c>
      <c r="M3451" s="13">
        <v>28</v>
      </c>
      <c r="N3451" s="13">
        <f t="shared" si="1390"/>
        <v>1.4542857142857142</v>
      </c>
      <c r="O3451" s="13">
        <v>85</v>
      </c>
      <c r="P3451" s="13" t="s">
        <v>30</v>
      </c>
      <c r="Q3451" s="13">
        <v>0</v>
      </c>
      <c r="R3451" s="70">
        <f t="shared" ref="R3451" si="1417">L3451*O3451</f>
        <v>3461.2</v>
      </c>
      <c r="S3451" s="70">
        <v>38</v>
      </c>
      <c r="T3451" s="70">
        <f t="shared" ref="T3451" si="1418">L3451*S3451</f>
        <v>1547.36</v>
      </c>
      <c r="U3451" s="70">
        <f t="shared" ref="U3451" si="1419">R3451-T3451</f>
        <v>1913.84</v>
      </c>
      <c r="V3451" s="70">
        <f>U3451*1</f>
        <v>1913.84</v>
      </c>
      <c r="W3451" s="70">
        <f t="shared" ref="W3451" si="1420">U3451-V3451</f>
        <v>0</v>
      </c>
      <c r="X3451" s="70">
        <f>L3451*36</f>
        <v>1465.92</v>
      </c>
      <c r="Y3451" s="71">
        <f>+T3451-X3451</f>
        <v>81.439999999999827</v>
      </c>
      <c r="Z3451" s="12" t="s">
        <v>141</v>
      </c>
      <c r="AA3451" s="12" t="s">
        <v>78</v>
      </c>
    </row>
    <row r="3452" spans="1:27" x14ac:dyDescent="0.25">
      <c r="A3452" s="10">
        <v>45709</v>
      </c>
      <c r="B3452" s="11" t="s">
        <v>6212</v>
      </c>
      <c r="C3452" s="11" t="s">
        <v>6213</v>
      </c>
      <c r="D3452" s="11">
        <v>17997</v>
      </c>
      <c r="E3452" s="11" t="s">
        <v>1200</v>
      </c>
      <c r="F3452" s="11" t="s">
        <v>26</v>
      </c>
      <c r="G3452" s="11">
        <v>2986</v>
      </c>
      <c r="H3452" s="12" t="s">
        <v>163</v>
      </c>
      <c r="I3452" s="12" t="s">
        <v>27</v>
      </c>
      <c r="J3452" s="12" t="s">
        <v>33</v>
      </c>
      <c r="K3452" s="12" t="s">
        <v>34</v>
      </c>
      <c r="L3452" s="13">
        <v>36.9</v>
      </c>
      <c r="M3452" s="13">
        <v>25</v>
      </c>
      <c r="N3452" s="13">
        <f t="shared" si="1390"/>
        <v>1.476</v>
      </c>
      <c r="O3452" s="13" t="s">
        <v>30</v>
      </c>
      <c r="P3452" s="13">
        <v>60</v>
      </c>
      <c r="Q3452" s="13">
        <v>0</v>
      </c>
      <c r="R3452" s="70">
        <f>M3452*P3452</f>
        <v>1500</v>
      </c>
      <c r="S3452" s="70">
        <v>0</v>
      </c>
      <c r="T3452" s="70">
        <f>M3452*S3452</f>
        <v>0</v>
      </c>
      <c r="U3452" s="70">
        <f>R3452-T3452</f>
        <v>1500</v>
      </c>
      <c r="V3452" s="70">
        <f>U3452*0</f>
        <v>0</v>
      </c>
      <c r="W3452" s="70">
        <f>U3452-V3452</f>
        <v>1500</v>
      </c>
      <c r="X3452" s="70">
        <v>0</v>
      </c>
      <c r="Y3452" s="14">
        <f t="shared" ref="Y3452" si="1421">T3452-X3452</f>
        <v>0</v>
      </c>
      <c r="Z3452" s="11" t="s">
        <v>26</v>
      </c>
      <c r="AA3452" s="12" t="s">
        <v>31</v>
      </c>
    </row>
    <row r="3453" spans="1:27" x14ac:dyDescent="0.25">
      <c r="A3453" s="10">
        <v>45709</v>
      </c>
      <c r="B3453" s="11" t="s">
        <v>6214</v>
      </c>
      <c r="C3453" s="11" t="s">
        <v>6215</v>
      </c>
      <c r="D3453" s="11">
        <v>17998</v>
      </c>
      <c r="E3453" s="11" t="s">
        <v>539</v>
      </c>
      <c r="F3453" s="11" t="s">
        <v>26</v>
      </c>
      <c r="G3453" s="11" t="s">
        <v>26</v>
      </c>
      <c r="H3453" s="12" t="s">
        <v>4422</v>
      </c>
      <c r="I3453" s="12" t="s">
        <v>27</v>
      </c>
      <c r="J3453" s="12" t="s">
        <v>47</v>
      </c>
      <c r="K3453" s="12" t="s">
        <v>48</v>
      </c>
      <c r="L3453" s="13">
        <v>45.38</v>
      </c>
      <c r="M3453" s="13">
        <v>31</v>
      </c>
      <c r="N3453" s="13">
        <f t="shared" si="1390"/>
        <v>1.4638709677419355</v>
      </c>
      <c r="O3453" s="13">
        <v>87</v>
      </c>
      <c r="P3453" s="13" t="s">
        <v>30</v>
      </c>
      <c r="Q3453" s="13">
        <v>0</v>
      </c>
      <c r="R3453" s="70">
        <f t="shared" ref="R3453" si="1422">L3453*O3453</f>
        <v>3948.0600000000004</v>
      </c>
      <c r="S3453" s="70">
        <v>38</v>
      </c>
      <c r="T3453" s="70">
        <f t="shared" ref="T3453" si="1423">L3453*S3453</f>
        <v>1724.44</v>
      </c>
      <c r="U3453" s="70">
        <f t="shared" ref="U3453" si="1424">R3453-T3453</f>
        <v>2223.6200000000003</v>
      </c>
      <c r="V3453" s="70">
        <f>U3453*1</f>
        <v>2223.6200000000003</v>
      </c>
      <c r="W3453" s="70">
        <f t="shared" ref="W3453" si="1425">U3453-V3453</f>
        <v>0</v>
      </c>
      <c r="X3453" s="70">
        <f>L3453*37</f>
        <v>1679.0600000000002</v>
      </c>
      <c r="Y3453" s="71">
        <f>+T3453-X3453</f>
        <v>45.379999999999882</v>
      </c>
      <c r="Z3453" s="12" t="s">
        <v>41</v>
      </c>
      <c r="AA3453" s="12" t="s">
        <v>78</v>
      </c>
    </row>
    <row r="3454" spans="1:27" x14ac:dyDescent="0.25">
      <c r="A3454" s="10">
        <v>45709</v>
      </c>
      <c r="B3454" s="11" t="s">
        <v>630</v>
      </c>
      <c r="C3454" s="11" t="s">
        <v>6216</v>
      </c>
      <c r="D3454" s="11">
        <v>17999</v>
      </c>
      <c r="E3454" s="11" t="s">
        <v>2109</v>
      </c>
      <c r="F3454" s="11" t="s">
        <v>26</v>
      </c>
      <c r="G3454" s="11">
        <v>10630</v>
      </c>
      <c r="H3454" s="12" t="s">
        <v>140</v>
      </c>
      <c r="I3454" s="12" t="s">
        <v>27</v>
      </c>
      <c r="J3454" s="12" t="s">
        <v>42</v>
      </c>
      <c r="K3454" s="12" t="s">
        <v>43</v>
      </c>
      <c r="L3454" s="13">
        <v>43.78</v>
      </c>
      <c r="M3454" s="13">
        <v>25</v>
      </c>
      <c r="N3454" s="13">
        <f t="shared" si="1390"/>
        <v>1.7512000000000001</v>
      </c>
      <c r="O3454" s="13">
        <v>35</v>
      </c>
      <c r="P3454" s="13"/>
      <c r="Q3454" s="13">
        <v>0</v>
      </c>
      <c r="R3454" s="70">
        <f>+L3454*O3454</f>
        <v>1532.3</v>
      </c>
      <c r="S3454" s="70">
        <v>0</v>
      </c>
      <c r="T3454" s="70">
        <f>+L3454*S3454</f>
        <v>0</v>
      </c>
      <c r="U3454" s="70">
        <f>+R3454-T3454</f>
        <v>1532.3</v>
      </c>
      <c r="V3454" s="70">
        <f t="shared" ref="V3454" si="1426">+U3454*0</f>
        <v>0</v>
      </c>
      <c r="W3454" s="70">
        <f>+U3454-V3454</f>
        <v>1532.3</v>
      </c>
      <c r="X3454" s="70">
        <v>0</v>
      </c>
      <c r="Y3454" s="14">
        <f t="shared" ref="Y3454" si="1427">T3454-X3454</f>
        <v>0</v>
      </c>
      <c r="Z3454" s="11" t="s">
        <v>26</v>
      </c>
      <c r="AA3454" s="12" t="s">
        <v>31</v>
      </c>
    </row>
    <row r="3455" spans="1:27" x14ac:dyDescent="0.25">
      <c r="A3455" s="10">
        <v>45709</v>
      </c>
      <c r="B3455" s="11" t="s">
        <v>6217</v>
      </c>
      <c r="C3455" s="11" t="s">
        <v>6218</v>
      </c>
      <c r="D3455" s="11">
        <v>18000</v>
      </c>
      <c r="E3455" s="11" t="s">
        <v>246</v>
      </c>
      <c r="F3455" s="11" t="s">
        <v>26</v>
      </c>
      <c r="G3455" s="11" t="s">
        <v>26</v>
      </c>
      <c r="H3455" s="12" t="s">
        <v>4422</v>
      </c>
      <c r="I3455" s="12" t="s">
        <v>27</v>
      </c>
      <c r="J3455" s="12" t="s">
        <v>33</v>
      </c>
      <c r="K3455" s="12" t="s">
        <v>34</v>
      </c>
      <c r="L3455" s="13">
        <v>44.8</v>
      </c>
      <c r="M3455" s="13">
        <v>31</v>
      </c>
      <c r="N3455" s="13">
        <f t="shared" si="1390"/>
        <v>1.4451612903225806</v>
      </c>
      <c r="O3455" s="13">
        <v>85</v>
      </c>
      <c r="P3455" s="13" t="s">
        <v>30</v>
      </c>
      <c r="Q3455" s="13">
        <v>0</v>
      </c>
      <c r="R3455" s="70">
        <f t="shared" ref="R3455" si="1428">L3455*O3455</f>
        <v>3807.9999999999995</v>
      </c>
      <c r="S3455" s="70">
        <v>38</v>
      </c>
      <c r="T3455" s="70">
        <f t="shared" ref="T3455" si="1429">L3455*S3455</f>
        <v>1702.3999999999999</v>
      </c>
      <c r="U3455" s="70">
        <f t="shared" ref="U3455" si="1430">R3455-T3455</f>
        <v>2105.5999999999995</v>
      </c>
      <c r="V3455" s="70">
        <f>U3455*1</f>
        <v>2105.5999999999995</v>
      </c>
      <c r="W3455" s="70">
        <f t="shared" ref="W3455" si="1431">U3455-V3455</f>
        <v>0</v>
      </c>
      <c r="X3455" s="70">
        <f>L3455*37</f>
        <v>1657.6</v>
      </c>
      <c r="Y3455" s="71">
        <f>+T3455-X3455</f>
        <v>44.799999999999955</v>
      </c>
      <c r="Z3455" s="12" t="s">
        <v>41</v>
      </c>
      <c r="AA3455" s="12" t="s">
        <v>78</v>
      </c>
    </row>
    <row r="3456" spans="1:27" x14ac:dyDescent="0.25">
      <c r="A3456" s="10">
        <v>45709</v>
      </c>
      <c r="B3456" s="11" t="s">
        <v>6219</v>
      </c>
      <c r="C3456" s="11" t="s">
        <v>6220</v>
      </c>
      <c r="D3456" s="11">
        <v>18001</v>
      </c>
      <c r="E3456" s="11" t="s">
        <v>224</v>
      </c>
      <c r="F3456" s="11" t="s">
        <v>26</v>
      </c>
      <c r="G3456" s="11">
        <v>3232</v>
      </c>
      <c r="H3456" s="12" t="s">
        <v>4423</v>
      </c>
      <c r="I3456" s="12" t="s">
        <v>27</v>
      </c>
      <c r="J3456" s="12" t="s">
        <v>33</v>
      </c>
      <c r="K3456" s="12" t="s">
        <v>34</v>
      </c>
      <c r="L3456" s="13">
        <v>36.44</v>
      </c>
      <c r="M3456" s="13">
        <v>25</v>
      </c>
      <c r="N3456" s="13">
        <f t="shared" si="1390"/>
        <v>1.4576</v>
      </c>
      <c r="O3456" s="13">
        <v>45</v>
      </c>
      <c r="P3456" s="13" t="s">
        <v>30</v>
      </c>
      <c r="Q3456" s="13">
        <v>0</v>
      </c>
      <c r="R3456" s="70">
        <f>+L3456*O3456</f>
        <v>1639.8</v>
      </c>
      <c r="S3456" s="70">
        <v>0</v>
      </c>
      <c r="T3456" s="70">
        <f>+L3456*S3456</f>
        <v>0</v>
      </c>
      <c r="U3456" s="70">
        <f t="shared" ref="U3456" si="1432">+R3456-T3456</f>
        <v>1639.8</v>
      </c>
      <c r="V3456" s="70">
        <f>+U3456*1</f>
        <v>1639.8</v>
      </c>
      <c r="W3456" s="70">
        <f t="shared" ref="W3456" si="1433">+U3456-V3456</f>
        <v>0</v>
      </c>
      <c r="X3456" s="70">
        <v>0</v>
      </c>
      <c r="Y3456" s="14">
        <f t="shared" ref="Y3456:Y3473" si="1434">T3456-X3456</f>
        <v>0</v>
      </c>
      <c r="Z3456" s="11" t="s">
        <v>26</v>
      </c>
      <c r="AA3456" s="12" t="s">
        <v>31</v>
      </c>
    </row>
    <row r="3457" spans="1:27" x14ac:dyDescent="0.25">
      <c r="A3457" s="10">
        <v>45709</v>
      </c>
      <c r="B3457" s="11" t="s">
        <v>6221</v>
      </c>
      <c r="C3457" s="11" t="s">
        <v>6222</v>
      </c>
      <c r="D3457" s="11">
        <v>18002</v>
      </c>
      <c r="E3457" s="11" t="s">
        <v>570</v>
      </c>
      <c r="F3457" s="11" t="s">
        <v>26</v>
      </c>
      <c r="G3457" s="11">
        <v>10766</v>
      </c>
      <c r="H3457" s="12" t="s">
        <v>140</v>
      </c>
      <c r="I3457" s="12" t="s">
        <v>27</v>
      </c>
      <c r="J3457" s="12" t="s">
        <v>47</v>
      </c>
      <c r="K3457" s="12" t="s">
        <v>48</v>
      </c>
      <c r="L3457" s="13">
        <v>42.36</v>
      </c>
      <c r="M3457" s="13">
        <v>29</v>
      </c>
      <c r="N3457" s="13">
        <f t="shared" si="1390"/>
        <v>1.4606896551724138</v>
      </c>
      <c r="O3457" s="13">
        <v>40</v>
      </c>
      <c r="P3457" s="13"/>
      <c r="Q3457" s="13">
        <v>0</v>
      </c>
      <c r="R3457" s="70">
        <f>+L3457*O3457</f>
        <v>1694.4</v>
      </c>
      <c r="S3457" s="70">
        <v>0</v>
      </c>
      <c r="T3457" s="70">
        <f>+L3457*S3457</f>
        <v>0</v>
      </c>
      <c r="U3457" s="70">
        <f>+R3457-T3457</f>
        <v>1694.4</v>
      </c>
      <c r="V3457" s="70">
        <f t="shared" ref="V3457:V3458" si="1435">+U3457*0</f>
        <v>0</v>
      </c>
      <c r="W3457" s="70">
        <f>+U3457-V3457</f>
        <v>1694.4</v>
      </c>
      <c r="X3457" s="70">
        <v>0</v>
      </c>
      <c r="Y3457" s="14">
        <f t="shared" si="1434"/>
        <v>0</v>
      </c>
      <c r="Z3457" s="11" t="s">
        <v>26</v>
      </c>
      <c r="AA3457" s="12" t="s">
        <v>31</v>
      </c>
    </row>
    <row r="3458" spans="1:27" x14ac:dyDescent="0.25">
      <c r="A3458" s="10">
        <v>45709</v>
      </c>
      <c r="B3458" s="11" t="s">
        <v>1387</v>
      </c>
      <c r="C3458" s="11" t="s">
        <v>6223</v>
      </c>
      <c r="D3458" s="11">
        <v>18003</v>
      </c>
      <c r="E3458" s="11" t="s">
        <v>63</v>
      </c>
      <c r="F3458" s="11" t="s">
        <v>26</v>
      </c>
      <c r="G3458" s="11">
        <v>10853</v>
      </c>
      <c r="H3458" s="12" t="s">
        <v>140</v>
      </c>
      <c r="I3458" s="12" t="s">
        <v>27</v>
      </c>
      <c r="J3458" s="12" t="s">
        <v>33</v>
      </c>
      <c r="K3458" s="12" t="s">
        <v>34</v>
      </c>
      <c r="L3458" s="13">
        <v>40.74</v>
      </c>
      <c r="M3458" s="13">
        <v>28</v>
      </c>
      <c r="N3458" s="13">
        <f t="shared" si="1390"/>
        <v>1.4550000000000001</v>
      </c>
      <c r="O3458" s="13">
        <v>40</v>
      </c>
      <c r="P3458" s="13"/>
      <c r="Q3458" s="13">
        <v>0</v>
      </c>
      <c r="R3458" s="70">
        <f>+L3458*O3458</f>
        <v>1629.6000000000001</v>
      </c>
      <c r="S3458" s="70">
        <v>0</v>
      </c>
      <c r="T3458" s="70">
        <f>+L3458*S3458</f>
        <v>0</v>
      </c>
      <c r="U3458" s="70">
        <f>+R3458-T3458</f>
        <v>1629.6000000000001</v>
      </c>
      <c r="V3458" s="70">
        <f t="shared" si="1435"/>
        <v>0</v>
      </c>
      <c r="W3458" s="70">
        <f>+U3458-V3458</f>
        <v>1629.6000000000001</v>
      </c>
      <c r="X3458" s="70">
        <v>0</v>
      </c>
      <c r="Y3458" s="14">
        <f t="shared" si="1434"/>
        <v>0</v>
      </c>
      <c r="Z3458" s="11" t="s">
        <v>26</v>
      </c>
      <c r="AA3458" s="12" t="s">
        <v>31</v>
      </c>
    </row>
    <row r="3459" spans="1:27" x14ac:dyDescent="0.25">
      <c r="A3459" s="10">
        <v>45709</v>
      </c>
      <c r="B3459" s="11" t="s">
        <v>112</v>
      </c>
      <c r="C3459" s="11" t="s">
        <v>6224</v>
      </c>
      <c r="D3459" s="11">
        <v>18004</v>
      </c>
      <c r="E3459" s="11" t="s">
        <v>50</v>
      </c>
      <c r="F3459" s="11" t="s">
        <v>26</v>
      </c>
      <c r="G3459" s="11">
        <v>764</v>
      </c>
      <c r="H3459" s="12" t="s">
        <v>163</v>
      </c>
      <c r="I3459" s="12" t="s">
        <v>27</v>
      </c>
      <c r="J3459" s="12" t="s">
        <v>42</v>
      </c>
      <c r="K3459" s="12" t="s">
        <v>43</v>
      </c>
      <c r="L3459" s="13">
        <v>40.92</v>
      </c>
      <c r="M3459" s="13">
        <v>25</v>
      </c>
      <c r="N3459" s="13">
        <f t="shared" si="1390"/>
        <v>1.6368</v>
      </c>
      <c r="O3459" s="13" t="s">
        <v>30</v>
      </c>
      <c r="P3459" s="13">
        <v>64</v>
      </c>
      <c r="Q3459" s="13">
        <v>0</v>
      </c>
      <c r="R3459" s="70">
        <f>M3459*P3459</f>
        <v>1600</v>
      </c>
      <c r="S3459" s="70">
        <v>0</v>
      </c>
      <c r="T3459" s="70">
        <f>M3459*S3459</f>
        <v>0</v>
      </c>
      <c r="U3459" s="70">
        <f>R3459-T3459</f>
        <v>1600</v>
      </c>
      <c r="V3459" s="70">
        <f t="shared" ref="V3459" si="1436">U3459*0</f>
        <v>0</v>
      </c>
      <c r="W3459" s="70">
        <f t="shared" ref="W3459" si="1437">U3459-V3459</f>
        <v>1600</v>
      </c>
      <c r="X3459" s="70">
        <v>0</v>
      </c>
      <c r="Y3459" s="14">
        <f t="shared" si="1434"/>
        <v>0</v>
      </c>
      <c r="Z3459" s="11" t="s">
        <v>26</v>
      </c>
      <c r="AA3459" s="12" t="s">
        <v>31</v>
      </c>
    </row>
    <row r="3460" spans="1:27" x14ac:dyDescent="0.25">
      <c r="A3460" s="10">
        <v>45709</v>
      </c>
      <c r="B3460" s="11" t="s">
        <v>1668</v>
      </c>
      <c r="C3460" s="11" t="s">
        <v>6225</v>
      </c>
      <c r="D3460" s="11">
        <v>18005</v>
      </c>
      <c r="E3460" s="11" t="s">
        <v>431</v>
      </c>
      <c r="F3460" s="11" t="s">
        <v>26</v>
      </c>
      <c r="G3460" s="11">
        <v>1056</v>
      </c>
      <c r="H3460" s="12" t="s">
        <v>6328</v>
      </c>
      <c r="I3460" s="12" t="s">
        <v>27</v>
      </c>
      <c r="J3460" s="12" t="s">
        <v>42</v>
      </c>
      <c r="K3460" s="12" t="s">
        <v>43</v>
      </c>
      <c r="L3460" s="13">
        <v>39.68</v>
      </c>
      <c r="M3460" s="13">
        <v>25</v>
      </c>
      <c r="N3460" s="13">
        <f t="shared" si="1390"/>
        <v>1.5871999999999999</v>
      </c>
      <c r="O3460" s="13">
        <v>42.5</v>
      </c>
      <c r="P3460" s="13"/>
      <c r="Q3460" s="13">
        <v>0</v>
      </c>
      <c r="R3460" s="70">
        <f>L3460*O3460</f>
        <v>1686.4</v>
      </c>
      <c r="S3460" s="70">
        <v>0</v>
      </c>
      <c r="T3460" s="70">
        <f>+L3460*S3460</f>
        <v>0</v>
      </c>
      <c r="U3460" s="70">
        <f>R3460-T3460</f>
        <v>1686.4</v>
      </c>
      <c r="V3460" s="70">
        <f>U3460*0</f>
        <v>0</v>
      </c>
      <c r="W3460" s="70">
        <f>U3460-V3460</f>
        <v>1686.4</v>
      </c>
      <c r="X3460" s="70"/>
      <c r="Y3460" s="14">
        <f t="shared" si="1434"/>
        <v>0</v>
      </c>
      <c r="Z3460" s="74" t="s">
        <v>26</v>
      </c>
      <c r="AA3460" s="12" t="s">
        <v>31</v>
      </c>
    </row>
    <row r="3461" spans="1:27" x14ac:dyDescent="0.25">
      <c r="A3461" s="10">
        <v>45709</v>
      </c>
      <c r="B3461" s="11" t="s">
        <v>6226</v>
      </c>
      <c r="C3461" s="11" t="s">
        <v>6227</v>
      </c>
      <c r="D3461" s="11">
        <v>18006</v>
      </c>
      <c r="E3461" s="11" t="s">
        <v>80</v>
      </c>
      <c r="F3461" s="11" t="s">
        <v>26</v>
      </c>
      <c r="G3461" s="11">
        <v>10901</v>
      </c>
      <c r="H3461" s="12" t="s">
        <v>140</v>
      </c>
      <c r="I3461" s="12" t="s">
        <v>27</v>
      </c>
      <c r="J3461" s="12" t="s">
        <v>33</v>
      </c>
      <c r="K3461" s="12" t="s">
        <v>34</v>
      </c>
      <c r="L3461" s="13">
        <v>40.56</v>
      </c>
      <c r="M3461" s="13">
        <v>28</v>
      </c>
      <c r="N3461" s="13">
        <f t="shared" si="1390"/>
        <v>1.4485714285714286</v>
      </c>
      <c r="O3461" s="13">
        <v>40</v>
      </c>
      <c r="P3461" s="13"/>
      <c r="Q3461" s="13">
        <v>0</v>
      </c>
      <c r="R3461" s="70">
        <f>+L3461*O3461</f>
        <v>1622.4</v>
      </c>
      <c r="S3461" s="70">
        <v>0</v>
      </c>
      <c r="T3461" s="70">
        <f>+L3461*S3461</f>
        <v>0</v>
      </c>
      <c r="U3461" s="70">
        <f>+R3461-T3461</f>
        <v>1622.4</v>
      </c>
      <c r="V3461" s="70">
        <f t="shared" ref="V3461" si="1438">+U3461*0</f>
        <v>0</v>
      </c>
      <c r="W3461" s="70">
        <f>+U3461-V3461</f>
        <v>1622.4</v>
      </c>
      <c r="X3461" s="70">
        <v>0</v>
      </c>
      <c r="Y3461" s="14">
        <f t="shared" si="1434"/>
        <v>0</v>
      </c>
      <c r="Z3461" s="11" t="s">
        <v>26</v>
      </c>
      <c r="AA3461" s="12" t="s">
        <v>31</v>
      </c>
    </row>
    <row r="3462" spans="1:27" x14ac:dyDescent="0.25">
      <c r="A3462" s="10">
        <v>45709</v>
      </c>
      <c r="B3462" s="11" t="s">
        <v>6228</v>
      </c>
      <c r="C3462" s="11" t="s">
        <v>6229</v>
      </c>
      <c r="D3462" s="11">
        <v>18007</v>
      </c>
      <c r="E3462" s="11" t="s">
        <v>552</v>
      </c>
      <c r="F3462" s="11" t="s">
        <v>26</v>
      </c>
      <c r="G3462" s="11">
        <v>44181</v>
      </c>
      <c r="H3462" s="12" t="s">
        <v>4423</v>
      </c>
      <c r="I3462" s="12" t="s">
        <v>27</v>
      </c>
      <c r="J3462" s="12" t="s">
        <v>42</v>
      </c>
      <c r="K3462" s="12" t="s">
        <v>43</v>
      </c>
      <c r="L3462" s="13">
        <v>37.340000000000003</v>
      </c>
      <c r="M3462" s="13">
        <v>25</v>
      </c>
      <c r="N3462" s="13">
        <f t="shared" si="1390"/>
        <v>1.4936</v>
      </c>
      <c r="O3462" s="13">
        <v>42</v>
      </c>
      <c r="P3462" s="13" t="s">
        <v>30</v>
      </c>
      <c r="Q3462" s="13">
        <v>0</v>
      </c>
      <c r="R3462" s="70">
        <f t="shared" ref="R3462:R3463" si="1439">+L3462*O3462</f>
        <v>1568.2800000000002</v>
      </c>
      <c r="S3462" s="70">
        <v>0</v>
      </c>
      <c r="T3462" s="70">
        <f t="shared" ref="T3462:T3463" si="1440">+L3462*S3462</f>
        <v>0</v>
      </c>
      <c r="U3462" s="70">
        <f t="shared" ref="U3462:U3463" si="1441">+R3462-T3462</f>
        <v>1568.2800000000002</v>
      </c>
      <c r="V3462" s="70">
        <f>+U3462*1</f>
        <v>1568.2800000000002</v>
      </c>
      <c r="W3462" s="70">
        <f t="shared" ref="W3462:W3463" si="1442">+U3462-V3462</f>
        <v>0</v>
      </c>
      <c r="X3462" s="70">
        <v>0</v>
      </c>
      <c r="Y3462" s="14">
        <f t="shared" si="1434"/>
        <v>0</v>
      </c>
      <c r="Z3462" s="11" t="s">
        <v>26</v>
      </c>
      <c r="AA3462" s="12" t="s">
        <v>31</v>
      </c>
    </row>
    <row r="3463" spans="1:27" x14ac:dyDescent="0.25">
      <c r="A3463" s="10">
        <v>45709</v>
      </c>
      <c r="B3463" s="11" t="s">
        <v>6230</v>
      </c>
      <c r="C3463" s="11" t="s">
        <v>6231</v>
      </c>
      <c r="D3463" s="11">
        <v>18008</v>
      </c>
      <c r="E3463" s="11" t="s">
        <v>87</v>
      </c>
      <c r="F3463" s="11" t="s">
        <v>26</v>
      </c>
      <c r="G3463" s="11">
        <v>56994</v>
      </c>
      <c r="H3463" s="12" t="s">
        <v>4423</v>
      </c>
      <c r="I3463" s="12" t="s">
        <v>27</v>
      </c>
      <c r="J3463" s="12" t="s">
        <v>42</v>
      </c>
      <c r="K3463" s="12" t="s">
        <v>43</v>
      </c>
      <c r="L3463" s="13">
        <v>37.58</v>
      </c>
      <c r="M3463" s="13">
        <v>25</v>
      </c>
      <c r="N3463" s="13">
        <f t="shared" si="1390"/>
        <v>1.5031999999999999</v>
      </c>
      <c r="O3463" s="13">
        <v>42</v>
      </c>
      <c r="P3463" s="13" t="s">
        <v>30</v>
      </c>
      <c r="Q3463" s="13">
        <v>0</v>
      </c>
      <c r="R3463" s="70">
        <f t="shared" si="1439"/>
        <v>1578.36</v>
      </c>
      <c r="S3463" s="70">
        <v>0</v>
      </c>
      <c r="T3463" s="70">
        <f t="shared" si="1440"/>
        <v>0</v>
      </c>
      <c r="U3463" s="70">
        <f t="shared" si="1441"/>
        <v>1578.36</v>
      </c>
      <c r="V3463" s="70">
        <f>+U3463*1</f>
        <v>1578.36</v>
      </c>
      <c r="W3463" s="70">
        <f t="shared" si="1442"/>
        <v>0</v>
      </c>
      <c r="X3463" s="70">
        <v>0</v>
      </c>
      <c r="Y3463" s="14">
        <f t="shared" si="1434"/>
        <v>0</v>
      </c>
      <c r="Z3463" s="11" t="s">
        <v>26</v>
      </c>
      <c r="AA3463" s="12" t="s">
        <v>31</v>
      </c>
    </row>
    <row r="3464" spans="1:27" x14ac:dyDescent="0.25">
      <c r="A3464" s="10">
        <v>45709</v>
      </c>
      <c r="B3464" s="11" t="s">
        <v>5788</v>
      </c>
      <c r="C3464" s="11" t="s">
        <v>6232</v>
      </c>
      <c r="D3464" s="11">
        <v>18009</v>
      </c>
      <c r="E3464" s="11" t="s">
        <v>1200</v>
      </c>
      <c r="F3464" s="11" t="s">
        <v>26</v>
      </c>
      <c r="G3464" s="11">
        <v>2987</v>
      </c>
      <c r="H3464" s="12" t="s">
        <v>163</v>
      </c>
      <c r="I3464" s="12" t="s">
        <v>27</v>
      </c>
      <c r="J3464" s="12" t="s">
        <v>42</v>
      </c>
      <c r="K3464" s="12" t="s">
        <v>43</v>
      </c>
      <c r="L3464" s="13">
        <v>43.1</v>
      </c>
      <c r="M3464" s="13">
        <v>25</v>
      </c>
      <c r="N3464" s="13">
        <f t="shared" si="1390"/>
        <v>1.724</v>
      </c>
      <c r="O3464" s="13" t="s">
        <v>30</v>
      </c>
      <c r="P3464" s="13">
        <v>64</v>
      </c>
      <c r="Q3464" s="13">
        <v>0</v>
      </c>
      <c r="R3464" s="70">
        <f>M3464*P3464</f>
        <v>1600</v>
      </c>
      <c r="S3464" s="70">
        <v>0</v>
      </c>
      <c r="T3464" s="70">
        <f>M3464*S3464</f>
        <v>0</v>
      </c>
      <c r="U3464" s="70">
        <f>R3464-T3464</f>
        <v>1600</v>
      </c>
      <c r="V3464" s="70">
        <f t="shared" ref="V3464" si="1443">U3464*0</f>
        <v>0</v>
      </c>
      <c r="W3464" s="70">
        <f t="shared" ref="W3464" si="1444">U3464-V3464</f>
        <v>1600</v>
      </c>
      <c r="X3464" s="70">
        <v>0</v>
      </c>
      <c r="Y3464" s="14">
        <f t="shared" si="1434"/>
        <v>0</v>
      </c>
      <c r="Z3464" s="11" t="s">
        <v>26</v>
      </c>
      <c r="AA3464" s="12" t="s">
        <v>31</v>
      </c>
    </row>
    <row r="3465" spans="1:27" x14ac:dyDescent="0.25">
      <c r="A3465" s="10">
        <v>45709</v>
      </c>
      <c r="B3465" s="11" t="s">
        <v>6233</v>
      </c>
      <c r="C3465" s="11" t="s">
        <v>6234</v>
      </c>
      <c r="D3465" s="11">
        <v>18010</v>
      </c>
      <c r="E3465" s="11" t="s">
        <v>589</v>
      </c>
      <c r="F3465" s="11" t="s">
        <v>26</v>
      </c>
      <c r="G3465" s="11">
        <v>56936</v>
      </c>
      <c r="H3465" s="12" t="s">
        <v>4423</v>
      </c>
      <c r="I3465" s="12" t="s">
        <v>27</v>
      </c>
      <c r="J3465" s="12" t="s">
        <v>47</v>
      </c>
      <c r="K3465" s="12" t="s">
        <v>48</v>
      </c>
      <c r="L3465" s="13">
        <v>34.840000000000003</v>
      </c>
      <c r="M3465" s="13">
        <v>25</v>
      </c>
      <c r="N3465" s="13">
        <f t="shared" si="1390"/>
        <v>1.3936000000000002</v>
      </c>
      <c r="O3465" s="13">
        <v>46</v>
      </c>
      <c r="P3465" s="13" t="s">
        <v>30</v>
      </c>
      <c r="Q3465" s="13">
        <v>0</v>
      </c>
      <c r="R3465" s="70">
        <f t="shared" ref="R3465" si="1445">+L3465*O3465</f>
        <v>1602.64</v>
      </c>
      <c r="S3465" s="70">
        <v>0</v>
      </c>
      <c r="T3465" s="70">
        <f t="shared" ref="T3465" si="1446">+L3465*S3465</f>
        <v>0</v>
      </c>
      <c r="U3465" s="70">
        <f t="shared" ref="U3465:U3466" si="1447">+R3465-T3465</f>
        <v>1602.64</v>
      </c>
      <c r="V3465" s="70">
        <f>+U3465*1</f>
        <v>1602.64</v>
      </c>
      <c r="W3465" s="70">
        <f t="shared" ref="W3465:W3466" si="1448">+U3465-V3465</f>
        <v>0</v>
      </c>
      <c r="X3465" s="70">
        <v>0</v>
      </c>
      <c r="Y3465" s="14">
        <f t="shared" si="1434"/>
        <v>0</v>
      </c>
      <c r="Z3465" s="11" t="s">
        <v>26</v>
      </c>
      <c r="AA3465" s="12" t="s">
        <v>31</v>
      </c>
    </row>
    <row r="3466" spans="1:27" x14ac:dyDescent="0.25">
      <c r="A3466" s="10">
        <v>45709</v>
      </c>
      <c r="B3466" s="11" t="s">
        <v>6235</v>
      </c>
      <c r="C3466" s="11" t="s">
        <v>6236</v>
      </c>
      <c r="D3466" s="11">
        <v>18011</v>
      </c>
      <c r="E3466" s="11" t="s">
        <v>69</v>
      </c>
      <c r="F3466" s="11" t="s">
        <v>26</v>
      </c>
      <c r="G3466" s="11">
        <v>2131</v>
      </c>
      <c r="H3466" s="12" t="s">
        <v>70</v>
      </c>
      <c r="I3466" s="12" t="s">
        <v>27</v>
      </c>
      <c r="J3466" s="12" t="s">
        <v>33</v>
      </c>
      <c r="K3466" s="12" t="s">
        <v>34</v>
      </c>
      <c r="L3466" s="13">
        <v>38.700000000000003</v>
      </c>
      <c r="M3466" s="13">
        <v>25</v>
      </c>
      <c r="N3466" s="13">
        <f t="shared" si="1390"/>
        <v>1.548</v>
      </c>
      <c r="O3466" s="13" t="s">
        <v>30</v>
      </c>
      <c r="P3466" s="13">
        <v>60</v>
      </c>
      <c r="Q3466" s="13">
        <v>0</v>
      </c>
      <c r="R3466" s="70">
        <f>+M3466*P3466</f>
        <v>1500</v>
      </c>
      <c r="S3466" s="70">
        <v>0</v>
      </c>
      <c r="T3466" s="70">
        <f>+M3466*S3466</f>
        <v>0</v>
      </c>
      <c r="U3466" s="70">
        <f t="shared" si="1447"/>
        <v>1500</v>
      </c>
      <c r="V3466" s="70">
        <f>+U3466*0</f>
        <v>0</v>
      </c>
      <c r="W3466" s="70">
        <f t="shared" si="1448"/>
        <v>1500</v>
      </c>
      <c r="X3466" s="70">
        <v>0</v>
      </c>
      <c r="Y3466" s="14">
        <f t="shared" si="1434"/>
        <v>0</v>
      </c>
      <c r="Z3466" s="11" t="s">
        <v>26</v>
      </c>
      <c r="AA3466" s="12" t="s">
        <v>31</v>
      </c>
    </row>
    <row r="3467" spans="1:27" x14ac:dyDescent="0.25">
      <c r="A3467" s="10">
        <v>45709</v>
      </c>
      <c r="B3467" s="11" t="s">
        <v>5699</v>
      </c>
      <c r="C3467" s="11" t="s">
        <v>6237</v>
      </c>
      <c r="D3467" s="11">
        <v>18012</v>
      </c>
      <c r="E3467" s="11" t="s">
        <v>32</v>
      </c>
      <c r="F3467" s="11" t="s">
        <v>26</v>
      </c>
      <c r="G3467" s="11">
        <v>1625</v>
      </c>
      <c r="H3467" s="12" t="s">
        <v>45</v>
      </c>
      <c r="I3467" s="12" t="s">
        <v>27</v>
      </c>
      <c r="J3467" s="12" t="s">
        <v>42</v>
      </c>
      <c r="K3467" s="12" t="s">
        <v>43</v>
      </c>
      <c r="L3467" s="13">
        <v>43.54</v>
      </c>
      <c r="M3467" s="13">
        <v>25</v>
      </c>
      <c r="N3467" s="13">
        <f t="shared" si="1390"/>
        <v>1.7416</v>
      </c>
      <c r="O3467" s="13" t="s">
        <v>30</v>
      </c>
      <c r="P3467" s="13">
        <v>62</v>
      </c>
      <c r="Q3467" s="13">
        <v>0</v>
      </c>
      <c r="R3467" s="70">
        <f>M3467*P3467</f>
        <v>1550</v>
      </c>
      <c r="S3467" s="70">
        <v>0</v>
      </c>
      <c r="T3467" s="70">
        <f>M3467*S3467</f>
        <v>0</v>
      </c>
      <c r="U3467" s="70">
        <f>R3467-T3467</f>
        <v>1550</v>
      </c>
      <c r="V3467" s="70">
        <f>U3467*0</f>
        <v>0</v>
      </c>
      <c r="W3467" s="70">
        <f>U3467-V3467</f>
        <v>1550</v>
      </c>
      <c r="X3467" s="70">
        <v>0</v>
      </c>
      <c r="Y3467" s="14">
        <f t="shared" si="1434"/>
        <v>0</v>
      </c>
      <c r="Z3467" s="11" t="s">
        <v>26</v>
      </c>
      <c r="AA3467" s="12" t="s">
        <v>31</v>
      </c>
    </row>
    <row r="3468" spans="1:27" x14ac:dyDescent="0.25">
      <c r="A3468" s="10">
        <v>45709</v>
      </c>
      <c r="B3468" s="11" t="s">
        <v>718</v>
      </c>
      <c r="C3468" s="11" t="s">
        <v>6238</v>
      </c>
      <c r="D3468" s="11">
        <v>18013</v>
      </c>
      <c r="E3468" s="11" t="s">
        <v>65</v>
      </c>
      <c r="F3468" s="11" t="s">
        <v>26</v>
      </c>
      <c r="G3468" s="11">
        <v>1715</v>
      </c>
      <c r="H3468" s="12" t="s">
        <v>66</v>
      </c>
      <c r="I3468" s="12" t="s">
        <v>37</v>
      </c>
      <c r="J3468" s="12" t="s">
        <v>1909</v>
      </c>
      <c r="K3468" s="12" t="s">
        <v>82</v>
      </c>
      <c r="L3468" s="13">
        <v>40.119999999999997</v>
      </c>
      <c r="M3468" s="13">
        <v>25</v>
      </c>
      <c r="N3468" s="13">
        <f t="shared" si="1390"/>
        <v>1.6048</v>
      </c>
      <c r="O3468" s="13" t="s">
        <v>30</v>
      </c>
      <c r="P3468" s="13">
        <v>54</v>
      </c>
      <c r="Q3468" s="13">
        <v>0</v>
      </c>
      <c r="R3468" s="70">
        <f>M3468*P3468</f>
        <v>1350</v>
      </c>
      <c r="S3468" s="70">
        <v>0</v>
      </c>
      <c r="T3468" s="70">
        <f>M3468*S3468</f>
        <v>0</v>
      </c>
      <c r="U3468" s="70">
        <f t="shared" ref="U3468" si="1449">R3468-T3468</f>
        <v>1350</v>
      </c>
      <c r="V3468" s="70">
        <f>U3468*1</f>
        <v>1350</v>
      </c>
      <c r="W3468" s="70">
        <f>U3468-V3468</f>
        <v>0</v>
      </c>
      <c r="X3468" s="70">
        <v>0</v>
      </c>
      <c r="Y3468" s="14">
        <f t="shared" si="1434"/>
        <v>0</v>
      </c>
      <c r="Z3468" s="11" t="s">
        <v>26</v>
      </c>
      <c r="AA3468" s="12" t="s">
        <v>31</v>
      </c>
    </row>
    <row r="3469" spans="1:27" x14ac:dyDescent="0.25">
      <c r="A3469" s="10">
        <v>45709</v>
      </c>
      <c r="B3469" s="11" t="s">
        <v>6239</v>
      </c>
      <c r="C3469" s="11" t="s">
        <v>6240</v>
      </c>
      <c r="D3469" s="11">
        <v>18014</v>
      </c>
      <c r="E3469" s="11" t="s">
        <v>4762</v>
      </c>
      <c r="F3469" s="11" t="s">
        <v>26</v>
      </c>
      <c r="G3469" s="11" t="s">
        <v>35</v>
      </c>
      <c r="H3469" s="12" t="s">
        <v>36</v>
      </c>
      <c r="I3469" s="12" t="s">
        <v>27</v>
      </c>
      <c r="J3469" s="12" t="s">
        <v>42</v>
      </c>
      <c r="K3469" s="12" t="s">
        <v>43</v>
      </c>
      <c r="L3469" s="13">
        <v>40.78</v>
      </c>
      <c r="M3469" s="13">
        <v>25</v>
      </c>
      <c r="N3469" s="13">
        <f t="shared" si="1390"/>
        <v>1.6312</v>
      </c>
      <c r="O3469" s="13">
        <v>45</v>
      </c>
      <c r="P3469" s="13" t="s">
        <v>30</v>
      </c>
      <c r="Q3469" s="13">
        <v>0</v>
      </c>
      <c r="R3469" s="70">
        <f>(L3469*O3469)-Q3469</f>
        <v>1835.1000000000001</v>
      </c>
      <c r="S3469" s="70">
        <v>0</v>
      </c>
      <c r="T3469" s="70">
        <f t="shared" ref="T3469" si="1450">+L3469*S3469</f>
        <v>0</v>
      </c>
      <c r="U3469" s="70">
        <f t="shared" ref="U3469" si="1451">+R3469-T3469</f>
        <v>1835.1000000000001</v>
      </c>
      <c r="V3469" s="70">
        <f>+U3469*0</f>
        <v>0</v>
      </c>
      <c r="W3469" s="70">
        <f t="shared" ref="W3469" si="1452">+U3469-V3469</f>
        <v>1835.1000000000001</v>
      </c>
      <c r="X3469" s="70">
        <v>0</v>
      </c>
      <c r="Y3469" s="14">
        <f t="shared" si="1434"/>
        <v>0</v>
      </c>
      <c r="Z3469" s="11" t="s">
        <v>26</v>
      </c>
      <c r="AA3469" s="12" t="s">
        <v>31</v>
      </c>
    </row>
    <row r="3470" spans="1:27" x14ac:dyDescent="0.25">
      <c r="A3470" s="10">
        <v>45709</v>
      </c>
      <c r="B3470" s="11" t="s">
        <v>5308</v>
      </c>
      <c r="C3470" s="11" t="s">
        <v>6241</v>
      </c>
      <c r="D3470" s="11">
        <v>18015</v>
      </c>
      <c r="E3470" s="11" t="s">
        <v>67</v>
      </c>
      <c r="F3470" s="11" t="s">
        <v>26</v>
      </c>
      <c r="G3470" s="11">
        <v>1649</v>
      </c>
      <c r="H3470" s="12" t="s">
        <v>66</v>
      </c>
      <c r="I3470" s="12" t="s">
        <v>37</v>
      </c>
      <c r="J3470" s="12" t="s">
        <v>1909</v>
      </c>
      <c r="K3470" s="12" t="s">
        <v>82</v>
      </c>
      <c r="L3470" s="13">
        <v>40.1</v>
      </c>
      <c r="M3470" s="13">
        <v>25</v>
      </c>
      <c r="N3470" s="13">
        <f t="shared" si="1390"/>
        <v>1.6040000000000001</v>
      </c>
      <c r="O3470" s="13" t="s">
        <v>30</v>
      </c>
      <c r="P3470" s="13">
        <v>54</v>
      </c>
      <c r="Q3470" s="13">
        <v>0</v>
      </c>
      <c r="R3470" s="70">
        <f>M3470*P3470</f>
        <v>1350</v>
      </c>
      <c r="S3470" s="70">
        <v>0</v>
      </c>
      <c r="T3470" s="70">
        <f>M3470*S3470</f>
        <v>0</v>
      </c>
      <c r="U3470" s="70">
        <f t="shared" ref="U3470" si="1453">R3470-T3470</f>
        <v>1350</v>
      </c>
      <c r="V3470" s="70">
        <f>U3470*1</f>
        <v>1350</v>
      </c>
      <c r="W3470" s="70">
        <f>U3470-V3470</f>
        <v>0</v>
      </c>
      <c r="X3470" s="70">
        <v>0</v>
      </c>
      <c r="Y3470" s="14">
        <f t="shared" si="1434"/>
        <v>0</v>
      </c>
      <c r="Z3470" s="11" t="s">
        <v>26</v>
      </c>
      <c r="AA3470" s="12" t="s">
        <v>31</v>
      </c>
    </row>
    <row r="3471" spans="1:27" x14ac:dyDescent="0.25">
      <c r="A3471" s="10">
        <v>45709</v>
      </c>
      <c r="B3471" s="11" t="s">
        <v>3572</v>
      </c>
      <c r="C3471" s="11" t="s">
        <v>6242</v>
      </c>
      <c r="D3471" s="11">
        <v>18016</v>
      </c>
      <c r="E3471" s="11" t="s">
        <v>435</v>
      </c>
      <c r="F3471" s="11" t="s">
        <v>26</v>
      </c>
      <c r="G3471" s="11">
        <v>2789</v>
      </c>
      <c r="H3471" s="12" t="s">
        <v>41</v>
      </c>
      <c r="I3471" s="12" t="s">
        <v>27</v>
      </c>
      <c r="J3471" s="12" t="s">
        <v>33</v>
      </c>
      <c r="K3471" s="12" t="s">
        <v>34</v>
      </c>
      <c r="L3471" s="13">
        <v>36.1</v>
      </c>
      <c r="M3471" s="13">
        <v>25</v>
      </c>
      <c r="N3471" s="13">
        <f t="shared" si="1390"/>
        <v>1.444</v>
      </c>
      <c r="O3471" s="13" t="s">
        <v>30</v>
      </c>
      <c r="P3471" s="13">
        <v>60</v>
      </c>
      <c r="Q3471" s="13">
        <v>0</v>
      </c>
      <c r="R3471" s="70">
        <f>M3471*P3471</f>
        <v>1500</v>
      </c>
      <c r="S3471" s="70">
        <v>0</v>
      </c>
      <c r="T3471" s="70">
        <f>M3471*S3471</f>
        <v>0</v>
      </c>
      <c r="U3471" s="70">
        <f t="shared" ref="U3471:U3472" si="1454">+R3471-T3471</f>
        <v>1500</v>
      </c>
      <c r="V3471" s="70">
        <f>+U3471*0</f>
        <v>0</v>
      </c>
      <c r="W3471" s="70">
        <f t="shared" ref="W3471:W3472" si="1455">+U3471-V3471</f>
        <v>1500</v>
      </c>
      <c r="X3471" s="70">
        <v>0</v>
      </c>
      <c r="Y3471" s="14">
        <f t="shared" si="1434"/>
        <v>0</v>
      </c>
      <c r="Z3471" s="11" t="s">
        <v>26</v>
      </c>
      <c r="AA3471" s="12" t="s">
        <v>31</v>
      </c>
    </row>
    <row r="3472" spans="1:27" x14ac:dyDescent="0.25">
      <c r="A3472" s="10">
        <v>45709</v>
      </c>
      <c r="B3472" s="11" t="s">
        <v>6243</v>
      </c>
      <c r="C3472" s="11" t="s">
        <v>6244</v>
      </c>
      <c r="D3472" s="11">
        <v>18017</v>
      </c>
      <c r="E3472" s="11" t="s">
        <v>593</v>
      </c>
      <c r="F3472" s="11" t="s">
        <v>26</v>
      </c>
      <c r="G3472" s="11">
        <v>44346</v>
      </c>
      <c r="H3472" s="12" t="s">
        <v>4423</v>
      </c>
      <c r="I3472" s="12" t="s">
        <v>27</v>
      </c>
      <c r="J3472" s="12" t="s">
        <v>33</v>
      </c>
      <c r="K3472" s="12" t="s">
        <v>34</v>
      </c>
      <c r="L3472" s="13">
        <v>34.840000000000003</v>
      </c>
      <c r="M3472" s="13">
        <v>25</v>
      </c>
      <c r="N3472" s="13">
        <f t="shared" si="1390"/>
        <v>1.3936000000000002</v>
      </c>
      <c r="O3472" s="13">
        <v>45</v>
      </c>
      <c r="P3472" s="13" t="s">
        <v>30</v>
      </c>
      <c r="Q3472" s="13">
        <v>0</v>
      </c>
      <c r="R3472" s="70">
        <f>+L3472*O3472</f>
        <v>1567.8000000000002</v>
      </c>
      <c r="S3472" s="70">
        <v>0</v>
      </c>
      <c r="T3472" s="70">
        <f>+L3472*S3472</f>
        <v>0</v>
      </c>
      <c r="U3472" s="70">
        <f t="shared" si="1454"/>
        <v>1567.8000000000002</v>
      </c>
      <c r="V3472" s="70">
        <f>+U3472*1</f>
        <v>1567.8000000000002</v>
      </c>
      <c r="W3472" s="70">
        <f t="shared" si="1455"/>
        <v>0</v>
      </c>
      <c r="X3472" s="70">
        <v>0</v>
      </c>
      <c r="Y3472" s="14">
        <f t="shared" si="1434"/>
        <v>0</v>
      </c>
      <c r="Z3472" s="11" t="s">
        <v>26</v>
      </c>
      <c r="AA3472" s="12" t="s">
        <v>31</v>
      </c>
    </row>
    <row r="3473" spans="1:27" x14ac:dyDescent="0.25">
      <c r="A3473" s="10">
        <v>45709</v>
      </c>
      <c r="B3473" s="11" t="s">
        <v>257</v>
      </c>
      <c r="C3473" s="11" t="s">
        <v>6245</v>
      </c>
      <c r="D3473" s="11">
        <v>18018</v>
      </c>
      <c r="E3473" s="11" t="s">
        <v>2109</v>
      </c>
      <c r="F3473" s="11" t="s">
        <v>26</v>
      </c>
      <c r="G3473" s="11">
        <v>10631</v>
      </c>
      <c r="H3473" s="12" t="s">
        <v>140</v>
      </c>
      <c r="I3473" s="12" t="s">
        <v>27</v>
      </c>
      <c r="J3473" s="12" t="s">
        <v>47</v>
      </c>
      <c r="K3473" s="12" t="s">
        <v>48</v>
      </c>
      <c r="L3473" s="13">
        <v>41.86</v>
      </c>
      <c r="M3473" s="13">
        <v>28</v>
      </c>
      <c r="N3473" s="13">
        <f t="shared" si="1390"/>
        <v>1.4949999999999999</v>
      </c>
      <c r="O3473" s="13">
        <v>40</v>
      </c>
      <c r="P3473" s="13"/>
      <c r="Q3473" s="13">
        <v>0</v>
      </c>
      <c r="R3473" s="70">
        <f>+L3473*O3473</f>
        <v>1674.4</v>
      </c>
      <c r="S3473" s="70">
        <v>0</v>
      </c>
      <c r="T3473" s="70">
        <f>+L3473*S3473</f>
        <v>0</v>
      </c>
      <c r="U3473" s="70">
        <f>+R3473-T3473</f>
        <v>1674.4</v>
      </c>
      <c r="V3473" s="70">
        <f t="shared" ref="V3473" si="1456">+U3473*0</f>
        <v>0</v>
      </c>
      <c r="W3473" s="70">
        <f>+U3473-V3473</f>
        <v>1674.4</v>
      </c>
      <c r="X3473" s="70">
        <v>0</v>
      </c>
      <c r="Y3473" s="14">
        <f t="shared" si="1434"/>
        <v>0</v>
      </c>
      <c r="Z3473" s="11" t="s">
        <v>26</v>
      </c>
      <c r="AA3473" s="12" t="s">
        <v>31</v>
      </c>
    </row>
    <row r="3474" spans="1:27" x14ac:dyDescent="0.25">
      <c r="A3474" s="10">
        <v>45709</v>
      </c>
      <c r="B3474" s="11" t="s">
        <v>6246</v>
      </c>
      <c r="C3474" s="11" t="s">
        <v>6247</v>
      </c>
      <c r="D3474" s="11">
        <v>18019</v>
      </c>
      <c r="E3474" s="11" t="s">
        <v>444</v>
      </c>
      <c r="F3474" s="11" t="s">
        <v>26</v>
      </c>
      <c r="G3474" s="11">
        <v>2114</v>
      </c>
      <c r="H3474" s="12" t="s">
        <v>4449</v>
      </c>
      <c r="I3474" s="12" t="s">
        <v>37</v>
      </c>
      <c r="J3474" s="12" t="s">
        <v>4688</v>
      </c>
      <c r="K3474" s="12" t="s">
        <v>82</v>
      </c>
      <c r="L3474" s="13">
        <v>34.76</v>
      </c>
      <c r="M3474" s="13">
        <v>21</v>
      </c>
      <c r="N3474" s="13">
        <f t="shared" si="1390"/>
        <v>1.6552380952380952</v>
      </c>
      <c r="O3474" s="13">
        <v>0</v>
      </c>
      <c r="P3474" s="13" t="s">
        <v>30</v>
      </c>
      <c r="Q3474" s="13"/>
      <c r="R3474" s="70"/>
      <c r="S3474" s="70"/>
      <c r="T3474" s="70"/>
      <c r="U3474" s="70"/>
      <c r="V3474" s="70"/>
      <c r="W3474" s="70"/>
      <c r="X3474" s="70">
        <v>0</v>
      </c>
      <c r="Y3474" s="71">
        <f>T3474-X3474</f>
        <v>0</v>
      </c>
      <c r="Z3474" s="11" t="s">
        <v>26</v>
      </c>
      <c r="AA3474" s="12" t="s">
        <v>31</v>
      </c>
    </row>
    <row r="3475" spans="1:27" x14ac:dyDescent="0.25">
      <c r="A3475" s="10">
        <v>45709</v>
      </c>
      <c r="B3475" s="11" t="s">
        <v>662</v>
      </c>
      <c r="C3475" s="11" t="s">
        <v>6248</v>
      </c>
      <c r="D3475" s="11">
        <v>18020</v>
      </c>
      <c r="E3475" s="11" t="s">
        <v>77</v>
      </c>
      <c r="F3475" s="11" t="s">
        <v>26</v>
      </c>
      <c r="G3475" s="11">
        <v>112938</v>
      </c>
      <c r="H3475" s="12" t="s">
        <v>4446</v>
      </c>
      <c r="I3475" s="12" t="s">
        <v>27</v>
      </c>
      <c r="J3475" s="12" t="s">
        <v>33</v>
      </c>
      <c r="K3475" s="12" t="s">
        <v>34</v>
      </c>
      <c r="L3475" s="13">
        <v>35.520000000000003</v>
      </c>
      <c r="M3475" s="13">
        <v>25</v>
      </c>
      <c r="N3475" s="13">
        <f t="shared" si="1390"/>
        <v>1.4208000000000001</v>
      </c>
      <c r="O3475" s="13">
        <v>44</v>
      </c>
      <c r="P3475" s="13" t="s">
        <v>30</v>
      </c>
      <c r="Q3475" s="13">
        <v>0</v>
      </c>
      <c r="R3475" s="70">
        <f t="shared" ref="R3475" si="1457">+L3475*O3475</f>
        <v>1562.88</v>
      </c>
      <c r="S3475" s="70">
        <v>0</v>
      </c>
      <c r="T3475" s="70">
        <f>+L3475*S3475</f>
        <v>0</v>
      </c>
      <c r="U3475" s="70">
        <f>+R3475-T3475</f>
        <v>1562.88</v>
      </c>
      <c r="V3475" s="70">
        <f>+U3475*1</f>
        <v>1562.88</v>
      </c>
      <c r="W3475" s="70">
        <f>+U3475-V3475</f>
        <v>0</v>
      </c>
      <c r="X3475" s="70">
        <v>0</v>
      </c>
      <c r="Y3475" s="14">
        <f t="shared" ref="Y3475:Y3484" si="1458">T3475-X3475</f>
        <v>0</v>
      </c>
      <c r="Z3475" s="11" t="s">
        <v>26</v>
      </c>
      <c r="AA3475" s="12" t="s">
        <v>31</v>
      </c>
    </row>
    <row r="3476" spans="1:27" x14ac:dyDescent="0.25">
      <c r="A3476" s="10">
        <v>45709</v>
      </c>
      <c r="B3476" s="11" t="s">
        <v>2513</v>
      </c>
      <c r="C3476" s="11" t="s">
        <v>6249</v>
      </c>
      <c r="D3476" s="11">
        <v>18021</v>
      </c>
      <c r="E3476" s="11" t="s">
        <v>32</v>
      </c>
      <c r="F3476" s="11" t="s">
        <v>26</v>
      </c>
      <c r="G3476" s="11">
        <v>75041</v>
      </c>
      <c r="H3476" s="12" t="s">
        <v>4448</v>
      </c>
      <c r="I3476" s="12" t="s">
        <v>27</v>
      </c>
      <c r="J3476" s="12" t="s">
        <v>42</v>
      </c>
      <c r="K3476" s="12" t="s">
        <v>43</v>
      </c>
      <c r="L3476" s="13">
        <v>40.5</v>
      </c>
      <c r="M3476" s="13">
        <v>25</v>
      </c>
      <c r="N3476" s="13">
        <f t="shared" si="1390"/>
        <v>1.62</v>
      </c>
      <c r="O3476" s="13">
        <v>42.5</v>
      </c>
      <c r="P3476" s="13"/>
      <c r="Q3476" s="13">
        <v>0</v>
      </c>
      <c r="R3476" s="70">
        <f>+L3476*O3476</f>
        <v>1721.25</v>
      </c>
      <c r="S3476" s="70">
        <v>0</v>
      </c>
      <c r="T3476" s="70">
        <f>+L3476*S3476</f>
        <v>0</v>
      </c>
      <c r="U3476" s="70">
        <f>+R3476-T3476</f>
        <v>1721.25</v>
      </c>
      <c r="V3476" s="70">
        <f>+U3476*0.75</f>
        <v>1290.9375</v>
      </c>
      <c r="W3476" s="70">
        <f>+U3476-V3476</f>
        <v>430.3125</v>
      </c>
      <c r="X3476" s="70">
        <v>0</v>
      </c>
      <c r="Y3476" s="14">
        <f t="shared" si="1458"/>
        <v>0</v>
      </c>
      <c r="Z3476" s="11" t="s">
        <v>26</v>
      </c>
      <c r="AA3476" s="12" t="s">
        <v>31</v>
      </c>
    </row>
    <row r="3477" spans="1:27" x14ac:dyDescent="0.25">
      <c r="A3477" s="10">
        <v>45709</v>
      </c>
      <c r="B3477" s="11" t="s">
        <v>6250</v>
      </c>
      <c r="C3477" s="11" t="s">
        <v>6251</v>
      </c>
      <c r="D3477" s="11">
        <v>18022</v>
      </c>
      <c r="E3477" s="11" t="s">
        <v>69</v>
      </c>
      <c r="F3477" s="11" t="s">
        <v>26</v>
      </c>
      <c r="G3477" s="11">
        <v>2132</v>
      </c>
      <c r="H3477" s="12" t="s">
        <v>70</v>
      </c>
      <c r="I3477" s="12" t="s">
        <v>27</v>
      </c>
      <c r="J3477" s="12" t="s">
        <v>33</v>
      </c>
      <c r="K3477" s="12" t="s">
        <v>34</v>
      </c>
      <c r="L3477" s="13">
        <v>37.659999999999997</v>
      </c>
      <c r="M3477" s="13">
        <v>25</v>
      </c>
      <c r="N3477" s="13">
        <f t="shared" si="1390"/>
        <v>1.5064</v>
      </c>
      <c r="O3477" s="13" t="s">
        <v>30</v>
      </c>
      <c r="P3477" s="13">
        <v>60</v>
      </c>
      <c r="Q3477" s="13">
        <v>0</v>
      </c>
      <c r="R3477" s="70">
        <f>+M3477*P3477</f>
        <v>1500</v>
      </c>
      <c r="S3477" s="70">
        <v>0</v>
      </c>
      <c r="T3477" s="70">
        <f>+M3477*S3477</f>
        <v>0</v>
      </c>
      <c r="U3477" s="70">
        <f t="shared" ref="U3477" si="1459">+R3477-T3477</f>
        <v>1500</v>
      </c>
      <c r="V3477" s="70">
        <f>+U3477*0</f>
        <v>0</v>
      </c>
      <c r="W3477" s="70">
        <f t="shared" ref="W3477" si="1460">+U3477-V3477</f>
        <v>1500</v>
      </c>
      <c r="X3477" s="70">
        <v>0</v>
      </c>
      <c r="Y3477" s="14">
        <f t="shared" si="1458"/>
        <v>0</v>
      </c>
      <c r="Z3477" s="11" t="s">
        <v>26</v>
      </c>
      <c r="AA3477" s="12" t="s">
        <v>31</v>
      </c>
    </row>
    <row r="3478" spans="1:27" x14ac:dyDescent="0.25">
      <c r="A3478" s="10">
        <v>45709</v>
      </c>
      <c r="B3478" s="11" t="s">
        <v>6252</v>
      </c>
      <c r="C3478" s="11" t="s">
        <v>6253</v>
      </c>
      <c r="D3478" s="11">
        <v>18023</v>
      </c>
      <c r="E3478" s="11" t="s">
        <v>570</v>
      </c>
      <c r="F3478" s="11" t="s">
        <v>26</v>
      </c>
      <c r="G3478" s="11">
        <v>10767</v>
      </c>
      <c r="H3478" s="12" t="s">
        <v>140</v>
      </c>
      <c r="I3478" s="12" t="s">
        <v>27</v>
      </c>
      <c r="J3478" s="12" t="s">
        <v>47</v>
      </c>
      <c r="K3478" s="12" t="s">
        <v>48</v>
      </c>
      <c r="L3478" s="13">
        <v>42.64</v>
      </c>
      <c r="M3478" s="13">
        <v>29</v>
      </c>
      <c r="N3478" s="13">
        <f t="shared" si="1390"/>
        <v>1.470344827586207</v>
      </c>
      <c r="O3478" s="13">
        <v>40</v>
      </c>
      <c r="P3478" s="13"/>
      <c r="Q3478" s="13">
        <v>0</v>
      </c>
      <c r="R3478" s="70">
        <f>+L3478*O3478</f>
        <v>1705.6</v>
      </c>
      <c r="S3478" s="70">
        <v>0</v>
      </c>
      <c r="T3478" s="70">
        <f>+L3478*S3478</f>
        <v>0</v>
      </c>
      <c r="U3478" s="70">
        <f>+R3478-T3478</f>
        <v>1705.6</v>
      </c>
      <c r="V3478" s="70">
        <f t="shared" ref="V3478:V3479" si="1461">+U3478*0</f>
        <v>0</v>
      </c>
      <c r="W3478" s="70">
        <f>+U3478-V3478</f>
        <v>1705.6</v>
      </c>
      <c r="X3478" s="70">
        <v>0</v>
      </c>
      <c r="Y3478" s="14">
        <f t="shared" si="1458"/>
        <v>0</v>
      </c>
      <c r="Z3478" s="11" t="s">
        <v>26</v>
      </c>
      <c r="AA3478" s="12" t="s">
        <v>31</v>
      </c>
    </row>
    <row r="3479" spans="1:27" x14ac:dyDescent="0.25">
      <c r="A3479" s="10">
        <v>45709</v>
      </c>
      <c r="B3479" s="11" t="s">
        <v>5688</v>
      </c>
      <c r="C3479" s="11" t="s">
        <v>6254</v>
      </c>
      <c r="D3479" s="11">
        <v>18024</v>
      </c>
      <c r="E3479" s="11" t="s">
        <v>63</v>
      </c>
      <c r="F3479" s="11" t="s">
        <v>26</v>
      </c>
      <c r="G3479" s="11">
        <v>10852</v>
      </c>
      <c r="H3479" s="12" t="s">
        <v>140</v>
      </c>
      <c r="I3479" s="12" t="s">
        <v>27</v>
      </c>
      <c r="J3479" s="12" t="s">
        <v>42</v>
      </c>
      <c r="K3479" s="12" t="s">
        <v>43</v>
      </c>
      <c r="L3479" s="13">
        <v>43.7</v>
      </c>
      <c r="M3479" s="13">
        <v>25</v>
      </c>
      <c r="N3479" s="13">
        <f t="shared" si="1390"/>
        <v>1.7480000000000002</v>
      </c>
      <c r="O3479" s="13">
        <v>35</v>
      </c>
      <c r="P3479" s="13"/>
      <c r="Q3479" s="13">
        <v>0</v>
      </c>
      <c r="R3479" s="70">
        <f>+L3479*O3479</f>
        <v>1529.5</v>
      </c>
      <c r="S3479" s="70">
        <v>0</v>
      </c>
      <c r="T3479" s="70">
        <f>+L3479*S3479</f>
        <v>0</v>
      </c>
      <c r="U3479" s="70">
        <f>+R3479-T3479</f>
        <v>1529.5</v>
      </c>
      <c r="V3479" s="70">
        <f t="shared" si="1461"/>
        <v>0</v>
      </c>
      <c r="W3479" s="70">
        <f>+U3479-V3479</f>
        <v>1529.5</v>
      </c>
      <c r="X3479" s="70">
        <v>0</v>
      </c>
      <c r="Y3479" s="14">
        <f t="shared" si="1458"/>
        <v>0</v>
      </c>
      <c r="Z3479" s="11" t="s">
        <v>26</v>
      </c>
      <c r="AA3479" s="12" t="s">
        <v>31</v>
      </c>
    </row>
    <row r="3480" spans="1:27" x14ac:dyDescent="0.25">
      <c r="A3480" s="10">
        <v>45709</v>
      </c>
      <c r="B3480" s="11" t="s">
        <v>3632</v>
      </c>
      <c r="C3480" s="11" t="s">
        <v>6255</v>
      </c>
      <c r="D3480" s="11">
        <v>18025</v>
      </c>
      <c r="E3480" s="11" t="s">
        <v>1200</v>
      </c>
      <c r="F3480" s="11" t="s">
        <v>26</v>
      </c>
      <c r="G3480" s="11">
        <v>2988</v>
      </c>
      <c r="H3480" s="12" t="s">
        <v>163</v>
      </c>
      <c r="I3480" s="12" t="s">
        <v>27</v>
      </c>
      <c r="J3480" s="12" t="s">
        <v>33</v>
      </c>
      <c r="K3480" s="12" t="s">
        <v>34</v>
      </c>
      <c r="L3480" s="13">
        <v>38.74</v>
      </c>
      <c r="M3480" s="13">
        <v>25</v>
      </c>
      <c r="N3480" s="13">
        <f t="shared" si="1390"/>
        <v>1.5496000000000001</v>
      </c>
      <c r="O3480" s="13" t="s">
        <v>30</v>
      </c>
      <c r="P3480" s="13">
        <v>60</v>
      </c>
      <c r="Q3480" s="13">
        <v>0</v>
      </c>
      <c r="R3480" s="70">
        <f>M3480*P3480</f>
        <v>1500</v>
      </c>
      <c r="S3480" s="70">
        <v>0</v>
      </c>
      <c r="T3480" s="70">
        <f>M3480*S3480</f>
        <v>0</v>
      </c>
      <c r="U3480" s="70">
        <f>R3480-T3480</f>
        <v>1500</v>
      </c>
      <c r="V3480" s="70">
        <f>U3480*0</f>
        <v>0</v>
      </c>
      <c r="W3480" s="70">
        <f>U3480-V3480</f>
        <v>1500</v>
      </c>
      <c r="X3480" s="70">
        <v>0</v>
      </c>
      <c r="Y3480" s="14">
        <f t="shared" si="1458"/>
        <v>0</v>
      </c>
      <c r="Z3480" s="11" t="s">
        <v>26</v>
      </c>
      <c r="AA3480" s="12" t="s">
        <v>31</v>
      </c>
    </row>
    <row r="3481" spans="1:27" x14ac:dyDescent="0.25">
      <c r="A3481" s="10">
        <v>45709</v>
      </c>
      <c r="B3481" s="11" t="s">
        <v>6256</v>
      </c>
      <c r="C3481" s="11" t="s">
        <v>6257</v>
      </c>
      <c r="D3481" s="11">
        <v>18026</v>
      </c>
      <c r="E3481" s="11" t="s">
        <v>50</v>
      </c>
      <c r="F3481" s="11" t="s">
        <v>26</v>
      </c>
      <c r="G3481" s="11">
        <v>765</v>
      </c>
      <c r="H3481" s="12" t="s">
        <v>163</v>
      </c>
      <c r="I3481" s="12" t="s">
        <v>27</v>
      </c>
      <c r="J3481" s="12" t="s">
        <v>47</v>
      </c>
      <c r="K3481" s="12" t="s">
        <v>48</v>
      </c>
      <c r="L3481" s="13">
        <v>34.56</v>
      </c>
      <c r="M3481" s="13">
        <v>25</v>
      </c>
      <c r="N3481" s="13">
        <f t="shared" si="1390"/>
        <v>1.3824000000000001</v>
      </c>
      <c r="O3481" s="13" t="s">
        <v>30</v>
      </c>
      <c r="P3481" s="13">
        <v>60</v>
      </c>
      <c r="Q3481" s="13">
        <v>0</v>
      </c>
      <c r="R3481" s="70">
        <f>M3481*P3481</f>
        <v>1500</v>
      </c>
      <c r="S3481" s="70">
        <v>0</v>
      </c>
      <c r="T3481" s="70">
        <f>M3481*S3481</f>
        <v>0</v>
      </c>
      <c r="U3481" s="70">
        <f>R3481-T3481</f>
        <v>1500</v>
      </c>
      <c r="V3481" s="70">
        <f>U3481*0</f>
        <v>0</v>
      </c>
      <c r="W3481" s="70">
        <f>U3481-V3481</f>
        <v>1500</v>
      </c>
      <c r="X3481" s="70">
        <v>0</v>
      </c>
      <c r="Y3481" s="14">
        <f t="shared" si="1458"/>
        <v>0</v>
      </c>
      <c r="Z3481" s="11" t="s">
        <v>26</v>
      </c>
      <c r="AA3481" s="12" t="s">
        <v>31</v>
      </c>
    </row>
    <row r="3482" spans="1:27" x14ac:dyDescent="0.25">
      <c r="A3482" s="10">
        <v>45710</v>
      </c>
      <c r="B3482" s="11" t="s">
        <v>662</v>
      </c>
      <c r="C3482" s="11" t="s">
        <v>6258</v>
      </c>
      <c r="D3482" s="11">
        <v>18027</v>
      </c>
      <c r="E3482" s="11" t="s">
        <v>32</v>
      </c>
      <c r="F3482" s="11" t="s">
        <v>26</v>
      </c>
      <c r="G3482" s="11">
        <v>75042</v>
      </c>
      <c r="H3482" s="12" t="s">
        <v>4448</v>
      </c>
      <c r="I3482" s="12" t="s">
        <v>27</v>
      </c>
      <c r="J3482" s="12" t="s">
        <v>47</v>
      </c>
      <c r="K3482" s="12" t="s">
        <v>48</v>
      </c>
      <c r="L3482" s="13">
        <v>37.06</v>
      </c>
      <c r="M3482" s="13">
        <v>25</v>
      </c>
      <c r="N3482" s="13">
        <f t="shared" si="1390"/>
        <v>1.4824000000000002</v>
      </c>
      <c r="O3482" s="13">
        <v>46.66</v>
      </c>
      <c r="P3482" s="13" t="s">
        <v>30</v>
      </c>
      <c r="Q3482" s="13">
        <v>0</v>
      </c>
      <c r="R3482" s="70">
        <f>+L3482*O3482</f>
        <v>1729.2195999999999</v>
      </c>
      <c r="S3482" s="70">
        <v>0</v>
      </c>
      <c r="T3482" s="70">
        <f>+L3482*S3482</f>
        <v>0</v>
      </c>
      <c r="U3482" s="70">
        <f>+R3482-T3482</f>
        <v>1729.2195999999999</v>
      </c>
      <c r="V3482" s="70">
        <f>+U3482*0.75</f>
        <v>1296.9146999999998</v>
      </c>
      <c r="W3482" s="70">
        <f>+U3482-V3482</f>
        <v>432.30490000000009</v>
      </c>
      <c r="X3482" s="70">
        <v>0</v>
      </c>
      <c r="Y3482" s="14">
        <f t="shared" si="1458"/>
        <v>0</v>
      </c>
      <c r="Z3482" s="11" t="s">
        <v>26</v>
      </c>
      <c r="AA3482" s="12" t="s">
        <v>31</v>
      </c>
    </row>
    <row r="3483" spans="1:27" x14ac:dyDescent="0.25">
      <c r="A3483" s="10">
        <v>45710</v>
      </c>
      <c r="B3483" s="11" t="s">
        <v>5433</v>
      </c>
      <c r="C3483" s="11" t="s">
        <v>6259</v>
      </c>
      <c r="D3483" s="11">
        <v>18028</v>
      </c>
      <c r="E3483" s="11" t="s">
        <v>68</v>
      </c>
      <c r="F3483" s="11" t="s">
        <v>26</v>
      </c>
      <c r="G3483" s="11">
        <v>76375</v>
      </c>
      <c r="H3483" s="12" t="s">
        <v>4448</v>
      </c>
      <c r="I3483" s="12" t="s">
        <v>27</v>
      </c>
      <c r="J3483" s="12" t="s">
        <v>42</v>
      </c>
      <c r="K3483" s="12" t="s">
        <v>43</v>
      </c>
      <c r="L3483" s="13">
        <v>40.76</v>
      </c>
      <c r="M3483" s="13">
        <v>25</v>
      </c>
      <c r="N3483" s="13">
        <f t="shared" si="1390"/>
        <v>1.6303999999999998</v>
      </c>
      <c r="O3483" s="13">
        <v>42.5</v>
      </c>
      <c r="P3483" s="13"/>
      <c r="Q3483" s="13">
        <v>0</v>
      </c>
      <c r="R3483" s="70">
        <f>+L3483*O3483</f>
        <v>1732.3</v>
      </c>
      <c r="S3483" s="70">
        <v>0</v>
      </c>
      <c r="T3483" s="70">
        <f>+L3483*S3483</f>
        <v>0</v>
      </c>
      <c r="U3483" s="70">
        <f>+R3483-T3483</f>
        <v>1732.3</v>
      </c>
      <c r="V3483" s="70">
        <f>+U3483*0.75</f>
        <v>1299.2249999999999</v>
      </c>
      <c r="W3483" s="70">
        <f>+U3483-V3483</f>
        <v>433.07500000000005</v>
      </c>
      <c r="X3483" s="70">
        <v>0</v>
      </c>
      <c r="Y3483" s="14">
        <f t="shared" si="1458"/>
        <v>0</v>
      </c>
      <c r="Z3483" s="11" t="s">
        <v>26</v>
      </c>
      <c r="AA3483" s="12" t="s">
        <v>31</v>
      </c>
    </row>
    <row r="3484" spans="1:27" x14ac:dyDescent="0.25">
      <c r="A3484" s="10">
        <v>45710</v>
      </c>
      <c r="B3484" s="11" t="s">
        <v>6260</v>
      </c>
      <c r="C3484" s="11" t="s">
        <v>6261</v>
      </c>
      <c r="D3484" s="11">
        <v>18029</v>
      </c>
      <c r="E3484" s="11" t="s">
        <v>179</v>
      </c>
      <c r="F3484" s="11" t="s">
        <v>26</v>
      </c>
      <c r="G3484" s="11">
        <v>61218</v>
      </c>
      <c r="H3484" s="12" t="s">
        <v>4423</v>
      </c>
      <c r="I3484" s="12" t="s">
        <v>27</v>
      </c>
      <c r="J3484" s="12" t="s">
        <v>33</v>
      </c>
      <c r="K3484" s="12" t="s">
        <v>34</v>
      </c>
      <c r="L3484" s="13">
        <v>36.840000000000003</v>
      </c>
      <c r="M3484" s="13">
        <v>25</v>
      </c>
      <c r="N3484" s="13">
        <f t="shared" si="1390"/>
        <v>1.4736000000000002</v>
      </c>
      <c r="O3484" s="13">
        <v>45</v>
      </c>
      <c r="P3484" s="13" t="s">
        <v>30</v>
      </c>
      <c r="Q3484" s="13">
        <v>0</v>
      </c>
      <c r="R3484" s="70">
        <f>+L3484*O3484</f>
        <v>1657.8000000000002</v>
      </c>
      <c r="S3484" s="70">
        <v>0</v>
      </c>
      <c r="T3484" s="70">
        <f>+L3484*S3484</f>
        <v>0</v>
      </c>
      <c r="U3484" s="70">
        <f t="shared" ref="U3484" si="1462">+R3484-T3484</f>
        <v>1657.8000000000002</v>
      </c>
      <c r="V3484" s="70">
        <f>+U3484*1</f>
        <v>1657.8000000000002</v>
      </c>
      <c r="W3484" s="70">
        <f t="shared" ref="W3484" si="1463">+U3484-V3484</f>
        <v>0</v>
      </c>
      <c r="X3484" s="70">
        <v>0</v>
      </c>
      <c r="Y3484" s="14">
        <f t="shared" si="1458"/>
        <v>0</v>
      </c>
      <c r="Z3484" s="11" t="s">
        <v>26</v>
      </c>
      <c r="AA3484" s="12" t="s">
        <v>31</v>
      </c>
    </row>
    <row r="3485" spans="1:27" x14ac:dyDescent="0.25">
      <c r="A3485" s="10">
        <v>45710</v>
      </c>
      <c r="B3485" s="11" t="s">
        <v>4071</v>
      </c>
      <c r="C3485" s="11" t="s">
        <v>6262</v>
      </c>
      <c r="D3485" s="11">
        <v>18030</v>
      </c>
      <c r="E3485" s="11" t="s">
        <v>81</v>
      </c>
      <c r="F3485" s="11" t="s">
        <v>26</v>
      </c>
      <c r="G3485" s="11" t="s">
        <v>26</v>
      </c>
      <c r="H3485" s="12" t="s">
        <v>4422</v>
      </c>
      <c r="I3485" s="12" t="s">
        <v>27</v>
      </c>
      <c r="J3485" s="12" t="s">
        <v>33</v>
      </c>
      <c r="K3485" s="12" t="s">
        <v>34</v>
      </c>
      <c r="L3485" s="13">
        <v>41.56</v>
      </c>
      <c r="M3485" s="13">
        <v>28</v>
      </c>
      <c r="N3485" s="13">
        <f t="shared" ref="N3485:N3524" si="1464">L3485/M3485</f>
        <v>1.4842857142857144</v>
      </c>
      <c r="O3485" s="13">
        <v>85</v>
      </c>
      <c r="P3485" s="13" t="s">
        <v>30</v>
      </c>
      <c r="Q3485" s="13">
        <v>0</v>
      </c>
      <c r="R3485" s="70">
        <f t="shared" ref="R3485" si="1465">L3485*O3485</f>
        <v>3532.6000000000004</v>
      </c>
      <c r="S3485" s="70">
        <v>38</v>
      </c>
      <c r="T3485" s="70">
        <f t="shared" ref="T3485" si="1466">L3485*S3485</f>
        <v>1579.2800000000002</v>
      </c>
      <c r="U3485" s="70">
        <f t="shared" ref="U3485" si="1467">R3485-T3485</f>
        <v>1953.3200000000002</v>
      </c>
      <c r="V3485" s="70">
        <f>U3485*1</f>
        <v>1953.3200000000002</v>
      </c>
      <c r="W3485" s="70">
        <f t="shared" ref="W3485" si="1468">U3485-V3485</f>
        <v>0</v>
      </c>
      <c r="X3485" s="70">
        <f>L3485*36</f>
        <v>1496.16</v>
      </c>
      <c r="Y3485" s="71">
        <f>+T3485-X3485</f>
        <v>83.120000000000118</v>
      </c>
      <c r="Z3485" s="12" t="s">
        <v>141</v>
      </c>
      <c r="AA3485" s="12" t="s">
        <v>78</v>
      </c>
    </row>
    <row r="3486" spans="1:27" x14ac:dyDescent="0.25">
      <c r="A3486" s="10">
        <v>45710</v>
      </c>
      <c r="B3486" s="11" t="s">
        <v>6263</v>
      </c>
      <c r="C3486" s="11" t="s">
        <v>6264</v>
      </c>
      <c r="D3486" s="11">
        <v>18031</v>
      </c>
      <c r="E3486" s="11" t="s">
        <v>50</v>
      </c>
      <c r="F3486" s="11" t="s">
        <v>26</v>
      </c>
      <c r="G3486" s="11">
        <v>766</v>
      </c>
      <c r="H3486" s="12" t="s">
        <v>163</v>
      </c>
      <c r="I3486" s="12" t="s">
        <v>27</v>
      </c>
      <c r="J3486" s="12" t="s">
        <v>47</v>
      </c>
      <c r="K3486" s="12" t="s">
        <v>48</v>
      </c>
      <c r="L3486" s="13">
        <v>34.799999999999997</v>
      </c>
      <c r="M3486" s="13">
        <v>25</v>
      </c>
      <c r="N3486" s="13">
        <f t="shared" si="1464"/>
        <v>1.3919999999999999</v>
      </c>
      <c r="O3486" s="13" t="s">
        <v>30</v>
      </c>
      <c r="P3486" s="13">
        <v>60</v>
      </c>
      <c r="Q3486" s="13">
        <v>0</v>
      </c>
      <c r="R3486" s="70">
        <f>M3486*P3486</f>
        <v>1500</v>
      </c>
      <c r="S3486" s="70">
        <v>0</v>
      </c>
      <c r="T3486" s="70">
        <f>M3486*S3486</f>
        <v>0</v>
      </c>
      <c r="U3486" s="70">
        <f>R3486-T3486</f>
        <v>1500</v>
      </c>
      <c r="V3486" s="70">
        <f>U3486*0</f>
        <v>0</v>
      </c>
      <c r="W3486" s="70">
        <f>U3486-V3486</f>
        <v>1500</v>
      </c>
      <c r="X3486" s="70">
        <v>0</v>
      </c>
      <c r="Y3486" s="14">
        <f t="shared" ref="Y3486:Y3489" si="1469">T3486-X3486</f>
        <v>0</v>
      </c>
      <c r="Z3486" s="11" t="s">
        <v>26</v>
      </c>
      <c r="AA3486" s="12" t="s">
        <v>31</v>
      </c>
    </row>
    <row r="3487" spans="1:27" x14ac:dyDescent="0.25">
      <c r="A3487" s="10">
        <v>45710</v>
      </c>
      <c r="B3487" s="11" t="s">
        <v>3895</v>
      </c>
      <c r="C3487" s="11" t="s">
        <v>6265</v>
      </c>
      <c r="D3487" s="11">
        <v>18032</v>
      </c>
      <c r="E3487" s="11" t="s">
        <v>184</v>
      </c>
      <c r="F3487" s="11" t="s">
        <v>26</v>
      </c>
      <c r="G3487" s="11">
        <v>1027</v>
      </c>
      <c r="H3487" s="12" t="s">
        <v>141</v>
      </c>
      <c r="I3487" s="12" t="s">
        <v>27</v>
      </c>
      <c r="J3487" s="12" t="s">
        <v>42</v>
      </c>
      <c r="K3487" s="12" t="s">
        <v>43</v>
      </c>
      <c r="L3487" s="13">
        <v>43.04</v>
      </c>
      <c r="M3487" s="13">
        <v>25</v>
      </c>
      <c r="N3487" s="13">
        <f t="shared" si="1464"/>
        <v>1.7216</v>
      </c>
      <c r="O3487" s="13">
        <v>40</v>
      </c>
      <c r="P3487" s="13" t="s">
        <v>30</v>
      </c>
      <c r="Q3487" s="13">
        <v>0</v>
      </c>
      <c r="R3487" s="70">
        <f>L3487*O3487</f>
        <v>1721.6</v>
      </c>
      <c r="S3487" s="70">
        <v>0</v>
      </c>
      <c r="T3487" s="70">
        <f>L3487*S3487</f>
        <v>0</v>
      </c>
      <c r="U3487" s="70">
        <f>R3487-T3487</f>
        <v>1721.6</v>
      </c>
      <c r="V3487" s="70">
        <f>U3487*0</f>
        <v>0</v>
      </c>
      <c r="W3487" s="70">
        <f>U3487-V3487</f>
        <v>1721.6</v>
      </c>
      <c r="X3487" s="70">
        <v>0</v>
      </c>
      <c r="Y3487" s="14">
        <f t="shared" si="1469"/>
        <v>0</v>
      </c>
      <c r="Z3487" s="11" t="s">
        <v>26</v>
      </c>
      <c r="AA3487" s="12" t="s">
        <v>31</v>
      </c>
    </row>
    <row r="3488" spans="1:27" x14ac:dyDescent="0.25">
      <c r="A3488" s="10">
        <v>45710</v>
      </c>
      <c r="B3488" s="11" t="s">
        <v>330</v>
      </c>
      <c r="C3488" s="11" t="s">
        <v>6266</v>
      </c>
      <c r="D3488" s="11">
        <v>18033</v>
      </c>
      <c r="E3488" s="11" t="s">
        <v>224</v>
      </c>
      <c r="F3488" s="11" t="s">
        <v>26</v>
      </c>
      <c r="G3488" s="11">
        <v>3233</v>
      </c>
      <c r="H3488" s="12" t="s">
        <v>4423</v>
      </c>
      <c r="I3488" s="12" t="s">
        <v>27</v>
      </c>
      <c r="J3488" s="12" t="s">
        <v>33</v>
      </c>
      <c r="K3488" s="12" t="s">
        <v>34</v>
      </c>
      <c r="L3488" s="13">
        <v>36.880000000000003</v>
      </c>
      <c r="M3488" s="13">
        <v>25</v>
      </c>
      <c r="N3488" s="13">
        <f t="shared" si="1464"/>
        <v>1.4752000000000001</v>
      </c>
      <c r="O3488" s="13">
        <v>45</v>
      </c>
      <c r="P3488" s="13" t="s">
        <v>30</v>
      </c>
      <c r="Q3488" s="13">
        <v>0</v>
      </c>
      <c r="R3488" s="70">
        <f>+L3488*O3488</f>
        <v>1659.6000000000001</v>
      </c>
      <c r="S3488" s="70">
        <v>0</v>
      </c>
      <c r="T3488" s="70">
        <f>+L3488*S3488</f>
        <v>0</v>
      </c>
      <c r="U3488" s="70">
        <f t="shared" ref="U3488" si="1470">+R3488-T3488</f>
        <v>1659.6000000000001</v>
      </c>
      <c r="V3488" s="70">
        <f>+U3488*1</f>
        <v>1659.6000000000001</v>
      </c>
      <c r="W3488" s="70">
        <f t="shared" ref="W3488" si="1471">+U3488-V3488</f>
        <v>0</v>
      </c>
      <c r="X3488" s="70">
        <v>0</v>
      </c>
      <c r="Y3488" s="14">
        <f t="shared" si="1469"/>
        <v>0</v>
      </c>
      <c r="Z3488" s="11" t="s">
        <v>26</v>
      </c>
      <c r="AA3488" s="12" t="s">
        <v>31</v>
      </c>
    </row>
    <row r="3489" spans="1:27" x14ac:dyDescent="0.25">
      <c r="A3489" s="10">
        <v>45710</v>
      </c>
      <c r="B3489" s="11" t="s">
        <v>6267</v>
      </c>
      <c r="C3489" s="11" t="s">
        <v>6268</v>
      </c>
      <c r="D3489" s="11">
        <v>18034</v>
      </c>
      <c r="E3489" s="11" t="s">
        <v>561</v>
      </c>
      <c r="F3489" s="11" t="s">
        <v>26</v>
      </c>
      <c r="G3489" s="11">
        <v>112942</v>
      </c>
      <c r="H3489" s="12" t="s">
        <v>4446</v>
      </c>
      <c r="I3489" s="12" t="s">
        <v>27</v>
      </c>
      <c r="J3489" s="12" t="s">
        <v>33</v>
      </c>
      <c r="K3489" s="12" t="s">
        <v>34</v>
      </c>
      <c r="L3489" s="13">
        <v>36.159999999999997</v>
      </c>
      <c r="M3489" s="13">
        <v>25</v>
      </c>
      <c r="N3489" s="13">
        <f t="shared" si="1464"/>
        <v>1.4463999999999999</v>
      </c>
      <c r="O3489" s="13">
        <v>44</v>
      </c>
      <c r="P3489" s="13" t="s">
        <v>30</v>
      </c>
      <c r="Q3489" s="13">
        <v>0</v>
      </c>
      <c r="R3489" s="70">
        <f t="shared" ref="R3489" si="1472">+L3489*O3489</f>
        <v>1591.04</v>
      </c>
      <c r="S3489" s="70">
        <v>0</v>
      </c>
      <c r="T3489" s="70">
        <f>+L3489*S3489</f>
        <v>0</v>
      </c>
      <c r="U3489" s="70">
        <f>+R3489-T3489</f>
        <v>1591.04</v>
      </c>
      <c r="V3489" s="70">
        <f>+U3489*1</f>
        <v>1591.04</v>
      </c>
      <c r="W3489" s="70">
        <f>+U3489-V3489</f>
        <v>0</v>
      </c>
      <c r="X3489" s="70">
        <v>0</v>
      </c>
      <c r="Y3489" s="14">
        <f t="shared" si="1469"/>
        <v>0</v>
      </c>
      <c r="Z3489" s="11" t="s">
        <v>26</v>
      </c>
      <c r="AA3489" s="12" t="s">
        <v>31</v>
      </c>
    </row>
    <row r="3490" spans="1:27" x14ac:dyDescent="0.25">
      <c r="A3490" s="10">
        <v>45710</v>
      </c>
      <c r="B3490" s="11" t="s">
        <v>6000</v>
      </c>
      <c r="C3490" s="11" t="s">
        <v>6269</v>
      </c>
      <c r="D3490" s="11">
        <v>18035</v>
      </c>
      <c r="E3490" s="11" t="s">
        <v>501</v>
      </c>
      <c r="F3490" s="11" t="s">
        <v>26</v>
      </c>
      <c r="G3490" s="11" t="s">
        <v>26</v>
      </c>
      <c r="H3490" s="12" t="s">
        <v>4422</v>
      </c>
      <c r="I3490" s="12" t="s">
        <v>27</v>
      </c>
      <c r="J3490" s="12" t="s">
        <v>42</v>
      </c>
      <c r="K3490" s="12" t="s">
        <v>43</v>
      </c>
      <c r="L3490" s="13">
        <v>42.66</v>
      </c>
      <c r="M3490" s="13">
        <v>25</v>
      </c>
      <c r="N3490" s="13">
        <f t="shared" si="1464"/>
        <v>1.7063999999999999</v>
      </c>
      <c r="O3490" s="13">
        <v>83</v>
      </c>
      <c r="P3490" s="13" t="s">
        <v>30</v>
      </c>
      <c r="Q3490" s="13">
        <v>0</v>
      </c>
      <c r="R3490" s="70">
        <f>L3490*O3490</f>
        <v>3540.7799999999997</v>
      </c>
      <c r="S3490" s="70">
        <v>38</v>
      </c>
      <c r="T3490" s="70">
        <f>L3490*S3490</f>
        <v>1621.08</v>
      </c>
      <c r="U3490" s="70">
        <f>R3490-T3490</f>
        <v>1919.6999999999998</v>
      </c>
      <c r="V3490" s="70">
        <f>U3490*1</f>
        <v>1919.6999999999998</v>
      </c>
      <c r="W3490" s="70">
        <f>U3490-V3490</f>
        <v>0</v>
      </c>
      <c r="X3490" s="70">
        <f>L3490*36</f>
        <v>1535.7599999999998</v>
      </c>
      <c r="Y3490" s="71">
        <f>+T3490-X3490</f>
        <v>85.320000000000164</v>
      </c>
      <c r="Z3490" s="12" t="s">
        <v>141</v>
      </c>
      <c r="AA3490" s="12" t="s">
        <v>78</v>
      </c>
    </row>
    <row r="3491" spans="1:27" x14ac:dyDescent="0.25">
      <c r="A3491" s="10">
        <v>45710</v>
      </c>
      <c r="B3491" s="11" t="s">
        <v>1076</v>
      </c>
      <c r="C3491" s="11" t="s">
        <v>6270</v>
      </c>
      <c r="D3491" s="11">
        <v>18036</v>
      </c>
      <c r="E3491" s="11" t="s">
        <v>605</v>
      </c>
      <c r="F3491" s="11" t="s">
        <v>26</v>
      </c>
      <c r="G3491" s="11" t="s">
        <v>26</v>
      </c>
      <c r="H3491" s="12" t="s">
        <v>4422</v>
      </c>
      <c r="I3491" s="12" t="s">
        <v>27</v>
      </c>
      <c r="J3491" s="12" t="s">
        <v>42</v>
      </c>
      <c r="K3491" s="12" t="s">
        <v>43</v>
      </c>
      <c r="L3491" s="13">
        <v>44.58</v>
      </c>
      <c r="M3491" s="13">
        <v>25</v>
      </c>
      <c r="N3491" s="13">
        <f t="shared" si="1464"/>
        <v>1.7831999999999999</v>
      </c>
      <c r="O3491" s="13">
        <v>83</v>
      </c>
      <c r="P3491" s="13" t="s">
        <v>30</v>
      </c>
      <c r="Q3491" s="13">
        <v>0</v>
      </c>
      <c r="R3491" s="70">
        <f>L3491*O3491</f>
        <v>3700.14</v>
      </c>
      <c r="S3491" s="70">
        <v>38</v>
      </c>
      <c r="T3491" s="70">
        <f>L3491*S3491</f>
        <v>1694.04</v>
      </c>
      <c r="U3491" s="70">
        <f>R3491-T3491</f>
        <v>2006.1</v>
      </c>
      <c r="V3491" s="70">
        <f>U3491*1</f>
        <v>2006.1</v>
      </c>
      <c r="W3491" s="70">
        <f>U3491-V3491</f>
        <v>0</v>
      </c>
      <c r="X3491" s="70">
        <f>L3491*36</f>
        <v>1604.8799999999999</v>
      </c>
      <c r="Y3491" s="71">
        <f>+T3491-X3491</f>
        <v>89.160000000000082</v>
      </c>
      <c r="Z3491" s="12" t="s">
        <v>141</v>
      </c>
      <c r="AA3491" s="12" t="s">
        <v>78</v>
      </c>
    </row>
    <row r="3492" spans="1:27" x14ac:dyDescent="0.25">
      <c r="A3492" s="10">
        <v>45710</v>
      </c>
      <c r="B3492" s="11" t="s">
        <v>6271</v>
      </c>
      <c r="C3492" s="11" t="s">
        <v>6272</v>
      </c>
      <c r="D3492" s="11">
        <v>18037</v>
      </c>
      <c r="E3492" s="11" t="s">
        <v>570</v>
      </c>
      <c r="F3492" s="11" t="s">
        <v>26</v>
      </c>
      <c r="G3492" s="11">
        <v>10768</v>
      </c>
      <c r="H3492" s="12" t="s">
        <v>140</v>
      </c>
      <c r="I3492" s="12" t="s">
        <v>27</v>
      </c>
      <c r="J3492" s="12" t="s">
        <v>33</v>
      </c>
      <c r="K3492" s="12" t="s">
        <v>34</v>
      </c>
      <c r="L3492" s="13">
        <v>43.08</v>
      </c>
      <c r="M3492" s="13">
        <v>29</v>
      </c>
      <c r="N3492" s="13">
        <f t="shared" si="1464"/>
        <v>1.4855172413793103</v>
      </c>
      <c r="O3492" s="13">
        <v>40</v>
      </c>
      <c r="P3492" s="13"/>
      <c r="Q3492" s="13">
        <v>0</v>
      </c>
      <c r="R3492" s="70">
        <f>+L3492*O3492</f>
        <v>1723.1999999999998</v>
      </c>
      <c r="S3492" s="70">
        <v>0</v>
      </c>
      <c r="T3492" s="70">
        <f>+L3492*S3492</f>
        <v>0</v>
      </c>
      <c r="U3492" s="70">
        <f>+R3492-T3492</f>
        <v>1723.1999999999998</v>
      </c>
      <c r="V3492" s="70">
        <f t="shared" ref="V3492" si="1473">+U3492*0</f>
        <v>0</v>
      </c>
      <c r="W3492" s="70">
        <f>+U3492-V3492</f>
        <v>1723.1999999999998</v>
      </c>
      <c r="X3492" s="70">
        <v>0</v>
      </c>
      <c r="Y3492" s="14">
        <f t="shared" ref="Y3492" si="1474">T3492-X3492</f>
        <v>0</v>
      </c>
      <c r="Z3492" s="11" t="s">
        <v>26</v>
      </c>
      <c r="AA3492" s="12" t="s">
        <v>31</v>
      </c>
    </row>
    <row r="3493" spans="1:27" x14ac:dyDescent="0.25">
      <c r="A3493" s="10">
        <v>45710</v>
      </c>
      <c r="B3493" s="11" t="s">
        <v>6273</v>
      </c>
      <c r="C3493" s="11" t="s">
        <v>6274</v>
      </c>
      <c r="D3493" s="11">
        <v>18038</v>
      </c>
      <c r="E3493" s="11" t="s">
        <v>53</v>
      </c>
      <c r="F3493" s="11" t="s">
        <v>26</v>
      </c>
      <c r="G3493" s="11" t="s">
        <v>26</v>
      </c>
      <c r="H3493" s="12" t="s">
        <v>4422</v>
      </c>
      <c r="I3493" s="12" t="s">
        <v>27</v>
      </c>
      <c r="J3493" s="12" t="s">
        <v>33</v>
      </c>
      <c r="K3493" s="12" t="s">
        <v>34</v>
      </c>
      <c r="L3493" s="13">
        <v>44.32</v>
      </c>
      <c r="M3493" s="13">
        <v>30</v>
      </c>
      <c r="N3493" s="13">
        <f t="shared" si="1464"/>
        <v>1.4773333333333334</v>
      </c>
      <c r="O3493" s="13">
        <v>85</v>
      </c>
      <c r="P3493" s="13" t="s">
        <v>30</v>
      </c>
      <c r="Q3493" s="13">
        <v>0</v>
      </c>
      <c r="R3493" s="70">
        <f t="shared" ref="R3493" si="1475">L3493*O3493</f>
        <v>3767.2</v>
      </c>
      <c r="S3493" s="70">
        <v>38</v>
      </c>
      <c r="T3493" s="70">
        <f t="shared" ref="T3493" si="1476">L3493*S3493</f>
        <v>1684.16</v>
      </c>
      <c r="U3493" s="70">
        <f t="shared" ref="U3493" si="1477">R3493-T3493</f>
        <v>2083.04</v>
      </c>
      <c r="V3493" s="70">
        <f>U3493*1</f>
        <v>2083.04</v>
      </c>
      <c r="W3493" s="70">
        <f t="shared" ref="W3493" si="1478">U3493-V3493</f>
        <v>0</v>
      </c>
      <c r="X3493" s="70">
        <f>L3493*37</f>
        <v>1639.84</v>
      </c>
      <c r="Y3493" s="71">
        <f>+T3493-X3493</f>
        <v>44.320000000000164</v>
      </c>
      <c r="Z3493" s="12" t="s">
        <v>41</v>
      </c>
      <c r="AA3493" s="12" t="s">
        <v>78</v>
      </c>
    </row>
    <row r="3494" spans="1:27" x14ac:dyDescent="0.25">
      <c r="A3494" s="10">
        <v>45710</v>
      </c>
      <c r="B3494" s="11" t="s">
        <v>6275</v>
      </c>
      <c r="C3494" s="11" t="s">
        <v>6276</v>
      </c>
      <c r="D3494" s="11">
        <v>18039</v>
      </c>
      <c r="E3494" s="11" t="s">
        <v>539</v>
      </c>
      <c r="F3494" s="11" t="s">
        <v>26</v>
      </c>
      <c r="G3494" s="11" t="s">
        <v>26</v>
      </c>
      <c r="H3494" s="12" t="s">
        <v>4422</v>
      </c>
      <c r="I3494" s="12" t="s">
        <v>27</v>
      </c>
      <c r="J3494" s="12" t="s">
        <v>42</v>
      </c>
      <c r="K3494" s="12" t="s">
        <v>43</v>
      </c>
      <c r="L3494" s="13">
        <v>41.3</v>
      </c>
      <c r="M3494" s="13">
        <v>25</v>
      </c>
      <c r="N3494" s="13">
        <f t="shared" si="1464"/>
        <v>1.6519999999999999</v>
      </c>
      <c r="O3494" s="13">
        <v>83</v>
      </c>
      <c r="P3494" s="13" t="s">
        <v>30</v>
      </c>
      <c r="Q3494" s="13">
        <v>0</v>
      </c>
      <c r="R3494" s="70">
        <f>L3494*O3494</f>
        <v>3427.8999999999996</v>
      </c>
      <c r="S3494" s="70">
        <v>38</v>
      </c>
      <c r="T3494" s="70">
        <f>L3494*S3494</f>
        <v>1569.3999999999999</v>
      </c>
      <c r="U3494" s="70">
        <f>R3494-T3494</f>
        <v>1858.4999999999998</v>
      </c>
      <c r="V3494" s="70">
        <f>U3494*1</f>
        <v>1858.4999999999998</v>
      </c>
      <c r="W3494" s="70">
        <f>U3494-V3494</f>
        <v>0</v>
      </c>
      <c r="X3494" s="70">
        <f>L3494*37</f>
        <v>1528.1</v>
      </c>
      <c r="Y3494" s="71">
        <f>+T3494-X3494</f>
        <v>41.299999999999955</v>
      </c>
      <c r="Z3494" s="12" t="s">
        <v>41</v>
      </c>
      <c r="AA3494" s="12" t="s">
        <v>78</v>
      </c>
    </row>
    <row r="3495" spans="1:27" x14ac:dyDescent="0.25">
      <c r="A3495" s="10">
        <v>45710</v>
      </c>
      <c r="B3495" s="11" t="s">
        <v>6277</v>
      </c>
      <c r="C3495" s="11" t="s">
        <v>6278</v>
      </c>
      <c r="D3495" s="11">
        <v>18040</v>
      </c>
      <c r="E3495" s="11" t="s">
        <v>246</v>
      </c>
      <c r="F3495" s="11" t="s">
        <v>26</v>
      </c>
      <c r="G3495" s="11" t="s">
        <v>26</v>
      </c>
      <c r="H3495" s="12" t="s">
        <v>4422</v>
      </c>
      <c r="I3495" s="12" t="s">
        <v>27</v>
      </c>
      <c r="J3495" s="12" t="s">
        <v>42</v>
      </c>
      <c r="K3495" s="12" t="s">
        <v>43</v>
      </c>
      <c r="L3495" s="13">
        <v>43.76</v>
      </c>
      <c r="M3495" s="13">
        <v>25</v>
      </c>
      <c r="N3495" s="13">
        <f t="shared" si="1464"/>
        <v>1.7504</v>
      </c>
      <c r="O3495" s="13">
        <v>83</v>
      </c>
      <c r="P3495" s="13" t="s">
        <v>30</v>
      </c>
      <c r="Q3495" s="13">
        <v>0</v>
      </c>
      <c r="R3495" s="70">
        <f>L3495*O3495</f>
        <v>3632.08</v>
      </c>
      <c r="S3495" s="70">
        <v>38</v>
      </c>
      <c r="T3495" s="70">
        <f>L3495*S3495</f>
        <v>1662.8799999999999</v>
      </c>
      <c r="U3495" s="70">
        <f>R3495-T3495</f>
        <v>1969.2</v>
      </c>
      <c r="V3495" s="70">
        <f>U3495*1</f>
        <v>1969.2</v>
      </c>
      <c r="W3495" s="70">
        <f>U3495-V3495</f>
        <v>0</v>
      </c>
      <c r="X3495" s="70">
        <f>L3495*37</f>
        <v>1619.12</v>
      </c>
      <c r="Y3495" s="71">
        <f>+T3495-X3495</f>
        <v>43.759999999999991</v>
      </c>
      <c r="Z3495" s="12" t="s">
        <v>41</v>
      </c>
      <c r="AA3495" s="12" t="s">
        <v>78</v>
      </c>
    </row>
    <row r="3496" spans="1:27" x14ac:dyDescent="0.25">
      <c r="A3496" s="10">
        <v>45710</v>
      </c>
      <c r="B3496" s="11" t="s">
        <v>6279</v>
      </c>
      <c r="C3496" s="11" t="s">
        <v>6280</v>
      </c>
      <c r="D3496" s="11">
        <v>18041</v>
      </c>
      <c r="E3496" s="11" t="s">
        <v>177</v>
      </c>
      <c r="F3496" s="11" t="s">
        <v>26</v>
      </c>
      <c r="G3496" s="11">
        <v>1160</v>
      </c>
      <c r="H3496" s="12" t="s">
        <v>141</v>
      </c>
      <c r="I3496" s="12" t="s">
        <v>55</v>
      </c>
      <c r="J3496" s="12" t="s">
        <v>55</v>
      </c>
      <c r="K3496" s="12" t="s">
        <v>56</v>
      </c>
      <c r="L3496" s="13">
        <v>39.9</v>
      </c>
      <c r="M3496" s="13">
        <v>25</v>
      </c>
      <c r="N3496" s="13">
        <f t="shared" si="1464"/>
        <v>1.5959999999999999</v>
      </c>
      <c r="O3496" s="13">
        <v>15</v>
      </c>
      <c r="P3496" s="13" t="s">
        <v>30</v>
      </c>
      <c r="Q3496" s="13">
        <v>0</v>
      </c>
      <c r="R3496" s="70">
        <f>L3496*O3496</f>
        <v>598.5</v>
      </c>
      <c r="S3496" s="70">
        <v>0</v>
      </c>
      <c r="T3496" s="70">
        <f>L3496*S3496</f>
        <v>0</v>
      </c>
      <c r="U3496" s="70">
        <f>R3496-T3496</f>
        <v>598.5</v>
      </c>
      <c r="V3496" s="70">
        <f>U3496*0</f>
        <v>0</v>
      </c>
      <c r="W3496" s="70">
        <f>U3496-V3496</f>
        <v>598.5</v>
      </c>
      <c r="X3496" s="70">
        <v>0</v>
      </c>
      <c r="Y3496" s="14">
        <f t="shared" ref="Y3496:Y3499" si="1479">T3496-X3496</f>
        <v>0</v>
      </c>
      <c r="Z3496" s="11" t="s">
        <v>26</v>
      </c>
      <c r="AA3496" s="12" t="s">
        <v>31</v>
      </c>
    </row>
    <row r="3497" spans="1:27" x14ac:dyDescent="0.25">
      <c r="A3497" s="10">
        <v>45710</v>
      </c>
      <c r="B3497" s="11" t="s">
        <v>6281</v>
      </c>
      <c r="C3497" s="11" t="s">
        <v>6282</v>
      </c>
      <c r="D3497" s="11">
        <v>18042</v>
      </c>
      <c r="E3497" s="11" t="s">
        <v>231</v>
      </c>
      <c r="F3497" s="11" t="s">
        <v>26</v>
      </c>
      <c r="G3497" s="11">
        <v>78451</v>
      </c>
      <c r="H3497" s="12" t="s">
        <v>4448</v>
      </c>
      <c r="I3497" s="12" t="s">
        <v>27</v>
      </c>
      <c r="J3497" s="12" t="s">
        <v>42</v>
      </c>
      <c r="K3497" s="12" t="s">
        <v>43</v>
      </c>
      <c r="L3497" s="13">
        <v>42.06</v>
      </c>
      <c r="M3497" s="13">
        <v>25</v>
      </c>
      <c r="N3497" s="13">
        <f t="shared" si="1464"/>
        <v>1.6824000000000001</v>
      </c>
      <c r="O3497" s="13">
        <v>42.5</v>
      </c>
      <c r="P3497" s="13"/>
      <c r="Q3497" s="13">
        <v>0</v>
      </c>
      <c r="R3497" s="70">
        <f>+L3497*O3497</f>
        <v>1787.5500000000002</v>
      </c>
      <c r="S3497" s="70">
        <v>0</v>
      </c>
      <c r="T3497" s="70">
        <f>+L3497*S3497</f>
        <v>0</v>
      </c>
      <c r="U3497" s="70">
        <f>+R3497-T3497</f>
        <v>1787.5500000000002</v>
      </c>
      <c r="V3497" s="70">
        <f>+U3497*0.75</f>
        <v>1340.6625000000001</v>
      </c>
      <c r="W3497" s="70">
        <f>+U3497-V3497</f>
        <v>446.88750000000005</v>
      </c>
      <c r="X3497" s="70">
        <v>0</v>
      </c>
      <c r="Y3497" s="14">
        <f t="shared" si="1479"/>
        <v>0</v>
      </c>
      <c r="Z3497" s="11" t="s">
        <v>26</v>
      </c>
      <c r="AA3497" s="12" t="s">
        <v>31</v>
      </c>
    </row>
    <row r="3498" spans="1:27" x14ac:dyDescent="0.25">
      <c r="A3498" s="10">
        <v>45710</v>
      </c>
      <c r="B3498" s="11" t="s">
        <v>6283</v>
      </c>
      <c r="C3498" s="11" t="s">
        <v>6284</v>
      </c>
      <c r="D3498" s="11">
        <v>18043</v>
      </c>
      <c r="E3498" s="11" t="s">
        <v>52</v>
      </c>
      <c r="F3498" s="11" t="s">
        <v>26</v>
      </c>
      <c r="G3498" s="11">
        <v>1161</v>
      </c>
      <c r="H3498" s="12" t="s">
        <v>141</v>
      </c>
      <c r="I3498" s="12" t="s">
        <v>55</v>
      </c>
      <c r="J3498" s="12" t="s">
        <v>55</v>
      </c>
      <c r="K3498" s="12" t="s">
        <v>56</v>
      </c>
      <c r="L3498" s="13">
        <v>41.18</v>
      </c>
      <c r="M3498" s="13">
        <v>25</v>
      </c>
      <c r="N3498" s="13">
        <f t="shared" si="1464"/>
        <v>1.6472</v>
      </c>
      <c r="O3498" s="13">
        <v>15</v>
      </c>
      <c r="P3498" s="13" t="s">
        <v>30</v>
      </c>
      <c r="Q3498" s="13">
        <v>0</v>
      </c>
      <c r="R3498" s="70">
        <f>L3498*O3498</f>
        <v>617.70000000000005</v>
      </c>
      <c r="S3498" s="70">
        <v>0</v>
      </c>
      <c r="T3498" s="70">
        <f>L3498*S3498</f>
        <v>0</v>
      </c>
      <c r="U3498" s="70">
        <f>R3498-T3498</f>
        <v>617.70000000000005</v>
      </c>
      <c r="V3498" s="70">
        <f>U3498*0</f>
        <v>0</v>
      </c>
      <c r="W3498" s="70">
        <f>U3498-V3498</f>
        <v>617.70000000000005</v>
      </c>
      <c r="X3498" s="70">
        <v>0</v>
      </c>
      <c r="Y3498" s="14">
        <f t="shared" si="1479"/>
        <v>0</v>
      </c>
      <c r="Z3498" s="11" t="s">
        <v>26</v>
      </c>
      <c r="AA3498" s="12" t="s">
        <v>31</v>
      </c>
    </row>
    <row r="3499" spans="1:27" x14ac:dyDescent="0.25">
      <c r="A3499" s="10">
        <v>45710</v>
      </c>
      <c r="B3499" s="11" t="s">
        <v>6285</v>
      </c>
      <c r="C3499" s="11" t="s">
        <v>6286</v>
      </c>
      <c r="D3499" s="11">
        <v>18044</v>
      </c>
      <c r="E3499" s="11" t="s">
        <v>64</v>
      </c>
      <c r="F3499" s="11" t="s">
        <v>26</v>
      </c>
      <c r="G3499" s="11">
        <v>1162</v>
      </c>
      <c r="H3499" s="12" t="s">
        <v>141</v>
      </c>
      <c r="I3499" s="12" t="s">
        <v>55</v>
      </c>
      <c r="J3499" s="12" t="s">
        <v>55</v>
      </c>
      <c r="K3499" s="12" t="s">
        <v>56</v>
      </c>
      <c r="L3499" s="13">
        <v>40.22</v>
      </c>
      <c r="M3499" s="13">
        <v>25</v>
      </c>
      <c r="N3499" s="13">
        <f t="shared" si="1464"/>
        <v>1.6088</v>
      </c>
      <c r="O3499" s="13">
        <v>15</v>
      </c>
      <c r="P3499" s="13" t="s">
        <v>30</v>
      </c>
      <c r="Q3499" s="13">
        <v>0</v>
      </c>
      <c r="R3499" s="70">
        <f>L3499*O3499</f>
        <v>603.29999999999995</v>
      </c>
      <c r="S3499" s="70">
        <v>0</v>
      </c>
      <c r="T3499" s="70">
        <f>L3499*S3499</f>
        <v>0</v>
      </c>
      <c r="U3499" s="70">
        <f>R3499-T3499</f>
        <v>603.29999999999995</v>
      </c>
      <c r="V3499" s="70">
        <f>U3499*0</f>
        <v>0</v>
      </c>
      <c r="W3499" s="70">
        <f>U3499-V3499</f>
        <v>603.29999999999995</v>
      </c>
      <c r="X3499" s="70">
        <v>0</v>
      </c>
      <c r="Y3499" s="14">
        <f t="shared" si="1479"/>
        <v>0</v>
      </c>
      <c r="Z3499" s="11" t="s">
        <v>26</v>
      </c>
      <c r="AA3499" s="12" t="s">
        <v>31</v>
      </c>
    </row>
    <row r="3500" spans="1:27" x14ac:dyDescent="0.25">
      <c r="A3500" s="10">
        <v>45710</v>
      </c>
      <c r="B3500" s="11" t="s">
        <v>6287</v>
      </c>
      <c r="C3500" s="11" t="s">
        <v>6288</v>
      </c>
      <c r="D3500" s="11">
        <v>18045</v>
      </c>
      <c r="E3500" s="11" t="s">
        <v>57</v>
      </c>
      <c r="F3500" s="11" t="s">
        <v>26</v>
      </c>
      <c r="G3500" s="11" t="s">
        <v>26</v>
      </c>
      <c r="H3500" s="12" t="s">
        <v>146</v>
      </c>
      <c r="I3500" s="12" t="s">
        <v>27</v>
      </c>
      <c r="J3500" s="12" t="s">
        <v>42</v>
      </c>
      <c r="K3500" s="12" t="s">
        <v>43</v>
      </c>
      <c r="L3500" s="13">
        <v>42.66</v>
      </c>
      <c r="M3500" s="13">
        <v>25</v>
      </c>
      <c r="N3500" s="13">
        <f t="shared" si="1464"/>
        <v>1.7063999999999999</v>
      </c>
      <c r="O3500" s="13">
        <v>91</v>
      </c>
      <c r="P3500" s="13" t="s">
        <v>30</v>
      </c>
      <c r="Q3500" s="13">
        <v>0</v>
      </c>
      <c r="R3500" s="70">
        <f>+L3500*O3500</f>
        <v>3882.0599999999995</v>
      </c>
      <c r="S3500" s="70">
        <v>40</v>
      </c>
      <c r="T3500" s="70">
        <f>L3500*S3500</f>
        <v>1706.3999999999999</v>
      </c>
      <c r="U3500" s="70">
        <f t="shared" ref="U3500" si="1480">R3500-T3500</f>
        <v>2175.66</v>
      </c>
      <c r="V3500" s="70">
        <f>U3500*1</f>
        <v>2175.66</v>
      </c>
      <c r="W3500" s="70">
        <f t="shared" ref="W3500:W3501" si="1481">U3500-V3500</f>
        <v>0</v>
      </c>
      <c r="X3500" s="70">
        <f>L3500*37</f>
        <v>1578.4199999999998</v>
      </c>
      <c r="Y3500" s="71">
        <f>+T3500-X3500</f>
        <v>127.98000000000002</v>
      </c>
      <c r="Z3500" s="12" t="s">
        <v>41</v>
      </c>
      <c r="AA3500" s="12" t="s">
        <v>79</v>
      </c>
    </row>
    <row r="3501" spans="1:27" x14ac:dyDescent="0.25">
      <c r="A3501" s="10">
        <v>45710</v>
      </c>
      <c r="B3501" s="11" t="s">
        <v>5412</v>
      </c>
      <c r="C3501" s="11" t="s">
        <v>6289</v>
      </c>
      <c r="D3501" s="11">
        <v>18046</v>
      </c>
      <c r="E3501" s="11" t="s">
        <v>1200</v>
      </c>
      <c r="F3501" s="11" t="s">
        <v>26</v>
      </c>
      <c r="G3501" s="11">
        <v>2989</v>
      </c>
      <c r="H3501" s="12" t="s">
        <v>163</v>
      </c>
      <c r="I3501" s="12" t="s">
        <v>27</v>
      </c>
      <c r="J3501" s="12" t="s">
        <v>42</v>
      </c>
      <c r="K3501" s="12" t="s">
        <v>43</v>
      </c>
      <c r="L3501" s="13">
        <v>40.9</v>
      </c>
      <c r="M3501" s="13">
        <v>25</v>
      </c>
      <c r="N3501" s="13">
        <f t="shared" si="1464"/>
        <v>1.6359999999999999</v>
      </c>
      <c r="O3501" s="13" t="s">
        <v>30</v>
      </c>
      <c r="P3501" s="13">
        <v>64</v>
      </c>
      <c r="Q3501" s="13">
        <v>0</v>
      </c>
      <c r="R3501" s="70">
        <f>M3501*P3501</f>
        <v>1600</v>
      </c>
      <c r="S3501" s="70">
        <v>0</v>
      </c>
      <c r="T3501" s="70">
        <f>M3501*S3501</f>
        <v>0</v>
      </c>
      <c r="U3501" s="70">
        <f>R3501-T3501</f>
        <v>1600</v>
      </c>
      <c r="V3501" s="70">
        <f t="shared" ref="V3501" si="1482">U3501*0</f>
        <v>0</v>
      </c>
      <c r="W3501" s="70">
        <f t="shared" si="1481"/>
        <v>1600</v>
      </c>
      <c r="X3501" s="70">
        <v>0</v>
      </c>
      <c r="Y3501" s="14">
        <f t="shared" ref="Y3501:Y3511" si="1483">T3501-X3501</f>
        <v>0</v>
      </c>
      <c r="Z3501" s="11" t="s">
        <v>26</v>
      </c>
      <c r="AA3501" s="12" t="s">
        <v>31</v>
      </c>
    </row>
    <row r="3502" spans="1:27" x14ac:dyDescent="0.25">
      <c r="A3502" s="10">
        <v>45710</v>
      </c>
      <c r="B3502" s="11" t="s">
        <v>6290</v>
      </c>
      <c r="C3502" s="11" t="s">
        <v>6291</v>
      </c>
      <c r="D3502" s="11">
        <v>18047</v>
      </c>
      <c r="E3502" s="11" t="s">
        <v>240</v>
      </c>
      <c r="F3502" s="11" t="s">
        <v>26</v>
      </c>
      <c r="G3502" s="11">
        <v>3011</v>
      </c>
      <c r="H3502" s="12" t="s">
        <v>41</v>
      </c>
      <c r="I3502" s="12" t="s">
        <v>27</v>
      </c>
      <c r="J3502" s="12" t="s">
        <v>33</v>
      </c>
      <c r="K3502" s="12" t="s">
        <v>34</v>
      </c>
      <c r="L3502" s="13">
        <v>38.6</v>
      </c>
      <c r="M3502" s="13">
        <v>25</v>
      </c>
      <c r="N3502" s="13">
        <f t="shared" si="1464"/>
        <v>1.544</v>
      </c>
      <c r="O3502" s="13" t="s">
        <v>30</v>
      </c>
      <c r="P3502" s="13">
        <v>60</v>
      </c>
      <c r="Q3502" s="13">
        <v>0</v>
      </c>
      <c r="R3502" s="70">
        <f>M3502*P3502</f>
        <v>1500</v>
      </c>
      <c r="S3502" s="70">
        <v>0</v>
      </c>
      <c r="T3502" s="70">
        <f>M3502*S3502</f>
        <v>0</v>
      </c>
      <c r="U3502" s="70">
        <f t="shared" ref="U3502" si="1484">+R3502-T3502</f>
        <v>1500</v>
      </c>
      <c r="V3502" s="70">
        <f>+U3502*0</f>
        <v>0</v>
      </c>
      <c r="W3502" s="70">
        <f t="shared" ref="W3502" si="1485">+U3502-V3502</f>
        <v>1500</v>
      </c>
      <c r="X3502" s="70">
        <v>0</v>
      </c>
      <c r="Y3502" s="14">
        <f t="shared" si="1483"/>
        <v>0</v>
      </c>
      <c r="Z3502" s="11" t="s">
        <v>26</v>
      </c>
      <c r="AA3502" s="12" t="s">
        <v>31</v>
      </c>
    </row>
    <row r="3503" spans="1:27" x14ac:dyDescent="0.25">
      <c r="A3503" s="10">
        <v>45710</v>
      </c>
      <c r="B3503" s="11" t="s">
        <v>6292</v>
      </c>
      <c r="C3503" s="11" t="s">
        <v>6293</v>
      </c>
      <c r="D3503" s="11">
        <v>18048</v>
      </c>
      <c r="E3503" s="11" t="s">
        <v>80</v>
      </c>
      <c r="F3503" s="11" t="s">
        <v>26</v>
      </c>
      <c r="G3503" s="11">
        <v>10903</v>
      </c>
      <c r="H3503" s="12" t="s">
        <v>140</v>
      </c>
      <c r="I3503" s="12" t="s">
        <v>27</v>
      </c>
      <c r="J3503" s="12" t="s">
        <v>33</v>
      </c>
      <c r="K3503" s="12" t="s">
        <v>34</v>
      </c>
      <c r="L3503" s="13">
        <v>41.04</v>
      </c>
      <c r="M3503" s="13">
        <v>28</v>
      </c>
      <c r="N3503" s="13">
        <f t="shared" si="1464"/>
        <v>1.4657142857142857</v>
      </c>
      <c r="O3503" s="13">
        <v>40</v>
      </c>
      <c r="P3503" s="13"/>
      <c r="Q3503" s="13">
        <v>0</v>
      </c>
      <c r="R3503" s="70">
        <f>+L3503*O3503</f>
        <v>1641.6</v>
      </c>
      <c r="S3503" s="70">
        <v>0</v>
      </c>
      <c r="T3503" s="70">
        <f>+L3503*S3503</f>
        <v>0</v>
      </c>
      <c r="U3503" s="70">
        <f>+R3503-T3503</f>
        <v>1641.6</v>
      </c>
      <c r="V3503" s="70">
        <f t="shared" ref="V3503" si="1486">+U3503*0</f>
        <v>0</v>
      </c>
      <c r="W3503" s="70">
        <f>+U3503-V3503</f>
        <v>1641.6</v>
      </c>
      <c r="X3503" s="70">
        <v>0</v>
      </c>
      <c r="Y3503" s="14">
        <f t="shared" si="1483"/>
        <v>0</v>
      </c>
      <c r="Z3503" s="11" t="s">
        <v>26</v>
      </c>
      <c r="AA3503" s="12" t="s">
        <v>31</v>
      </c>
    </row>
    <row r="3504" spans="1:27" x14ac:dyDescent="0.25">
      <c r="A3504" s="10">
        <v>45710</v>
      </c>
      <c r="B3504" s="11" t="s">
        <v>6294</v>
      </c>
      <c r="C3504" s="11" t="s">
        <v>6295</v>
      </c>
      <c r="D3504" s="11">
        <v>18049</v>
      </c>
      <c r="E3504" s="11" t="s">
        <v>60</v>
      </c>
      <c r="F3504" s="11" t="s">
        <v>26</v>
      </c>
      <c r="G3504" s="11" t="s">
        <v>35</v>
      </c>
      <c r="H3504" s="12" t="s">
        <v>36</v>
      </c>
      <c r="I3504" s="12" t="s">
        <v>27</v>
      </c>
      <c r="J3504" s="12" t="s">
        <v>42</v>
      </c>
      <c r="K3504" s="12" t="s">
        <v>43</v>
      </c>
      <c r="L3504" s="13">
        <v>3.56</v>
      </c>
      <c r="M3504" s="13">
        <v>2</v>
      </c>
      <c r="N3504" s="13">
        <f t="shared" si="1464"/>
        <v>1.78</v>
      </c>
      <c r="O3504" s="13">
        <v>45</v>
      </c>
      <c r="P3504" s="13" t="s">
        <v>30</v>
      </c>
      <c r="Q3504" s="13">
        <v>0</v>
      </c>
      <c r="R3504" s="70">
        <f>(L3504*O3504)-Q3504</f>
        <v>160.19999999999999</v>
      </c>
      <c r="S3504" s="70">
        <v>0</v>
      </c>
      <c r="T3504" s="70">
        <f t="shared" ref="T3504:T3505" si="1487">+L3504*S3504</f>
        <v>0</v>
      </c>
      <c r="U3504" s="70">
        <f t="shared" ref="U3504:U3505" si="1488">+R3504-T3504</f>
        <v>160.19999999999999</v>
      </c>
      <c r="V3504" s="70">
        <f>+U3504*0</f>
        <v>0</v>
      </c>
      <c r="W3504" s="70">
        <f t="shared" ref="W3504:W3505" si="1489">+U3504-V3504</f>
        <v>160.19999999999999</v>
      </c>
      <c r="X3504" s="70">
        <v>0</v>
      </c>
      <c r="Y3504" s="14">
        <f t="shared" si="1483"/>
        <v>0</v>
      </c>
      <c r="Z3504" s="11" t="s">
        <v>26</v>
      </c>
      <c r="AA3504" s="12" t="s">
        <v>31</v>
      </c>
    </row>
    <row r="3505" spans="1:27" x14ac:dyDescent="0.25">
      <c r="A3505" s="10">
        <v>45710</v>
      </c>
      <c r="B3505" s="11" t="s">
        <v>2010</v>
      </c>
      <c r="C3505" s="11" t="s">
        <v>6296</v>
      </c>
      <c r="D3505" s="11">
        <v>18050</v>
      </c>
      <c r="E3505" s="11" t="s">
        <v>61</v>
      </c>
      <c r="F3505" s="11" t="s">
        <v>26</v>
      </c>
      <c r="G3505" s="11" t="s">
        <v>35</v>
      </c>
      <c r="H3505" s="12" t="s">
        <v>36</v>
      </c>
      <c r="I3505" s="12" t="s">
        <v>27</v>
      </c>
      <c r="J3505" s="12" t="s">
        <v>33</v>
      </c>
      <c r="K3505" s="12" t="s">
        <v>34</v>
      </c>
      <c r="L3505" s="13">
        <v>8.8000000000000007</v>
      </c>
      <c r="M3505" s="13">
        <v>6</v>
      </c>
      <c r="N3505" s="13">
        <f t="shared" si="1464"/>
        <v>1.4666666666666668</v>
      </c>
      <c r="O3505" s="13">
        <v>50</v>
      </c>
      <c r="P3505" s="13" t="s">
        <v>30</v>
      </c>
      <c r="Q3505" s="13">
        <v>0</v>
      </c>
      <c r="R3505" s="70">
        <f>(L3505*O3505)-Q3505</f>
        <v>440.00000000000006</v>
      </c>
      <c r="S3505" s="70">
        <v>0</v>
      </c>
      <c r="T3505" s="70">
        <f t="shared" si="1487"/>
        <v>0</v>
      </c>
      <c r="U3505" s="70">
        <f t="shared" si="1488"/>
        <v>440.00000000000006</v>
      </c>
      <c r="V3505" s="70">
        <f t="shared" ref="V3505" si="1490">+U3505*0</f>
        <v>0</v>
      </c>
      <c r="W3505" s="70">
        <f t="shared" si="1489"/>
        <v>440.00000000000006</v>
      </c>
      <c r="X3505" s="70">
        <v>0</v>
      </c>
      <c r="Y3505" s="14">
        <f t="shared" si="1483"/>
        <v>0</v>
      </c>
      <c r="Z3505" s="11" t="s">
        <v>26</v>
      </c>
      <c r="AA3505" s="12" t="s">
        <v>31</v>
      </c>
    </row>
    <row r="3506" spans="1:27" x14ac:dyDescent="0.25">
      <c r="A3506" s="10">
        <v>45710</v>
      </c>
      <c r="B3506" s="11" t="s">
        <v>321</v>
      </c>
      <c r="C3506" s="11" t="s">
        <v>6297</v>
      </c>
      <c r="D3506" s="11">
        <v>18051</v>
      </c>
      <c r="E3506" s="11" t="s">
        <v>5194</v>
      </c>
      <c r="F3506" s="11" t="s">
        <v>26</v>
      </c>
      <c r="G3506" s="11">
        <v>78007</v>
      </c>
      <c r="H3506" s="12" t="s">
        <v>4448</v>
      </c>
      <c r="I3506" s="12" t="s">
        <v>37</v>
      </c>
      <c r="J3506" s="12" t="s">
        <v>599</v>
      </c>
      <c r="K3506" s="12" t="s">
        <v>6298</v>
      </c>
      <c r="L3506" s="13">
        <v>36.68</v>
      </c>
      <c r="M3506" s="13">
        <v>25</v>
      </c>
      <c r="N3506" s="13">
        <f t="shared" si="1464"/>
        <v>1.4672000000000001</v>
      </c>
      <c r="O3506" s="13">
        <v>31</v>
      </c>
      <c r="P3506" s="13" t="s">
        <v>30</v>
      </c>
      <c r="Q3506" s="13">
        <v>0</v>
      </c>
      <c r="R3506" s="70">
        <f>+L3506*O3506</f>
        <v>1137.08</v>
      </c>
      <c r="S3506" s="70">
        <v>0</v>
      </c>
      <c r="T3506" s="70">
        <f>+L3506*S3506</f>
        <v>0</v>
      </c>
      <c r="U3506" s="70">
        <f>+R3506-T3506</f>
        <v>1137.08</v>
      </c>
      <c r="V3506" s="70">
        <f>+U3506*0.75</f>
        <v>852.81</v>
      </c>
      <c r="W3506" s="70">
        <f>+U3506-V3506</f>
        <v>284.27</v>
      </c>
      <c r="X3506" s="70">
        <v>0</v>
      </c>
      <c r="Y3506" s="14">
        <f t="shared" si="1483"/>
        <v>0</v>
      </c>
      <c r="Z3506" s="11" t="s">
        <v>26</v>
      </c>
      <c r="AA3506" s="12" t="s">
        <v>31</v>
      </c>
    </row>
    <row r="3507" spans="1:27" x14ac:dyDescent="0.25">
      <c r="A3507" s="10">
        <v>45710</v>
      </c>
      <c r="B3507" s="11" t="s">
        <v>1133</v>
      </c>
      <c r="C3507" s="11" t="s">
        <v>6299</v>
      </c>
      <c r="D3507" s="11">
        <v>18052</v>
      </c>
      <c r="E3507" s="11" t="s">
        <v>77</v>
      </c>
      <c r="F3507" s="11" t="s">
        <v>26</v>
      </c>
      <c r="G3507" s="11">
        <v>112939</v>
      </c>
      <c r="H3507" s="12" t="s">
        <v>4446</v>
      </c>
      <c r="I3507" s="12" t="s">
        <v>27</v>
      </c>
      <c r="J3507" s="12" t="s">
        <v>33</v>
      </c>
      <c r="K3507" s="12" t="s">
        <v>34</v>
      </c>
      <c r="L3507" s="13">
        <v>35.880000000000003</v>
      </c>
      <c r="M3507" s="13">
        <v>25</v>
      </c>
      <c r="N3507" s="13">
        <f t="shared" si="1464"/>
        <v>1.4352</v>
      </c>
      <c r="O3507" s="13">
        <v>44</v>
      </c>
      <c r="P3507" s="13" t="s">
        <v>30</v>
      </c>
      <c r="Q3507" s="13">
        <v>0</v>
      </c>
      <c r="R3507" s="70">
        <f t="shared" ref="R3507" si="1491">+L3507*O3507</f>
        <v>1578.72</v>
      </c>
      <c r="S3507" s="70">
        <v>0</v>
      </c>
      <c r="T3507" s="70">
        <f>+L3507*S3507</f>
        <v>0</v>
      </c>
      <c r="U3507" s="70">
        <f>+R3507-T3507</f>
        <v>1578.72</v>
      </c>
      <c r="V3507" s="70">
        <f>+U3507*1</f>
        <v>1578.72</v>
      </c>
      <c r="W3507" s="70">
        <f>+U3507-V3507</f>
        <v>0</v>
      </c>
      <c r="X3507" s="70">
        <v>0</v>
      </c>
      <c r="Y3507" s="14">
        <f t="shared" si="1483"/>
        <v>0</v>
      </c>
      <c r="Z3507" s="11" t="s">
        <v>26</v>
      </c>
      <c r="AA3507" s="12" t="s">
        <v>31</v>
      </c>
    </row>
    <row r="3508" spans="1:27" x14ac:dyDescent="0.25">
      <c r="A3508" s="10">
        <v>45710</v>
      </c>
      <c r="B3508" s="11" t="s">
        <v>4186</v>
      </c>
      <c r="C3508" s="11" t="s">
        <v>6300</v>
      </c>
      <c r="D3508" s="11">
        <v>18053</v>
      </c>
      <c r="E3508" s="11" t="s">
        <v>6301</v>
      </c>
      <c r="F3508" s="11" t="s">
        <v>26</v>
      </c>
      <c r="G3508" s="11" t="s">
        <v>35</v>
      </c>
      <c r="H3508" s="12" t="s">
        <v>36</v>
      </c>
      <c r="I3508" s="12" t="s">
        <v>27</v>
      </c>
      <c r="J3508" s="12" t="s">
        <v>47</v>
      </c>
      <c r="K3508" s="12" t="s">
        <v>48</v>
      </c>
      <c r="L3508" s="13">
        <v>15.22</v>
      </c>
      <c r="M3508" s="13">
        <v>10</v>
      </c>
      <c r="N3508" s="13">
        <f t="shared" si="1464"/>
        <v>1.522</v>
      </c>
      <c r="O3508" s="13">
        <v>50</v>
      </c>
      <c r="P3508" s="13" t="s">
        <v>30</v>
      </c>
      <c r="Q3508" s="13">
        <v>0</v>
      </c>
      <c r="R3508" s="70">
        <f>(L3508*O3508)-Q3508</f>
        <v>761</v>
      </c>
      <c r="S3508" s="70">
        <v>0</v>
      </c>
      <c r="T3508" s="70">
        <f t="shared" ref="T3508:T3509" si="1492">+L3508*S3508</f>
        <v>0</v>
      </c>
      <c r="U3508" s="70">
        <f t="shared" ref="U3508:U3509" si="1493">+R3508-T3508</f>
        <v>761</v>
      </c>
      <c r="V3508" s="70">
        <f t="shared" ref="V3508" si="1494">+U3508*0</f>
        <v>0</v>
      </c>
      <c r="W3508" s="70">
        <f t="shared" ref="W3508:W3509" si="1495">+U3508-V3508</f>
        <v>761</v>
      </c>
      <c r="X3508" s="70">
        <v>0</v>
      </c>
      <c r="Y3508" s="14">
        <f t="shared" si="1483"/>
        <v>0</v>
      </c>
      <c r="Z3508" s="11" t="s">
        <v>26</v>
      </c>
      <c r="AA3508" s="12" t="s">
        <v>31</v>
      </c>
    </row>
    <row r="3509" spans="1:27" x14ac:dyDescent="0.25">
      <c r="A3509" s="10">
        <v>45710</v>
      </c>
      <c r="B3509" s="11" t="s">
        <v>6302</v>
      </c>
      <c r="C3509" s="11" t="s">
        <v>6303</v>
      </c>
      <c r="D3509" s="11">
        <v>18054</v>
      </c>
      <c r="E3509" s="11" t="s">
        <v>4762</v>
      </c>
      <c r="F3509" s="11" t="s">
        <v>26</v>
      </c>
      <c r="G3509" s="11" t="s">
        <v>35</v>
      </c>
      <c r="H3509" s="12" t="s">
        <v>36</v>
      </c>
      <c r="I3509" s="12" t="s">
        <v>27</v>
      </c>
      <c r="J3509" s="12" t="s">
        <v>42</v>
      </c>
      <c r="K3509" s="12" t="s">
        <v>43</v>
      </c>
      <c r="L3509" s="13">
        <v>40.68</v>
      </c>
      <c r="M3509" s="13">
        <v>25</v>
      </c>
      <c r="N3509" s="13">
        <f t="shared" si="1464"/>
        <v>1.6272</v>
      </c>
      <c r="O3509" s="13">
        <v>45</v>
      </c>
      <c r="P3509" s="13" t="s">
        <v>30</v>
      </c>
      <c r="Q3509" s="13">
        <v>0</v>
      </c>
      <c r="R3509" s="70">
        <f>(L3509*O3509)-Q3509</f>
        <v>1830.6</v>
      </c>
      <c r="S3509" s="70">
        <v>0</v>
      </c>
      <c r="T3509" s="70">
        <f t="shared" si="1492"/>
        <v>0</v>
      </c>
      <c r="U3509" s="70">
        <f t="shared" si="1493"/>
        <v>1830.6</v>
      </c>
      <c r="V3509" s="70">
        <f>+U3509*0</f>
        <v>0</v>
      </c>
      <c r="W3509" s="70">
        <f t="shared" si="1495"/>
        <v>1830.6</v>
      </c>
      <c r="X3509" s="70">
        <v>0</v>
      </c>
      <c r="Y3509" s="14">
        <f t="shared" si="1483"/>
        <v>0</v>
      </c>
      <c r="Z3509" s="11" t="s">
        <v>26</v>
      </c>
      <c r="AA3509" s="12" t="s">
        <v>31</v>
      </c>
    </row>
    <row r="3510" spans="1:27" x14ac:dyDescent="0.25">
      <c r="A3510" s="10">
        <v>45710</v>
      </c>
      <c r="B3510" s="11" t="s">
        <v>689</v>
      </c>
      <c r="C3510" s="11" t="s">
        <v>6304</v>
      </c>
      <c r="D3510" s="11">
        <v>18055</v>
      </c>
      <c r="E3510" s="11" t="s">
        <v>525</v>
      </c>
      <c r="F3510" s="11" t="s">
        <v>26</v>
      </c>
      <c r="G3510" s="11">
        <v>78556</v>
      </c>
      <c r="H3510" s="12" t="s">
        <v>4448</v>
      </c>
      <c r="I3510" s="12" t="s">
        <v>37</v>
      </c>
      <c r="J3510" s="12" t="s">
        <v>599</v>
      </c>
      <c r="K3510" s="12" t="s">
        <v>6298</v>
      </c>
      <c r="L3510" s="13">
        <v>37.24</v>
      </c>
      <c r="M3510" s="13">
        <v>25</v>
      </c>
      <c r="N3510" s="13">
        <f t="shared" si="1464"/>
        <v>1.4896</v>
      </c>
      <c r="O3510" s="13">
        <v>31</v>
      </c>
      <c r="P3510" s="13" t="s">
        <v>30</v>
      </c>
      <c r="Q3510" s="13">
        <v>0</v>
      </c>
      <c r="R3510" s="70">
        <f>+L3510*O3510</f>
        <v>1154.44</v>
      </c>
      <c r="S3510" s="70">
        <v>0</v>
      </c>
      <c r="T3510" s="70">
        <f>+L3510*S3510</f>
        <v>0</v>
      </c>
      <c r="U3510" s="70">
        <f>+R3510-T3510</f>
        <v>1154.44</v>
      </c>
      <c r="V3510" s="70">
        <f>+U3510*0.75</f>
        <v>865.83</v>
      </c>
      <c r="W3510" s="70">
        <f>+U3510-V3510</f>
        <v>288.61</v>
      </c>
      <c r="X3510" s="70">
        <v>0</v>
      </c>
      <c r="Y3510" s="14">
        <f t="shared" si="1483"/>
        <v>0</v>
      </c>
      <c r="Z3510" s="11" t="s">
        <v>26</v>
      </c>
      <c r="AA3510" s="12" t="s">
        <v>31</v>
      </c>
    </row>
    <row r="3511" spans="1:27" x14ac:dyDescent="0.25">
      <c r="A3511" s="10">
        <v>45710</v>
      </c>
      <c r="B3511" s="11" t="s">
        <v>6305</v>
      </c>
      <c r="C3511" s="11" t="s">
        <v>6306</v>
      </c>
      <c r="D3511" s="11">
        <v>18056</v>
      </c>
      <c r="E3511" s="11" t="s">
        <v>1725</v>
      </c>
      <c r="F3511" s="11" t="s">
        <v>26</v>
      </c>
      <c r="G3511" s="11">
        <v>22555</v>
      </c>
      <c r="H3511" s="12" t="s">
        <v>4448</v>
      </c>
      <c r="I3511" s="12" t="s">
        <v>27</v>
      </c>
      <c r="J3511" s="12" t="s">
        <v>42</v>
      </c>
      <c r="K3511" s="12" t="s">
        <v>43</v>
      </c>
      <c r="L3511" s="13">
        <v>42.22</v>
      </c>
      <c r="M3511" s="13">
        <v>25</v>
      </c>
      <c r="N3511" s="13">
        <f t="shared" si="1464"/>
        <v>1.6887999999999999</v>
      </c>
      <c r="O3511" s="13">
        <v>42.5</v>
      </c>
      <c r="P3511" s="13"/>
      <c r="Q3511" s="13">
        <v>0</v>
      </c>
      <c r="R3511" s="70">
        <f>+L3511*O3511</f>
        <v>1794.35</v>
      </c>
      <c r="S3511" s="70">
        <v>0</v>
      </c>
      <c r="T3511" s="70">
        <f>+L3511*S3511</f>
        <v>0</v>
      </c>
      <c r="U3511" s="70">
        <f>+R3511-T3511</f>
        <v>1794.35</v>
      </c>
      <c r="V3511" s="70">
        <f>+U3511*0.75</f>
        <v>1345.7624999999998</v>
      </c>
      <c r="W3511" s="70">
        <f>+U3511-V3511</f>
        <v>448.58750000000009</v>
      </c>
      <c r="X3511" s="70">
        <v>0</v>
      </c>
      <c r="Y3511" s="14">
        <f t="shared" si="1483"/>
        <v>0</v>
      </c>
      <c r="Z3511" s="11" t="s">
        <v>26</v>
      </c>
      <c r="AA3511" s="12" t="s">
        <v>31</v>
      </c>
    </row>
    <row r="3512" spans="1:27" x14ac:dyDescent="0.25">
      <c r="A3512" s="10">
        <v>45710</v>
      </c>
      <c r="B3512" s="11" t="s">
        <v>646</v>
      </c>
      <c r="C3512" s="11" t="s">
        <v>6307</v>
      </c>
      <c r="D3512" s="11">
        <v>18057</v>
      </c>
      <c r="E3512" s="11" t="s">
        <v>53</v>
      </c>
      <c r="F3512" s="11" t="s">
        <v>26</v>
      </c>
      <c r="G3512" s="11" t="s">
        <v>26</v>
      </c>
      <c r="H3512" s="12" t="s">
        <v>4422</v>
      </c>
      <c r="I3512" s="12" t="s">
        <v>27</v>
      </c>
      <c r="J3512" s="12" t="s">
        <v>47</v>
      </c>
      <c r="K3512" s="12" t="s">
        <v>48</v>
      </c>
      <c r="L3512" s="13">
        <v>43.54</v>
      </c>
      <c r="M3512" s="13">
        <v>30</v>
      </c>
      <c r="N3512" s="13">
        <f t="shared" si="1464"/>
        <v>1.4513333333333334</v>
      </c>
      <c r="O3512" s="13">
        <v>87</v>
      </c>
      <c r="P3512" s="13" t="s">
        <v>30</v>
      </c>
      <c r="Q3512" s="13">
        <v>0</v>
      </c>
      <c r="R3512" s="70">
        <f t="shared" ref="R3512" si="1496">L3512*O3512</f>
        <v>3787.98</v>
      </c>
      <c r="S3512" s="70">
        <v>38</v>
      </c>
      <c r="T3512" s="70">
        <f t="shared" ref="T3512" si="1497">L3512*S3512</f>
        <v>1654.52</v>
      </c>
      <c r="U3512" s="70">
        <f t="shared" ref="U3512" si="1498">R3512-T3512</f>
        <v>2133.46</v>
      </c>
      <c r="V3512" s="70">
        <f>U3512*1</f>
        <v>2133.46</v>
      </c>
      <c r="W3512" s="70">
        <f t="shared" ref="W3512" si="1499">U3512-V3512</f>
        <v>0</v>
      </c>
      <c r="X3512" s="70">
        <f>L3512*37</f>
        <v>1610.98</v>
      </c>
      <c r="Y3512" s="71">
        <f>+T3512-X3512</f>
        <v>43.539999999999964</v>
      </c>
      <c r="Z3512" s="12" t="s">
        <v>41</v>
      </c>
      <c r="AA3512" s="12" t="s">
        <v>78</v>
      </c>
    </row>
    <row r="3513" spans="1:27" x14ac:dyDescent="0.25">
      <c r="A3513" s="10">
        <v>45710</v>
      </c>
      <c r="B3513" s="11" t="s">
        <v>6308</v>
      </c>
      <c r="C3513" s="11" t="s">
        <v>6309</v>
      </c>
      <c r="D3513" s="11">
        <v>18058</v>
      </c>
      <c r="E3513" s="11" t="s">
        <v>231</v>
      </c>
      <c r="F3513" s="11" t="s">
        <v>26</v>
      </c>
      <c r="G3513" s="11">
        <v>78452</v>
      </c>
      <c r="H3513" s="12" t="s">
        <v>4448</v>
      </c>
      <c r="I3513" s="12" t="s">
        <v>27</v>
      </c>
      <c r="J3513" s="12" t="s">
        <v>42</v>
      </c>
      <c r="K3513" s="12" t="s">
        <v>43</v>
      </c>
      <c r="L3513" s="13">
        <v>40.68</v>
      </c>
      <c r="M3513" s="13">
        <v>25</v>
      </c>
      <c r="N3513" s="13">
        <f t="shared" si="1464"/>
        <v>1.6272</v>
      </c>
      <c r="O3513" s="13">
        <v>42.5</v>
      </c>
      <c r="P3513" s="13"/>
      <c r="Q3513" s="13">
        <v>0</v>
      </c>
      <c r="R3513" s="70">
        <f>+L3513*O3513</f>
        <v>1728.9</v>
      </c>
      <c r="S3513" s="70">
        <v>0</v>
      </c>
      <c r="T3513" s="70">
        <f>+L3513*S3513</f>
        <v>0</v>
      </c>
      <c r="U3513" s="70">
        <f>+R3513-T3513</f>
        <v>1728.9</v>
      </c>
      <c r="V3513" s="70">
        <f>+U3513*0.75</f>
        <v>1296.6750000000002</v>
      </c>
      <c r="W3513" s="70">
        <f>+U3513-V3513</f>
        <v>432.22499999999991</v>
      </c>
      <c r="X3513" s="70">
        <v>0</v>
      </c>
      <c r="Y3513" s="14">
        <f t="shared" ref="Y3513:Y3524" si="1500">T3513-X3513</f>
        <v>0</v>
      </c>
      <c r="Z3513" s="11" t="s">
        <v>26</v>
      </c>
      <c r="AA3513" s="12" t="s">
        <v>31</v>
      </c>
    </row>
    <row r="3514" spans="1:27" x14ac:dyDescent="0.25">
      <c r="A3514" s="10">
        <v>45710</v>
      </c>
      <c r="B3514" s="11" t="s">
        <v>344</v>
      </c>
      <c r="C3514" s="11" t="s">
        <v>6310</v>
      </c>
      <c r="D3514" s="11">
        <v>18059</v>
      </c>
      <c r="E3514" s="11" t="s">
        <v>1200</v>
      </c>
      <c r="F3514" s="11" t="s">
        <v>26</v>
      </c>
      <c r="G3514" s="11">
        <v>2990</v>
      </c>
      <c r="H3514" s="12" t="s">
        <v>163</v>
      </c>
      <c r="I3514" s="12" t="s">
        <v>27</v>
      </c>
      <c r="J3514" s="12" t="s">
        <v>42</v>
      </c>
      <c r="K3514" s="12" t="s">
        <v>43</v>
      </c>
      <c r="L3514" s="13">
        <v>42</v>
      </c>
      <c r="M3514" s="13">
        <v>25</v>
      </c>
      <c r="N3514" s="13">
        <f t="shared" si="1464"/>
        <v>1.68</v>
      </c>
      <c r="O3514" s="13" t="s">
        <v>30</v>
      </c>
      <c r="P3514" s="13">
        <v>64</v>
      </c>
      <c r="Q3514" s="13">
        <v>0</v>
      </c>
      <c r="R3514" s="70">
        <f>M3514*P3514</f>
        <v>1600</v>
      </c>
      <c r="S3514" s="70">
        <v>0</v>
      </c>
      <c r="T3514" s="70">
        <f>M3514*S3514</f>
        <v>0</v>
      </c>
      <c r="U3514" s="70">
        <f>R3514-T3514</f>
        <v>1600</v>
      </c>
      <c r="V3514" s="70">
        <f t="shared" ref="V3514" si="1501">U3514*0</f>
        <v>0</v>
      </c>
      <c r="W3514" s="70">
        <f t="shared" ref="W3514" si="1502">U3514-V3514</f>
        <v>1600</v>
      </c>
      <c r="X3514" s="70">
        <v>0</v>
      </c>
      <c r="Y3514" s="14">
        <f t="shared" si="1500"/>
        <v>0</v>
      </c>
      <c r="Z3514" s="11" t="s">
        <v>26</v>
      </c>
      <c r="AA3514" s="12" t="s">
        <v>31</v>
      </c>
    </row>
    <row r="3515" spans="1:27" x14ac:dyDescent="0.25">
      <c r="A3515" s="10">
        <v>45710</v>
      </c>
      <c r="B3515" s="11" t="s">
        <v>6311</v>
      </c>
      <c r="C3515" s="11" t="s">
        <v>6312</v>
      </c>
      <c r="D3515" s="11">
        <v>18060</v>
      </c>
      <c r="E3515" s="11" t="s">
        <v>81</v>
      </c>
      <c r="F3515" s="11" t="s">
        <v>26</v>
      </c>
      <c r="G3515" s="11">
        <v>1222</v>
      </c>
      <c r="H3515" s="12" t="s">
        <v>141</v>
      </c>
      <c r="I3515" s="12" t="s">
        <v>55</v>
      </c>
      <c r="J3515" s="12" t="s">
        <v>55</v>
      </c>
      <c r="K3515" s="12" t="s">
        <v>56</v>
      </c>
      <c r="L3515" s="13">
        <v>41.58</v>
      </c>
      <c r="M3515" s="13">
        <v>25</v>
      </c>
      <c r="N3515" s="13">
        <f t="shared" si="1464"/>
        <v>1.6632</v>
      </c>
      <c r="O3515" s="13">
        <v>15</v>
      </c>
      <c r="P3515" s="13" t="s">
        <v>30</v>
      </c>
      <c r="Q3515" s="13">
        <v>0</v>
      </c>
      <c r="R3515" s="70">
        <f>L3515*O3515</f>
        <v>623.69999999999993</v>
      </c>
      <c r="S3515" s="70">
        <v>0</v>
      </c>
      <c r="T3515" s="70">
        <f>L3515*S3515</f>
        <v>0</v>
      </c>
      <c r="U3515" s="70">
        <f>R3515-T3515</f>
        <v>623.69999999999993</v>
      </c>
      <c r="V3515" s="70">
        <f>U3515*0</f>
        <v>0</v>
      </c>
      <c r="W3515" s="70">
        <f>U3515-V3515</f>
        <v>623.69999999999993</v>
      </c>
      <c r="X3515" s="70">
        <v>0</v>
      </c>
      <c r="Y3515" s="14">
        <f t="shared" si="1500"/>
        <v>0</v>
      </c>
      <c r="Z3515" s="11" t="s">
        <v>26</v>
      </c>
      <c r="AA3515" s="12" t="s">
        <v>31</v>
      </c>
    </row>
    <row r="3516" spans="1:27" x14ac:dyDescent="0.25">
      <c r="A3516" s="10">
        <v>45710</v>
      </c>
      <c r="B3516" s="11" t="s">
        <v>2067</v>
      </c>
      <c r="C3516" s="11" t="s">
        <v>6313</v>
      </c>
      <c r="D3516" s="11">
        <v>18061</v>
      </c>
      <c r="E3516" s="11" t="s">
        <v>57</v>
      </c>
      <c r="F3516" s="11" t="s">
        <v>26</v>
      </c>
      <c r="G3516" s="11">
        <v>3319</v>
      </c>
      <c r="H3516" s="12" t="s">
        <v>41</v>
      </c>
      <c r="I3516" s="12" t="s">
        <v>27</v>
      </c>
      <c r="J3516" s="12" t="s">
        <v>42</v>
      </c>
      <c r="K3516" s="12" t="s">
        <v>43</v>
      </c>
      <c r="L3516" s="13">
        <v>37.94</v>
      </c>
      <c r="M3516" s="13">
        <v>24</v>
      </c>
      <c r="N3516" s="13">
        <f t="shared" si="1464"/>
        <v>1.5808333333333333</v>
      </c>
      <c r="O3516" s="13" t="s">
        <v>30</v>
      </c>
      <c r="P3516" s="13">
        <v>64</v>
      </c>
      <c r="Q3516" s="13">
        <v>0</v>
      </c>
      <c r="R3516" s="70">
        <f>M3516*P3516</f>
        <v>1536</v>
      </c>
      <c r="S3516" s="70">
        <v>0</v>
      </c>
      <c r="T3516" s="70">
        <f>M3516*S3516</f>
        <v>0</v>
      </c>
      <c r="U3516" s="70">
        <f>+R3516-T3516</f>
        <v>1536</v>
      </c>
      <c r="V3516" s="70">
        <f t="shared" ref="V3516" si="1503">+U3516*0</f>
        <v>0</v>
      </c>
      <c r="W3516" s="70">
        <f>+U3516-V3516</f>
        <v>1536</v>
      </c>
      <c r="X3516" s="70">
        <v>0</v>
      </c>
      <c r="Y3516" s="14">
        <f t="shared" si="1500"/>
        <v>0</v>
      </c>
      <c r="Z3516" s="11" t="s">
        <v>26</v>
      </c>
      <c r="AA3516" s="12" t="s">
        <v>31</v>
      </c>
    </row>
    <row r="3517" spans="1:27" x14ac:dyDescent="0.25">
      <c r="A3517" s="10">
        <v>45710</v>
      </c>
      <c r="B3517" s="11" t="s">
        <v>6314</v>
      </c>
      <c r="C3517" s="11" t="s">
        <v>6315</v>
      </c>
      <c r="D3517" s="11">
        <v>18062</v>
      </c>
      <c r="E3517" s="11" t="s">
        <v>230</v>
      </c>
      <c r="F3517" s="11" t="s">
        <v>26</v>
      </c>
      <c r="G3517" s="11">
        <v>26213</v>
      </c>
      <c r="H3517" s="12" t="s">
        <v>565</v>
      </c>
      <c r="I3517" s="12" t="s">
        <v>27</v>
      </c>
      <c r="J3517" s="12" t="s">
        <v>33</v>
      </c>
      <c r="K3517" s="12" t="s">
        <v>34</v>
      </c>
      <c r="L3517" s="13">
        <v>43.28</v>
      </c>
      <c r="M3517" s="13">
        <v>29</v>
      </c>
      <c r="N3517" s="13">
        <f t="shared" si="1464"/>
        <v>1.4924137931034482</v>
      </c>
      <c r="O3517" s="13"/>
      <c r="P3517" s="13">
        <v>60</v>
      </c>
      <c r="Q3517" s="13">
        <v>0</v>
      </c>
      <c r="R3517" s="70">
        <f>M3517*P3517</f>
        <v>1740</v>
      </c>
      <c r="S3517" s="70">
        <v>0</v>
      </c>
      <c r="T3517" s="70">
        <f>M3517*S3517</f>
        <v>0</v>
      </c>
      <c r="U3517" s="70">
        <f>R3517-T3517</f>
        <v>1740</v>
      </c>
      <c r="V3517" s="70">
        <f>U3517*0</f>
        <v>0</v>
      </c>
      <c r="W3517" s="70">
        <f>+U3517-V3517</f>
        <v>1740</v>
      </c>
      <c r="X3517" s="70">
        <v>0</v>
      </c>
      <c r="Y3517" s="14">
        <f t="shared" si="1500"/>
        <v>0</v>
      </c>
      <c r="Z3517" s="11" t="s">
        <v>26</v>
      </c>
      <c r="AA3517" s="12" t="s">
        <v>31</v>
      </c>
    </row>
    <row r="3518" spans="1:27" x14ac:dyDescent="0.25">
      <c r="A3518" s="10">
        <v>45710</v>
      </c>
      <c r="B3518" s="11" t="s">
        <v>6316</v>
      </c>
      <c r="C3518" s="11" t="s">
        <v>6317</v>
      </c>
      <c r="D3518" s="11">
        <v>18064</v>
      </c>
      <c r="E3518" s="11" t="s">
        <v>483</v>
      </c>
      <c r="F3518" s="11" t="s">
        <v>26</v>
      </c>
      <c r="G3518" s="11">
        <v>3053</v>
      </c>
      <c r="H3518" s="12" t="s">
        <v>41</v>
      </c>
      <c r="I3518" s="12" t="s">
        <v>27</v>
      </c>
      <c r="J3518" s="12" t="s">
        <v>42</v>
      </c>
      <c r="K3518" s="12" t="s">
        <v>43</v>
      </c>
      <c r="L3518" s="13">
        <v>39.74</v>
      </c>
      <c r="M3518" s="13">
        <v>25</v>
      </c>
      <c r="N3518" s="13">
        <f t="shared" si="1464"/>
        <v>1.5896000000000001</v>
      </c>
      <c r="O3518" s="13" t="s">
        <v>30</v>
      </c>
      <c r="P3518" s="13">
        <v>64</v>
      </c>
      <c r="Q3518" s="13">
        <v>0</v>
      </c>
      <c r="R3518" s="70">
        <f>M3518*P3518</f>
        <v>1600</v>
      </c>
      <c r="S3518" s="70">
        <v>0</v>
      </c>
      <c r="T3518" s="70">
        <f>M3518*S3518</f>
        <v>0</v>
      </c>
      <c r="U3518" s="70">
        <f>+R3518-T3518</f>
        <v>1600</v>
      </c>
      <c r="V3518" s="70">
        <f t="shared" ref="V3518:V3519" si="1504">+U3518*0</f>
        <v>0</v>
      </c>
      <c r="W3518" s="70">
        <f>+U3518-V3518</f>
        <v>1600</v>
      </c>
      <c r="X3518" s="70">
        <v>0</v>
      </c>
      <c r="Y3518" s="14">
        <f t="shared" si="1500"/>
        <v>0</v>
      </c>
      <c r="Z3518" s="11" t="s">
        <v>26</v>
      </c>
      <c r="AA3518" s="12" t="s">
        <v>31</v>
      </c>
    </row>
    <row r="3519" spans="1:27" x14ac:dyDescent="0.25">
      <c r="A3519" s="10">
        <v>45710</v>
      </c>
      <c r="B3519" s="11" t="s">
        <v>6318</v>
      </c>
      <c r="C3519" s="11" t="s">
        <v>6319</v>
      </c>
      <c r="D3519" s="11">
        <v>18065</v>
      </c>
      <c r="E3519" s="11" t="s">
        <v>570</v>
      </c>
      <c r="F3519" s="11" t="s">
        <v>26</v>
      </c>
      <c r="G3519" s="11">
        <v>10769</v>
      </c>
      <c r="H3519" s="12" t="s">
        <v>140</v>
      </c>
      <c r="I3519" s="12" t="s">
        <v>27</v>
      </c>
      <c r="J3519" s="12" t="s">
        <v>33</v>
      </c>
      <c r="K3519" s="12" t="s">
        <v>34</v>
      </c>
      <c r="L3519" s="13">
        <v>43.14</v>
      </c>
      <c r="M3519" s="13">
        <v>30</v>
      </c>
      <c r="N3519" s="13">
        <f t="shared" si="1464"/>
        <v>1.4379999999999999</v>
      </c>
      <c r="O3519" s="13">
        <v>40</v>
      </c>
      <c r="P3519" s="13"/>
      <c r="Q3519" s="13">
        <v>0</v>
      </c>
      <c r="R3519" s="70">
        <f>+L3519*O3519</f>
        <v>1725.6</v>
      </c>
      <c r="S3519" s="70">
        <v>0</v>
      </c>
      <c r="T3519" s="70">
        <f>+L3519*S3519</f>
        <v>0</v>
      </c>
      <c r="U3519" s="70">
        <f>+R3519-T3519</f>
        <v>1725.6</v>
      </c>
      <c r="V3519" s="70">
        <f t="shared" si="1504"/>
        <v>0</v>
      </c>
      <c r="W3519" s="70">
        <f>+U3519-V3519</f>
        <v>1725.6</v>
      </c>
      <c r="X3519" s="70">
        <v>0</v>
      </c>
      <c r="Y3519" s="14">
        <f t="shared" si="1500"/>
        <v>0</v>
      </c>
      <c r="Z3519" s="11" t="s">
        <v>26</v>
      </c>
      <c r="AA3519" s="12" t="s">
        <v>31</v>
      </c>
    </row>
    <row r="3520" spans="1:27" x14ac:dyDescent="0.25">
      <c r="A3520" s="10">
        <v>45710</v>
      </c>
      <c r="B3520" s="11" t="s">
        <v>5308</v>
      </c>
      <c r="C3520" s="11" t="s">
        <v>6320</v>
      </c>
      <c r="D3520" s="11">
        <v>18066</v>
      </c>
      <c r="E3520" s="11" t="s">
        <v>87</v>
      </c>
      <c r="F3520" s="11" t="s">
        <v>26</v>
      </c>
      <c r="G3520" s="11">
        <v>56997</v>
      </c>
      <c r="H3520" s="12" t="s">
        <v>4423</v>
      </c>
      <c r="I3520" s="12" t="s">
        <v>27</v>
      </c>
      <c r="J3520" s="12" t="s">
        <v>42</v>
      </c>
      <c r="K3520" s="12" t="s">
        <v>43</v>
      </c>
      <c r="L3520" s="13">
        <v>36.9</v>
      </c>
      <c r="M3520" s="13">
        <v>25</v>
      </c>
      <c r="N3520" s="13">
        <f t="shared" si="1464"/>
        <v>1.476</v>
      </c>
      <c r="O3520" s="13">
        <v>42</v>
      </c>
      <c r="P3520" s="13" t="s">
        <v>30</v>
      </c>
      <c r="Q3520" s="13">
        <v>0</v>
      </c>
      <c r="R3520" s="70">
        <f t="shared" ref="R3520" si="1505">+L3520*O3520</f>
        <v>1549.8</v>
      </c>
      <c r="S3520" s="70">
        <v>0</v>
      </c>
      <c r="T3520" s="70">
        <f t="shared" ref="T3520" si="1506">+L3520*S3520</f>
        <v>0</v>
      </c>
      <c r="U3520" s="70">
        <f t="shared" ref="U3520:U3524" si="1507">+R3520-T3520</f>
        <v>1549.8</v>
      </c>
      <c r="V3520" s="70">
        <f>+U3520*1</f>
        <v>1549.8</v>
      </c>
      <c r="W3520" s="70">
        <f t="shared" ref="W3520:W3524" si="1508">+U3520-V3520</f>
        <v>0</v>
      </c>
      <c r="X3520" s="70">
        <v>0</v>
      </c>
      <c r="Y3520" s="14">
        <f t="shared" si="1500"/>
        <v>0</v>
      </c>
      <c r="Z3520" s="11" t="s">
        <v>26</v>
      </c>
      <c r="AA3520" s="12" t="s">
        <v>31</v>
      </c>
    </row>
    <row r="3521" spans="1:27" x14ac:dyDescent="0.25">
      <c r="A3521" s="10">
        <v>45710</v>
      </c>
      <c r="B3521" s="11" t="s">
        <v>334</v>
      </c>
      <c r="C3521" s="11" t="s">
        <v>6321</v>
      </c>
      <c r="D3521" s="11">
        <v>18067</v>
      </c>
      <c r="E3521" s="11" t="s">
        <v>74</v>
      </c>
      <c r="F3521" s="11" t="s">
        <v>26</v>
      </c>
      <c r="G3521" s="11">
        <v>1342</v>
      </c>
      <c r="H3521" s="12" t="s">
        <v>70</v>
      </c>
      <c r="I3521" s="12" t="s">
        <v>27</v>
      </c>
      <c r="J3521" s="12" t="s">
        <v>42</v>
      </c>
      <c r="K3521" s="12" t="s">
        <v>43</v>
      </c>
      <c r="L3521" s="13">
        <v>39.08</v>
      </c>
      <c r="M3521" s="13">
        <v>25</v>
      </c>
      <c r="N3521" s="13">
        <f t="shared" si="1464"/>
        <v>1.5631999999999999</v>
      </c>
      <c r="O3521" s="13" t="s">
        <v>30</v>
      </c>
      <c r="P3521" s="13">
        <v>64</v>
      </c>
      <c r="Q3521" s="13">
        <v>0</v>
      </c>
      <c r="R3521" s="70">
        <f>+M3521*P3521</f>
        <v>1600</v>
      </c>
      <c r="S3521" s="70">
        <v>0</v>
      </c>
      <c r="T3521" s="70">
        <f>+M3521*S3521</f>
        <v>0</v>
      </c>
      <c r="U3521" s="70">
        <f t="shared" si="1507"/>
        <v>1600</v>
      </c>
      <c r="V3521" s="70">
        <f t="shared" ref="V3521:V3524" si="1509">+U3521*0</f>
        <v>0</v>
      </c>
      <c r="W3521" s="70">
        <f t="shared" si="1508"/>
        <v>1600</v>
      </c>
      <c r="X3521" s="70">
        <v>0</v>
      </c>
      <c r="Y3521" s="14">
        <f t="shared" si="1500"/>
        <v>0</v>
      </c>
      <c r="Z3521" s="11" t="s">
        <v>26</v>
      </c>
      <c r="AA3521" s="12" t="s">
        <v>31</v>
      </c>
    </row>
    <row r="3522" spans="1:27" x14ac:dyDescent="0.25">
      <c r="A3522" s="10">
        <v>45710</v>
      </c>
      <c r="B3522" s="11" t="s">
        <v>2967</v>
      </c>
      <c r="C3522" s="11" t="s">
        <v>6322</v>
      </c>
      <c r="D3522" s="11">
        <v>18068</v>
      </c>
      <c r="E3522" s="11" t="s">
        <v>69</v>
      </c>
      <c r="F3522" s="11" t="s">
        <v>26</v>
      </c>
      <c r="G3522" s="11">
        <v>2133</v>
      </c>
      <c r="H3522" s="12" t="s">
        <v>70</v>
      </c>
      <c r="I3522" s="12" t="s">
        <v>27</v>
      </c>
      <c r="J3522" s="12" t="s">
        <v>42</v>
      </c>
      <c r="K3522" s="12" t="s">
        <v>43</v>
      </c>
      <c r="L3522" s="13">
        <v>40.520000000000003</v>
      </c>
      <c r="M3522" s="13">
        <v>25</v>
      </c>
      <c r="N3522" s="13">
        <f t="shared" si="1464"/>
        <v>1.6208</v>
      </c>
      <c r="O3522" s="13" t="s">
        <v>30</v>
      </c>
      <c r="P3522" s="13">
        <v>64</v>
      </c>
      <c r="Q3522" s="13">
        <v>0</v>
      </c>
      <c r="R3522" s="70">
        <f>+M3522*P3522</f>
        <v>1600</v>
      </c>
      <c r="S3522" s="70">
        <v>0</v>
      </c>
      <c r="T3522" s="70">
        <f>+M3522*S3522</f>
        <v>0</v>
      </c>
      <c r="U3522" s="70">
        <f t="shared" si="1507"/>
        <v>1600</v>
      </c>
      <c r="V3522" s="70">
        <f t="shared" si="1509"/>
        <v>0</v>
      </c>
      <c r="W3522" s="70">
        <f t="shared" si="1508"/>
        <v>1600</v>
      </c>
      <c r="X3522" s="70">
        <v>0</v>
      </c>
      <c r="Y3522" s="14">
        <f t="shared" si="1500"/>
        <v>0</v>
      </c>
      <c r="Z3522" s="11" t="s">
        <v>26</v>
      </c>
      <c r="AA3522" s="12" t="s">
        <v>31</v>
      </c>
    </row>
    <row r="3523" spans="1:27" x14ac:dyDescent="0.25">
      <c r="A3523" s="10">
        <v>45710</v>
      </c>
      <c r="B3523" s="11" t="s">
        <v>6323</v>
      </c>
      <c r="C3523" s="11" t="s">
        <v>6324</v>
      </c>
      <c r="D3523" s="11">
        <v>18070</v>
      </c>
      <c r="E3523" s="11" t="s">
        <v>6325</v>
      </c>
      <c r="F3523" s="11" t="s">
        <v>26</v>
      </c>
      <c r="G3523" s="11" t="s">
        <v>35</v>
      </c>
      <c r="H3523" s="12" t="s">
        <v>36</v>
      </c>
      <c r="I3523" s="12" t="s">
        <v>55</v>
      </c>
      <c r="J3523" s="12" t="s">
        <v>55</v>
      </c>
      <c r="K3523" s="12" t="s">
        <v>56</v>
      </c>
      <c r="L3523" s="13">
        <v>33.200000000000003</v>
      </c>
      <c r="M3523" s="13">
        <v>22</v>
      </c>
      <c r="N3523" s="13">
        <f t="shared" si="1464"/>
        <v>1.5090909090909093</v>
      </c>
      <c r="O3523" s="13">
        <v>20</v>
      </c>
      <c r="P3523" s="13" t="s">
        <v>30</v>
      </c>
      <c r="Q3523" s="13">
        <v>0</v>
      </c>
      <c r="R3523" s="70">
        <f>(L3523*O3523)-Q3523</f>
        <v>664</v>
      </c>
      <c r="S3523" s="70">
        <v>0</v>
      </c>
      <c r="T3523" s="70">
        <f t="shared" ref="T3523:T3524" si="1510">+L3523*S3523</f>
        <v>0</v>
      </c>
      <c r="U3523" s="70">
        <f t="shared" si="1507"/>
        <v>664</v>
      </c>
      <c r="V3523" s="70">
        <f t="shared" si="1509"/>
        <v>0</v>
      </c>
      <c r="W3523" s="70">
        <f t="shared" si="1508"/>
        <v>664</v>
      </c>
      <c r="X3523" s="70">
        <v>0</v>
      </c>
      <c r="Y3523" s="14">
        <f t="shared" si="1500"/>
        <v>0</v>
      </c>
      <c r="Z3523" s="11" t="s">
        <v>26</v>
      </c>
      <c r="AA3523" s="12" t="s">
        <v>31</v>
      </c>
    </row>
    <row r="3524" spans="1:27" x14ac:dyDescent="0.25">
      <c r="A3524" s="10">
        <v>45710</v>
      </c>
      <c r="B3524" s="11" t="s">
        <v>6326</v>
      </c>
      <c r="C3524" s="11" t="s">
        <v>6327</v>
      </c>
      <c r="D3524" s="11">
        <v>18071</v>
      </c>
      <c r="E3524" s="11" t="s">
        <v>60</v>
      </c>
      <c r="F3524" s="11" t="s">
        <v>26</v>
      </c>
      <c r="G3524" s="11" t="s">
        <v>35</v>
      </c>
      <c r="H3524" s="12" t="s">
        <v>36</v>
      </c>
      <c r="I3524" s="12" t="s">
        <v>27</v>
      </c>
      <c r="J3524" s="12" t="s">
        <v>33</v>
      </c>
      <c r="K3524" s="12" t="s">
        <v>34</v>
      </c>
      <c r="L3524" s="13">
        <v>5.34</v>
      </c>
      <c r="M3524" s="13">
        <v>4</v>
      </c>
      <c r="N3524" s="13">
        <f t="shared" si="1464"/>
        <v>1.335</v>
      </c>
      <c r="O3524" s="13">
        <v>50</v>
      </c>
      <c r="P3524" s="13" t="s">
        <v>30</v>
      </c>
      <c r="Q3524" s="13">
        <v>0</v>
      </c>
      <c r="R3524" s="70">
        <f>(L3524*O3524)-Q3524</f>
        <v>267</v>
      </c>
      <c r="S3524" s="70">
        <v>0</v>
      </c>
      <c r="T3524" s="70">
        <f t="shared" si="1510"/>
        <v>0</v>
      </c>
      <c r="U3524" s="70">
        <f t="shared" si="1507"/>
        <v>267</v>
      </c>
      <c r="V3524" s="70">
        <f t="shared" si="1509"/>
        <v>0</v>
      </c>
      <c r="W3524" s="70">
        <f t="shared" si="1508"/>
        <v>267</v>
      </c>
      <c r="X3524" s="70">
        <v>0</v>
      </c>
      <c r="Y3524" s="14">
        <f t="shared" si="1500"/>
        <v>0</v>
      </c>
      <c r="Z3524" s="11" t="s">
        <v>26</v>
      </c>
      <c r="AA3524" s="12" t="s">
        <v>31</v>
      </c>
    </row>
    <row r="3525" spans="1:27" x14ac:dyDescent="0.25">
      <c r="A3525" s="10">
        <v>45712</v>
      </c>
      <c r="B3525" s="11" t="s">
        <v>125</v>
      </c>
      <c r="C3525" s="11" t="s">
        <v>6332</v>
      </c>
      <c r="D3525" s="11">
        <v>18072</v>
      </c>
      <c r="E3525" s="11" t="s">
        <v>53</v>
      </c>
      <c r="F3525" s="11" t="s">
        <v>26</v>
      </c>
      <c r="G3525" s="11" t="s">
        <v>26</v>
      </c>
      <c r="H3525" s="12" t="s">
        <v>4422</v>
      </c>
      <c r="I3525" s="12" t="s">
        <v>27</v>
      </c>
      <c r="J3525" s="12" t="s">
        <v>47</v>
      </c>
      <c r="K3525" s="12" t="s">
        <v>48</v>
      </c>
      <c r="L3525" s="13">
        <v>43.24</v>
      </c>
      <c r="M3525" s="13">
        <v>30</v>
      </c>
      <c r="N3525" s="13">
        <f>L3525/M3525</f>
        <v>1.4413333333333334</v>
      </c>
      <c r="O3525" s="13">
        <v>87</v>
      </c>
      <c r="P3525" s="13" t="s">
        <v>30</v>
      </c>
      <c r="Q3525" s="13">
        <v>0</v>
      </c>
      <c r="R3525" s="70">
        <f t="shared" ref="R3525" si="1511">L3525*O3525</f>
        <v>3761.88</v>
      </c>
      <c r="S3525" s="70">
        <v>38</v>
      </c>
      <c r="T3525" s="70">
        <f t="shared" ref="T3525" si="1512">L3525*S3525</f>
        <v>1643.1200000000001</v>
      </c>
      <c r="U3525" s="70">
        <f t="shared" ref="U3525" si="1513">R3525-T3525</f>
        <v>2118.7600000000002</v>
      </c>
      <c r="V3525" s="70">
        <f>U3525*1</f>
        <v>2118.7600000000002</v>
      </c>
      <c r="W3525" s="70">
        <f t="shared" ref="W3525" si="1514">U3525-V3525</f>
        <v>0</v>
      </c>
      <c r="X3525" s="70">
        <f>L3525*37</f>
        <v>1599.88</v>
      </c>
      <c r="Y3525" s="71">
        <f>+T3525-X3525</f>
        <v>43.240000000000009</v>
      </c>
      <c r="Z3525" s="14" t="s">
        <v>41</v>
      </c>
      <c r="AA3525" s="12" t="s">
        <v>78</v>
      </c>
    </row>
    <row r="3526" spans="1:27" x14ac:dyDescent="0.25">
      <c r="A3526" s="10">
        <v>45712</v>
      </c>
      <c r="B3526" s="11" t="s">
        <v>6333</v>
      </c>
      <c r="C3526" s="11" t="s">
        <v>6334</v>
      </c>
      <c r="D3526" s="11">
        <v>18073</v>
      </c>
      <c r="E3526" s="11" t="s">
        <v>607</v>
      </c>
      <c r="F3526" s="11" t="s">
        <v>26</v>
      </c>
      <c r="G3526" s="11" t="s">
        <v>35</v>
      </c>
      <c r="H3526" s="12" t="s">
        <v>36</v>
      </c>
      <c r="I3526" s="12" t="s">
        <v>27</v>
      </c>
      <c r="J3526" s="12" t="s">
        <v>42</v>
      </c>
      <c r="K3526" s="12" t="s">
        <v>43</v>
      </c>
      <c r="L3526" s="13">
        <v>16.079999999999998</v>
      </c>
      <c r="M3526" s="13">
        <v>10</v>
      </c>
      <c r="N3526" s="13">
        <f t="shared" ref="N3526:N3589" si="1515">L3526/M3526</f>
        <v>1.6079999999999999</v>
      </c>
      <c r="O3526" s="13">
        <v>45</v>
      </c>
      <c r="P3526" s="13" t="s">
        <v>30</v>
      </c>
      <c r="Q3526" s="13">
        <v>0</v>
      </c>
      <c r="R3526" s="70">
        <f>(L3526*O3526)-Q3526</f>
        <v>723.59999999999991</v>
      </c>
      <c r="S3526" s="70">
        <v>0</v>
      </c>
      <c r="T3526" s="70">
        <f t="shared" ref="T3526:T3527" si="1516">+L3526*S3526</f>
        <v>0</v>
      </c>
      <c r="U3526" s="70">
        <f t="shared" ref="U3526:U3527" si="1517">+R3526-T3526</f>
        <v>723.59999999999991</v>
      </c>
      <c r="V3526" s="70">
        <f>+U3526*0</f>
        <v>0</v>
      </c>
      <c r="W3526" s="70">
        <f t="shared" ref="W3526:W3527" si="1518">+U3526-V3526</f>
        <v>723.59999999999991</v>
      </c>
      <c r="X3526" s="70">
        <v>0</v>
      </c>
      <c r="Y3526" s="14">
        <f t="shared" ref="Y3526:Y3527" si="1519">T3526-X3526</f>
        <v>0</v>
      </c>
      <c r="Z3526" s="11" t="s">
        <v>26</v>
      </c>
      <c r="AA3526" s="12" t="s">
        <v>31</v>
      </c>
    </row>
    <row r="3527" spans="1:27" x14ac:dyDescent="0.25">
      <c r="A3527" s="10">
        <v>45712</v>
      </c>
      <c r="B3527" s="11" t="s">
        <v>6335</v>
      </c>
      <c r="C3527" s="11" t="s">
        <v>6336</v>
      </c>
      <c r="D3527" s="11">
        <v>18074</v>
      </c>
      <c r="E3527" s="11" t="s">
        <v>224</v>
      </c>
      <c r="F3527" s="11" t="s">
        <v>26</v>
      </c>
      <c r="G3527" s="11">
        <v>3235</v>
      </c>
      <c r="H3527" s="12" t="s">
        <v>4423</v>
      </c>
      <c r="I3527" s="12" t="s">
        <v>27</v>
      </c>
      <c r="J3527" s="12" t="s">
        <v>47</v>
      </c>
      <c r="K3527" s="12" t="s">
        <v>48</v>
      </c>
      <c r="L3527" s="13">
        <v>34.24</v>
      </c>
      <c r="M3527" s="13">
        <v>25</v>
      </c>
      <c r="N3527" s="13">
        <f t="shared" si="1515"/>
        <v>1.3696000000000002</v>
      </c>
      <c r="O3527" s="13">
        <v>46</v>
      </c>
      <c r="P3527" s="13" t="s">
        <v>30</v>
      </c>
      <c r="Q3527" s="13">
        <v>0</v>
      </c>
      <c r="R3527" s="70">
        <f t="shared" ref="R3527" si="1520">+L3527*O3527</f>
        <v>1575.0400000000002</v>
      </c>
      <c r="S3527" s="70">
        <v>0</v>
      </c>
      <c r="T3527" s="70">
        <f t="shared" si="1516"/>
        <v>0</v>
      </c>
      <c r="U3527" s="70">
        <f t="shared" si="1517"/>
        <v>1575.0400000000002</v>
      </c>
      <c r="V3527" s="70">
        <f>+U3527*1</f>
        <v>1575.0400000000002</v>
      </c>
      <c r="W3527" s="70">
        <f t="shared" si="1518"/>
        <v>0</v>
      </c>
      <c r="X3527" s="70">
        <v>0</v>
      </c>
      <c r="Y3527" s="14">
        <f t="shared" si="1519"/>
        <v>0</v>
      </c>
      <c r="Z3527" s="11" t="s">
        <v>26</v>
      </c>
      <c r="AA3527" s="12" t="s">
        <v>31</v>
      </c>
    </row>
    <row r="3528" spans="1:27" x14ac:dyDescent="0.25">
      <c r="A3528" s="10">
        <v>45712</v>
      </c>
      <c r="B3528" s="11" t="s">
        <v>5968</v>
      </c>
      <c r="C3528" s="11" t="s">
        <v>6337</v>
      </c>
      <c r="D3528" s="11">
        <v>18075</v>
      </c>
      <c r="E3528" s="11" t="s">
        <v>501</v>
      </c>
      <c r="F3528" s="11" t="s">
        <v>26</v>
      </c>
      <c r="G3528" s="11" t="s">
        <v>26</v>
      </c>
      <c r="H3528" s="12" t="s">
        <v>4422</v>
      </c>
      <c r="I3528" s="12" t="s">
        <v>27</v>
      </c>
      <c r="J3528" s="12" t="s">
        <v>33</v>
      </c>
      <c r="K3528" s="12" t="s">
        <v>34</v>
      </c>
      <c r="L3528" s="13">
        <v>41.38</v>
      </c>
      <c r="M3528" s="13">
        <v>28</v>
      </c>
      <c r="N3528" s="13">
        <f t="shared" si="1515"/>
        <v>1.477857142857143</v>
      </c>
      <c r="O3528" s="13">
        <v>85</v>
      </c>
      <c r="P3528" s="13" t="s">
        <v>30</v>
      </c>
      <c r="Q3528" s="13">
        <v>0</v>
      </c>
      <c r="R3528" s="70">
        <f t="shared" ref="R3528" si="1521">L3528*O3528</f>
        <v>3517.3</v>
      </c>
      <c r="S3528" s="70">
        <v>38</v>
      </c>
      <c r="T3528" s="70">
        <f t="shared" ref="T3528" si="1522">L3528*S3528</f>
        <v>1572.44</v>
      </c>
      <c r="U3528" s="70">
        <f t="shared" ref="U3528" si="1523">R3528-T3528</f>
        <v>1944.8600000000001</v>
      </c>
      <c r="V3528" s="70">
        <f>U3528*1</f>
        <v>1944.8600000000001</v>
      </c>
      <c r="W3528" s="70">
        <f t="shared" ref="W3528" si="1524">U3528-V3528</f>
        <v>0</v>
      </c>
      <c r="X3528" s="70">
        <f>L3528*36</f>
        <v>1489.68</v>
      </c>
      <c r="Y3528" s="71">
        <f>+T3528-X3528</f>
        <v>82.759999999999991</v>
      </c>
      <c r="Z3528" s="12" t="s">
        <v>141</v>
      </c>
      <c r="AA3528" s="12" t="s">
        <v>78</v>
      </c>
    </row>
    <row r="3529" spans="1:27" x14ac:dyDescent="0.25">
      <c r="A3529" s="10">
        <v>45712</v>
      </c>
      <c r="B3529" s="11" t="s">
        <v>6338</v>
      </c>
      <c r="C3529" s="11" t="s">
        <v>6339</v>
      </c>
      <c r="D3529" s="11">
        <v>18076</v>
      </c>
      <c r="E3529" s="11" t="s">
        <v>2109</v>
      </c>
      <c r="F3529" s="11" t="s">
        <v>26</v>
      </c>
      <c r="G3529" s="11">
        <v>10633</v>
      </c>
      <c r="H3529" s="12" t="s">
        <v>140</v>
      </c>
      <c r="I3529" s="12" t="s">
        <v>27</v>
      </c>
      <c r="J3529" s="12" t="s">
        <v>47</v>
      </c>
      <c r="K3529" s="12" t="s">
        <v>48</v>
      </c>
      <c r="L3529" s="13">
        <v>39.159999999999997</v>
      </c>
      <c r="M3529" s="13">
        <v>27</v>
      </c>
      <c r="N3529" s="13">
        <f t="shared" si="1515"/>
        <v>1.4503703703703703</v>
      </c>
      <c r="O3529" s="13">
        <v>40</v>
      </c>
      <c r="P3529" s="13"/>
      <c r="Q3529" s="13">
        <v>0</v>
      </c>
      <c r="R3529" s="70">
        <f>+L3529*O3529</f>
        <v>1566.3999999999999</v>
      </c>
      <c r="S3529" s="70">
        <v>0</v>
      </c>
      <c r="T3529" s="70">
        <f>+L3529*S3529</f>
        <v>0</v>
      </c>
      <c r="U3529" s="70">
        <f>+R3529-T3529</f>
        <v>1566.3999999999999</v>
      </c>
      <c r="V3529" s="70">
        <f t="shared" ref="V3529" si="1525">+U3529*0</f>
        <v>0</v>
      </c>
      <c r="W3529" s="70">
        <f>+U3529-V3529</f>
        <v>1566.3999999999999</v>
      </c>
      <c r="X3529" s="70">
        <v>0</v>
      </c>
      <c r="Y3529" s="14">
        <f t="shared" ref="Y3529:Y3532" si="1526">T3529-X3529</f>
        <v>0</v>
      </c>
      <c r="Z3529" s="11" t="s">
        <v>26</v>
      </c>
      <c r="AA3529" s="12" t="s">
        <v>31</v>
      </c>
    </row>
    <row r="3530" spans="1:27" x14ac:dyDescent="0.25">
      <c r="A3530" s="10">
        <v>45712</v>
      </c>
      <c r="B3530" s="11" t="s">
        <v>416</v>
      </c>
      <c r="C3530" s="11" t="s">
        <v>6340</v>
      </c>
      <c r="D3530" s="11">
        <v>18078</v>
      </c>
      <c r="E3530" s="11" t="s">
        <v>32</v>
      </c>
      <c r="F3530" s="11" t="s">
        <v>26</v>
      </c>
      <c r="G3530" s="11">
        <v>1626</v>
      </c>
      <c r="H3530" s="12" t="s">
        <v>45</v>
      </c>
      <c r="I3530" s="12" t="s">
        <v>27</v>
      </c>
      <c r="J3530" s="12" t="s">
        <v>42</v>
      </c>
      <c r="K3530" s="12" t="s">
        <v>43</v>
      </c>
      <c r="L3530" s="13">
        <v>39.659999999999997</v>
      </c>
      <c r="M3530" s="13">
        <v>25</v>
      </c>
      <c r="N3530" s="13">
        <f t="shared" si="1515"/>
        <v>1.5863999999999998</v>
      </c>
      <c r="O3530" s="13" t="s">
        <v>30</v>
      </c>
      <c r="P3530" s="13">
        <v>62</v>
      </c>
      <c r="Q3530" s="13">
        <v>0</v>
      </c>
      <c r="R3530" s="70">
        <f>M3530*P3530</f>
        <v>1550</v>
      </c>
      <c r="S3530" s="70">
        <v>0</v>
      </c>
      <c r="T3530" s="70">
        <f>M3530*S3530</f>
        <v>0</v>
      </c>
      <c r="U3530" s="70">
        <f>R3530-T3530</f>
        <v>1550</v>
      </c>
      <c r="V3530" s="70">
        <f>U3530*0</f>
        <v>0</v>
      </c>
      <c r="W3530" s="70">
        <f>U3530-V3530</f>
        <v>1550</v>
      </c>
      <c r="X3530" s="70">
        <v>0</v>
      </c>
      <c r="Y3530" s="14">
        <f t="shared" si="1526"/>
        <v>0</v>
      </c>
      <c r="Z3530" s="11" t="s">
        <v>26</v>
      </c>
      <c r="AA3530" s="12" t="s">
        <v>31</v>
      </c>
    </row>
    <row r="3531" spans="1:27" x14ac:dyDescent="0.25">
      <c r="A3531" s="10">
        <v>45712</v>
      </c>
      <c r="B3531" s="11" t="s">
        <v>6341</v>
      </c>
      <c r="C3531" s="11" t="s">
        <v>6342</v>
      </c>
      <c r="D3531" s="11">
        <v>18079</v>
      </c>
      <c r="E3531" s="11" t="s">
        <v>68</v>
      </c>
      <c r="F3531" s="11" t="s">
        <v>26</v>
      </c>
      <c r="G3531" s="11">
        <v>76376</v>
      </c>
      <c r="H3531" s="12" t="s">
        <v>4448</v>
      </c>
      <c r="I3531" s="12" t="s">
        <v>27</v>
      </c>
      <c r="J3531" s="12" t="s">
        <v>47</v>
      </c>
      <c r="K3531" s="12" t="s">
        <v>48</v>
      </c>
      <c r="L3531" s="13">
        <v>37.5</v>
      </c>
      <c r="M3531" s="13">
        <v>25</v>
      </c>
      <c r="N3531" s="13">
        <f t="shared" si="1515"/>
        <v>1.5</v>
      </c>
      <c r="O3531" s="13">
        <v>46.66</v>
      </c>
      <c r="P3531" s="13" t="s">
        <v>30</v>
      </c>
      <c r="Q3531" s="13">
        <v>0</v>
      </c>
      <c r="R3531" s="70">
        <f>+L3531*O3531</f>
        <v>1749.7499999999998</v>
      </c>
      <c r="S3531" s="70">
        <v>0</v>
      </c>
      <c r="T3531" s="70">
        <f>+L3531*S3531</f>
        <v>0</v>
      </c>
      <c r="U3531" s="70">
        <f>+R3531-T3531</f>
        <v>1749.7499999999998</v>
      </c>
      <c r="V3531" s="70">
        <f>+U3531*0.75</f>
        <v>1312.3124999999998</v>
      </c>
      <c r="W3531" s="70">
        <f>+U3531-V3531</f>
        <v>437.4375</v>
      </c>
      <c r="X3531" s="70">
        <v>0</v>
      </c>
      <c r="Y3531" s="14">
        <f t="shared" si="1526"/>
        <v>0</v>
      </c>
      <c r="Z3531" s="11" t="s">
        <v>26</v>
      </c>
      <c r="AA3531" s="12" t="s">
        <v>31</v>
      </c>
    </row>
    <row r="3532" spans="1:27" x14ac:dyDescent="0.25">
      <c r="A3532" s="10">
        <v>45712</v>
      </c>
      <c r="B3532" s="11" t="s">
        <v>6343</v>
      </c>
      <c r="C3532" s="11" t="s">
        <v>6344</v>
      </c>
      <c r="D3532" s="11">
        <v>18080</v>
      </c>
      <c r="E3532" s="11" t="s">
        <v>553</v>
      </c>
      <c r="F3532" s="11" t="s">
        <v>26</v>
      </c>
      <c r="G3532" s="11">
        <v>60608</v>
      </c>
      <c r="H3532" s="12" t="s">
        <v>4423</v>
      </c>
      <c r="I3532" s="12" t="s">
        <v>27</v>
      </c>
      <c r="J3532" s="12" t="s">
        <v>33</v>
      </c>
      <c r="K3532" s="12" t="s">
        <v>34</v>
      </c>
      <c r="L3532" s="13">
        <v>39.94</v>
      </c>
      <c r="M3532" s="13">
        <v>28</v>
      </c>
      <c r="N3532" s="13">
        <f t="shared" si="1515"/>
        <v>1.4264285714285714</v>
      </c>
      <c r="O3532" s="13">
        <v>45</v>
      </c>
      <c r="P3532" s="13" t="s">
        <v>30</v>
      </c>
      <c r="Q3532" s="13">
        <v>0</v>
      </c>
      <c r="R3532" s="70">
        <f>+L3532*O3532</f>
        <v>1797.3</v>
      </c>
      <c r="S3532" s="70">
        <v>0</v>
      </c>
      <c r="T3532" s="70">
        <f>+L3532*S3532</f>
        <v>0</v>
      </c>
      <c r="U3532" s="70">
        <f t="shared" ref="U3532" si="1527">+R3532-T3532</f>
        <v>1797.3</v>
      </c>
      <c r="V3532" s="70">
        <f>+U3532*1</f>
        <v>1797.3</v>
      </c>
      <c r="W3532" s="70">
        <f t="shared" ref="W3532" si="1528">+U3532-V3532</f>
        <v>0</v>
      </c>
      <c r="X3532" s="70">
        <v>0</v>
      </c>
      <c r="Y3532" s="14">
        <f t="shared" si="1526"/>
        <v>0</v>
      </c>
      <c r="Z3532" s="11" t="s">
        <v>26</v>
      </c>
      <c r="AA3532" s="12" t="s">
        <v>31</v>
      </c>
    </row>
    <row r="3533" spans="1:27" x14ac:dyDescent="0.25">
      <c r="A3533" s="10">
        <v>45712</v>
      </c>
      <c r="B3533" s="11" t="s">
        <v>6345</v>
      </c>
      <c r="C3533" s="11" t="s">
        <v>6346</v>
      </c>
      <c r="D3533" s="11">
        <v>18081</v>
      </c>
      <c r="E3533" s="11" t="s">
        <v>81</v>
      </c>
      <c r="F3533" s="11" t="s">
        <v>26</v>
      </c>
      <c r="G3533" s="11" t="s">
        <v>26</v>
      </c>
      <c r="H3533" s="12" t="s">
        <v>4422</v>
      </c>
      <c r="I3533" s="12" t="s">
        <v>27</v>
      </c>
      <c r="J3533" s="12" t="s">
        <v>33</v>
      </c>
      <c r="K3533" s="12" t="s">
        <v>34</v>
      </c>
      <c r="L3533" s="13">
        <v>41.34</v>
      </c>
      <c r="M3533" s="13">
        <v>28</v>
      </c>
      <c r="N3533" s="13">
        <f t="shared" si="1515"/>
        <v>1.4764285714285716</v>
      </c>
      <c r="O3533" s="13">
        <v>85</v>
      </c>
      <c r="P3533" s="13" t="s">
        <v>30</v>
      </c>
      <c r="Q3533" s="13">
        <v>0</v>
      </c>
      <c r="R3533" s="70">
        <f t="shared" ref="R3533" si="1529">L3533*O3533</f>
        <v>3513.9</v>
      </c>
      <c r="S3533" s="70">
        <v>38</v>
      </c>
      <c r="T3533" s="70">
        <f t="shared" ref="T3533" si="1530">L3533*S3533</f>
        <v>1570.92</v>
      </c>
      <c r="U3533" s="70">
        <f t="shared" ref="U3533" si="1531">R3533-T3533</f>
        <v>1942.98</v>
      </c>
      <c r="V3533" s="70">
        <f>U3533*1</f>
        <v>1942.98</v>
      </c>
      <c r="W3533" s="70">
        <f t="shared" ref="W3533" si="1532">U3533-V3533</f>
        <v>0</v>
      </c>
      <c r="X3533" s="70">
        <f>L3533*36</f>
        <v>1488.2400000000002</v>
      </c>
      <c r="Y3533" s="71">
        <f>+T3533-X3533</f>
        <v>82.679999999999836</v>
      </c>
      <c r="Z3533" s="12" t="s">
        <v>141</v>
      </c>
      <c r="AA3533" s="12" t="s">
        <v>78</v>
      </c>
    </row>
    <row r="3534" spans="1:27" x14ac:dyDescent="0.25">
      <c r="A3534" s="10">
        <v>45712</v>
      </c>
      <c r="B3534" s="11" t="s">
        <v>6347</v>
      </c>
      <c r="C3534" s="11" t="s">
        <v>6348</v>
      </c>
      <c r="D3534" s="11">
        <v>18082</v>
      </c>
      <c r="E3534" s="11" t="s">
        <v>605</v>
      </c>
      <c r="F3534" s="11" t="s">
        <v>26</v>
      </c>
      <c r="G3534" s="11" t="s">
        <v>26</v>
      </c>
      <c r="H3534" s="12" t="s">
        <v>4422</v>
      </c>
      <c r="I3534" s="12" t="s">
        <v>27</v>
      </c>
      <c r="J3534" s="12" t="s">
        <v>42</v>
      </c>
      <c r="K3534" s="12" t="s">
        <v>43</v>
      </c>
      <c r="L3534" s="13">
        <v>42.16</v>
      </c>
      <c r="M3534" s="13">
        <v>25</v>
      </c>
      <c r="N3534" s="13">
        <f t="shared" si="1515"/>
        <v>1.6863999999999999</v>
      </c>
      <c r="O3534" s="13">
        <v>83</v>
      </c>
      <c r="P3534" s="13" t="s">
        <v>30</v>
      </c>
      <c r="Q3534" s="13">
        <v>0</v>
      </c>
      <c r="R3534" s="70">
        <f>L3534*O3534</f>
        <v>3499.2799999999997</v>
      </c>
      <c r="S3534" s="70">
        <v>38</v>
      </c>
      <c r="T3534" s="70">
        <f>L3534*S3534</f>
        <v>1602.08</v>
      </c>
      <c r="U3534" s="70">
        <f>R3534-T3534</f>
        <v>1897.1999999999998</v>
      </c>
      <c r="V3534" s="70">
        <f>U3534*1</f>
        <v>1897.1999999999998</v>
      </c>
      <c r="W3534" s="70">
        <f>U3534-V3534</f>
        <v>0</v>
      </c>
      <c r="X3534" s="70">
        <f>L3534*36</f>
        <v>1517.7599999999998</v>
      </c>
      <c r="Y3534" s="71">
        <f>+T3534-X3534</f>
        <v>84.320000000000164</v>
      </c>
      <c r="Z3534" s="12" t="s">
        <v>141</v>
      </c>
      <c r="AA3534" s="12" t="s">
        <v>78</v>
      </c>
    </row>
    <row r="3535" spans="1:27" x14ac:dyDescent="0.25">
      <c r="A3535" s="10">
        <v>45712</v>
      </c>
      <c r="B3535" s="11" t="s">
        <v>6349</v>
      </c>
      <c r="C3535" s="11" t="s">
        <v>6350</v>
      </c>
      <c r="D3535" s="11">
        <v>18083</v>
      </c>
      <c r="E3535" s="11" t="s">
        <v>570</v>
      </c>
      <c r="F3535" s="11" t="s">
        <v>26</v>
      </c>
      <c r="G3535" s="11">
        <v>10770</v>
      </c>
      <c r="H3535" s="12" t="s">
        <v>140</v>
      </c>
      <c r="I3535" s="12" t="s">
        <v>27</v>
      </c>
      <c r="J3535" s="12" t="s">
        <v>33</v>
      </c>
      <c r="K3535" s="12" t="s">
        <v>34</v>
      </c>
      <c r="L3535" s="13">
        <v>42.5</v>
      </c>
      <c r="M3535" s="13">
        <v>29</v>
      </c>
      <c r="N3535" s="13">
        <f t="shared" si="1515"/>
        <v>1.4655172413793103</v>
      </c>
      <c r="O3535" s="13">
        <v>40</v>
      </c>
      <c r="P3535" s="13"/>
      <c r="Q3535" s="13">
        <v>0</v>
      </c>
      <c r="R3535" s="70">
        <f>+L3535*O3535</f>
        <v>1700</v>
      </c>
      <c r="S3535" s="70">
        <v>0</v>
      </c>
      <c r="T3535" s="70">
        <f>+L3535*S3535</f>
        <v>0</v>
      </c>
      <c r="U3535" s="70">
        <f>+R3535-T3535</f>
        <v>1700</v>
      </c>
      <c r="V3535" s="70">
        <f t="shared" ref="V3535" si="1533">+U3535*0</f>
        <v>0</v>
      </c>
      <c r="W3535" s="70">
        <f>+U3535-V3535</f>
        <v>1700</v>
      </c>
      <c r="X3535" s="70">
        <v>0</v>
      </c>
      <c r="Y3535" s="14">
        <f t="shared" ref="Y3535" si="1534">T3535-X3535</f>
        <v>0</v>
      </c>
      <c r="Z3535" s="11" t="s">
        <v>26</v>
      </c>
      <c r="AA3535" s="12" t="s">
        <v>31</v>
      </c>
    </row>
    <row r="3536" spans="1:27" x14ac:dyDescent="0.25">
      <c r="A3536" s="10">
        <v>45712</v>
      </c>
      <c r="B3536" s="11" t="s">
        <v>6351</v>
      </c>
      <c r="C3536" s="11" t="s">
        <v>6352</v>
      </c>
      <c r="D3536" s="11">
        <v>18084</v>
      </c>
      <c r="E3536" s="11" t="s">
        <v>246</v>
      </c>
      <c r="F3536" s="11" t="s">
        <v>26</v>
      </c>
      <c r="G3536" s="11" t="s">
        <v>26</v>
      </c>
      <c r="H3536" s="12" t="s">
        <v>4422</v>
      </c>
      <c r="I3536" s="12" t="s">
        <v>27</v>
      </c>
      <c r="J3536" s="12" t="s">
        <v>33</v>
      </c>
      <c r="K3536" s="12" t="s">
        <v>34</v>
      </c>
      <c r="L3536" s="13">
        <v>44.28</v>
      </c>
      <c r="M3536" s="13">
        <v>30</v>
      </c>
      <c r="N3536" s="13">
        <f t="shared" si="1515"/>
        <v>1.476</v>
      </c>
      <c r="O3536" s="13">
        <v>85</v>
      </c>
      <c r="P3536" s="13" t="s">
        <v>30</v>
      </c>
      <c r="Q3536" s="13">
        <v>0</v>
      </c>
      <c r="R3536" s="70">
        <f t="shared" ref="R3536" si="1535">L3536*O3536</f>
        <v>3763.8</v>
      </c>
      <c r="S3536" s="70">
        <v>38</v>
      </c>
      <c r="T3536" s="70">
        <f t="shared" ref="T3536" si="1536">L3536*S3536</f>
        <v>1682.64</v>
      </c>
      <c r="U3536" s="70">
        <f t="shared" ref="U3536" si="1537">R3536-T3536</f>
        <v>2081.16</v>
      </c>
      <c r="V3536" s="70">
        <f>U3536*1</f>
        <v>2081.16</v>
      </c>
      <c r="W3536" s="70">
        <f t="shared" ref="W3536" si="1538">U3536-V3536</f>
        <v>0</v>
      </c>
      <c r="X3536" s="70">
        <f>L3536*37</f>
        <v>1638.3600000000001</v>
      </c>
      <c r="Y3536" s="71">
        <f>+T3536-X3536</f>
        <v>44.279999999999973</v>
      </c>
      <c r="Z3536" s="12" t="s">
        <v>41</v>
      </c>
      <c r="AA3536" s="12" t="s">
        <v>78</v>
      </c>
    </row>
    <row r="3537" spans="1:27" x14ac:dyDescent="0.25">
      <c r="A3537" s="10">
        <v>45712</v>
      </c>
      <c r="B3537" s="11" t="s">
        <v>3381</v>
      </c>
      <c r="C3537" s="11" t="s">
        <v>6353</v>
      </c>
      <c r="D3537" s="11">
        <v>18085</v>
      </c>
      <c r="E3537" s="11" t="s">
        <v>461</v>
      </c>
      <c r="F3537" s="11" t="s">
        <v>26</v>
      </c>
      <c r="G3537" s="11">
        <v>50</v>
      </c>
      <c r="H3537" s="12" t="s">
        <v>4444</v>
      </c>
      <c r="I3537" s="12" t="s">
        <v>37</v>
      </c>
      <c r="J3537" s="12" t="s">
        <v>85</v>
      </c>
      <c r="K3537" s="12" t="s">
        <v>86</v>
      </c>
      <c r="L3537" s="13">
        <v>29.7</v>
      </c>
      <c r="M3537" s="13">
        <v>20</v>
      </c>
      <c r="N3537" s="13">
        <f t="shared" si="1515"/>
        <v>1.4849999999999999</v>
      </c>
      <c r="O3537" s="13">
        <v>30</v>
      </c>
      <c r="P3537" s="13" t="s">
        <v>30</v>
      </c>
      <c r="Q3537" s="13">
        <v>0</v>
      </c>
      <c r="R3537" s="70">
        <f>L3537*O3537</f>
        <v>891</v>
      </c>
      <c r="S3537" s="70">
        <v>0</v>
      </c>
      <c r="T3537" s="70">
        <f>L3537*S3537</f>
        <v>0</v>
      </c>
      <c r="U3537" s="70">
        <f>R3537-T3537</f>
        <v>891</v>
      </c>
      <c r="V3537" s="70">
        <f>U3537*0</f>
        <v>0</v>
      </c>
      <c r="W3537" s="70">
        <f>U3537-V3537</f>
        <v>891</v>
      </c>
      <c r="X3537" s="70">
        <v>0</v>
      </c>
      <c r="Y3537" s="14">
        <f t="shared" ref="Y3537:Y3546" si="1539">T3537-X3537</f>
        <v>0</v>
      </c>
      <c r="Z3537" s="11" t="s">
        <v>26</v>
      </c>
      <c r="AA3537" s="12" t="s">
        <v>31</v>
      </c>
    </row>
    <row r="3538" spans="1:27" x14ac:dyDescent="0.25">
      <c r="A3538" s="10">
        <v>45712</v>
      </c>
      <c r="B3538" s="11" t="s">
        <v>3514</v>
      </c>
      <c r="C3538" s="11" t="s">
        <v>6354</v>
      </c>
      <c r="D3538" s="11">
        <v>18086</v>
      </c>
      <c r="E3538" s="11" t="s">
        <v>446</v>
      </c>
      <c r="F3538" s="11" t="s">
        <v>26</v>
      </c>
      <c r="G3538" s="11" t="s">
        <v>35</v>
      </c>
      <c r="H3538" s="12" t="s">
        <v>36</v>
      </c>
      <c r="I3538" s="12" t="s">
        <v>55</v>
      </c>
      <c r="J3538" s="12" t="s">
        <v>55</v>
      </c>
      <c r="K3538" s="12" t="s">
        <v>56</v>
      </c>
      <c r="L3538" s="13">
        <v>33.479999999999997</v>
      </c>
      <c r="M3538" s="13">
        <v>22</v>
      </c>
      <c r="N3538" s="13">
        <f t="shared" si="1515"/>
        <v>1.5218181818181817</v>
      </c>
      <c r="O3538" s="13">
        <v>20</v>
      </c>
      <c r="P3538" s="13" t="s">
        <v>30</v>
      </c>
      <c r="Q3538" s="13">
        <v>0</v>
      </c>
      <c r="R3538" s="70">
        <f>(L3538*O3538)-Q3538</f>
        <v>669.59999999999991</v>
      </c>
      <c r="S3538" s="70">
        <v>0</v>
      </c>
      <c r="T3538" s="70">
        <f t="shared" ref="T3538" si="1540">+L3538*S3538</f>
        <v>0</v>
      </c>
      <c r="U3538" s="70">
        <f t="shared" ref="U3538:U3539" si="1541">+R3538-T3538</f>
        <v>669.59999999999991</v>
      </c>
      <c r="V3538" s="70">
        <f t="shared" ref="V3538" si="1542">+U3538*0</f>
        <v>0</v>
      </c>
      <c r="W3538" s="70">
        <f t="shared" ref="W3538:W3539" si="1543">+U3538-V3538</f>
        <v>669.59999999999991</v>
      </c>
      <c r="X3538" s="70">
        <v>0</v>
      </c>
      <c r="Y3538" s="14">
        <f t="shared" si="1539"/>
        <v>0</v>
      </c>
      <c r="Z3538" s="11" t="s">
        <v>26</v>
      </c>
      <c r="AA3538" s="12" t="s">
        <v>31</v>
      </c>
    </row>
    <row r="3539" spans="1:27" x14ac:dyDescent="0.25">
      <c r="A3539" s="10">
        <v>45712</v>
      </c>
      <c r="B3539" s="11" t="s">
        <v>6355</v>
      </c>
      <c r="C3539" s="11" t="s">
        <v>6356</v>
      </c>
      <c r="D3539" s="11">
        <v>18087</v>
      </c>
      <c r="E3539" s="11" t="s">
        <v>539</v>
      </c>
      <c r="F3539" s="11" t="s">
        <v>26</v>
      </c>
      <c r="G3539" s="11">
        <v>3373</v>
      </c>
      <c r="H3539" s="12" t="s">
        <v>41</v>
      </c>
      <c r="I3539" s="12" t="s">
        <v>27</v>
      </c>
      <c r="J3539" s="12" t="s">
        <v>33</v>
      </c>
      <c r="K3539" s="12" t="s">
        <v>34</v>
      </c>
      <c r="L3539" s="13">
        <v>38.94</v>
      </c>
      <c r="M3539" s="13">
        <v>25</v>
      </c>
      <c r="N3539" s="13">
        <f t="shared" si="1515"/>
        <v>1.5575999999999999</v>
      </c>
      <c r="O3539" s="13" t="s">
        <v>30</v>
      </c>
      <c r="P3539" s="13">
        <v>60</v>
      </c>
      <c r="Q3539" s="13">
        <v>0</v>
      </c>
      <c r="R3539" s="70">
        <f>M3539*P3539</f>
        <v>1500</v>
      </c>
      <c r="S3539" s="70">
        <v>0</v>
      </c>
      <c r="T3539" s="70">
        <f>M3539*S3539</f>
        <v>0</v>
      </c>
      <c r="U3539" s="70">
        <f t="shared" si="1541"/>
        <v>1500</v>
      </c>
      <c r="V3539" s="70">
        <f>+U3539*0</f>
        <v>0</v>
      </c>
      <c r="W3539" s="70">
        <f t="shared" si="1543"/>
        <v>1500</v>
      </c>
      <c r="X3539" s="70">
        <v>0</v>
      </c>
      <c r="Y3539" s="14">
        <f t="shared" si="1539"/>
        <v>0</v>
      </c>
      <c r="Z3539" s="11" t="s">
        <v>26</v>
      </c>
      <c r="AA3539" s="12" t="s">
        <v>31</v>
      </c>
    </row>
    <row r="3540" spans="1:27" x14ac:dyDescent="0.25">
      <c r="A3540" s="10">
        <v>45712</v>
      </c>
      <c r="B3540" s="11" t="s">
        <v>5755</v>
      </c>
      <c r="C3540" s="11" t="s">
        <v>6357</v>
      </c>
      <c r="D3540" s="11">
        <v>18088</v>
      </c>
      <c r="E3540" s="11" t="s">
        <v>244</v>
      </c>
      <c r="F3540" s="11" t="s">
        <v>26</v>
      </c>
      <c r="G3540" s="11">
        <v>961</v>
      </c>
      <c r="H3540" s="12" t="s">
        <v>141</v>
      </c>
      <c r="I3540" s="12" t="s">
        <v>37</v>
      </c>
      <c r="J3540" s="12" t="s">
        <v>85</v>
      </c>
      <c r="K3540" s="12" t="s">
        <v>86</v>
      </c>
      <c r="L3540" s="13">
        <v>35.96</v>
      </c>
      <c r="M3540" s="13">
        <v>25</v>
      </c>
      <c r="N3540" s="13">
        <f t="shared" si="1515"/>
        <v>1.4384000000000001</v>
      </c>
      <c r="O3540" s="13">
        <v>29</v>
      </c>
      <c r="P3540" s="13" t="s">
        <v>30</v>
      </c>
      <c r="Q3540" s="13">
        <v>0</v>
      </c>
      <c r="R3540" s="70">
        <f>L3540*O3540</f>
        <v>1042.8399999999999</v>
      </c>
      <c r="S3540" s="70">
        <v>0</v>
      </c>
      <c r="T3540" s="70">
        <f>L3540*S3540</f>
        <v>0</v>
      </c>
      <c r="U3540" s="70">
        <f>R3540-T3540</f>
        <v>1042.8399999999999</v>
      </c>
      <c r="V3540" s="70">
        <f>U3540*0</f>
        <v>0</v>
      </c>
      <c r="W3540" s="70">
        <f>U3540-V3540</f>
        <v>1042.8399999999999</v>
      </c>
      <c r="X3540" s="70">
        <v>0</v>
      </c>
      <c r="Y3540" s="14">
        <f t="shared" si="1539"/>
        <v>0</v>
      </c>
      <c r="Z3540" s="11" t="s">
        <v>26</v>
      </c>
      <c r="AA3540" s="12" t="s">
        <v>31</v>
      </c>
    </row>
    <row r="3541" spans="1:27" x14ac:dyDescent="0.25">
      <c r="A3541" s="10">
        <v>45712</v>
      </c>
      <c r="B3541" s="11" t="s">
        <v>6358</v>
      </c>
      <c r="C3541" s="11" t="s">
        <v>6359</v>
      </c>
      <c r="D3541" s="11">
        <v>18089</v>
      </c>
      <c r="E3541" s="11" t="s">
        <v>98</v>
      </c>
      <c r="F3541" s="11" t="s">
        <v>26</v>
      </c>
      <c r="G3541" s="11">
        <v>10729</v>
      </c>
      <c r="H3541" s="12" t="s">
        <v>140</v>
      </c>
      <c r="I3541" s="12" t="s">
        <v>27</v>
      </c>
      <c r="J3541" s="12" t="s">
        <v>42</v>
      </c>
      <c r="K3541" s="12" t="s">
        <v>43</v>
      </c>
      <c r="L3541" s="13">
        <v>41.6</v>
      </c>
      <c r="M3541" s="13">
        <v>25</v>
      </c>
      <c r="N3541" s="13">
        <f t="shared" si="1515"/>
        <v>1.6640000000000001</v>
      </c>
      <c r="O3541" s="13">
        <v>35</v>
      </c>
      <c r="P3541" s="13"/>
      <c r="Q3541" s="13">
        <v>0</v>
      </c>
      <c r="R3541" s="70">
        <f>+L3541*O3541</f>
        <v>1456</v>
      </c>
      <c r="S3541" s="70">
        <v>0</v>
      </c>
      <c r="T3541" s="70">
        <f>+L3541*S3541</f>
        <v>0</v>
      </c>
      <c r="U3541" s="70">
        <f>+R3541-T3541</f>
        <v>1456</v>
      </c>
      <c r="V3541" s="70">
        <f t="shared" ref="V3541:V3542" si="1544">+U3541*0</f>
        <v>0</v>
      </c>
      <c r="W3541" s="70">
        <f>+U3541-V3541</f>
        <v>1456</v>
      </c>
      <c r="X3541" s="70">
        <v>0</v>
      </c>
      <c r="Y3541" s="14">
        <f t="shared" si="1539"/>
        <v>0</v>
      </c>
      <c r="Z3541" s="11" t="s">
        <v>26</v>
      </c>
      <c r="AA3541" s="12" t="s">
        <v>31</v>
      </c>
    </row>
    <row r="3542" spans="1:27" x14ac:dyDescent="0.25">
      <c r="A3542" s="10">
        <v>45712</v>
      </c>
      <c r="B3542" s="11" t="s">
        <v>6360</v>
      </c>
      <c r="C3542" s="11" t="s">
        <v>6361</v>
      </c>
      <c r="D3542" s="11">
        <v>18090</v>
      </c>
      <c r="E3542" s="11" t="s">
        <v>57</v>
      </c>
      <c r="F3542" s="11" t="s">
        <v>26</v>
      </c>
      <c r="G3542" s="11">
        <v>3320</v>
      </c>
      <c r="H3542" s="12" t="s">
        <v>41</v>
      </c>
      <c r="I3542" s="12" t="s">
        <v>27</v>
      </c>
      <c r="J3542" s="12" t="s">
        <v>42</v>
      </c>
      <c r="K3542" s="12" t="s">
        <v>43</v>
      </c>
      <c r="L3542" s="13">
        <v>38.479999999999997</v>
      </c>
      <c r="M3542" s="13">
        <v>24</v>
      </c>
      <c r="N3542" s="13">
        <f t="shared" si="1515"/>
        <v>1.6033333333333333</v>
      </c>
      <c r="O3542" s="13" t="s">
        <v>30</v>
      </c>
      <c r="P3542" s="13">
        <v>64</v>
      </c>
      <c r="Q3542" s="13">
        <v>0</v>
      </c>
      <c r="R3542" s="70">
        <f>M3542*P3542</f>
        <v>1536</v>
      </c>
      <c r="S3542" s="70">
        <v>0</v>
      </c>
      <c r="T3542" s="70">
        <f>M3542*S3542</f>
        <v>0</v>
      </c>
      <c r="U3542" s="70">
        <f>+R3542-T3542</f>
        <v>1536</v>
      </c>
      <c r="V3542" s="70">
        <f t="shared" si="1544"/>
        <v>0</v>
      </c>
      <c r="W3542" s="70">
        <f>+U3542-V3542</f>
        <v>1536</v>
      </c>
      <c r="X3542" s="70">
        <v>0</v>
      </c>
      <c r="Y3542" s="14">
        <f t="shared" si="1539"/>
        <v>0</v>
      </c>
      <c r="Z3542" s="11" t="s">
        <v>26</v>
      </c>
      <c r="AA3542" s="12" t="s">
        <v>31</v>
      </c>
    </row>
    <row r="3543" spans="1:27" x14ac:dyDescent="0.25">
      <c r="A3543" s="10">
        <v>45712</v>
      </c>
      <c r="B3543" s="11" t="s">
        <v>6362</v>
      </c>
      <c r="C3543" s="11" t="s">
        <v>6363</v>
      </c>
      <c r="D3543" s="11">
        <v>18091</v>
      </c>
      <c r="E3543" s="11" t="s">
        <v>461</v>
      </c>
      <c r="F3543" s="11" t="s">
        <v>26</v>
      </c>
      <c r="G3543" s="11">
        <v>49</v>
      </c>
      <c r="H3543" s="12" t="s">
        <v>4444</v>
      </c>
      <c r="I3543" s="12" t="s">
        <v>37</v>
      </c>
      <c r="J3543" s="12" t="s">
        <v>85</v>
      </c>
      <c r="K3543" s="12" t="s">
        <v>86</v>
      </c>
      <c r="L3543" s="13">
        <v>32.380000000000003</v>
      </c>
      <c r="M3543" s="13">
        <v>20</v>
      </c>
      <c r="N3543" s="13">
        <f t="shared" si="1515"/>
        <v>1.6190000000000002</v>
      </c>
      <c r="O3543" s="13">
        <v>30</v>
      </c>
      <c r="P3543" s="13" t="s">
        <v>30</v>
      </c>
      <c r="Q3543" s="13">
        <v>0</v>
      </c>
      <c r="R3543" s="70">
        <f>L3543*O3543</f>
        <v>971.40000000000009</v>
      </c>
      <c r="S3543" s="70">
        <v>0</v>
      </c>
      <c r="T3543" s="70">
        <f>L3543*S3543</f>
        <v>0</v>
      </c>
      <c r="U3543" s="70">
        <f>R3543-T3543</f>
        <v>971.40000000000009</v>
      </c>
      <c r="V3543" s="70">
        <f>U3543*0</f>
        <v>0</v>
      </c>
      <c r="W3543" s="70">
        <f>U3543-V3543</f>
        <v>971.40000000000009</v>
      </c>
      <c r="X3543" s="70">
        <v>0</v>
      </c>
      <c r="Y3543" s="14">
        <f t="shared" si="1539"/>
        <v>0</v>
      </c>
      <c r="Z3543" s="11" t="s">
        <v>26</v>
      </c>
      <c r="AA3543" s="12" t="s">
        <v>31</v>
      </c>
    </row>
    <row r="3544" spans="1:27" x14ac:dyDescent="0.25">
      <c r="A3544" s="10">
        <v>45712</v>
      </c>
      <c r="B3544" s="11" t="s">
        <v>379</v>
      </c>
      <c r="C3544" s="11" t="s">
        <v>6364</v>
      </c>
      <c r="D3544" s="11">
        <v>18092</v>
      </c>
      <c r="E3544" s="11" t="s">
        <v>1200</v>
      </c>
      <c r="F3544" s="11" t="s">
        <v>26</v>
      </c>
      <c r="G3544" s="11">
        <v>2991</v>
      </c>
      <c r="H3544" s="12" t="s">
        <v>163</v>
      </c>
      <c r="I3544" s="12" t="s">
        <v>27</v>
      </c>
      <c r="J3544" s="12" t="s">
        <v>42</v>
      </c>
      <c r="K3544" s="12" t="s">
        <v>43</v>
      </c>
      <c r="L3544" s="13">
        <v>42.36</v>
      </c>
      <c r="M3544" s="13">
        <v>25</v>
      </c>
      <c r="N3544" s="13">
        <f t="shared" si="1515"/>
        <v>1.6943999999999999</v>
      </c>
      <c r="O3544" s="13" t="s">
        <v>30</v>
      </c>
      <c r="P3544" s="13">
        <v>64</v>
      </c>
      <c r="Q3544" s="13">
        <v>0</v>
      </c>
      <c r="R3544" s="70">
        <f>M3544*P3544</f>
        <v>1600</v>
      </c>
      <c r="S3544" s="70">
        <v>0</v>
      </c>
      <c r="T3544" s="70">
        <f>M3544*S3544</f>
        <v>0</v>
      </c>
      <c r="U3544" s="70">
        <f>R3544-T3544</f>
        <v>1600</v>
      </c>
      <c r="V3544" s="70">
        <f t="shared" ref="V3544:V3545" si="1545">U3544*0</f>
        <v>0</v>
      </c>
      <c r="W3544" s="70">
        <f t="shared" ref="W3544:W3545" si="1546">U3544-V3544</f>
        <v>1600</v>
      </c>
      <c r="X3544" s="70">
        <v>0</v>
      </c>
      <c r="Y3544" s="14">
        <f t="shared" si="1539"/>
        <v>0</v>
      </c>
      <c r="Z3544" s="11" t="s">
        <v>26</v>
      </c>
      <c r="AA3544" s="12" t="s">
        <v>31</v>
      </c>
    </row>
    <row r="3545" spans="1:27" x14ac:dyDescent="0.25">
      <c r="A3545" s="10">
        <v>45712</v>
      </c>
      <c r="B3545" s="11" t="s">
        <v>6365</v>
      </c>
      <c r="C3545" s="11" t="s">
        <v>6366</v>
      </c>
      <c r="D3545" s="11">
        <v>18093</v>
      </c>
      <c r="E3545" s="11" t="s">
        <v>49</v>
      </c>
      <c r="F3545" s="11" t="s">
        <v>26</v>
      </c>
      <c r="G3545" s="11">
        <v>1664</v>
      </c>
      <c r="H3545" s="12" t="s">
        <v>45</v>
      </c>
      <c r="I3545" s="12" t="s">
        <v>27</v>
      </c>
      <c r="J3545" s="12" t="s">
        <v>33</v>
      </c>
      <c r="K3545" s="12" t="s">
        <v>34</v>
      </c>
      <c r="L3545" s="13">
        <v>37.36</v>
      </c>
      <c r="M3545" s="13">
        <v>25</v>
      </c>
      <c r="N3545" s="13">
        <f t="shared" si="1515"/>
        <v>1.4944</v>
      </c>
      <c r="O3545" s="13" t="s">
        <v>30</v>
      </c>
      <c r="P3545" s="13">
        <v>58</v>
      </c>
      <c r="Q3545" s="13">
        <v>0</v>
      </c>
      <c r="R3545" s="70">
        <f>M3545*P3545</f>
        <v>1450</v>
      </c>
      <c r="S3545" s="70">
        <v>0</v>
      </c>
      <c r="T3545" s="70">
        <f>M3545*S3545</f>
        <v>0</v>
      </c>
      <c r="U3545" s="70">
        <f>R3545-T3545</f>
        <v>1450</v>
      </c>
      <c r="V3545" s="70">
        <f t="shared" si="1545"/>
        <v>0</v>
      </c>
      <c r="W3545" s="70">
        <f t="shared" si="1546"/>
        <v>1450</v>
      </c>
      <c r="X3545" s="70">
        <v>0</v>
      </c>
      <c r="Y3545" s="14">
        <f t="shared" si="1539"/>
        <v>0</v>
      </c>
      <c r="Z3545" s="11" t="s">
        <v>26</v>
      </c>
      <c r="AA3545" s="12" t="s">
        <v>31</v>
      </c>
    </row>
    <row r="3546" spans="1:27" x14ac:dyDescent="0.25">
      <c r="A3546" s="10">
        <v>45712</v>
      </c>
      <c r="B3546" s="11" t="s">
        <v>6367</v>
      </c>
      <c r="C3546" s="11" t="s">
        <v>6368</v>
      </c>
      <c r="D3546" s="11">
        <v>18094</v>
      </c>
      <c r="E3546" s="11" t="s">
        <v>461</v>
      </c>
      <c r="F3546" s="11" t="s">
        <v>26</v>
      </c>
      <c r="G3546" s="11">
        <v>48</v>
      </c>
      <c r="H3546" s="12" t="s">
        <v>4444</v>
      </c>
      <c r="I3546" s="12" t="s">
        <v>37</v>
      </c>
      <c r="J3546" s="12" t="s">
        <v>85</v>
      </c>
      <c r="K3546" s="12" t="s">
        <v>86</v>
      </c>
      <c r="L3546" s="13">
        <v>33.44</v>
      </c>
      <c r="M3546" s="13">
        <v>20</v>
      </c>
      <c r="N3546" s="13">
        <f t="shared" si="1515"/>
        <v>1.6719999999999999</v>
      </c>
      <c r="O3546" s="13">
        <v>30</v>
      </c>
      <c r="P3546" s="13" t="s">
        <v>30</v>
      </c>
      <c r="Q3546" s="13">
        <v>0</v>
      </c>
      <c r="R3546" s="70">
        <f>L3546*O3546</f>
        <v>1003.1999999999999</v>
      </c>
      <c r="S3546" s="70">
        <v>0</v>
      </c>
      <c r="T3546" s="70">
        <f>L3546*S3546</f>
        <v>0</v>
      </c>
      <c r="U3546" s="70">
        <f>R3546-T3546</f>
        <v>1003.1999999999999</v>
      </c>
      <c r="V3546" s="70">
        <f>U3546*0</f>
        <v>0</v>
      </c>
      <c r="W3546" s="70">
        <f>U3546-V3546</f>
        <v>1003.1999999999999</v>
      </c>
      <c r="X3546" s="70">
        <v>0</v>
      </c>
      <c r="Y3546" s="14">
        <f t="shared" si="1539"/>
        <v>0</v>
      </c>
      <c r="Z3546" s="11" t="s">
        <v>26</v>
      </c>
      <c r="AA3546" s="12" t="s">
        <v>31</v>
      </c>
    </row>
    <row r="3547" spans="1:27" x14ac:dyDescent="0.25">
      <c r="A3547" s="10">
        <v>45712</v>
      </c>
      <c r="B3547" s="11" t="s">
        <v>6369</v>
      </c>
      <c r="C3547" s="11" t="s">
        <v>6370</v>
      </c>
      <c r="D3547" s="11">
        <v>18096</v>
      </c>
      <c r="E3547" s="11" t="s">
        <v>483</v>
      </c>
      <c r="F3547" s="11" t="s">
        <v>26</v>
      </c>
      <c r="G3547" s="11" t="s">
        <v>26</v>
      </c>
      <c r="H3547" s="12" t="s">
        <v>146</v>
      </c>
      <c r="I3547" s="12" t="s">
        <v>27</v>
      </c>
      <c r="J3547" s="12" t="s">
        <v>47</v>
      </c>
      <c r="K3547" s="12" t="s">
        <v>48</v>
      </c>
      <c r="L3547" s="13">
        <v>43.1</v>
      </c>
      <c r="M3547" s="13">
        <v>29</v>
      </c>
      <c r="N3547" s="13">
        <f t="shared" si="1515"/>
        <v>1.4862068965517241</v>
      </c>
      <c r="O3547" s="13">
        <v>91</v>
      </c>
      <c r="P3547" s="13" t="s">
        <v>30</v>
      </c>
      <c r="Q3547" s="13">
        <v>0</v>
      </c>
      <c r="R3547" s="70">
        <f>+L3547*O3547</f>
        <v>3922.1</v>
      </c>
      <c r="S3547" s="70">
        <v>40</v>
      </c>
      <c r="T3547" s="70">
        <f>L3547*S3547</f>
        <v>1724</v>
      </c>
      <c r="U3547" s="70">
        <f t="shared" ref="U3547" si="1547">R3547-T3547</f>
        <v>2198.1</v>
      </c>
      <c r="V3547" s="70">
        <f>U3547*1</f>
        <v>2198.1</v>
      </c>
      <c r="W3547" s="70">
        <f t="shared" ref="W3547" si="1548">U3547-V3547</f>
        <v>0</v>
      </c>
      <c r="X3547" s="70">
        <f>L3547*37</f>
        <v>1594.7</v>
      </c>
      <c r="Y3547" s="71">
        <f>+T3547-X3547</f>
        <v>129.29999999999995</v>
      </c>
      <c r="Z3547" s="12" t="s">
        <v>41</v>
      </c>
      <c r="AA3547" s="12" t="s">
        <v>79</v>
      </c>
    </row>
    <row r="3548" spans="1:27" x14ac:dyDescent="0.25">
      <c r="A3548" s="10">
        <v>45712</v>
      </c>
      <c r="B3548" s="11" t="s">
        <v>6371</v>
      </c>
      <c r="C3548" s="11" t="s">
        <v>6372</v>
      </c>
      <c r="D3548" s="11">
        <v>18097</v>
      </c>
      <c r="E3548" s="11" t="s">
        <v>5122</v>
      </c>
      <c r="F3548" s="11" t="s">
        <v>26</v>
      </c>
      <c r="G3548" s="11">
        <v>78902</v>
      </c>
      <c r="H3548" s="12" t="s">
        <v>4448</v>
      </c>
      <c r="I3548" s="12" t="s">
        <v>27</v>
      </c>
      <c r="J3548" s="12" t="s">
        <v>42</v>
      </c>
      <c r="K3548" s="12" t="s">
        <v>43</v>
      </c>
      <c r="L3548" s="13">
        <v>43.5</v>
      </c>
      <c r="M3548" s="13">
        <v>25</v>
      </c>
      <c r="N3548" s="13">
        <f t="shared" si="1515"/>
        <v>1.74</v>
      </c>
      <c r="O3548" s="13">
        <v>42.5</v>
      </c>
      <c r="P3548" s="13"/>
      <c r="Q3548" s="13">
        <v>0</v>
      </c>
      <c r="R3548" s="70">
        <f>+L3548*O3548</f>
        <v>1848.75</v>
      </c>
      <c r="S3548" s="70">
        <v>0</v>
      </c>
      <c r="T3548" s="70">
        <f>+L3548*S3548</f>
        <v>0</v>
      </c>
      <c r="U3548" s="70">
        <f>+R3548-T3548</f>
        <v>1848.75</v>
      </c>
      <c r="V3548" s="70">
        <f>+U3548*0.75</f>
        <v>1386.5625</v>
      </c>
      <c r="W3548" s="70">
        <f>+U3548-V3548</f>
        <v>462.1875</v>
      </c>
      <c r="X3548" s="70">
        <v>0</v>
      </c>
      <c r="Y3548" s="14">
        <f t="shared" ref="Y3548:Y3561" si="1549">T3548-X3548</f>
        <v>0</v>
      </c>
      <c r="Z3548" s="11" t="s">
        <v>26</v>
      </c>
      <c r="AA3548" s="12" t="s">
        <v>31</v>
      </c>
    </row>
    <row r="3549" spans="1:27" x14ac:dyDescent="0.25">
      <c r="A3549" s="10">
        <v>45712</v>
      </c>
      <c r="B3549" s="11" t="s">
        <v>6373</v>
      </c>
      <c r="C3549" s="11" t="s">
        <v>6374</v>
      </c>
      <c r="D3549" s="11">
        <v>18098</v>
      </c>
      <c r="E3549" s="11" t="s">
        <v>80</v>
      </c>
      <c r="F3549" s="11" t="s">
        <v>26</v>
      </c>
      <c r="G3549" s="11">
        <v>10905</v>
      </c>
      <c r="H3549" s="12" t="s">
        <v>140</v>
      </c>
      <c r="I3549" s="12" t="s">
        <v>27</v>
      </c>
      <c r="J3549" s="12" t="s">
        <v>42</v>
      </c>
      <c r="K3549" s="12" t="s">
        <v>43</v>
      </c>
      <c r="L3549" s="13">
        <v>43.52</v>
      </c>
      <c r="M3549" s="13">
        <v>25</v>
      </c>
      <c r="N3549" s="13">
        <f t="shared" si="1515"/>
        <v>1.7408000000000001</v>
      </c>
      <c r="O3549" s="13">
        <v>35</v>
      </c>
      <c r="P3549" s="13"/>
      <c r="Q3549" s="13">
        <v>0</v>
      </c>
      <c r="R3549" s="70">
        <f>+L3549*O3549</f>
        <v>1523.2</v>
      </c>
      <c r="S3549" s="70">
        <v>0</v>
      </c>
      <c r="T3549" s="70">
        <f>+L3549*S3549</f>
        <v>0</v>
      </c>
      <c r="U3549" s="70">
        <f>+R3549-T3549</f>
        <v>1523.2</v>
      </c>
      <c r="V3549" s="70">
        <f t="shared" ref="V3549" si="1550">+U3549*0</f>
        <v>0</v>
      </c>
      <c r="W3549" s="70">
        <f>+U3549-V3549</f>
        <v>1523.2</v>
      </c>
      <c r="X3549" s="70">
        <v>0</v>
      </c>
      <c r="Y3549" s="14">
        <f t="shared" si="1549"/>
        <v>0</v>
      </c>
      <c r="Z3549" s="11" t="s">
        <v>26</v>
      </c>
      <c r="AA3549" s="12" t="s">
        <v>31</v>
      </c>
    </row>
    <row r="3550" spans="1:27" x14ac:dyDescent="0.25">
      <c r="A3550" s="10">
        <v>45712</v>
      </c>
      <c r="B3550" s="11" t="s">
        <v>6375</v>
      </c>
      <c r="C3550" s="11" t="s">
        <v>6376</v>
      </c>
      <c r="D3550" s="11">
        <v>18100</v>
      </c>
      <c r="E3550" s="11" t="s">
        <v>44</v>
      </c>
      <c r="F3550" s="11" t="s">
        <v>26</v>
      </c>
      <c r="G3550" s="11">
        <v>1660</v>
      </c>
      <c r="H3550" s="12" t="s">
        <v>45</v>
      </c>
      <c r="I3550" s="12" t="s">
        <v>27</v>
      </c>
      <c r="J3550" s="12" t="s">
        <v>33</v>
      </c>
      <c r="K3550" s="12" t="s">
        <v>34</v>
      </c>
      <c r="L3550" s="13">
        <v>37.68</v>
      </c>
      <c r="M3550" s="13">
        <v>25</v>
      </c>
      <c r="N3550" s="13">
        <f t="shared" si="1515"/>
        <v>1.5072000000000001</v>
      </c>
      <c r="O3550" s="13" t="s">
        <v>30</v>
      </c>
      <c r="P3550" s="13">
        <v>58</v>
      </c>
      <c r="Q3550" s="13">
        <v>0</v>
      </c>
      <c r="R3550" s="70">
        <f>M3550*P3550</f>
        <v>1450</v>
      </c>
      <c r="S3550" s="70">
        <v>0</v>
      </c>
      <c r="T3550" s="70">
        <f>M3550*S3550</f>
        <v>0</v>
      </c>
      <c r="U3550" s="70">
        <f>R3550-T3550</f>
        <v>1450</v>
      </c>
      <c r="V3550" s="70">
        <f t="shared" ref="V3550" si="1551">U3550*0</f>
        <v>0</v>
      </c>
      <c r="W3550" s="70">
        <f t="shared" ref="W3550" si="1552">U3550-V3550</f>
        <v>1450</v>
      </c>
      <c r="X3550" s="70">
        <v>0</v>
      </c>
      <c r="Y3550" s="14">
        <f t="shared" si="1549"/>
        <v>0</v>
      </c>
      <c r="Z3550" s="11" t="s">
        <v>26</v>
      </c>
      <c r="AA3550" s="12" t="s">
        <v>31</v>
      </c>
    </row>
    <row r="3551" spans="1:27" x14ac:dyDescent="0.25">
      <c r="A3551" s="10">
        <v>45712</v>
      </c>
      <c r="B3551" s="11" t="s">
        <v>6377</v>
      </c>
      <c r="C3551" s="11" t="s">
        <v>6378</v>
      </c>
      <c r="D3551" s="11">
        <v>18101</v>
      </c>
      <c r="E3551" s="11" t="s">
        <v>63</v>
      </c>
      <c r="F3551" s="11" t="s">
        <v>26</v>
      </c>
      <c r="G3551" s="11">
        <v>10854</v>
      </c>
      <c r="H3551" s="12" t="s">
        <v>140</v>
      </c>
      <c r="I3551" s="12" t="s">
        <v>27</v>
      </c>
      <c r="J3551" s="12" t="s">
        <v>42</v>
      </c>
      <c r="K3551" s="12" t="s">
        <v>43</v>
      </c>
      <c r="L3551" s="13">
        <v>42.86</v>
      </c>
      <c r="M3551" s="13">
        <v>25</v>
      </c>
      <c r="N3551" s="13">
        <f t="shared" si="1515"/>
        <v>1.7143999999999999</v>
      </c>
      <c r="O3551" s="13">
        <v>35</v>
      </c>
      <c r="P3551" s="13"/>
      <c r="Q3551" s="13">
        <v>0</v>
      </c>
      <c r="R3551" s="70">
        <f>+L3551*O3551</f>
        <v>1500.1</v>
      </c>
      <c r="S3551" s="70">
        <v>0</v>
      </c>
      <c r="T3551" s="70">
        <f>+L3551*S3551</f>
        <v>0</v>
      </c>
      <c r="U3551" s="70">
        <f>+R3551-T3551</f>
        <v>1500.1</v>
      </c>
      <c r="V3551" s="70">
        <f t="shared" ref="V3551" si="1553">+U3551*0</f>
        <v>0</v>
      </c>
      <c r="W3551" s="70">
        <f>+U3551-V3551</f>
        <v>1500.1</v>
      </c>
      <c r="X3551" s="70">
        <v>0</v>
      </c>
      <c r="Y3551" s="14">
        <f t="shared" si="1549"/>
        <v>0</v>
      </c>
      <c r="Z3551" s="11" t="s">
        <v>26</v>
      </c>
      <c r="AA3551" s="12" t="s">
        <v>31</v>
      </c>
    </row>
    <row r="3552" spans="1:27" x14ac:dyDescent="0.25">
      <c r="A3552" s="10">
        <v>45712</v>
      </c>
      <c r="B3552" s="11" t="s">
        <v>1099</v>
      </c>
      <c r="C3552" s="11" t="s">
        <v>6379</v>
      </c>
      <c r="D3552" s="11">
        <v>18102</v>
      </c>
      <c r="E3552" s="11" t="s">
        <v>461</v>
      </c>
      <c r="F3552" s="11" t="s">
        <v>26</v>
      </c>
      <c r="G3552" s="11">
        <v>47</v>
      </c>
      <c r="H3552" s="12" t="s">
        <v>4444</v>
      </c>
      <c r="I3552" s="12" t="s">
        <v>37</v>
      </c>
      <c r="J3552" s="12" t="s">
        <v>85</v>
      </c>
      <c r="K3552" s="12" t="s">
        <v>86</v>
      </c>
      <c r="L3552" s="13">
        <v>32.380000000000003</v>
      </c>
      <c r="M3552" s="13">
        <v>20</v>
      </c>
      <c r="N3552" s="13">
        <f t="shared" si="1515"/>
        <v>1.6190000000000002</v>
      </c>
      <c r="O3552" s="13">
        <v>30</v>
      </c>
      <c r="P3552" s="13" t="s">
        <v>30</v>
      </c>
      <c r="Q3552" s="13">
        <v>0</v>
      </c>
      <c r="R3552" s="70">
        <f>L3552*O3552</f>
        <v>971.40000000000009</v>
      </c>
      <c r="S3552" s="70">
        <v>0</v>
      </c>
      <c r="T3552" s="70">
        <f>L3552*S3552</f>
        <v>0</v>
      </c>
      <c r="U3552" s="70">
        <f>R3552-T3552</f>
        <v>971.40000000000009</v>
      </c>
      <c r="V3552" s="70">
        <f>U3552*0</f>
        <v>0</v>
      </c>
      <c r="W3552" s="70">
        <f>U3552-V3552</f>
        <v>971.40000000000009</v>
      </c>
      <c r="X3552" s="70">
        <v>0</v>
      </c>
      <c r="Y3552" s="14">
        <f t="shared" si="1549"/>
        <v>0</v>
      </c>
      <c r="Z3552" s="11" t="s">
        <v>26</v>
      </c>
      <c r="AA3552" s="12" t="s">
        <v>31</v>
      </c>
    </row>
    <row r="3553" spans="1:27" x14ac:dyDescent="0.25">
      <c r="A3553" s="10">
        <v>45712</v>
      </c>
      <c r="B3553" s="11" t="s">
        <v>6380</v>
      </c>
      <c r="C3553" s="11" t="s">
        <v>6381</v>
      </c>
      <c r="D3553" s="11">
        <v>18103</v>
      </c>
      <c r="E3553" s="11" t="s">
        <v>589</v>
      </c>
      <c r="F3553" s="11" t="s">
        <v>26</v>
      </c>
      <c r="G3553" s="11">
        <v>56937</v>
      </c>
      <c r="H3553" s="12" t="s">
        <v>4423</v>
      </c>
      <c r="I3553" s="12" t="s">
        <v>27</v>
      </c>
      <c r="J3553" s="12" t="s">
        <v>33</v>
      </c>
      <c r="K3553" s="12" t="s">
        <v>34</v>
      </c>
      <c r="L3553" s="13">
        <v>34.159999999999997</v>
      </c>
      <c r="M3553" s="13">
        <v>25</v>
      </c>
      <c r="N3553" s="13">
        <f t="shared" si="1515"/>
        <v>1.3663999999999998</v>
      </c>
      <c r="O3553" s="13">
        <v>45</v>
      </c>
      <c r="P3553" s="13" t="s">
        <v>30</v>
      </c>
      <c r="Q3553" s="13">
        <v>0</v>
      </c>
      <c r="R3553" s="70">
        <f>+L3553*O3553</f>
        <v>1537.1999999999998</v>
      </c>
      <c r="S3553" s="70">
        <v>0</v>
      </c>
      <c r="T3553" s="70">
        <f>+L3553*S3553</f>
        <v>0</v>
      </c>
      <c r="U3553" s="70">
        <f t="shared" ref="U3553:U3555" si="1554">+R3553-T3553</f>
        <v>1537.1999999999998</v>
      </c>
      <c r="V3553" s="70">
        <f>+U3553*1</f>
        <v>1537.1999999999998</v>
      </c>
      <c r="W3553" s="70">
        <f t="shared" ref="W3553:W3555" si="1555">+U3553-V3553</f>
        <v>0</v>
      </c>
      <c r="X3553" s="70">
        <v>0</v>
      </c>
      <c r="Y3553" s="14">
        <f t="shared" si="1549"/>
        <v>0</v>
      </c>
      <c r="Z3553" s="11" t="s">
        <v>26</v>
      </c>
      <c r="AA3553" s="12" t="s">
        <v>31</v>
      </c>
    </row>
    <row r="3554" spans="1:27" x14ac:dyDescent="0.25">
      <c r="A3554" s="10">
        <v>45712</v>
      </c>
      <c r="B3554" s="11" t="s">
        <v>6382</v>
      </c>
      <c r="C3554" s="11" t="s">
        <v>6383</v>
      </c>
      <c r="D3554" s="11">
        <v>18104</v>
      </c>
      <c r="E3554" s="11" t="s">
        <v>593</v>
      </c>
      <c r="F3554" s="11" t="s">
        <v>26</v>
      </c>
      <c r="G3554" s="11">
        <v>44347</v>
      </c>
      <c r="H3554" s="12" t="s">
        <v>4423</v>
      </c>
      <c r="I3554" s="12" t="s">
        <v>27</v>
      </c>
      <c r="J3554" s="12" t="s">
        <v>47</v>
      </c>
      <c r="K3554" s="12" t="s">
        <v>48</v>
      </c>
      <c r="L3554" s="13">
        <v>35.04</v>
      </c>
      <c r="M3554" s="13">
        <v>25</v>
      </c>
      <c r="N3554" s="13">
        <f t="shared" si="1515"/>
        <v>1.4016</v>
      </c>
      <c r="O3554" s="13">
        <v>46</v>
      </c>
      <c r="P3554" s="13" t="s">
        <v>30</v>
      </c>
      <c r="Q3554" s="13">
        <v>0</v>
      </c>
      <c r="R3554" s="70">
        <f t="shared" ref="R3554" si="1556">+L3554*O3554</f>
        <v>1611.84</v>
      </c>
      <c r="S3554" s="70">
        <v>0</v>
      </c>
      <c r="T3554" s="70">
        <f t="shared" ref="T3554:T3555" si="1557">+L3554*S3554</f>
        <v>0</v>
      </c>
      <c r="U3554" s="70">
        <f t="shared" si="1554"/>
        <v>1611.84</v>
      </c>
      <c r="V3554" s="70">
        <f>+U3554*1</f>
        <v>1611.84</v>
      </c>
      <c r="W3554" s="70">
        <f t="shared" si="1555"/>
        <v>0</v>
      </c>
      <c r="X3554" s="70">
        <v>0</v>
      </c>
      <c r="Y3554" s="14">
        <f t="shared" si="1549"/>
        <v>0</v>
      </c>
      <c r="Z3554" s="11" t="s">
        <v>26</v>
      </c>
      <c r="AA3554" s="12" t="s">
        <v>31</v>
      </c>
    </row>
    <row r="3555" spans="1:27" x14ac:dyDescent="0.25">
      <c r="A3555" s="10">
        <v>45712</v>
      </c>
      <c r="B3555" s="11" t="s">
        <v>6384</v>
      </c>
      <c r="C3555" s="11" t="s">
        <v>6385</v>
      </c>
      <c r="D3555" s="11">
        <v>18105</v>
      </c>
      <c r="E3555" s="11" t="s">
        <v>61</v>
      </c>
      <c r="F3555" s="11" t="s">
        <v>26</v>
      </c>
      <c r="G3555" s="11" t="s">
        <v>35</v>
      </c>
      <c r="H3555" s="12" t="s">
        <v>36</v>
      </c>
      <c r="I3555" s="12" t="s">
        <v>27</v>
      </c>
      <c r="J3555" s="12" t="s">
        <v>33</v>
      </c>
      <c r="K3555" s="12" t="s">
        <v>34</v>
      </c>
      <c r="L3555" s="13">
        <v>9.5399999999999991</v>
      </c>
      <c r="M3555" s="13">
        <v>6</v>
      </c>
      <c r="N3555" s="13">
        <f t="shared" si="1515"/>
        <v>1.5899999999999999</v>
      </c>
      <c r="O3555" s="13">
        <v>50</v>
      </c>
      <c r="P3555" s="13" t="s">
        <v>30</v>
      </c>
      <c r="Q3555" s="13">
        <v>0</v>
      </c>
      <c r="R3555" s="70">
        <f>(L3555*O3555)-Q3555</f>
        <v>476.99999999999994</v>
      </c>
      <c r="S3555" s="70">
        <v>0</v>
      </c>
      <c r="T3555" s="70">
        <f t="shared" si="1557"/>
        <v>0</v>
      </c>
      <c r="U3555" s="70">
        <f t="shared" si="1554"/>
        <v>476.99999999999994</v>
      </c>
      <c r="V3555" s="70">
        <f t="shared" ref="V3555" si="1558">+U3555*0</f>
        <v>0</v>
      </c>
      <c r="W3555" s="70">
        <f t="shared" si="1555"/>
        <v>476.99999999999994</v>
      </c>
      <c r="X3555" s="70">
        <v>0</v>
      </c>
      <c r="Y3555" s="14">
        <f t="shared" si="1549"/>
        <v>0</v>
      </c>
      <c r="Z3555" s="11" t="s">
        <v>26</v>
      </c>
      <c r="AA3555" s="12" t="s">
        <v>31</v>
      </c>
    </row>
    <row r="3556" spans="1:27" x14ac:dyDescent="0.25">
      <c r="A3556" s="10">
        <v>45712</v>
      </c>
      <c r="B3556" s="11" t="s">
        <v>6386</v>
      </c>
      <c r="C3556" s="11" t="s">
        <v>6387</v>
      </c>
      <c r="D3556" s="11">
        <v>18106</v>
      </c>
      <c r="E3556" s="11" t="s">
        <v>230</v>
      </c>
      <c r="F3556" s="11" t="s">
        <v>26</v>
      </c>
      <c r="G3556" s="11">
        <v>26214</v>
      </c>
      <c r="H3556" s="12" t="s">
        <v>565</v>
      </c>
      <c r="I3556" s="12" t="s">
        <v>55</v>
      </c>
      <c r="J3556" s="12" t="s">
        <v>55</v>
      </c>
      <c r="K3556" s="12" t="s">
        <v>56</v>
      </c>
      <c r="L3556" s="13">
        <v>40</v>
      </c>
      <c r="M3556" s="13">
        <v>25</v>
      </c>
      <c r="N3556" s="13">
        <f t="shared" si="1515"/>
        <v>1.6</v>
      </c>
      <c r="O3556" s="13"/>
      <c r="P3556" s="13">
        <v>24</v>
      </c>
      <c r="Q3556" s="13">
        <v>0</v>
      </c>
      <c r="R3556" s="70">
        <f>M3556*P3556</f>
        <v>600</v>
      </c>
      <c r="S3556" s="70">
        <v>0</v>
      </c>
      <c r="T3556" s="70">
        <f>M3556*S3556</f>
        <v>0</v>
      </c>
      <c r="U3556" s="70">
        <f t="shared" ref="U3556" si="1559">R3556-T3556</f>
        <v>600</v>
      </c>
      <c r="V3556" s="70">
        <f>U3556*0</f>
        <v>0</v>
      </c>
      <c r="W3556" s="70">
        <f>+U3556-V3556</f>
        <v>600</v>
      </c>
      <c r="X3556" s="70">
        <v>0</v>
      </c>
      <c r="Y3556" s="14">
        <f t="shared" si="1549"/>
        <v>0</v>
      </c>
      <c r="Z3556" s="11" t="s">
        <v>26</v>
      </c>
      <c r="AA3556" s="12" t="s">
        <v>31</v>
      </c>
    </row>
    <row r="3557" spans="1:27" x14ac:dyDescent="0.25">
      <c r="A3557" s="10">
        <v>45712</v>
      </c>
      <c r="B3557" s="11" t="s">
        <v>722</v>
      </c>
      <c r="C3557" s="11" t="s">
        <v>6388</v>
      </c>
      <c r="D3557" s="11">
        <v>18107</v>
      </c>
      <c r="E3557" s="11" t="s">
        <v>461</v>
      </c>
      <c r="F3557" s="11" t="s">
        <v>26</v>
      </c>
      <c r="G3557" s="11">
        <v>51</v>
      </c>
      <c r="H3557" s="12" t="s">
        <v>4444</v>
      </c>
      <c r="I3557" s="12" t="s">
        <v>37</v>
      </c>
      <c r="J3557" s="12" t="s">
        <v>85</v>
      </c>
      <c r="K3557" s="12" t="s">
        <v>86</v>
      </c>
      <c r="L3557" s="13">
        <v>29.94</v>
      </c>
      <c r="M3557" s="13">
        <v>20</v>
      </c>
      <c r="N3557" s="13">
        <f t="shared" si="1515"/>
        <v>1.4970000000000001</v>
      </c>
      <c r="O3557" s="13">
        <v>30</v>
      </c>
      <c r="P3557" s="13" t="s">
        <v>30</v>
      </c>
      <c r="Q3557" s="13">
        <v>0</v>
      </c>
      <c r="R3557" s="70">
        <f>L3557*O3557</f>
        <v>898.2</v>
      </c>
      <c r="S3557" s="70">
        <v>0</v>
      </c>
      <c r="T3557" s="70">
        <f>L3557*S3557</f>
        <v>0</v>
      </c>
      <c r="U3557" s="70">
        <f>R3557-T3557</f>
        <v>898.2</v>
      </c>
      <c r="V3557" s="70">
        <f>U3557*0</f>
        <v>0</v>
      </c>
      <c r="W3557" s="70">
        <f>U3557-V3557</f>
        <v>898.2</v>
      </c>
      <c r="X3557" s="70">
        <v>0</v>
      </c>
      <c r="Y3557" s="14">
        <f t="shared" si="1549"/>
        <v>0</v>
      </c>
      <c r="Z3557" s="11" t="s">
        <v>26</v>
      </c>
      <c r="AA3557" s="12" t="s">
        <v>31</v>
      </c>
    </row>
    <row r="3558" spans="1:27" x14ac:dyDescent="0.25">
      <c r="A3558" s="10">
        <v>45712</v>
      </c>
      <c r="B3558" s="11" t="s">
        <v>6389</v>
      </c>
      <c r="C3558" s="11" t="s">
        <v>6390</v>
      </c>
      <c r="D3558" s="11">
        <v>18108</v>
      </c>
      <c r="E3558" s="11" t="s">
        <v>431</v>
      </c>
      <c r="F3558" s="11" t="s">
        <v>26</v>
      </c>
      <c r="G3558" s="11">
        <v>1057</v>
      </c>
      <c r="H3558" s="12" t="s">
        <v>6328</v>
      </c>
      <c r="I3558" s="12" t="s">
        <v>27</v>
      </c>
      <c r="J3558" s="12" t="s">
        <v>42</v>
      </c>
      <c r="K3558" s="12" t="s">
        <v>43</v>
      </c>
      <c r="L3558" s="13">
        <v>40.1</v>
      </c>
      <c r="M3558" s="13">
        <v>25</v>
      </c>
      <c r="N3558" s="13">
        <f t="shared" si="1515"/>
        <v>1.6040000000000001</v>
      </c>
      <c r="O3558" s="13">
        <v>42.5</v>
      </c>
      <c r="P3558" s="13"/>
      <c r="Q3558" s="13">
        <v>0</v>
      </c>
      <c r="R3558" s="70">
        <f>L3558*O3558</f>
        <v>1704.25</v>
      </c>
      <c r="S3558" s="70">
        <v>0</v>
      </c>
      <c r="T3558" s="70">
        <f>+L3558*S3558</f>
        <v>0</v>
      </c>
      <c r="U3558" s="70">
        <f>R3558-T3558</f>
        <v>1704.25</v>
      </c>
      <c r="V3558" s="70">
        <f>U3558*0</f>
        <v>0</v>
      </c>
      <c r="W3558" s="70">
        <f>U3558-V3558</f>
        <v>1704.25</v>
      </c>
      <c r="X3558" s="70"/>
      <c r="Y3558" s="14">
        <f t="shared" si="1549"/>
        <v>0</v>
      </c>
      <c r="Z3558" s="74" t="s">
        <v>26</v>
      </c>
      <c r="AA3558" s="12" t="s">
        <v>31</v>
      </c>
    </row>
    <row r="3559" spans="1:27" x14ac:dyDescent="0.25">
      <c r="A3559" s="10">
        <v>45712</v>
      </c>
      <c r="B3559" s="11" t="s">
        <v>6391</v>
      </c>
      <c r="C3559" s="11" t="s">
        <v>6392</v>
      </c>
      <c r="D3559" s="11">
        <v>18109</v>
      </c>
      <c r="E3559" s="11" t="s">
        <v>50</v>
      </c>
      <c r="F3559" s="11" t="s">
        <v>26</v>
      </c>
      <c r="G3559" s="11">
        <v>767</v>
      </c>
      <c r="H3559" s="12" t="s">
        <v>163</v>
      </c>
      <c r="I3559" s="12" t="s">
        <v>27</v>
      </c>
      <c r="J3559" s="12" t="s">
        <v>33</v>
      </c>
      <c r="K3559" s="12" t="s">
        <v>34</v>
      </c>
      <c r="L3559" s="13">
        <v>38.14</v>
      </c>
      <c r="M3559" s="13">
        <v>25</v>
      </c>
      <c r="N3559" s="13">
        <f t="shared" si="1515"/>
        <v>1.5256000000000001</v>
      </c>
      <c r="O3559" s="13" t="s">
        <v>30</v>
      </c>
      <c r="P3559" s="13">
        <v>60</v>
      </c>
      <c r="Q3559" s="13">
        <v>0</v>
      </c>
      <c r="R3559" s="70">
        <f>M3559*P3559</f>
        <v>1500</v>
      </c>
      <c r="S3559" s="70">
        <v>0</v>
      </c>
      <c r="T3559" s="70">
        <f>M3559*S3559</f>
        <v>0</v>
      </c>
      <c r="U3559" s="70">
        <f>R3559-T3559</f>
        <v>1500</v>
      </c>
      <c r="V3559" s="70">
        <f>U3559*0</f>
        <v>0</v>
      </c>
      <c r="W3559" s="70">
        <f>U3559-V3559</f>
        <v>1500</v>
      </c>
      <c r="X3559" s="70">
        <v>0</v>
      </c>
      <c r="Y3559" s="14">
        <f t="shared" si="1549"/>
        <v>0</v>
      </c>
      <c r="Z3559" s="11" t="s">
        <v>26</v>
      </c>
      <c r="AA3559" s="12" t="s">
        <v>31</v>
      </c>
    </row>
    <row r="3560" spans="1:27" x14ac:dyDescent="0.25">
      <c r="A3560" s="10">
        <v>45712</v>
      </c>
      <c r="B3560" s="11" t="s">
        <v>3676</v>
      </c>
      <c r="C3560" s="11" t="s">
        <v>6393</v>
      </c>
      <c r="D3560" s="11">
        <v>18110</v>
      </c>
      <c r="E3560" s="11" t="s">
        <v>6394</v>
      </c>
      <c r="F3560" s="11" t="s">
        <v>26</v>
      </c>
      <c r="G3560" s="11" t="s">
        <v>35</v>
      </c>
      <c r="H3560" s="12" t="s">
        <v>36</v>
      </c>
      <c r="I3560" s="12" t="s">
        <v>27</v>
      </c>
      <c r="J3560" s="12" t="s">
        <v>33</v>
      </c>
      <c r="K3560" s="12" t="s">
        <v>34</v>
      </c>
      <c r="L3560" s="13">
        <v>6.56</v>
      </c>
      <c r="M3560" s="13">
        <v>4</v>
      </c>
      <c r="N3560" s="13">
        <f t="shared" si="1515"/>
        <v>1.64</v>
      </c>
      <c r="O3560" s="13">
        <v>50</v>
      </c>
      <c r="P3560" s="13" t="s">
        <v>30</v>
      </c>
      <c r="Q3560" s="13">
        <v>0</v>
      </c>
      <c r="R3560" s="70">
        <f>(L3560*O3560)-Q3560</f>
        <v>328</v>
      </c>
      <c r="S3560" s="70">
        <v>0</v>
      </c>
      <c r="T3560" s="70">
        <f t="shared" ref="T3560" si="1560">+L3560*S3560</f>
        <v>0</v>
      </c>
      <c r="U3560" s="70">
        <f t="shared" ref="U3560" si="1561">+R3560-T3560</f>
        <v>328</v>
      </c>
      <c r="V3560" s="70">
        <f t="shared" ref="V3560" si="1562">+U3560*0</f>
        <v>0</v>
      </c>
      <c r="W3560" s="70">
        <f t="shared" ref="W3560" si="1563">+U3560-V3560</f>
        <v>328</v>
      </c>
      <c r="X3560" s="70">
        <v>0</v>
      </c>
      <c r="Y3560" s="14">
        <f t="shared" si="1549"/>
        <v>0</v>
      </c>
      <c r="Z3560" s="11" t="s">
        <v>26</v>
      </c>
      <c r="AA3560" s="12" t="s">
        <v>31</v>
      </c>
    </row>
    <row r="3561" spans="1:27" x14ac:dyDescent="0.25">
      <c r="A3561" s="10">
        <v>45712</v>
      </c>
      <c r="B3561" s="11" t="s">
        <v>370</v>
      </c>
      <c r="C3561" s="11" t="s">
        <v>6395</v>
      </c>
      <c r="D3561" s="11">
        <v>18111</v>
      </c>
      <c r="E3561" s="11" t="s">
        <v>461</v>
      </c>
      <c r="F3561" s="11" t="s">
        <v>26</v>
      </c>
      <c r="G3561" s="11">
        <v>52</v>
      </c>
      <c r="H3561" s="12" t="s">
        <v>4444</v>
      </c>
      <c r="I3561" s="12" t="s">
        <v>37</v>
      </c>
      <c r="J3561" s="12" t="s">
        <v>85</v>
      </c>
      <c r="K3561" s="12" t="s">
        <v>86</v>
      </c>
      <c r="L3561" s="13">
        <v>32.18</v>
      </c>
      <c r="M3561" s="13">
        <v>20</v>
      </c>
      <c r="N3561" s="13">
        <f t="shared" si="1515"/>
        <v>1.609</v>
      </c>
      <c r="O3561" s="13">
        <v>30</v>
      </c>
      <c r="P3561" s="13" t="s">
        <v>30</v>
      </c>
      <c r="Q3561" s="13">
        <v>0</v>
      </c>
      <c r="R3561" s="70">
        <f>L3561*O3561</f>
        <v>965.4</v>
      </c>
      <c r="S3561" s="70">
        <v>0</v>
      </c>
      <c r="T3561" s="70">
        <f>L3561*S3561</f>
        <v>0</v>
      </c>
      <c r="U3561" s="70">
        <f>R3561-T3561</f>
        <v>965.4</v>
      </c>
      <c r="V3561" s="70">
        <f>U3561*0</f>
        <v>0</v>
      </c>
      <c r="W3561" s="70">
        <f>U3561-V3561</f>
        <v>965.4</v>
      </c>
      <c r="X3561" s="70">
        <v>0</v>
      </c>
      <c r="Y3561" s="14">
        <f t="shared" si="1549"/>
        <v>0</v>
      </c>
      <c r="Z3561" s="11" t="s">
        <v>26</v>
      </c>
      <c r="AA3561" s="12" t="s">
        <v>31</v>
      </c>
    </row>
    <row r="3562" spans="1:27" x14ac:dyDescent="0.25">
      <c r="A3562" s="10">
        <v>45712</v>
      </c>
      <c r="B3562" s="11" t="s">
        <v>6396</v>
      </c>
      <c r="C3562" s="11" t="s">
        <v>6397</v>
      </c>
      <c r="D3562" s="11">
        <v>18112</v>
      </c>
      <c r="E3562" s="11" t="s">
        <v>605</v>
      </c>
      <c r="F3562" s="11" t="s">
        <v>26</v>
      </c>
      <c r="G3562" s="11" t="s">
        <v>26</v>
      </c>
      <c r="H3562" s="12" t="s">
        <v>4424</v>
      </c>
      <c r="I3562" s="12" t="s">
        <v>27</v>
      </c>
      <c r="J3562" s="12" t="s">
        <v>47</v>
      </c>
      <c r="K3562" s="12" t="s">
        <v>48</v>
      </c>
      <c r="L3562" s="13">
        <v>39.9</v>
      </c>
      <c r="M3562" s="13">
        <v>27</v>
      </c>
      <c r="N3562" s="13">
        <f t="shared" si="1515"/>
        <v>1.4777777777777776</v>
      </c>
      <c r="O3562" s="13">
        <v>90</v>
      </c>
      <c r="P3562" s="13" t="s">
        <v>30</v>
      </c>
      <c r="Q3562" s="13">
        <v>0</v>
      </c>
      <c r="R3562" s="70">
        <f>L3562*O3562</f>
        <v>3591</v>
      </c>
      <c r="S3562" s="70">
        <v>41</v>
      </c>
      <c r="T3562" s="70">
        <f>+L3562*S3562</f>
        <v>1635.8999999999999</v>
      </c>
      <c r="U3562" s="70">
        <f t="shared" ref="U3562:U3563" si="1564">R3562-T3562</f>
        <v>1955.1000000000001</v>
      </c>
      <c r="V3562" s="70">
        <f>U3562*1</f>
        <v>1955.1000000000001</v>
      </c>
      <c r="W3562" s="70">
        <f t="shared" ref="W3562:W3563" si="1565">U3562-V3562</f>
        <v>0</v>
      </c>
      <c r="X3562" s="16">
        <f>L3562*37</f>
        <v>1476.3</v>
      </c>
      <c r="Y3562" s="71">
        <f t="shared" ref="Y3562" si="1566">+T3562-X3562</f>
        <v>159.59999999999991</v>
      </c>
      <c r="Z3562" s="12" t="s">
        <v>141</v>
      </c>
      <c r="AA3562" s="12" t="s">
        <v>657</v>
      </c>
    </row>
    <row r="3563" spans="1:27" x14ac:dyDescent="0.25">
      <c r="A3563" s="10">
        <v>45712</v>
      </c>
      <c r="B3563" s="11" t="s">
        <v>2005</v>
      </c>
      <c r="C3563" s="11" t="s">
        <v>6398</v>
      </c>
      <c r="D3563" s="11">
        <v>18113</v>
      </c>
      <c r="E3563" s="11" t="s">
        <v>53</v>
      </c>
      <c r="F3563" s="11" t="s">
        <v>26</v>
      </c>
      <c r="G3563" s="11" t="s">
        <v>26</v>
      </c>
      <c r="H3563" s="12" t="s">
        <v>146</v>
      </c>
      <c r="I3563" s="12" t="s">
        <v>27</v>
      </c>
      <c r="J3563" s="12" t="s">
        <v>33</v>
      </c>
      <c r="K3563" s="12" t="s">
        <v>34</v>
      </c>
      <c r="L3563" s="13">
        <v>43.3</v>
      </c>
      <c r="M3563" s="13">
        <v>30</v>
      </c>
      <c r="N3563" s="13">
        <f t="shared" si="1515"/>
        <v>1.4433333333333331</v>
      </c>
      <c r="O3563" s="13">
        <v>91</v>
      </c>
      <c r="P3563" s="13" t="s">
        <v>30</v>
      </c>
      <c r="Q3563" s="13">
        <v>0</v>
      </c>
      <c r="R3563" s="70">
        <f>+L3563*O3563</f>
        <v>3940.2999999999997</v>
      </c>
      <c r="S3563" s="70">
        <v>40</v>
      </c>
      <c r="T3563" s="70">
        <f>L3563*S3563</f>
        <v>1732</v>
      </c>
      <c r="U3563" s="70">
        <f t="shared" si="1564"/>
        <v>2208.2999999999997</v>
      </c>
      <c r="V3563" s="70">
        <f>U3563*1</f>
        <v>2208.2999999999997</v>
      </c>
      <c r="W3563" s="70">
        <f t="shared" si="1565"/>
        <v>0</v>
      </c>
      <c r="X3563" s="70">
        <f>L3563*37</f>
        <v>1602.1</v>
      </c>
      <c r="Y3563" s="71">
        <f>+T3563-X3563</f>
        <v>129.90000000000009</v>
      </c>
      <c r="Z3563" s="12" t="s">
        <v>41</v>
      </c>
      <c r="AA3563" s="12" t="s">
        <v>79</v>
      </c>
    </row>
    <row r="3564" spans="1:27" x14ac:dyDescent="0.25">
      <c r="A3564" s="10">
        <v>45712</v>
      </c>
      <c r="B3564" s="11" t="s">
        <v>6399</v>
      </c>
      <c r="C3564" s="11" t="s">
        <v>6400</v>
      </c>
      <c r="D3564" s="11">
        <v>18116</v>
      </c>
      <c r="E3564" s="11" t="s">
        <v>203</v>
      </c>
      <c r="F3564" s="11" t="s">
        <v>26</v>
      </c>
      <c r="G3564" s="11" t="s">
        <v>35</v>
      </c>
      <c r="H3564" s="12" t="s">
        <v>36</v>
      </c>
      <c r="I3564" s="12" t="s">
        <v>55</v>
      </c>
      <c r="J3564" s="12" t="s">
        <v>55</v>
      </c>
      <c r="K3564" s="12" t="s">
        <v>56</v>
      </c>
      <c r="L3564" s="13">
        <v>13.32</v>
      </c>
      <c r="M3564" s="13">
        <v>8</v>
      </c>
      <c r="N3564" s="13">
        <f t="shared" si="1515"/>
        <v>1.665</v>
      </c>
      <c r="O3564" s="13">
        <v>20</v>
      </c>
      <c r="P3564" s="13" t="s">
        <v>30</v>
      </c>
      <c r="Q3564" s="13">
        <v>0</v>
      </c>
      <c r="R3564" s="70">
        <f>(L3564*O3564)-Q3564</f>
        <v>266.39999999999998</v>
      </c>
      <c r="S3564" s="70">
        <v>0</v>
      </c>
      <c r="T3564" s="70">
        <f t="shared" ref="T3564" si="1567">+L3564*S3564</f>
        <v>0</v>
      </c>
      <c r="U3564" s="70">
        <f t="shared" ref="U3564" si="1568">+R3564-T3564</f>
        <v>266.39999999999998</v>
      </c>
      <c r="V3564" s="70">
        <f t="shared" ref="V3564" si="1569">+U3564*0</f>
        <v>0</v>
      </c>
      <c r="W3564" s="70">
        <f t="shared" ref="W3564" si="1570">+U3564-V3564</f>
        <v>266.39999999999998</v>
      </c>
      <c r="X3564" s="70">
        <v>0</v>
      </c>
      <c r="Y3564" s="14">
        <f t="shared" ref="Y3564:Y3571" si="1571">T3564-X3564</f>
        <v>0</v>
      </c>
      <c r="Z3564" s="11" t="s">
        <v>26</v>
      </c>
      <c r="AA3564" s="12" t="s">
        <v>31</v>
      </c>
    </row>
    <row r="3565" spans="1:27" x14ac:dyDescent="0.25">
      <c r="A3565" s="10">
        <v>45712</v>
      </c>
      <c r="B3565" s="11" t="s">
        <v>464</v>
      </c>
      <c r="C3565" s="11" t="s">
        <v>6401</v>
      </c>
      <c r="D3565" s="11">
        <v>18117</v>
      </c>
      <c r="E3565" s="11" t="s">
        <v>6135</v>
      </c>
      <c r="F3565" s="11" t="s">
        <v>26</v>
      </c>
      <c r="G3565" s="11">
        <v>2963</v>
      </c>
      <c r="H3565" s="12" t="s">
        <v>4442</v>
      </c>
      <c r="I3565" s="12" t="s">
        <v>27</v>
      </c>
      <c r="J3565" s="12" t="s">
        <v>42</v>
      </c>
      <c r="K3565" s="12" t="s">
        <v>43</v>
      </c>
      <c r="L3565" s="13">
        <v>16.82</v>
      </c>
      <c r="M3565" s="13">
        <v>10</v>
      </c>
      <c r="N3565" s="13">
        <f t="shared" si="1515"/>
        <v>1.6819999999999999</v>
      </c>
      <c r="O3565" s="13">
        <v>41</v>
      </c>
      <c r="P3565" s="13" t="s">
        <v>30</v>
      </c>
      <c r="Q3565" s="13">
        <v>0</v>
      </c>
      <c r="R3565" s="70">
        <f>L3565*O3565</f>
        <v>689.62</v>
      </c>
      <c r="S3565" s="70">
        <v>0</v>
      </c>
      <c r="T3565" s="70">
        <f>L3565*S3565</f>
        <v>0</v>
      </c>
      <c r="U3565" s="70">
        <f>R3565-T3565</f>
        <v>689.62</v>
      </c>
      <c r="V3565" s="70">
        <f>U3565*1</f>
        <v>689.62</v>
      </c>
      <c r="W3565" s="70">
        <f>U3565-V3565</f>
        <v>0</v>
      </c>
      <c r="X3565" s="70">
        <v>0</v>
      </c>
      <c r="Y3565" s="14">
        <f t="shared" si="1571"/>
        <v>0</v>
      </c>
      <c r="Z3565" s="11" t="s">
        <v>26</v>
      </c>
      <c r="AA3565" s="12" t="s">
        <v>31</v>
      </c>
    </row>
    <row r="3566" spans="1:27" x14ac:dyDescent="0.25">
      <c r="A3566" s="10">
        <v>45712</v>
      </c>
      <c r="B3566" s="11" t="s">
        <v>6402</v>
      </c>
      <c r="C3566" s="11" t="s">
        <v>6403</v>
      </c>
      <c r="D3566" s="11">
        <v>18118</v>
      </c>
      <c r="E3566" s="11" t="s">
        <v>461</v>
      </c>
      <c r="F3566" s="11" t="s">
        <v>26</v>
      </c>
      <c r="G3566" s="11">
        <v>53</v>
      </c>
      <c r="H3566" s="12" t="s">
        <v>4444</v>
      </c>
      <c r="I3566" s="12" t="s">
        <v>37</v>
      </c>
      <c r="J3566" s="12" t="s">
        <v>85</v>
      </c>
      <c r="K3566" s="12" t="s">
        <v>86</v>
      </c>
      <c r="L3566" s="13">
        <v>31.26</v>
      </c>
      <c r="M3566" s="13">
        <v>20</v>
      </c>
      <c r="N3566" s="13">
        <f t="shared" si="1515"/>
        <v>1.5630000000000002</v>
      </c>
      <c r="O3566" s="13">
        <v>30</v>
      </c>
      <c r="P3566" s="13" t="s">
        <v>30</v>
      </c>
      <c r="Q3566" s="13">
        <v>0</v>
      </c>
      <c r="R3566" s="70">
        <f>L3566*O3566</f>
        <v>937.80000000000007</v>
      </c>
      <c r="S3566" s="70">
        <v>0</v>
      </c>
      <c r="T3566" s="70">
        <f>L3566*S3566</f>
        <v>0</v>
      </c>
      <c r="U3566" s="70">
        <f>R3566-T3566</f>
        <v>937.80000000000007</v>
      </c>
      <c r="V3566" s="70">
        <f>U3566*0</f>
        <v>0</v>
      </c>
      <c r="W3566" s="70">
        <f>U3566-V3566</f>
        <v>937.80000000000007</v>
      </c>
      <c r="X3566" s="70">
        <v>0</v>
      </c>
      <c r="Y3566" s="14">
        <f t="shared" si="1571"/>
        <v>0</v>
      </c>
      <c r="Z3566" s="11" t="s">
        <v>26</v>
      </c>
      <c r="AA3566" s="12" t="s">
        <v>31</v>
      </c>
    </row>
    <row r="3567" spans="1:27" x14ac:dyDescent="0.25">
      <c r="A3567" s="10">
        <v>45712</v>
      </c>
      <c r="B3567" s="11" t="s">
        <v>6404</v>
      </c>
      <c r="C3567" s="11" t="s">
        <v>6405</v>
      </c>
      <c r="D3567" s="11">
        <v>18119</v>
      </c>
      <c r="E3567" s="11" t="s">
        <v>224</v>
      </c>
      <c r="F3567" s="11" t="s">
        <v>26</v>
      </c>
      <c r="G3567" s="11">
        <v>3236</v>
      </c>
      <c r="H3567" s="12" t="s">
        <v>4423</v>
      </c>
      <c r="I3567" s="12" t="s">
        <v>27</v>
      </c>
      <c r="J3567" s="12" t="s">
        <v>33</v>
      </c>
      <c r="K3567" s="12" t="s">
        <v>34</v>
      </c>
      <c r="L3567" s="13">
        <v>34.92</v>
      </c>
      <c r="M3567" s="13">
        <v>25</v>
      </c>
      <c r="N3567" s="13">
        <f t="shared" si="1515"/>
        <v>1.3968</v>
      </c>
      <c r="O3567" s="13">
        <v>45</v>
      </c>
      <c r="P3567" s="13" t="s">
        <v>30</v>
      </c>
      <c r="Q3567" s="13">
        <v>0</v>
      </c>
      <c r="R3567" s="70">
        <f>+L3567*O3567</f>
        <v>1571.4</v>
      </c>
      <c r="S3567" s="70">
        <v>0</v>
      </c>
      <c r="T3567" s="70">
        <f>+L3567*S3567</f>
        <v>0</v>
      </c>
      <c r="U3567" s="70">
        <f t="shared" ref="U3567" si="1572">+R3567-T3567</f>
        <v>1571.4</v>
      </c>
      <c r="V3567" s="70">
        <f>+U3567*1</f>
        <v>1571.4</v>
      </c>
      <c r="W3567" s="70">
        <f t="shared" ref="W3567" si="1573">+U3567-V3567</f>
        <v>0</v>
      </c>
      <c r="X3567" s="70">
        <v>0</v>
      </c>
      <c r="Y3567" s="14">
        <f t="shared" si="1571"/>
        <v>0</v>
      </c>
      <c r="Z3567" s="11" t="s">
        <v>26</v>
      </c>
      <c r="AA3567" s="12" t="s">
        <v>31</v>
      </c>
    </row>
    <row r="3568" spans="1:27" x14ac:dyDescent="0.25">
      <c r="A3568" s="10">
        <v>45712</v>
      </c>
      <c r="B3568" s="11" t="s">
        <v>6406</v>
      </c>
      <c r="C3568" s="11" t="s">
        <v>6407</v>
      </c>
      <c r="D3568" s="11">
        <v>18120</v>
      </c>
      <c r="E3568" s="11" t="s">
        <v>77</v>
      </c>
      <c r="F3568" s="11" t="s">
        <v>26</v>
      </c>
      <c r="G3568" s="11">
        <v>112946</v>
      </c>
      <c r="H3568" s="12" t="s">
        <v>4446</v>
      </c>
      <c r="I3568" s="12" t="s">
        <v>27</v>
      </c>
      <c r="J3568" s="12" t="s">
        <v>33</v>
      </c>
      <c r="K3568" s="12" t="s">
        <v>34</v>
      </c>
      <c r="L3568" s="13">
        <v>35.700000000000003</v>
      </c>
      <c r="M3568" s="13">
        <v>25</v>
      </c>
      <c r="N3568" s="13">
        <f t="shared" si="1515"/>
        <v>1.4280000000000002</v>
      </c>
      <c r="O3568" s="13">
        <v>44</v>
      </c>
      <c r="P3568" s="13" t="s">
        <v>30</v>
      </c>
      <c r="Q3568" s="13">
        <v>0</v>
      </c>
      <c r="R3568" s="70">
        <f t="shared" ref="R3568" si="1574">+L3568*O3568</f>
        <v>1570.8000000000002</v>
      </c>
      <c r="S3568" s="70">
        <v>0</v>
      </c>
      <c r="T3568" s="70">
        <f>+L3568*S3568</f>
        <v>0</v>
      </c>
      <c r="U3568" s="70">
        <f>+R3568-T3568</f>
        <v>1570.8000000000002</v>
      </c>
      <c r="V3568" s="70">
        <f>+U3568*1</f>
        <v>1570.8000000000002</v>
      </c>
      <c r="W3568" s="70">
        <f>+U3568-V3568</f>
        <v>0</v>
      </c>
      <c r="X3568" s="70">
        <v>0</v>
      </c>
      <c r="Y3568" s="14">
        <f t="shared" si="1571"/>
        <v>0</v>
      </c>
      <c r="Z3568" s="11" t="s">
        <v>26</v>
      </c>
      <c r="AA3568" s="12" t="s">
        <v>31</v>
      </c>
    </row>
    <row r="3569" spans="1:27" x14ac:dyDescent="0.25">
      <c r="A3569" s="10">
        <v>45712</v>
      </c>
      <c r="B3569" s="11" t="s">
        <v>6408</v>
      </c>
      <c r="C3569" s="11" t="s">
        <v>6409</v>
      </c>
      <c r="D3569" s="11">
        <v>18121</v>
      </c>
      <c r="E3569" s="11" t="s">
        <v>325</v>
      </c>
      <c r="F3569" s="11" t="s">
        <v>26</v>
      </c>
      <c r="G3569" s="11" t="s">
        <v>35</v>
      </c>
      <c r="H3569" s="12" t="s">
        <v>36</v>
      </c>
      <c r="I3569" s="12" t="s">
        <v>27</v>
      </c>
      <c r="J3569" s="12" t="s">
        <v>33</v>
      </c>
      <c r="K3569" s="12" t="s">
        <v>34</v>
      </c>
      <c r="L3569" s="13">
        <v>5.6</v>
      </c>
      <c r="M3569" s="13">
        <v>4</v>
      </c>
      <c r="N3569" s="13">
        <f t="shared" si="1515"/>
        <v>1.4</v>
      </c>
      <c r="O3569" s="13">
        <v>50</v>
      </c>
      <c r="P3569" s="13" t="s">
        <v>30</v>
      </c>
      <c r="Q3569" s="13">
        <v>0</v>
      </c>
      <c r="R3569" s="70">
        <f>(L3569*O3569)-Q3569</f>
        <v>280</v>
      </c>
      <c r="S3569" s="70">
        <v>0</v>
      </c>
      <c r="T3569" s="70">
        <f t="shared" ref="T3569" si="1575">+L3569*S3569</f>
        <v>0</v>
      </c>
      <c r="U3569" s="70">
        <f t="shared" ref="U3569" si="1576">+R3569-T3569</f>
        <v>280</v>
      </c>
      <c r="V3569" s="70">
        <f t="shared" ref="V3569" si="1577">+U3569*0</f>
        <v>0</v>
      </c>
      <c r="W3569" s="70">
        <f t="shared" ref="W3569" si="1578">+U3569-V3569</f>
        <v>280</v>
      </c>
      <c r="X3569" s="70">
        <v>0</v>
      </c>
      <c r="Y3569" s="14">
        <f t="shared" si="1571"/>
        <v>0</v>
      </c>
      <c r="Z3569" s="11" t="s">
        <v>26</v>
      </c>
      <c r="AA3569" s="12" t="s">
        <v>31</v>
      </c>
    </row>
    <row r="3570" spans="1:27" x14ac:dyDescent="0.25">
      <c r="A3570" s="10">
        <v>45712</v>
      </c>
      <c r="B3570" s="11" t="s">
        <v>5412</v>
      </c>
      <c r="C3570" s="11" t="s">
        <v>6410</v>
      </c>
      <c r="D3570" s="11">
        <v>18122</v>
      </c>
      <c r="E3570" s="11" t="s">
        <v>461</v>
      </c>
      <c r="F3570" s="11" t="s">
        <v>26</v>
      </c>
      <c r="G3570" s="11">
        <v>54</v>
      </c>
      <c r="H3570" s="12" t="s">
        <v>4444</v>
      </c>
      <c r="I3570" s="12" t="s">
        <v>37</v>
      </c>
      <c r="J3570" s="12" t="s">
        <v>85</v>
      </c>
      <c r="K3570" s="12" t="s">
        <v>86</v>
      </c>
      <c r="L3570" s="13">
        <v>30.76</v>
      </c>
      <c r="M3570" s="13">
        <v>20</v>
      </c>
      <c r="N3570" s="13">
        <f t="shared" si="1515"/>
        <v>1.538</v>
      </c>
      <c r="O3570" s="13">
        <v>30</v>
      </c>
      <c r="P3570" s="13" t="s">
        <v>30</v>
      </c>
      <c r="Q3570" s="13">
        <v>0</v>
      </c>
      <c r="R3570" s="70">
        <f>L3570*O3570</f>
        <v>922.80000000000007</v>
      </c>
      <c r="S3570" s="70">
        <v>0</v>
      </c>
      <c r="T3570" s="70">
        <f>L3570*S3570</f>
        <v>0</v>
      </c>
      <c r="U3570" s="70">
        <f>R3570-T3570</f>
        <v>922.80000000000007</v>
      </c>
      <c r="V3570" s="70">
        <f>U3570*0</f>
        <v>0</v>
      </c>
      <c r="W3570" s="70">
        <f>U3570-V3570</f>
        <v>922.80000000000007</v>
      </c>
      <c r="X3570" s="70">
        <v>0</v>
      </c>
      <c r="Y3570" s="14">
        <f t="shared" si="1571"/>
        <v>0</v>
      </c>
      <c r="Z3570" s="11" t="s">
        <v>26</v>
      </c>
      <c r="AA3570" s="12" t="s">
        <v>31</v>
      </c>
    </row>
    <row r="3571" spans="1:27" x14ac:dyDescent="0.25">
      <c r="A3571" s="10">
        <v>45712</v>
      </c>
      <c r="B3571" s="11" t="s">
        <v>6411</v>
      </c>
      <c r="C3571" s="11" t="s">
        <v>6412</v>
      </c>
      <c r="D3571" s="11">
        <v>18123</v>
      </c>
      <c r="E3571" s="11" t="s">
        <v>570</v>
      </c>
      <c r="F3571" s="11" t="s">
        <v>26</v>
      </c>
      <c r="G3571" s="11">
        <v>10771</v>
      </c>
      <c r="H3571" s="12" t="s">
        <v>140</v>
      </c>
      <c r="I3571" s="12" t="s">
        <v>27</v>
      </c>
      <c r="J3571" s="12" t="s">
        <v>47</v>
      </c>
      <c r="K3571" s="12" t="s">
        <v>48</v>
      </c>
      <c r="L3571" s="13">
        <v>42.36</v>
      </c>
      <c r="M3571" s="13">
        <v>29</v>
      </c>
      <c r="N3571" s="13">
        <f t="shared" si="1515"/>
        <v>1.4606896551724138</v>
      </c>
      <c r="O3571" s="13">
        <v>40</v>
      </c>
      <c r="P3571" s="13"/>
      <c r="Q3571" s="13">
        <v>0</v>
      </c>
      <c r="R3571" s="70">
        <f>+L3571*O3571</f>
        <v>1694.4</v>
      </c>
      <c r="S3571" s="70">
        <v>0</v>
      </c>
      <c r="T3571" s="70">
        <f>+L3571*S3571</f>
        <v>0</v>
      </c>
      <c r="U3571" s="70">
        <f>+R3571-T3571</f>
        <v>1694.4</v>
      </c>
      <c r="V3571" s="70">
        <f t="shared" ref="V3571" si="1579">+U3571*0</f>
        <v>0</v>
      </c>
      <c r="W3571" s="70">
        <f>+U3571-V3571</f>
        <v>1694.4</v>
      </c>
      <c r="X3571" s="70">
        <v>0</v>
      </c>
      <c r="Y3571" s="14">
        <f t="shared" si="1571"/>
        <v>0</v>
      </c>
      <c r="Z3571" s="11" t="s">
        <v>26</v>
      </c>
      <c r="AA3571" s="12" t="s">
        <v>31</v>
      </c>
    </row>
    <row r="3572" spans="1:27" x14ac:dyDescent="0.25">
      <c r="A3572" s="10">
        <v>45712</v>
      </c>
      <c r="B3572" s="11" t="s">
        <v>5253</v>
      </c>
      <c r="C3572" s="11" t="s">
        <v>6413</v>
      </c>
      <c r="D3572" s="11">
        <v>18124</v>
      </c>
      <c r="E3572" s="11" t="s">
        <v>574</v>
      </c>
      <c r="F3572" s="11" t="s">
        <v>26</v>
      </c>
      <c r="G3572" s="11" t="s">
        <v>26</v>
      </c>
      <c r="H3572" s="12" t="s">
        <v>4422</v>
      </c>
      <c r="I3572" s="12" t="s">
        <v>27</v>
      </c>
      <c r="J3572" s="12" t="s">
        <v>42</v>
      </c>
      <c r="K3572" s="12" t="s">
        <v>43</v>
      </c>
      <c r="L3572" s="13">
        <v>44.48</v>
      </c>
      <c r="M3572" s="13">
        <v>25</v>
      </c>
      <c r="N3572" s="13">
        <f t="shared" si="1515"/>
        <v>1.7791999999999999</v>
      </c>
      <c r="O3572" s="13">
        <v>83</v>
      </c>
      <c r="P3572" s="13" t="s">
        <v>30</v>
      </c>
      <c r="Q3572" s="13">
        <v>0</v>
      </c>
      <c r="R3572" s="70">
        <f>L3572*O3572</f>
        <v>3691.8399999999997</v>
      </c>
      <c r="S3572" s="70">
        <v>38</v>
      </c>
      <c r="T3572" s="70">
        <f>L3572*S3572</f>
        <v>1690.2399999999998</v>
      </c>
      <c r="U3572" s="70">
        <f>R3572-T3572</f>
        <v>2001.6</v>
      </c>
      <c r="V3572" s="70">
        <f>U3572*1</f>
        <v>2001.6</v>
      </c>
      <c r="W3572" s="70">
        <f>U3572-V3572</f>
        <v>0</v>
      </c>
      <c r="X3572" s="70">
        <f>L3572*36</f>
        <v>1601.28</v>
      </c>
      <c r="Y3572" s="71">
        <f>+T3572-X3572</f>
        <v>88.959999999999809</v>
      </c>
      <c r="Z3572" s="12" t="s">
        <v>141</v>
      </c>
      <c r="AA3572" s="12" t="s">
        <v>78</v>
      </c>
    </row>
    <row r="3573" spans="1:27" x14ac:dyDescent="0.25">
      <c r="A3573" s="10">
        <v>45712</v>
      </c>
      <c r="B3573" s="11" t="s">
        <v>750</v>
      </c>
      <c r="C3573" s="11" t="s">
        <v>6414</v>
      </c>
      <c r="D3573" s="11">
        <v>18125</v>
      </c>
      <c r="E3573" s="11" t="s">
        <v>589</v>
      </c>
      <c r="F3573" s="11" t="s">
        <v>26</v>
      </c>
      <c r="G3573" s="11">
        <v>56938</v>
      </c>
      <c r="H3573" s="12" t="s">
        <v>4423</v>
      </c>
      <c r="I3573" s="12" t="s">
        <v>27</v>
      </c>
      <c r="J3573" s="12" t="s">
        <v>33</v>
      </c>
      <c r="K3573" s="12" t="s">
        <v>34</v>
      </c>
      <c r="L3573" s="13">
        <v>35.020000000000003</v>
      </c>
      <c r="M3573" s="13">
        <v>25</v>
      </c>
      <c r="N3573" s="13">
        <f t="shared" si="1515"/>
        <v>1.4008</v>
      </c>
      <c r="O3573" s="13">
        <v>45</v>
      </c>
      <c r="P3573" s="13" t="s">
        <v>30</v>
      </c>
      <c r="Q3573" s="13">
        <v>0</v>
      </c>
      <c r="R3573" s="70">
        <f>+L3573*O3573</f>
        <v>1575.9</v>
      </c>
      <c r="S3573" s="70">
        <v>0</v>
      </c>
      <c r="T3573" s="70">
        <f>+L3573*S3573</f>
        <v>0</v>
      </c>
      <c r="U3573" s="70">
        <f t="shared" ref="U3573:U3574" si="1580">+R3573-T3573</f>
        <v>1575.9</v>
      </c>
      <c r="V3573" s="70">
        <f>+U3573*1</f>
        <v>1575.9</v>
      </c>
      <c r="W3573" s="70">
        <f t="shared" ref="W3573:W3574" si="1581">+U3573-V3573</f>
        <v>0</v>
      </c>
      <c r="X3573" s="70">
        <v>0</v>
      </c>
      <c r="Y3573" s="14">
        <f t="shared" ref="Y3573:Y3584" si="1582">T3573-X3573</f>
        <v>0</v>
      </c>
      <c r="Z3573" s="11" t="s">
        <v>26</v>
      </c>
      <c r="AA3573" s="12" t="s">
        <v>31</v>
      </c>
    </row>
    <row r="3574" spans="1:27" x14ac:dyDescent="0.25">
      <c r="A3574" s="10">
        <v>45712</v>
      </c>
      <c r="B3574" s="11" t="s">
        <v>5751</v>
      </c>
      <c r="C3574" s="11" t="s">
        <v>6415</v>
      </c>
      <c r="D3574" s="11">
        <v>18126</v>
      </c>
      <c r="E3574" s="11" t="s">
        <v>593</v>
      </c>
      <c r="F3574" s="11" t="s">
        <v>26</v>
      </c>
      <c r="G3574" s="11">
        <v>44348</v>
      </c>
      <c r="H3574" s="12" t="s">
        <v>4423</v>
      </c>
      <c r="I3574" s="12" t="s">
        <v>27</v>
      </c>
      <c r="J3574" s="12" t="s">
        <v>33</v>
      </c>
      <c r="K3574" s="12" t="s">
        <v>34</v>
      </c>
      <c r="L3574" s="13">
        <v>35.299999999999997</v>
      </c>
      <c r="M3574" s="13">
        <v>25</v>
      </c>
      <c r="N3574" s="13">
        <f t="shared" si="1515"/>
        <v>1.4119999999999999</v>
      </c>
      <c r="O3574" s="13">
        <v>45</v>
      </c>
      <c r="P3574" s="13" t="s">
        <v>30</v>
      </c>
      <c r="Q3574" s="13">
        <v>0</v>
      </c>
      <c r="R3574" s="70">
        <f>+L3574*O3574</f>
        <v>1588.4999999999998</v>
      </c>
      <c r="S3574" s="70">
        <v>0</v>
      </c>
      <c r="T3574" s="70">
        <f>+L3574*S3574</f>
        <v>0</v>
      </c>
      <c r="U3574" s="70">
        <f t="shared" si="1580"/>
        <v>1588.4999999999998</v>
      </c>
      <c r="V3574" s="70">
        <f>+U3574*1</f>
        <v>1588.4999999999998</v>
      </c>
      <c r="W3574" s="70">
        <f t="shared" si="1581"/>
        <v>0</v>
      </c>
      <c r="X3574" s="70">
        <v>0</v>
      </c>
      <c r="Y3574" s="14">
        <f t="shared" si="1582"/>
        <v>0</v>
      </c>
      <c r="Z3574" s="11" t="s">
        <v>26</v>
      </c>
      <c r="AA3574" s="12" t="s">
        <v>31</v>
      </c>
    </row>
    <row r="3575" spans="1:27" x14ac:dyDescent="0.25">
      <c r="A3575" s="10">
        <v>45712</v>
      </c>
      <c r="B3575" s="11" t="s">
        <v>685</v>
      </c>
      <c r="C3575" s="11" t="s">
        <v>6416</v>
      </c>
      <c r="D3575" s="11">
        <v>18127</v>
      </c>
      <c r="E3575" s="11" t="s">
        <v>230</v>
      </c>
      <c r="F3575" s="11" t="s">
        <v>26</v>
      </c>
      <c r="G3575" s="11">
        <v>26215</v>
      </c>
      <c r="H3575" s="12" t="s">
        <v>565</v>
      </c>
      <c r="I3575" s="12" t="s">
        <v>27</v>
      </c>
      <c r="J3575" s="12" t="s">
        <v>42</v>
      </c>
      <c r="K3575" s="12" t="s">
        <v>43</v>
      </c>
      <c r="L3575" s="13">
        <v>44.24</v>
      </c>
      <c r="M3575" s="13">
        <v>25</v>
      </c>
      <c r="N3575" s="13">
        <f t="shared" si="1515"/>
        <v>1.7696000000000001</v>
      </c>
      <c r="O3575" s="13"/>
      <c r="P3575" s="13">
        <v>64</v>
      </c>
      <c r="Q3575" s="13">
        <v>0</v>
      </c>
      <c r="R3575" s="70">
        <f>M3575*P3575</f>
        <v>1600</v>
      </c>
      <c r="S3575" s="70">
        <v>0</v>
      </c>
      <c r="T3575" s="70">
        <f>M3575*S3575</f>
        <v>0</v>
      </c>
      <c r="U3575" s="70">
        <f>R3575-T3575</f>
        <v>1600</v>
      </c>
      <c r="V3575" s="70">
        <f>U3575*0</f>
        <v>0</v>
      </c>
      <c r="W3575" s="70">
        <f>+U3575-V3575</f>
        <v>1600</v>
      </c>
      <c r="X3575" s="70">
        <v>0</v>
      </c>
      <c r="Y3575" s="14">
        <f t="shared" si="1582"/>
        <v>0</v>
      </c>
      <c r="Z3575" s="11" t="s">
        <v>26</v>
      </c>
      <c r="AA3575" s="12" t="s">
        <v>31</v>
      </c>
    </row>
    <row r="3576" spans="1:27" x14ac:dyDescent="0.25">
      <c r="A3576" s="10">
        <v>45712</v>
      </c>
      <c r="B3576" s="11" t="s">
        <v>6417</v>
      </c>
      <c r="C3576" s="11" t="s">
        <v>6418</v>
      </c>
      <c r="D3576" s="11">
        <v>18128</v>
      </c>
      <c r="E3576" s="11" t="s">
        <v>461</v>
      </c>
      <c r="F3576" s="11" t="s">
        <v>26</v>
      </c>
      <c r="G3576" s="11">
        <v>55</v>
      </c>
      <c r="H3576" s="12" t="s">
        <v>4444</v>
      </c>
      <c r="I3576" s="12" t="s">
        <v>37</v>
      </c>
      <c r="J3576" s="12" t="s">
        <v>85</v>
      </c>
      <c r="K3576" s="12" t="s">
        <v>86</v>
      </c>
      <c r="L3576" s="13">
        <v>31.3</v>
      </c>
      <c r="M3576" s="13">
        <v>20</v>
      </c>
      <c r="N3576" s="13">
        <f t="shared" si="1515"/>
        <v>1.5649999999999999</v>
      </c>
      <c r="O3576" s="13">
        <v>30</v>
      </c>
      <c r="P3576" s="13" t="s">
        <v>30</v>
      </c>
      <c r="Q3576" s="13">
        <v>0</v>
      </c>
      <c r="R3576" s="70">
        <f>L3576*O3576</f>
        <v>939</v>
      </c>
      <c r="S3576" s="70">
        <v>0</v>
      </c>
      <c r="T3576" s="70">
        <f>L3576*S3576</f>
        <v>0</v>
      </c>
      <c r="U3576" s="70">
        <f>R3576-T3576</f>
        <v>939</v>
      </c>
      <c r="V3576" s="70">
        <f>U3576*0</f>
        <v>0</v>
      </c>
      <c r="W3576" s="70">
        <f>U3576-V3576</f>
        <v>939</v>
      </c>
      <c r="X3576" s="70">
        <v>0</v>
      </c>
      <c r="Y3576" s="14">
        <f t="shared" si="1582"/>
        <v>0</v>
      </c>
      <c r="Z3576" s="11" t="s">
        <v>26</v>
      </c>
      <c r="AA3576" s="12" t="s">
        <v>31</v>
      </c>
    </row>
    <row r="3577" spans="1:27" x14ac:dyDescent="0.25">
      <c r="A3577" s="10">
        <v>45712</v>
      </c>
      <c r="B3577" s="11" t="s">
        <v>6103</v>
      </c>
      <c r="C3577" s="11" t="s">
        <v>6419</v>
      </c>
      <c r="D3577" s="11">
        <v>18131</v>
      </c>
      <c r="E3577" s="11" t="s">
        <v>435</v>
      </c>
      <c r="F3577" s="11" t="s">
        <v>26</v>
      </c>
      <c r="G3577" s="11">
        <v>2791</v>
      </c>
      <c r="H3577" s="12" t="s">
        <v>41</v>
      </c>
      <c r="I3577" s="12" t="s">
        <v>55</v>
      </c>
      <c r="J3577" s="12" t="s">
        <v>55</v>
      </c>
      <c r="K3577" s="12" t="s">
        <v>56</v>
      </c>
      <c r="L3577" s="13">
        <v>40.26</v>
      </c>
      <c r="M3577" s="13">
        <v>25</v>
      </c>
      <c r="N3577" s="13">
        <f t="shared" si="1515"/>
        <v>1.6103999999999998</v>
      </c>
      <c r="O3577" s="13" t="s">
        <v>30</v>
      </c>
      <c r="P3577" s="13">
        <v>24</v>
      </c>
      <c r="Q3577" s="13">
        <v>0</v>
      </c>
      <c r="R3577" s="70">
        <f>+M3577*P3577</f>
        <v>600</v>
      </c>
      <c r="S3577" s="70">
        <v>0</v>
      </c>
      <c r="T3577" s="70">
        <f>+M3577*S3577</f>
        <v>0</v>
      </c>
      <c r="U3577" s="70">
        <f t="shared" ref="U3577" si="1583">+R3577-T3577</f>
        <v>600</v>
      </c>
      <c r="V3577" s="70">
        <f>+U3577*0</f>
        <v>0</v>
      </c>
      <c r="W3577" s="70">
        <f t="shared" ref="W3577" si="1584">+U3577-V3577</f>
        <v>600</v>
      </c>
      <c r="X3577" s="70">
        <v>0</v>
      </c>
      <c r="Y3577" s="14">
        <f t="shared" si="1582"/>
        <v>0</v>
      </c>
      <c r="Z3577" s="11" t="s">
        <v>26</v>
      </c>
      <c r="AA3577" s="12" t="s">
        <v>31</v>
      </c>
    </row>
    <row r="3578" spans="1:27" x14ac:dyDescent="0.25">
      <c r="A3578" s="10">
        <v>45712</v>
      </c>
      <c r="B3578" s="11" t="s">
        <v>1366</v>
      </c>
      <c r="C3578" s="11" t="s">
        <v>6420</v>
      </c>
      <c r="D3578" s="11">
        <v>18132</v>
      </c>
      <c r="E3578" s="11" t="s">
        <v>80</v>
      </c>
      <c r="F3578" s="11" t="s">
        <v>26</v>
      </c>
      <c r="G3578" s="11">
        <v>10906</v>
      </c>
      <c r="H3578" s="12" t="s">
        <v>140</v>
      </c>
      <c r="I3578" s="12" t="s">
        <v>27</v>
      </c>
      <c r="J3578" s="12" t="s">
        <v>47</v>
      </c>
      <c r="K3578" s="12" t="s">
        <v>48</v>
      </c>
      <c r="L3578" s="13">
        <v>41.64</v>
      </c>
      <c r="M3578" s="13">
        <v>28</v>
      </c>
      <c r="N3578" s="13">
        <f t="shared" si="1515"/>
        <v>1.4871428571428571</v>
      </c>
      <c r="O3578" s="13">
        <v>40</v>
      </c>
      <c r="P3578" s="13"/>
      <c r="Q3578" s="13">
        <v>0</v>
      </c>
      <c r="R3578" s="70">
        <f>+L3578*O3578</f>
        <v>1665.6</v>
      </c>
      <c r="S3578" s="70">
        <v>0</v>
      </c>
      <c r="T3578" s="70">
        <f>+L3578*S3578</f>
        <v>0</v>
      </c>
      <c r="U3578" s="70">
        <f>+R3578-T3578</f>
        <v>1665.6</v>
      </c>
      <c r="V3578" s="70">
        <f t="shared" ref="V3578" si="1585">+U3578*0</f>
        <v>0</v>
      </c>
      <c r="W3578" s="70">
        <f>+U3578-V3578</f>
        <v>1665.6</v>
      </c>
      <c r="X3578" s="70">
        <v>0</v>
      </c>
      <c r="Y3578" s="14">
        <f t="shared" si="1582"/>
        <v>0</v>
      </c>
      <c r="Z3578" s="11" t="s">
        <v>26</v>
      </c>
      <c r="AA3578" s="12" t="s">
        <v>31</v>
      </c>
    </row>
    <row r="3579" spans="1:27" x14ac:dyDescent="0.25">
      <c r="A3579" s="10">
        <v>45712</v>
      </c>
      <c r="B3579" s="11" t="s">
        <v>6421</v>
      </c>
      <c r="C3579" s="11" t="s">
        <v>6422</v>
      </c>
      <c r="D3579" s="11">
        <v>18133</v>
      </c>
      <c r="E3579" s="11" t="s">
        <v>485</v>
      </c>
      <c r="F3579" s="11" t="s">
        <v>26</v>
      </c>
      <c r="G3579" s="11">
        <v>78402</v>
      </c>
      <c r="H3579" s="12" t="s">
        <v>4448</v>
      </c>
      <c r="I3579" s="12" t="s">
        <v>27</v>
      </c>
      <c r="J3579" s="12" t="s">
        <v>42</v>
      </c>
      <c r="K3579" s="12" t="s">
        <v>43</v>
      </c>
      <c r="L3579" s="13">
        <v>45.56</v>
      </c>
      <c r="M3579" s="13">
        <v>28</v>
      </c>
      <c r="N3579" s="13">
        <f t="shared" si="1515"/>
        <v>1.6271428571428572</v>
      </c>
      <c r="O3579" s="13">
        <v>42.5</v>
      </c>
      <c r="P3579" s="13"/>
      <c r="Q3579" s="13">
        <v>0</v>
      </c>
      <c r="R3579" s="70">
        <f>+L3579*O3579</f>
        <v>1936.3000000000002</v>
      </c>
      <c r="S3579" s="70">
        <v>0</v>
      </c>
      <c r="T3579" s="70">
        <f>+L3579*S3579</f>
        <v>0</v>
      </c>
      <c r="U3579" s="70">
        <f>+R3579-T3579</f>
        <v>1936.3000000000002</v>
      </c>
      <c r="V3579" s="70">
        <f>+U3579*0.75</f>
        <v>1452.2250000000001</v>
      </c>
      <c r="W3579" s="70">
        <f>+U3579-V3579</f>
        <v>484.07500000000005</v>
      </c>
      <c r="X3579" s="70">
        <v>0</v>
      </c>
      <c r="Y3579" s="14">
        <f t="shared" si="1582"/>
        <v>0</v>
      </c>
      <c r="Z3579" s="11" t="s">
        <v>26</v>
      </c>
      <c r="AA3579" s="12" t="s">
        <v>31</v>
      </c>
    </row>
    <row r="3580" spans="1:27" x14ac:dyDescent="0.25">
      <c r="A3580" s="10">
        <v>45712</v>
      </c>
      <c r="B3580" s="11" t="s">
        <v>6423</v>
      </c>
      <c r="C3580" s="11" t="s">
        <v>6424</v>
      </c>
      <c r="D3580" s="11">
        <v>18134</v>
      </c>
      <c r="E3580" s="11" t="s">
        <v>461</v>
      </c>
      <c r="F3580" s="11" t="s">
        <v>26</v>
      </c>
      <c r="G3580" s="11">
        <v>56</v>
      </c>
      <c r="H3580" s="12" t="s">
        <v>4444</v>
      </c>
      <c r="I3580" s="12" t="s">
        <v>37</v>
      </c>
      <c r="J3580" s="12" t="s">
        <v>85</v>
      </c>
      <c r="K3580" s="12" t="s">
        <v>86</v>
      </c>
      <c r="L3580" s="13">
        <v>31.14</v>
      </c>
      <c r="M3580" s="13">
        <v>20</v>
      </c>
      <c r="N3580" s="13">
        <f t="shared" si="1515"/>
        <v>1.5569999999999999</v>
      </c>
      <c r="O3580" s="13">
        <v>30</v>
      </c>
      <c r="P3580" s="13" t="s">
        <v>30</v>
      </c>
      <c r="Q3580" s="13">
        <v>0</v>
      </c>
      <c r="R3580" s="70">
        <f>L3580*O3580</f>
        <v>934.2</v>
      </c>
      <c r="S3580" s="70">
        <v>0</v>
      </c>
      <c r="T3580" s="70">
        <f>L3580*S3580</f>
        <v>0</v>
      </c>
      <c r="U3580" s="70">
        <f>R3580-T3580</f>
        <v>934.2</v>
      </c>
      <c r="V3580" s="70">
        <f>U3580*0</f>
        <v>0</v>
      </c>
      <c r="W3580" s="70">
        <f>U3580-V3580</f>
        <v>934.2</v>
      </c>
      <c r="X3580" s="70">
        <v>0</v>
      </c>
      <c r="Y3580" s="14">
        <f t="shared" si="1582"/>
        <v>0</v>
      </c>
      <c r="Z3580" s="11" t="s">
        <v>26</v>
      </c>
      <c r="AA3580" s="12" t="s">
        <v>31</v>
      </c>
    </row>
    <row r="3581" spans="1:27" x14ac:dyDescent="0.25">
      <c r="A3581" s="10">
        <v>45712</v>
      </c>
      <c r="B3581" s="11" t="s">
        <v>6425</v>
      </c>
      <c r="C3581" s="11" t="s">
        <v>6426</v>
      </c>
      <c r="D3581" s="11">
        <v>18135</v>
      </c>
      <c r="E3581" s="11" t="s">
        <v>60</v>
      </c>
      <c r="F3581" s="11" t="s">
        <v>26</v>
      </c>
      <c r="G3581" s="11" t="s">
        <v>35</v>
      </c>
      <c r="H3581" s="12" t="s">
        <v>36</v>
      </c>
      <c r="I3581" s="12" t="s">
        <v>27</v>
      </c>
      <c r="J3581" s="12" t="s">
        <v>42</v>
      </c>
      <c r="K3581" s="12" t="s">
        <v>43</v>
      </c>
      <c r="L3581" s="13">
        <v>9.24</v>
      </c>
      <c r="M3581" s="13">
        <v>6</v>
      </c>
      <c r="N3581" s="13">
        <f t="shared" si="1515"/>
        <v>1.54</v>
      </c>
      <c r="O3581" s="13">
        <v>45</v>
      </c>
      <c r="P3581" s="13" t="s">
        <v>30</v>
      </c>
      <c r="Q3581" s="13">
        <v>0</v>
      </c>
      <c r="R3581" s="70">
        <f>(L3581*O3581)-Q3581</f>
        <v>415.8</v>
      </c>
      <c r="S3581" s="70">
        <v>0</v>
      </c>
      <c r="T3581" s="70">
        <f t="shared" ref="T3581" si="1586">+L3581*S3581</f>
        <v>0</v>
      </c>
      <c r="U3581" s="70">
        <f t="shared" ref="U3581" si="1587">+R3581-T3581</f>
        <v>415.8</v>
      </c>
      <c r="V3581" s="70">
        <f>+U3581*0</f>
        <v>0</v>
      </c>
      <c r="W3581" s="70">
        <f t="shared" ref="W3581" si="1588">+U3581-V3581</f>
        <v>415.8</v>
      </c>
      <c r="X3581" s="70">
        <v>0</v>
      </c>
      <c r="Y3581" s="14">
        <f t="shared" si="1582"/>
        <v>0</v>
      </c>
      <c r="Z3581" s="11" t="s">
        <v>26</v>
      </c>
      <c r="AA3581" s="12" t="s">
        <v>31</v>
      </c>
    </row>
    <row r="3582" spans="1:27" x14ac:dyDescent="0.25">
      <c r="A3582" s="10">
        <v>45712</v>
      </c>
      <c r="B3582" s="11" t="s">
        <v>314</v>
      </c>
      <c r="C3582" s="11" t="s">
        <v>6427</v>
      </c>
      <c r="D3582" s="11">
        <v>18136</v>
      </c>
      <c r="E3582" s="11" t="s">
        <v>322</v>
      </c>
      <c r="F3582" s="11" t="s">
        <v>26</v>
      </c>
      <c r="G3582" s="11">
        <v>112913</v>
      </c>
      <c r="H3582" s="12" t="s">
        <v>4446</v>
      </c>
      <c r="I3582" s="12" t="s">
        <v>27</v>
      </c>
      <c r="J3582" s="12" t="s">
        <v>33</v>
      </c>
      <c r="K3582" s="12" t="s">
        <v>34</v>
      </c>
      <c r="L3582" s="13">
        <v>36.22</v>
      </c>
      <c r="M3582" s="13">
        <v>25</v>
      </c>
      <c r="N3582" s="13">
        <f t="shared" si="1515"/>
        <v>1.4487999999999999</v>
      </c>
      <c r="O3582" s="13">
        <v>44</v>
      </c>
      <c r="P3582" s="13" t="s">
        <v>30</v>
      </c>
      <c r="Q3582" s="13">
        <v>0</v>
      </c>
      <c r="R3582" s="70">
        <f t="shared" ref="R3582" si="1589">+L3582*O3582</f>
        <v>1593.6799999999998</v>
      </c>
      <c r="S3582" s="70">
        <v>0</v>
      </c>
      <c r="T3582" s="70">
        <f>+L3582*S3582</f>
        <v>0</v>
      </c>
      <c r="U3582" s="70">
        <f>+R3582-T3582</f>
        <v>1593.6799999999998</v>
      </c>
      <c r="V3582" s="70">
        <f>+U3582*1</f>
        <v>1593.6799999999998</v>
      </c>
      <c r="W3582" s="70">
        <f>+U3582-V3582</f>
        <v>0</v>
      </c>
      <c r="X3582" s="70">
        <v>0</v>
      </c>
      <c r="Y3582" s="14">
        <f t="shared" si="1582"/>
        <v>0</v>
      </c>
      <c r="Z3582" s="11" t="s">
        <v>26</v>
      </c>
      <c r="AA3582" s="12" t="s">
        <v>31</v>
      </c>
    </row>
    <row r="3583" spans="1:27" x14ac:dyDescent="0.25">
      <c r="A3583" s="10">
        <v>45712</v>
      </c>
      <c r="B3583" s="11" t="s">
        <v>6428</v>
      </c>
      <c r="C3583" s="11" t="s">
        <v>6429</v>
      </c>
      <c r="D3583" s="11">
        <v>18137</v>
      </c>
      <c r="E3583" s="11" t="s">
        <v>605</v>
      </c>
      <c r="F3583" s="11" t="s">
        <v>26</v>
      </c>
      <c r="G3583" s="11">
        <v>1072</v>
      </c>
      <c r="H3583" s="12" t="s">
        <v>141</v>
      </c>
      <c r="I3583" s="12" t="s">
        <v>37</v>
      </c>
      <c r="J3583" s="12" t="s">
        <v>85</v>
      </c>
      <c r="K3583" s="12" t="s">
        <v>86</v>
      </c>
      <c r="L3583" s="13">
        <v>38.299999999999997</v>
      </c>
      <c r="M3583" s="13">
        <v>23</v>
      </c>
      <c r="N3583" s="13">
        <f t="shared" si="1515"/>
        <v>1.6652173913043478</v>
      </c>
      <c r="O3583" s="13">
        <v>29</v>
      </c>
      <c r="P3583" s="13" t="s">
        <v>30</v>
      </c>
      <c r="Q3583" s="13">
        <v>0</v>
      </c>
      <c r="R3583" s="70">
        <f>L3583*O3583</f>
        <v>1110.6999999999998</v>
      </c>
      <c r="S3583" s="70">
        <v>0</v>
      </c>
      <c r="T3583" s="70">
        <f>L3583*S3583</f>
        <v>0</v>
      </c>
      <c r="U3583" s="70">
        <f>R3583-T3583</f>
        <v>1110.6999999999998</v>
      </c>
      <c r="V3583" s="70">
        <f>U3583*0</f>
        <v>0</v>
      </c>
      <c r="W3583" s="70">
        <f>U3583-V3583</f>
        <v>1110.6999999999998</v>
      </c>
      <c r="X3583" s="70">
        <v>0</v>
      </c>
      <c r="Y3583" s="14">
        <f t="shared" si="1582"/>
        <v>0</v>
      </c>
      <c r="Z3583" s="11" t="s">
        <v>26</v>
      </c>
      <c r="AA3583" s="12" t="s">
        <v>31</v>
      </c>
    </row>
    <row r="3584" spans="1:27" x14ac:dyDescent="0.25">
      <c r="A3584" s="10">
        <v>45712</v>
      </c>
      <c r="B3584" s="11" t="s">
        <v>6430</v>
      </c>
      <c r="C3584" s="11" t="s">
        <v>6431</v>
      </c>
      <c r="D3584" s="11">
        <v>18138</v>
      </c>
      <c r="E3584" s="11" t="s">
        <v>461</v>
      </c>
      <c r="F3584" s="11" t="s">
        <v>26</v>
      </c>
      <c r="G3584" s="11">
        <v>57</v>
      </c>
      <c r="H3584" s="12" t="s">
        <v>4444</v>
      </c>
      <c r="I3584" s="12" t="s">
        <v>37</v>
      </c>
      <c r="J3584" s="12" t="s">
        <v>85</v>
      </c>
      <c r="K3584" s="12" t="s">
        <v>86</v>
      </c>
      <c r="L3584" s="13">
        <v>30.92</v>
      </c>
      <c r="M3584" s="13">
        <v>20</v>
      </c>
      <c r="N3584" s="13">
        <f t="shared" si="1515"/>
        <v>1.546</v>
      </c>
      <c r="O3584" s="13">
        <v>30</v>
      </c>
      <c r="P3584" s="13" t="s">
        <v>30</v>
      </c>
      <c r="Q3584" s="13">
        <v>0</v>
      </c>
      <c r="R3584" s="70">
        <f>L3584*O3584</f>
        <v>927.6</v>
      </c>
      <c r="S3584" s="70">
        <v>0</v>
      </c>
      <c r="T3584" s="70">
        <f>L3584*S3584</f>
        <v>0</v>
      </c>
      <c r="U3584" s="70">
        <f>R3584-T3584</f>
        <v>927.6</v>
      </c>
      <c r="V3584" s="70">
        <f>U3584*0</f>
        <v>0</v>
      </c>
      <c r="W3584" s="70">
        <f>U3584-V3584</f>
        <v>927.6</v>
      </c>
      <c r="X3584" s="70">
        <v>0</v>
      </c>
      <c r="Y3584" s="14">
        <f t="shared" si="1582"/>
        <v>0</v>
      </c>
      <c r="Z3584" s="11" t="s">
        <v>26</v>
      </c>
      <c r="AA3584" s="12" t="s">
        <v>31</v>
      </c>
    </row>
    <row r="3585" spans="1:27" x14ac:dyDescent="0.25">
      <c r="A3585" s="10">
        <v>45712</v>
      </c>
      <c r="B3585" s="11" t="s">
        <v>6432</v>
      </c>
      <c r="C3585" s="11" t="s">
        <v>6433</v>
      </c>
      <c r="D3585" s="11">
        <v>18139</v>
      </c>
      <c r="E3585" s="11" t="s">
        <v>240</v>
      </c>
      <c r="F3585" s="11" t="s">
        <v>26</v>
      </c>
      <c r="G3585" s="11" t="s">
        <v>26</v>
      </c>
      <c r="H3585" s="12" t="s">
        <v>4422</v>
      </c>
      <c r="I3585" s="12" t="s">
        <v>27</v>
      </c>
      <c r="J3585" s="12" t="s">
        <v>47</v>
      </c>
      <c r="K3585" s="12" t="s">
        <v>48</v>
      </c>
      <c r="L3585" s="13">
        <v>43.26</v>
      </c>
      <c r="M3585" s="13">
        <v>30</v>
      </c>
      <c r="N3585" s="13">
        <f t="shared" si="1515"/>
        <v>1.4419999999999999</v>
      </c>
      <c r="O3585" s="13">
        <v>87</v>
      </c>
      <c r="P3585" s="13" t="s">
        <v>30</v>
      </c>
      <c r="Q3585" s="13">
        <v>0</v>
      </c>
      <c r="R3585" s="70">
        <f t="shared" ref="R3585" si="1590">L3585*O3585</f>
        <v>3763.62</v>
      </c>
      <c r="S3585" s="70">
        <v>38</v>
      </c>
      <c r="T3585" s="70">
        <f t="shared" ref="T3585" si="1591">L3585*S3585</f>
        <v>1643.8799999999999</v>
      </c>
      <c r="U3585" s="70">
        <f t="shared" ref="U3585" si="1592">R3585-T3585</f>
        <v>2119.7399999999998</v>
      </c>
      <c r="V3585" s="70">
        <f>U3585*1</f>
        <v>2119.7399999999998</v>
      </c>
      <c r="W3585" s="70">
        <f t="shared" ref="W3585" si="1593">U3585-V3585</f>
        <v>0</v>
      </c>
      <c r="X3585" s="70">
        <f>L3585*37</f>
        <v>1600.62</v>
      </c>
      <c r="Y3585" s="71">
        <f>+T3585-X3585</f>
        <v>43.259999999999991</v>
      </c>
      <c r="Z3585" s="12" t="s">
        <v>41</v>
      </c>
      <c r="AA3585" s="12" t="s">
        <v>78</v>
      </c>
    </row>
    <row r="3586" spans="1:27" x14ac:dyDescent="0.25">
      <c r="A3586" s="10">
        <v>45712</v>
      </c>
      <c r="B3586" s="11" t="s">
        <v>6434</v>
      </c>
      <c r="C3586" s="11" t="s">
        <v>6435</v>
      </c>
      <c r="D3586" s="11">
        <v>18140</v>
      </c>
      <c r="E3586" s="11" t="s">
        <v>203</v>
      </c>
      <c r="F3586" s="11" t="s">
        <v>26</v>
      </c>
      <c r="G3586" s="11" t="s">
        <v>35</v>
      </c>
      <c r="H3586" s="12" t="s">
        <v>36</v>
      </c>
      <c r="I3586" s="12" t="s">
        <v>55</v>
      </c>
      <c r="J3586" s="12" t="s">
        <v>55</v>
      </c>
      <c r="K3586" s="12" t="s">
        <v>56</v>
      </c>
      <c r="L3586" s="13">
        <v>12.94</v>
      </c>
      <c r="M3586" s="13">
        <v>8</v>
      </c>
      <c r="N3586" s="13">
        <f t="shared" si="1515"/>
        <v>1.6174999999999999</v>
      </c>
      <c r="O3586" s="13">
        <v>20</v>
      </c>
      <c r="P3586" s="13" t="s">
        <v>30</v>
      </c>
      <c r="Q3586" s="13">
        <v>0</v>
      </c>
      <c r="R3586" s="70">
        <f>(L3586*O3586)-Q3586</f>
        <v>258.8</v>
      </c>
      <c r="S3586" s="70">
        <v>0</v>
      </c>
      <c r="T3586" s="70">
        <f t="shared" ref="T3586" si="1594">+L3586*S3586</f>
        <v>0</v>
      </c>
      <c r="U3586" s="70">
        <f t="shared" ref="U3586:U3587" si="1595">+R3586-T3586</f>
        <v>258.8</v>
      </c>
      <c r="V3586" s="70">
        <f t="shared" ref="V3586" si="1596">+U3586*0</f>
        <v>0</v>
      </c>
      <c r="W3586" s="70">
        <f t="shared" ref="W3586:W3587" si="1597">+U3586-V3586</f>
        <v>258.8</v>
      </c>
      <c r="X3586" s="70">
        <v>0</v>
      </c>
      <c r="Y3586" s="14">
        <f t="shared" ref="Y3586:Y3597" si="1598">T3586-X3586</f>
        <v>0</v>
      </c>
      <c r="Z3586" s="11" t="s">
        <v>26</v>
      </c>
      <c r="AA3586" s="12" t="s">
        <v>31</v>
      </c>
    </row>
    <row r="3587" spans="1:27" x14ac:dyDescent="0.25">
      <c r="A3587" s="10">
        <v>45712</v>
      </c>
      <c r="B3587" s="11" t="s">
        <v>6436</v>
      </c>
      <c r="C3587" s="11" t="s">
        <v>6437</v>
      </c>
      <c r="D3587" s="11">
        <v>18141</v>
      </c>
      <c r="E3587" s="11" t="s">
        <v>87</v>
      </c>
      <c r="F3587" s="11" t="s">
        <v>26</v>
      </c>
      <c r="G3587" s="11">
        <v>55321</v>
      </c>
      <c r="H3587" s="12" t="s">
        <v>4423</v>
      </c>
      <c r="I3587" s="12" t="s">
        <v>27</v>
      </c>
      <c r="J3587" s="12" t="s">
        <v>33</v>
      </c>
      <c r="K3587" s="12" t="s">
        <v>34</v>
      </c>
      <c r="L3587" s="13">
        <v>34.299999999999997</v>
      </c>
      <c r="M3587" s="13">
        <v>25</v>
      </c>
      <c r="N3587" s="13">
        <f t="shared" si="1515"/>
        <v>1.3719999999999999</v>
      </c>
      <c r="O3587" s="13">
        <v>45</v>
      </c>
      <c r="P3587" s="13" t="s">
        <v>30</v>
      </c>
      <c r="Q3587" s="13">
        <v>0</v>
      </c>
      <c r="R3587" s="70">
        <f>+L3587*O3587</f>
        <v>1543.4999999999998</v>
      </c>
      <c r="S3587" s="70">
        <v>0</v>
      </c>
      <c r="T3587" s="70">
        <f>+L3587*S3587</f>
        <v>0</v>
      </c>
      <c r="U3587" s="70">
        <f t="shared" si="1595"/>
        <v>1543.4999999999998</v>
      </c>
      <c r="V3587" s="70">
        <f>+U3587*1</f>
        <v>1543.4999999999998</v>
      </c>
      <c r="W3587" s="70">
        <f t="shared" si="1597"/>
        <v>0</v>
      </c>
      <c r="X3587" s="70">
        <v>0</v>
      </c>
      <c r="Y3587" s="14">
        <f t="shared" si="1598"/>
        <v>0</v>
      </c>
      <c r="Z3587" s="11" t="s">
        <v>26</v>
      </c>
      <c r="AA3587" s="12" t="s">
        <v>31</v>
      </c>
    </row>
    <row r="3588" spans="1:27" x14ac:dyDescent="0.25">
      <c r="A3588" s="10">
        <v>45712</v>
      </c>
      <c r="B3588" s="11" t="s">
        <v>419</v>
      </c>
      <c r="C3588" s="11" t="s">
        <v>6438</v>
      </c>
      <c r="D3588" s="11">
        <v>18142</v>
      </c>
      <c r="E3588" s="11" t="s">
        <v>244</v>
      </c>
      <c r="F3588" s="11" t="s">
        <v>26</v>
      </c>
      <c r="G3588" s="11">
        <v>962</v>
      </c>
      <c r="H3588" s="12" t="s">
        <v>141</v>
      </c>
      <c r="I3588" s="12" t="s">
        <v>37</v>
      </c>
      <c r="J3588" s="12" t="s">
        <v>85</v>
      </c>
      <c r="K3588" s="12" t="s">
        <v>86</v>
      </c>
      <c r="L3588" s="13">
        <v>37.56</v>
      </c>
      <c r="M3588" s="13">
        <v>22</v>
      </c>
      <c r="N3588" s="13">
        <f t="shared" si="1515"/>
        <v>1.7072727272727273</v>
      </c>
      <c r="O3588" s="13">
        <v>29</v>
      </c>
      <c r="P3588" s="13" t="s">
        <v>30</v>
      </c>
      <c r="Q3588" s="13">
        <v>0</v>
      </c>
      <c r="R3588" s="70">
        <f>L3588*O3588</f>
        <v>1089.24</v>
      </c>
      <c r="S3588" s="70">
        <v>0</v>
      </c>
      <c r="T3588" s="70">
        <f>L3588*S3588</f>
        <v>0</v>
      </c>
      <c r="U3588" s="70">
        <f>R3588-T3588</f>
        <v>1089.24</v>
      </c>
      <c r="V3588" s="70">
        <f>U3588*0</f>
        <v>0</v>
      </c>
      <c r="W3588" s="70">
        <f>U3588-V3588</f>
        <v>1089.24</v>
      </c>
      <c r="X3588" s="70">
        <v>0</v>
      </c>
      <c r="Y3588" s="14">
        <f t="shared" si="1598"/>
        <v>0</v>
      </c>
      <c r="Z3588" s="11" t="s">
        <v>26</v>
      </c>
      <c r="AA3588" s="12" t="s">
        <v>31</v>
      </c>
    </row>
    <row r="3589" spans="1:27" x14ac:dyDescent="0.25">
      <c r="A3589" s="10">
        <v>45712</v>
      </c>
      <c r="B3589" s="11" t="s">
        <v>695</v>
      </c>
      <c r="C3589" s="11" t="s">
        <v>6439</v>
      </c>
      <c r="D3589" s="11">
        <v>18143</v>
      </c>
      <c r="E3589" s="11" t="s">
        <v>574</v>
      </c>
      <c r="F3589" s="11" t="s">
        <v>26</v>
      </c>
      <c r="G3589" s="11">
        <v>902</v>
      </c>
      <c r="H3589" s="12" t="s">
        <v>141</v>
      </c>
      <c r="I3589" s="12" t="s">
        <v>37</v>
      </c>
      <c r="J3589" s="12" t="s">
        <v>85</v>
      </c>
      <c r="K3589" s="12" t="s">
        <v>86</v>
      </c>
      <c r="L3589" s="13">
        <v>37.92</v>
      </c>
      <c r="M3589" s="13">
        <v>23</v>
      </c>
      <c r="N3589" s="13">
        <f t="shared" si="1515"/>
        <v>1.6486956521739131</v>
      </c>
      <c r="O3589" s="13">
        <v>29</v>
      </c>
      <c r="P3589" s="13" t="s">
        <v>30</v>
      </c>
      <c r="Q3589" s="13">
        <v>0</v>
      </c>
      <c r="R3589" s="70">
        <f>L3589*O3589</f>
        <v>1099.68</v>
      </c>
      <c r="S3589" s="70">
        <v>0</v>
      </c>
      <c r="T3589" s="70">
        <f>L3589*S3589</f>
        <v>0</v>
      </c>
      <c r="U3589" s="70">
        <f>R3589-T3589</f>
        <v>1099.68</v>
      </c>
      <c r="V3589" s="70">
        <f>U3589*0</f>
        <v>0</v>
      </c>
      <c r="W3589" s="70">
        <f>U3589-V3589</f>
        <v>1099.68</v>
      </c>
      <c r="X3589" s="70">
        <v>0</v>
      </c>
      <c r="Y3589" s="14">
        <f t="shared" si="1598"/>
        <v>0</v>
      </c>
      <c r="Z3589" s="11" t="s">
        <v>26</v>
      </c>
      <c r="AA3589" s="12" t="s">
        <v>31</v>
      </c>
    </row>
    <row r="3590" spans="1:27" x14ac:dyDescent="0.25">
      <c r="A3590" s="10">
        <v>45712</v>
      </c>
      <c r="B3590" s="11" t="s">
        <v>6440</v>
      </c>
      <c r="C3590" s="11" t="s">
        <v>6441</v>
      </c>
      <c r="D3590" s="11">
        <v>18144</v>
      </c>
      <c r="E3590" s="11" t="s">
        <v>230</v>
      </c>
      <c r="F3590" s="11" t="s">
        <v>26</v>
      </c>
      <c r="G3590" s="11">
        <v>26216</v>
      </c>
      <c r="H3590" s="12" t="s">
        <v>565</v>
      </c>
      <c r="I3590" s="12" t="s">
        <v>27</v>
      </c>
      <c r="J3590" s="12" t="s">
        <v>33</v>
      </c>
      <c r="K3590" s="12" t="s">
        <v>34</v>
      </c>
      <c r="L3590" s="13">
        <v>39.58</v>
      </c>
      <c r="M3590" s="13">
        <v>27</v>
      </c>
      <c r="N3590" s="13">
        <f t="shared" ref="N3590:N3592" si="1599">L3590/M3590</f>
        <v>1.4659259259259259</v>
      </c>
      <c r="O3590" s="13"/>
      <c r="P3590" s="13">
        <v>60</v>
      </c>
      <c r="Q3590" s="13">
        <v>0</v>
      </c>
      <c r="R3590" s="70">
        <f>M3590*P3590</f>
        <v>1620</v>
      </c>
      <c r="S3590" s="70">
        <v>0</v>
      </c>
      <c r="T3590" s="70">
        <f>M3590*S3590</f>
        <v>0</v>
      </c>
      <c r="U3590" s="70">
        <f>R3590-T3590</f>
        <v>1620</v>
      </c>
      <c r="V3590" s="70">
        <f>U3590*0</f>
        <v>0</v>
      </c>
      <c r="W3590" s="70">
        <f>+U3590-V3590</f>
        <v>1620</v>
      </c>
      <c r="X3590" s="70">
        <v>0</v>
      </c>
      <c r="Y3590" s="14">
        <f t="shared" si="1598"/>
        <v>0</v>
      </c>
      <c r="Z3590" s="11" t="s">
        <v>26</v>
      </c>
      <c r="AA3590" s="12" t="s">
        <v>31</v>
      </c>
    </row>
    <row r="3591" spans="1:27" x14ac:dyDescent="0.25">
      <c r="A3591" s="10">
        <v>45712</v>
      </c>
      <c r="B3591" s="11" t="s">
        <v>337</v>
      </c>
      <c r="C3591" s="11" t="s">
        <v>6442</v>
      </c>
      <c r="D3591" s="11">
        <v>18145</v>
      </c>
      <c r="E3591" s="11" t="s">
        <v>6054</v>
      </c>
      <c r="F3591" s="11" t="s">
        <v>26</v>
      </c>
      <c r="G3591" s="11">
        <v>4675</v>
      </c>
      <c r="H3591" s="12" t="s">
        <v>140</v>
      </c>
      <c r="I3591" s="12" t="s">
        <v>55</v>
      </c>
      <c r="J3591" s="12" t="s">
        <v>55</v>
      </c>
      <c r="K3591" s="12" t="s">
        <v>56</v>
      </c>
      <c r="L3591" s="13">
        <v>42.7</v>
      </c>
      <c r="M3591" s="13">
        <v>25</v>
      </c>
      <c r="N3591" s="13">
        <f t="shared" si="1599"/>
        <v>1.7080000000000002</v>
      </c>
      <c r="O3591" s="13">
        <v>15</v>
      </c>
      <c r="P3591" s="13"/>
      <c r="Q3591" s="13">
        <v>0</v>
      </c>
      <c r="R3591" s="70">
        <f>+L3591*O3591</f>
        <v>640.5</v>
      </c>
      <c r="S3591" s="70">
        <v>0</v>
      </c>
      <c r="T3591" s="70">
        <f>+L3591*S3591</f>
        <v>0</v>
      </c>
      <c r="U3591" s="70">
        <f>+R3591-T3591</f>
        <v>640.5</v>
      </c>
      <c r="V3591" s="70">
        <f t="shared" ref="V3591:V3592" si="1600">+U3591*0</f>
        <v>0</v>
      </c>
      <c r="W3591" s="70">
        <f>+U3591-V3591</f>
        <v>640.5</v>
      </c>
      <c r="X3591" s="70">
        <v>0</v>
      </c>
      <c r="Y3591" s="14">
        <f t="shared" si="1598"/>
        <v>0</v>
      </c>
      <c r="Z3591" s="11" t="s">
        <v>26</v>
      </c>
      <c r="AA3591" s="12" t="s">
        <v>31</v>
      </c>
    </row>
    <row r="3592" spans="1:27" x14ac:dyDescent="0.25">
      <c r="A3592" s="10">
        <v>45712</v>
      </c>
      <c r="B3592" s="11" t="s">
        <v>668</v>
      </c>
      <c r="C3592" s="11" t="s">
        <v>6443</v>
      </c>
      <c r="D3592" s="11">
        <v>18146</v>
      </c>
      <c r="E3592" s="11" t="s">
        <v>570</v>
      </c>
      <c r="F3592" s="11" t="s">
        <v>26</v>
      </c>
      <c r="G3592" s="11">
        <v>10772</v>
      </c>
      <c r="H3592" s="12" t="s">
        <v>140</v>
      </c>
      <c r="I3592" s="12" t="s">
        <v>27</v>
      </c>
      <c r="J3592" s="12" t="s">
        <v>47</v>
      </c>
      <c r="K3592" s="12" t="s">
        <v>48</v>
      </c>
      <c r="L3592" s="13">
        <v>43.44</v>
      </c>
      <c r="M3592" s="13">
        <v>29</v>
      </c>
      <c r="N3592" s="13">
        <f t="shared" si="1599"/>
        <v>1.4979310344827585</v>
      </c>
      <c r="O3592" s="13">
        <v>40</v>
      </c>
      <c r="P3592" s="13"/>
      <c r="Q3592" s="13">
        <v>0</v>
      </c>
      <c r="R3592" s="70">
        <f>+L3592*O3592</f>
        <v>1737.6</v>
      </c>
      <c r="S3592" s="70">
        <v>0</v>
      </c>
      <c r="T3592" s="70">
        <f>+L3592*S3592</f>
        <v>0</v>
      </c>
      <c r="U3592" s="70">
        <f>+R3592-T3592</f>
        <v>1737.6</v>
      </c>
      <c r="V3592" s="70">
        <f t="shared" si="1600"/>
        <v>0</v>
      </c>
      <c r="W3592" s="70">
        <f>+U3592-V3592</f>
        <v>1737.6</v>
      </c>
      <c r="X3592" s="70">
        <v>0</v>
      </c>
      <c r="Y3592" s="14">
        <f t="shared" si="1598"/>
        <v>0</v>
      </c>
      <c r="Z3592" s="11" t="s">
        <v>26</v>
      </c>
      <c r="AA3592" s="12" t="s">
        <v>31</v>
      </c>
    </row>
    <row r="3593" spans="1:27" x14ac:dyDescent="0.25">
      <c r="A3593" s="10">
        <v>45713</v>
      </c>
      <c r="B3593" s="11" t="s">
        <v>633</v>
      </c>
      <c r="C3593" s="11" t="s">
        <v>6444</v>
      </c>
      <c r="D3593" s="11">
        <v>18147</v>
      </c>
      <c r="E3593" s="11" t="s">
        <v>32</v>
      </c>
      <c r="F3593" s="11" t="s">
        <v>26</v>
      </c>
      <c r="G3593" s="11">
        <v>1624</v>
      </c>
      <c r="H3593" s="12" t="s">
        <v>45</v>
      </c>
      <c r="I3593" s="12" t="s">
        <v>27</v>
      </c>
      <c r="J3593" s="12" t="s">
        <v>42</v>
      </c>
      <c r="K3593" s="12" t="s">
        <v>43</v>
      </c>
      <c r="L3593" s="13">
        <v>42.16</v>
      </c>
      <c r="M3593" s="13">
        <v>25</v>
      </c>
      <c r="N3593" s="13">
        <f>L3593/M3593</f>
        <v>1.6863999999999999</v>
      </c>
      <c r="O3593" s="13" t="s">
        <v>30</v>
      </c>
      <c r="P3593" s="13">
        <v>62</v>
      </c>
      <c r="Q3593" s="13">
        <v>0</v>
      </c>
      <c r="R3593" s="70">
        <f>M3593*P3593</f>
        <v>1550</v>
      </c>
      <c r="S3593" s="70">
        <v>0</v>
      </c>
      <c r="T3593" s="70">
        <f>M3593*S3593</f>
        <v>0</v>
      </c>
      <c r="U3593" s="70">
        <f>R3593-T3593</f>
        <v>1550</v>
      </c>
      <c r="V3593" s="70">
        <f>U3593*0</f>
        <v>0</v>
      </c>
      <c r="W3593" s="70">
        <f>U3593-V3593</f>
        <v>1550</v>
      </c>
      <c r="X3593" s="70">
        <v>0</v>
      </c>
      <c r="Y3593" s="14">
        <f t="shared" si="1598"/>
        <v>0</v>
      </c>
      <c r="Z3593" s="11" t="s">
        <v>26</v>
      </c>
      <c r="AA3593" s="12" t="s">
        <v>31</v>
      </c>
    </row>
    <row r="3594" spans="1:27" x14ac:dyDescent="0.25">
      <c r="A3594" s="10">
        <v>45713</v>
      </c>
      <c r="B3594" s="11" t="s">
        <v>386</v>
      </c>
      <c r="C3594" s="11" t="s">
        <v>6445</v>
      </c>
      <c r="D3594" s="11">
        <v>18148</v>
      </c>
      <c r="E3594" s="11" t="s">
        <v>50</v>
      </c>
      <c r="F3594" s="11" t="s">
        <v>26</v>
      </c>
      <c r="G3594" s="11">
        <v>768</v>
      </c>
      <c r="H3594" s="12" t="s">
        <v>163</v>
      </c>
      <c r="I3594" s="12" t="s">
        <v>27</v>
      </c>
      <c r="J3594" s="12" t="s">
        <v>47</v>
      </c>
      <c r="K3594" s="12" t="s">
        <v>48</v>
      </c>
      <c r="L3594" s="13">
        <v>38.08</v>
      </c>
      <c r="M3594" s="13">
        <v>25</v>
      </c>
      <c r="N3594" s="13">
        <f t="shared" ref="N3594:N3657" si="1601">L3594/M3594</f>
        <v>1.5231999999999999</v>
      </c>
      <c r="O3594" s="13" t="s">
        <v>30</v>
      </c>
      <c r="P3594" s="13">
        <v>60</v>
      </c>
      <c r="Q3594" s="13">
        <v>0</v>
      </c>
      <c r="R3594" s="70">
        <f>M3594*P3594</f>
        <v>1500</v>
      </c>
      <c r="S3594" s="70">
        <v>0</v>
      </c>
      <c r="T3594" s="70">
        <f>M3594*S3594</f>
        <v>0</v>
      </c>
      <c r="U3594" s="70">
        <f>R3594-T3594</f>
        <v>1500</v>
      </c>
      <c r="V3594" s="70">
        <f>U3594*0</f>
        <v>0</v>
      </c>
      <c r="W3594" s="70">
        <f>U3594-V3594</f>
        <v>1500</v>
      </c>
      <c r="X3594" s="70">
        <v>0</v>
      </c>
      <c r="Y3594" s="14">
        <f t="shared" si="1598"/>
        <v>0</v>
      </c>
      <c r="Z3594" s="11" t="s">
        <v>26</v>
      </c>
      <c r="AA3594" s="12" t="s">
        <v>31</v>
      </c>
    </row>
    <row r="3595" spans="1:27" x14ac:dyDescent="0.25">
      <c r="A3595" s="10">
        <v>45713</v>
      </c>
      <c r="B3595" s="11" t="s">
        <v>1120</v>
      </c>
      <c r="C3595" s="11" t="s">
        <v>6446</v>
      </c>
      <c r="D3595" s="11">
        <v>18149</v>
      </c>
      <c r="E3595" s="11" t="s">
        <v>68</v>
      </c>
      <c r="F3595" s="11" t="s">
        <v>26</v>
      </c>
      <c r="G3595" s="11">
        <v>76377</v>
      </c>
      <c r="H3595" s="12" t="s">
        <v>4448</v>
      </c>
      <c r="I3595" s="12" t="s">
        <v>27</v>
      </c>
      <c r="J3595" s="12" t="s">
        <v>42</v>
      </c>
      <c r="K3595" s="12" t="s">
        <v>43</v>
      </c>
      <c r="L3595" s="13">
        <v>42.3</v>
      </c>
      <c r="M3595" s="13">
        <v>25</v>
      </c>
      <c r="N3595" s="13">
        <f t="shared" si="1601"/>
        <v>1.6919999999999999</v>
      </c>
      <c r="O3595" s="13">
        <v>42.5</v>
      </c>
      <c r="P3595" s="13"/>
      <c r="Q3595" s="13">
        <v>0</v>
      </c>
      <c r="R3595" s="70">
        <f>+L3595*O3595</f>
        <v>1797.7499999999998</v>
      </c>
      <c r="S3595" s="70">
        <v>0</v>
      </c>
      <c r="T3595" s="70">
        <f>+L3595*S3595</f>
        <v>0</v>
      </c>
      <c r="U3595" s="70">
        <f>+R3595-T3595</f>
        <v>1797.7499999999998</v>
      </c>
      <c r="V3595" s="70">
        <f>+U3595*0.75</f>
        <v>1348.3124999999998</v>
      </c>
      <c r="W3595" s="70">
        <f>+U3595-V3595</f>
        <v>449.4375</v>
      </c>
      <c r="X3595" s="70">
        <v>0</v>
      </c>
      <c r="Y3595" s="14">
        <f t="shared" si="1598"/>
        <v>0</v>
      </c>
      <c r="Z3595" s="11" t="s">
        <v>26</v>
      </c>
      <c r="AA3595" s="12" t="s">
        <v>31</v>
      </c>
    </row>
    <row r="3596" spans="1:27" x14ac:dyDescent="0.25">
      <c r="A3596" s="10">
        <v>45713</v>
      </c>
      <c r="B3596" s="11" t="s">
        <v>2640</v>
      </c>
      <c r="C3596" s="11" t="s">
        <v>6447</v>
      </c>
      <c r="D3596" s="11">
        <v>18150</v>
      </c>
      <c r="E3596" s="11" t="s">
        <v>552</v>
      </c>
      <c r="F3596" s="11" t="s">
        <v>26</v>
      </c>
      <c r="G3596" s="11">
        <v>44182</v>
      </c>
      <c r="H3596" s="12" t="s">
        <v>4423</v>
      </c>
      <c r="I3596" s="12" t="s">
        <v>27</v>
      </c>
      <c r="J3596" s="12" t="s">
        <v>47</v>
      </c>
      <c r="K3596" s="12" t="s">
        <v>48</v>
      </c>
      <c r="L3596" s="13">
        <v>34.72</v>
      </c>
      <c r="M3596" s="13">
        <v>25</v>
      </c>
      <c r="N3596" s="13">
        <f t="shared" si="1601"/>
        <v>1.3888</v>
      </c>
      <c r="O3596" s="13">
        <v>46</v>
      </c>
      <c r="P3596" s="13" t="s">
        <v>30</v>
      </c>
      <c r="Q3596" s="13">
        <v>0</v>
      </c>
      <c r="R3596" s="70">
        <f t="shared" ref="R3596" si="1602">+L3596*O3596</f>
        <v>1597.12</v>
      </c>
      <c r="S3596" s="70">
        <v>0</v>
      </c>
      <c r="T3596" s="70">
        <f t="shared" ref="T3596" si="1603">+L3596*S3596</f>
        <v>0</v>
      </c>
      <c r="U3596" s="70">
        <f t="shared" ref="U3596" si="1604">+R3596-T3596</f>
        <v>1597.12</v>
      </c>
      <c r="V3596" s="70">
        <f>+U3596*1</f>
        <v>1597.12</v>
      </c>
      <c r="W3596" s="70">
        <f t="shared" ref="W3596" si="1605">+U3596-V3596</f>
        <v>0</v>
      </c>
      <c r="X3596" s="70">
        <v>0</v>
      </c>
      <c r="Y3596" s="14">
        <f t="shared" si="1598"/>
        <v>0</v>
      </c>
      <c r="Z3596" s="11" t="s">
        <v>26</v>
      </c>
      <c r="AA3596" s="12" t="s">
        <v>31</v>
      </c>
    </row>
    <row r="3597" spans="1:27" x14ac:dyDescent="0.25">
      <c r="A3597" s="10">
        <v>45713</v>
      </c>
      <c r="B3597" s="11" t="s">
        <v>6448</v>
      </c>
      <c r="C3597" s="11" t="s">
        <v>6449</v>
      </c>
      <c r="D3597" s="11">
        <v>18151</v>
      </c>
      <c r="E3597" s="11" t="s">
        <v>184</v>
      </c>
      <c r="F3597" s="11" t="s">
        <v>26</v>
      </c>
      <c r="G3597" s="11">
        <v>1028</v>
      </c>
      <c r="H3597" s="12" t="s">
        <v>141</v>
      </c>
      <c r="I3597" s="12" t="s">
        <v>27</v>
      </c>
      <c r="J3597" s="12" t="s">
        <v>33</v>
      </c>
      <c r="K3597" s="12" t="s">
        <v>34</v>
      </c>
      <c r="L3597" s="13">
        <v>38.520000000000003</v>
      </c>
      <c r="M3597" s="13">
        <v>25</v>
      </c>
      <c r="N3597" s="13">
        <f t="shared" si="1601"/>
        <v>1.5408000000000002</v>
      </c>
      <c r="O3597" s="13">
        <v>40</v>
      </c>
      <c r="P3597" s="13" t="s">
        <v>30</v>
      </c>
      <c r="Q3597" s="13">
        <v>0</v>
      </c>
      <c r="R3597" s="70">
        <f>L3597*O3597</f>
        <v>1540.8000000000002</v>
      </c>
      <c r="S3597" s="70">
        <v>0</v>
      </c>
      <c r="T3597" s="70">
        <f>L3597*S3597</f>
        <v>0</v>
      </c>
      <c r="U3597" s="70">
        <f>R3597-T3597</f>
        <v>1540.8000000000002</v>
      </c>
      <c r="V3597" s="70">
        <f>U3597*0</f>
        <v>0</v>
      </c>
      <c r="W3597" s="70">
        <f>U3597-V3597</f>
        <v>1540.8000000000002</v>
      </c>
      <c r="X3597" s="70">
        <v>0</v>
      </c>
      <c r="Y3597" s="14">
        <f t="shared" si="1598"/>
        <v>0</v>
      </c>
      <c r="Z3597" s="11" t="s">
        <v>26</v>
      </c>
      <c r="AA3597" s="12" t="s">
        <v>31</v>
      </c>
    </row>
    <row r="3598" spans="1:27" x14ac:dyDescent="0.25">
      <c r="A3598" s="10">
        <v>45713</v>
      </c>
      <c r="B3598" s="11" t="s">
        <v>6450</v>
      </c>
      <c r="C3598" s="11" t="s">
        <v>6451</v>
      </c>
      <c r="D3598" s="11">
        <v>18152</v>
      </c>
      <c r="E3598" s="11" t="s">
        <v>81</v>
      </c>
      <c r="F3598" s="11" t="s">
        <v>26</v>
      </c>
      <c r="G3598" s="11" t="s">
        <v>26</v>
      </c>
      <c r="H3598" s="12" t="s">
        <v>4422</v>
      </c>
      <c r="I3598" s="12" t="s">
        <v>27</v>
      </c>
      <c r="J3598" s="12" t="s">
        <v>47</v>
      </c>
      <c r="K3598" s="12" t="s">
        <v>48</v>
      </c>
      <c r="L3598" s="13">
        <v>42.34</v>
      </c>
      <c r="M3598" s="13">
        <v>29</v>
      </c>
      <c r="N3598" s="13">
        <f t="shared" si="1601"/>
        <v>1.4600000000000002</v>
      </c>
      <c r="O3598" s="13">
        <v>87</v>
      </c>
      <c r="P3598" s="13" t="s">
        <v>30</v>
      </c>
      <c r="Q3598" s="13">
        <v>0</v>
      </c>
      <c r="R3598" s="70">
        <f t="shared" ref="R3598" si="1606">L3598*O3598</f>
        <v>3683.5800000000004</v>
      </c>
      <c r="S3598" s="70">
        <v>38</v>
      </c>
      <c r="T3598" s="70">
        <f t="shared" ref="T3598" si="1607">L3598*S3598</f>
        <v>1608.92</v>
      </c>
      <c r="U3598" s="70">
        <f t="shared" ref="U3598" si="1608">R3598-T3598</f>
        <v>2074.6600000000003</v>
      </c>
      <c r="V3598" s="70">
        <f>U3598*1</f>
        <v>2074.6600000000003</v>
      </c>
      <c r="W3598" s="70">
        <f t="shared" ref="W3598" si="1609">U3598-V3598</f>
        <v>0</v>
      </c>
      <c r="X3598" s="70">
        <f>L3598*36</f>
        <v>1524.2400000000002</v>
      </c>
      <c r="Y3598" s="71">
        <f>+T3598-X3598</f>
        <v>84.679999999999836</v>
      </c>
      <c r="Z3598" s="12" t="s">
        <v>141</v>
      </c>
      <c r="AA3598" s="12" t="s">
        <v>78</v>
      </c>
    </row>
    <row r="3599" spans="1:27" x14ac:dyDescent="0.25">
      <c r="A3599" s="10">
        <v>45713</v>
      </c>
      <c r="B3599" s="11" t="s">
        <v>6452</v>
      </c>
      <c r="C3599" s="11" t="s">
        <v>6453</v>
      </c>
      <c r="D3599" s="11">
        <v>18153</v>
      </c>
      <c r="E3599" s="11" t="s">
        <v>501</v>
      </c>
      <c r="F3599" s="11" t="s">
        <v>26</v>
      </c>
      <c r="G3599" s="11">
        <v>823</v>
      </c>
      <c r="H3599" s="12" t="s">
        <v>141</v>
      </c>
      <c r="I3599" s="12" t="s">
        <v>27</v>
      </c>
      <c r="J3599" s="12" t="s">
        <v>33</v>
      </c>
      <c r="K3599" s="12" t="s">
        <v>34</v>
      </c>
      <c r="L3599" s="13">
        <v>43.36</v>
      </c>
      <c r="M3599" s="13">
        <v>30</v>
      </c>
      <c r="N3599" s="13">
        <f t="shared" si="1601"/>
        <v>1.4453333333333334</v>
      </c>
      <c r="O3599" s="13">
        <v>40</v>
      </c>
      <c r="P3599" s="13" t="s">
        <v>30</v>
      </c>
      <c r="Q3599" s="13">
        <v>0</v>
      </c>
      <c r="R3599" s="70">
        <f>L3599*O3599</f>
        <v>1734.4</v>
      </c>
      <c r="S3599" s="70">
        <v>0</v>
      </c>
      <c r="T3599" s="70">
        <f>L3599*S3599</f>
        <v>0</v>
      </c>
      <c r="U3599" s="70">
        <f>R3599-T3599</f>
        <v>1734.4</v>
      </c>
      <c r="V3599" s="70">
        <f>U3599*0</f>
        <v>0</v>
      </c>
      <c r="W3599" s="70">
        <f>U3599-V3599</f>
        <v>1734.4</v>
      </c>
      <c r="X3599" s="70">
        <v>0</v>
      </c>
      <c r="Y3599" s="14">
        <f t="shared" ref="Y3599" si="1610">T3599-X3599</f>
        <v>0</v>
      </c>
      <c r="Z3599" s="11" t="s">
        <v>26</v>
      </c>
      <c r="AA3599" s="12" t="s">
        <v>31</v>
      </c>
    </row>
    <row r="3600" spans="1:27" x14ac:dyDescent="0.25">
      <c r="A3600" s="10">
        <v>45713</v>
      </c>
      <c r="B3600" s="11" t="s">
        <v>2707</v>
      </c>
      <c r="C3600" s="11" t="s">
        <v>6454</v>
      </c>
      <c r="D3600" s="11">
        <v>18154</v>
      </c>
      <c r="E3600" s="11" t="s">
        <v>570</v>
      </c>
      <c r="F3600" s="11" t="s">
        <v>26</v>
      </c>
      <c r="G3600" s="11" t="s">
        <v>26</v>
      </c>
      <c r="H3600" s="12" t="s">
        <v>4422</v>
      </c>
      <c r="I3600" s="12" t="s">
        <v>27</v>
      </c>
      <c r="J3600" s="12" t="s">
        <v>47</v>
      </c>
      <c r="K3600" s="12" t="s">
        <v>48</v>
      </c>
      <c r="L3600" s="13">
        <v>43.48</v>
      </c>
      <c r="M3600" s="13">
        <v>29</v>
      </c>
      <c r="N3600" s="13">
        <f t="shared" si="1601"/>
        <v>1.4993103448275862</v>
      </c>
      <c r="O3600" s="13">
        <v>87</v>
      </c>
      <c r="P3600" s="13" t="s">
        <v>30</v>
      </c>
      <c r="Q3600" s="13">
        <v>0</v>
      </c>
      <c r="R3600" s="70">
        <f t="shared" ref="R3600:R3601" si="1611">L3600*O3600</f>
        <v>3782.7599999999998</v>
      </c>
      <c r="S3600" s="70">
        <v>38</v>
      </c>
      <c r="T3600" s="70">
        <f t="shared" ref="T3600:T3601" si="1612">L3600*S3600</f>
        <v>1652.2399999999998</v>
      </c>
      <c r="U3600" s="70">
        <f t="shared" ref="U3600:U3601" si="1613">R3600-T3600</f>
        <v>2130.52</v>
      </c>
      <c r="V3600" s="70">
        <f>U3600*1</f>
        <v>2130.52</v>
      </c>
      <c r="W3600" s="70">
        <f t="shared" ref="W3600:W3602" si="1614">U3600-V3600</f>
        <v>0</v>
      </c>
      <c r="X3600" s="70">
        <f>L3600*36</f>
        <v>1565.28</v>
      </c>
      <c r="Y3600" s="71">
        <f>+T3600-X3600</f>
        <v>86.959999999999809</v>
      </c>
      <c r="Z3600" s="12" t="s">
        <v>140</v>
      </c>
      <c r="AA3600" s="12" t="s">
        <v>78</v>
      </c>
    </row>
    <row r="3601" spans="1:27" x14ac:dyDescent="0.25">
      <c r="A3601" s="10">
        <v>45713</v>
      </c>
      <c r="B3601" s="11" t="s">
        <v>5468</v>
      </c>
      <c r="C3601" s="11" t="s">
        <v>6455</v>
      </c>
      <c r="D3601" s="11">
        <v>18155</v>
      </c>
      <c r="E3601" s="11" t="s">
        <v>2109</v>
      </c>
      <c r="F3601" s="11" t="s">
        <v>26</v>
      </c>
      <c r="G3601" s="11" t="s">
        <v>26</v>
      </c>
      <c r="H3601" s="12" t="s">
        <v>4422</v>
      </c>
      <c r="I3601" s="12" t="s">
        <v>27</v>
      </c>
      <c r="J3601" s="12" t="s">
        <v>33</v>
      </c>
      <c r="K3601" s="12" t="s">
        <v>34</v>
      </c>
      <c r="L3601" s="13">
        <v>42.7</v>
      </c>
      <c r="M3601" s="13">
        <v>29</v>
      </c>
      <c r="N3601" s="13">
        <f t="shared" si="1601"/>
        <v>1.4724137931034484</v>
      </c>
      <c r="O3601" s="13">
        <v>85</v>
      </c>
      <c r="P3601" s="13" t="s">
        <v>30</v>
      </c>
      <c r="Q3601" s="13">
        <v>0</v>
      </c>
      <c r="R3601" s="70">
        <f t="shared" si="1611"/>
        <v>3629.5000000000005</v>
      </c>
      <c r="S3601" s="70">
        <v>38</v>
      </c>
      <c r="T3601" s="70">
        <f t="shared" si="1612"/>
        <v>1622.6000000000001</v>
      </c>
      <c r="U3601" s="70">
        <f t="shared" si="1613"/>
        <v>2006.9000000000003</v>
      </c>
      <c r="V3601" s="70">
        <f>U3601*1</f>
        <v>2006.9000000000003</v>
      </c>
      <c r="W3601" s="70">
        <f t="shared" si="1614"/>
        <v>0</v>
      </c>
      <c r="X3601" s="70">
        <f>L3601*36</f>
        <v>1537.2</v>
      </c>
      <c r="Y3601" s="71">
        <f>+T3601-X3601</f>
        <v>85.400000000000091</v>
      </c>
      <c r="Z3601" s="12" t="s">
        <v>140</v>
      </c>
      <c r="AA3601" s="12" t="s">
        <v>78</v>
      </c>
    </row>
    <row r="3602" spans="1:27" x14ac:dyDescent="0.25">
      <c r="A3602" s="10">
        <v>45713</v>
      </c>
      <c r="B3602" s="11" t="s">
        <v>297</v>
      </c>
      <c r="C3602" s="11" t="s">
        <v>6456</v>
      </c>
      <c r="D3602" s="11">
        <v>18156</v>
      </c>
      <c r="E3602" s="11" t="s">
        <v>44</v>
      </c>
      <c r="F3602" s="11" t="s">
        <v>26</v>
      </c>
      <c r="G3602" s="11">
        <v>1673</v>
      </c>
      <c r="H3602" s="12" t="s">
        <v>45</v>
      </c>
      <c r="I3602" s="12" t="s">
        <v>27</v>
      </c>
      <c r="J3602" s="12" t="s">
        <v>33</v>
      </c>
      <c r="K3602" s="12" t="s">
        <v>34</v>
      </c>
      <c r="L3602" s="13">
        <v>38.82</v>
      </c>
      <c r="M3602" s="13">
        <v>25</v>
      </c>
      <c r="N3602" s="13">
        <f t="shared" si="1601"/>
        <v>1.5528</v>
      </c>
      <c r="O3602" s="13" t="s">
        <v>30</v>
      </c>
      <c r="P3602" s="13">
        <v>58</v>
      </c>
      <c r="Q3602" s="13">
        <v>0</v>
      </c>
      <c r="R3602" s="70">
        <f>M3602*P3602</f>
        <v>1450</v>
      </c>
      <c r="S3602" s="70">
        <v>0</v>
      </c>
      <c r="T3602" s="70">
        <f>M3602*S3602</f>
        <v>0</v>
      </c>
      <c r="U3602" s="70">
        <f>R3602-T3602</f>
        <v>1450</v>
      </c>
      <c r="V3602" s="70">
        <f t="shared" ref="V3602" si="1615">U3602*0</f>
        <v>0</v>
      </c>
      <c r="W3602" s="70">
        <f t="shared" si="1614"/>
        <v>1450</v>
      </c>
      <c r="X3602" s="70">
        <v>0</v>
      </c>
      <c r="Y3602" s="14">
        <f t="shared" ref="Y3602" si="1616">T3602-X3602</f>
        <v>0</v>
      </c>
      <c r="Z3602" s="11" t="s">
        <v>26</v>
      </c>
      <c r="AA3602" s="12" t="s">
        <v>31</v>
      </c>
    </row>
    <row r="3603" spans="1:27" x14ac:dyDescent="0.25">
      <c r="A3603" s="10">
        <v>45713</v>
      </c>
      <c r="B3603" s="11" t="s">
        <v>6457</v>
      </c>
      <c r="C3603" s="11" t="s">
        <v>6458</v>
      </c>
      <c r="D3603" s="11">
        <v>18157</v>
      </c>
      <c r="E3603" s="11" t="s">
        <v>605</v>
      </c>
      <c r="F3603" s="11" t="s">
        <v>26</v>
      </c>
      <c r="G3603" s="11" t="s">
        <v>26</v>
      </c>
      <c r="H3603" s="12" t="s">
        <v>4422</v>
      </c>
      <c r="I3603" s="12" t="s">
        <v>27</v>
      </c>
      <c r="J3603" s="12" t="s">
        <v>42</v>
      </c>
      <c r="K3603" s="12" t="s">
        <v>43</v>
      </c>
      <c r="L3603" s="13">
        <v>44.62</v>
      </c>
      <c r="M3603" s="13">
        <v>25</v>
      </c>
      <c r="N3603" s="13">
        <f t="shared" si="1601"/>
        <v>1.7847999999999999</v>
      </c>
      <c r="O3603" s="13">
        <v>83</v>
      </c>
      <c r="P3603" s="13" t="s">
        <v>30</v>
      </c>
      <c r="Q3603" s="13">
        <v>0</v>
      </c>
      <c r="R3603" s="70">
        <f>L3603*O3603</f>
        <v>3703.4599999999996</v>
      </c>
      <c r="S3603" s="70">
        <v>38</v>
      </c>
      <c r="T3603" s="70">
        <f>L3603*S3603</f>
        <v>1695.56</v>
      </c>
      <c r="U3603" s="70">
        <f>R3603-T3603</f>
        <v>2007.8999999999996</v>
      </c>
      <c r="V3603" s="70">
        <f>U3603*1</f>
        <v>2007.8999999999996</v>
      </c>
      <c r="W3603" s="70">
        <f>U3603-V3603</f>
        <v>0</v>
      </c>
      <c r="X3603" s="70">
        <f>L3603*36</f>
        <v>1606.32</v>
      </c>
      <c r="Y3603" s="71">
        <f>+T3603-X3603</f>
        <v>89.240000000000009</v>
      </c>
      <c r="Z3603" s="12" t="s">
        <v>141</v>
      </c>
      <c r="AA3603" s="12" t="s">
        <v>78</v>
      </c>
    </row>
    <row r="3604" spans="1:27" x14ac:dyDescent="0.25">
      <c r="A3604" s="10">
        <v>45713</v>
      </c>
      <c r="B3604" s="11" t="s">
        <v>6459</v>
      </c>
      <c r="C3604" s="11" t="s">
        <v>6460</v>
      </c>
      <c r="D3604" s="11">
        <v>18158</v>
      </c>
      <c r="E3604" s="11" t="s">
        <v>63</v>
      </c>
      <c r="F3604" s="11" t="s">
        <v>26</v>
      </c>
      <c r="G3604" s="11" t="s">
        <v>26</v>
      </c>
      <c r="H3604" s="12" t="s">
        <v>4422</v>
      </c>
      <c r="I3604" s="12" t="s">
        <v>27</v>
      </c>
      <c r="J3604" s="12" t="s">
        <v>42</v>
      </c>
      <c r="K3604" s="12" t="s">
        <v>43</v>
      </c>
      <c r="L3604" s="13">
        <v>42.2</v>
      </c>
      <c r="M3604" s="13">
        <v>25</v>
      </c>
      <c r="N3604" s="13">
        <f t="shared" si="1601"/>
        <v>1.6880000000000002</v>
      </c>
      <c r="O3604" s="13">
        <v>83</v>
      </c>
      <c r="P3604" s="13" t="s">
        <v>30</v>
      </c>
      <c r="Q3604" s="13">
        <v>0</v>
      </c>
      <c r="R3604" s="70">
        <f>L3604*O3604</f>
        <v>3502.6000000000004</v>
      </c>
      <c r="S3604" s="70">
        <v>38</v>
      </c>
      <c r="T3604" s="70">
        <f>L3604*S3604</f>
        <v>1603.6000000000001</v>
      </c>
      <c r="U3604" s="70">
        <f>R3604-T3604</f>
        <v>1899.0000000000002</v>
      </c>
      <c r="V3604" s="70">
        <f>U3604*1</f>
        <v>1899.0000000000002</v>
      </c>
      <c r="W3604" s="70">
        <f>U3604-V3604</f>
        <v>0</v>
      </c>
      <c r="X3604" s="70">
        <f>L3604*36</f>
        <v>1519.2</v>
      </c>
      <c r="Y3604" s="71">
        <f>+T3604-X3604</f>
        <v>84.400000000000091</v>
      </c>
      <c r="Z3604" s="12" t="s">
        <v>140</v>
      </c>
      <c r="AA3604" s="12" t="s">
        <v>78</v>
      </c>
    </row>
    <row r="3605" spans="1:27" x14ac:dyDescent="0.25">
      <c r="A3605" s="10">
        <v>45713</v>
      </c>
      <c r="B3605" s="11" t="s">
        <v>5585</v>
      </c>
      <c r="C3605" s="11" t="s">
        <v>6461</v>
      </c>
      <c r="D3605" s="11">
        <v>18159</v>
      </c>
      <c r="E3605" s="11" t="s">
        <v>446</v>
      </c>
      <c r="F3605" s="11" t="s">
        <v>26</v>
      </c>
      <c r="G3605" s="11" t="s">
        <v>35</v>
      </c>
      <c r="H3605" s="12" t="s">
        <v>36</v>
      </c>
      <c r="I3605" s="12" t="s">
        <v>55</v>
      </c>
      <c r="J3605" s="12" t="s">
        <v>55</v>
      </c>
      <c r="K3605" s="12" t="s">
        <v>56</v>
      </c>
      <c r="L3605" s="13">
        <v>34.74</v>
      </c>
      <c r="M3605" s="13">
        <v>22</v>
      </c>
      <c r="N3605" s="13">
        <f t="shared" si="1601"/>
        <v>1.5790909090909091</v>
      </c>
      <c r="O3605" s="13">
        <v>20</v>
      </c>
      <c r="P3605" s="13" t="s">
        <v>30</v>
      </c>
      <c r="Q3605" s="13">
        <v>0</v>
      </c>
      <c r="R3605" s="70">
        <f>(L3605*O3605)-Q3605</f>
        <v>694.80000000000007</v>
      </c>
      <c r="S3605" s="70">
        <v>0</v>
      </c>
      <c r="T3605" s="70">
        <f t="shared" ref="T3605" si="1617">+L3605*S3605</f>
        <v>0</v>
      </c>
      <c r="U3605" s="70">
        <f t="shared" ref="U3605" si="1618">+R3605-T3605</f>
        <v>694.80000000000007</v>
      </c>
      <c r="V3605" s="70">
        <f t="shared" ref="V3605" si="1619">+U3605*0</f>
        <v>0</v>
      </c>
      <c r="W3605" s="70">
        <f t="shared" ref="W3605" si="1620">+U3605-V3605</f>
        <v>694.80000000000007</v>
      </c>
      <c r="X3605" s="70">
        <v>0</v>
      </c>
      <c r="Y3605" s="14">
        <f t="shared" ref="Y3605:Y3607" si="1621">T3605-X3605</f>
        <v>0</v>
      </c>
      <c r="Z3605" s="11" t="s">
        <v>26</v>
      </c>
      <c r="AA3605" s="12" t="s">
        <v>31</v>
      </c>
    </row>
    <row r="3606" spans="1:27" x14ac:dyDescent="0.25">
      <c r="A3606" s="10">
        <v>45713</v>
      </c>
      <c r="B3606" s="11" t="s">
        <v>249</v>
      </c>
      <c r="C3606" s="11" t="s">
        <v>6462</v>
      </c>
      <c r="D3606" s="11">
        <v>18160</v>
      </c>
      <c r="E3606" s="11" t="s">
        <v>461</v>
      </c>
      <c r="F3606" s="11" t="s">
        <v>26</v>
      </c>
      <c r="G3606" s="11">
        <v>58</v>
      </c>
      <c r="H3606" s="12" t="s">
        <v>4444</v>
      </c>
      <c r="I3606" s="12" t="s">
        <v>37</v>
      </c>
      <c r="J3606" s="12" t="s">
        <v>85</v>
      </c>
      <c r="K3606" s="12" t="s">
        <v>86</v>
      </c>
      <c r="L3606" s="13">
        <v>31.26</v>
      </c>
      <c r="M3606" s="13">
        <v>20</v>
      </c>
      <c r="N3606" s="13">
        <f t="shared" si="1601"/>
        <v>1.5630000000000002</v>
      </c>
      <c r="O3606" s="13">
        <v>30</v>
      </c>
      <c r="P3606" s="13" t="s">
        <v>30</v>
      </c>
      <c r="Q3606" s="13">
        <v>0</v>
      </c>
      <c r="R3606" s="70">
        <f>L3606*O3606</f>
        <v>937.80000000000007</v>
      </c>
      <c r="S3606" s="70">
        <v>0</v>
      </c>
      <c r="T3606" s="70">
        <f>L3606*S3606</f>
        <v>0</v>
      </c>
      <c r="U3606" s="70">
        <f>R3606-T3606</f>
        <v>937.80000000000007</v>
      </c>
      <c r="V3606" s="70">
        <f>U3606*0</f>
        <v>0</v>
      </c>
      <c r="W3606" s="70">
        <f>U3606-V3606</f>
        <v>937.80000000000007</v>
      </c>
      <c r="X3606" s="70">
        <v>0</v>
      </c>
      <c r="Y3606" s="14">
        <f t="shared" si="1621"/>
        <v>0</v>
      </c>
      <c r="Z3606" s="11" t="s">
        <v>26</v>
      </c>
      <c r="AA3606" s="12" t="s">
        <v>31</v>
      </c>
    </row>
    <row r="3607" spans="1:27" x14ac:dyDescent="0.25">
      <c r="A3607" s="10">
        <v>45713</v>
      </c>
      <c r="B3607" s="11" t="s">
        <v>1495</v>
      </c>
      <c r="C3607" s="11" t="s">
        <v>6463</v>
      </c>
      <c r="D3607" s="11">
        <v>18161</v>
      </c>
      <c r="E3607" s="11" t="s">
        <v>589</v>
      </c>
      <c r="F3607" s="11" t="s">
        <v>26</v>
      </c>
      <c r="G3607" s="11">
        <v>56939</v>
      </c>
      <c r="H3607" s="12" t="s">
        <v>4423</v>
      </c>
      <c r="I3607" s="12" t="s">
        <v>27</v>
      </c>
      <c r="J3607" s="12" t="s">
        <v>33</v>
      </c>
      <c r="K3607" s="12" t="s">
        <v>34</v>
      </c>
      <c r="L3607" s="13">
        <v>34.86</v>
      </c>
      <c r="M3607" s="13">
        <v>25</v>
      </c>
      <c r="N3607" s="13">
        <f t="shared" si="1601"/>
        <v>1.3944000000000001</v>
      </c>
      <c r="O3607" s="13">
        <v>45</v>
      </c>
      <c r="P3607" s="13" t="s">
        <v>30</v>
      </c>
      <c r="Q3607" s="13">
        <v>0</v>
      </c>
      <c r="R3607" s="70">
        <f>+L3607*O3607</f>
        <v>1568.7</v>
      </c>
      <c r="S3607" s="70">
        <v>0</v>
      </c>
      <c r="T3607" s="70">
        <f>+L3607*S3607</f>
        <v>0</v>
      </c>
      <c r="U3607" s="70">
        <f t="shared" ref="U3607" si="1622">+R3607-T3607</f>
        <v>1568.7</v>
      </c>
      <c r="V3607" s="70">
        <f>+U3607*1</f>
        <v>1568.7</v>
      </c>
      <c r="W3607" s="70">
        <f t="shared" ref="W3607" si="1623">+U3607-V3607</f>
        <v>0</v>
      </c>
      <c r="X3607" s="70">
        <v>0</v>
      </c>
      <c r="Y3607" s="14">
        <f t="shared" si="1621"/>
        <v>0</v>
      </c>
      <c r="Z3607" s="11" t="s">
        <v>26</v>
      </c>
      <c r="AA3607" s="12" t="s">
        <v>31</v>
      </c>
    </row>
    <row r="3608" spans="1:27" x14ac:dyDescent="0.25">
      <c r="A3608" s="10">
        <v>45713</v>
      </c>
      <c r="B3608" s="11" t="s">
        <v>6464</v>
      </c>
      <c r="C3608" s="11" t="s">
        <v>6465</v>
      </c>
      <c r="D3608" s="11">
        <v>18162</v>
      </c>
      <c r="E3608" s="11" t="s">
        <v>98</v>
      </c>
      <c r="F3608" s="11" t="s">
        <v>26</v>
      </c>
      <c r="G3608" s="11" t="s">
        <v>26</v>
      </c>
      <c r="H3608" s="12" t="s">
        <v>4422</v>
      </c>
      <c r="I3608" s="12" t="s">
        <v>27</v>
      </c>
      <c r="J3608" s="12" t="s">
        <v>42</v>
      </c>
      <c r="K3608" s="12" t="s">
        <v>43</v>
      </c>
      <c r="L3608" s="13">
        <v>42.04</v>
      </c>
      <c r="M3608" s="13">
        <v>25</v>
      </c>
      <c r="N3608" s="13">
        <f t="shared" si="1601"/>
        <v>1.6816</v>
      </c>
      <c r="O3608" s="13">
        <v>83</v>
      </c>
      <c r="P3608" s="13" t="s">
        <v>30</v>
      </c>
      <c r="Q3608" s="13">
        <v>0</v>
      </c>
      <c r="R3608" s="70">
        <f>L3608*O3608</f>
        <v>3489.3199999999997</v>
      </c>
      <c r="S3608" s="70">
        <v>38</v>
      </c>
      <c r="T3608" s="70">
        <f>L3608*S3608</f>
        <v>1597.52</v>
      </c>
      <c r="U3608" s="70">
        <f>R3608-T3608</f>
        <v>1891.7999999999997</v>
      </c>
      <c r="V3608" s="70">
        <f>U3608*1</f>
        <v>1891.7999999999997</v>
      </c>
      <c r="W3608" s="70">
        <f>U3608-V3608</f>
        <v>0</v>
      </c>
      <c r="X3608" s="70">
        <f>L3608*36</f>
        <v>1513.44</v>
      </c>
      <c r="Y3608" s="71">
        <f>+T3608-X3608</f>
        <v>84.079999999999927</v>
      </c>
      <c r="Z3608" s="12" t="s">
        <v>140</v>
      </c>
      <c r="AA3608" s="12" t="s">
        <v>78</v>
      </c>
    </row>
    <row r="3609" spans="1:27" x14ac:dyDescent="0.25">
      <c r="A3609" s="10">
        <v>45713</v>
      </c>
      <c r="B3609" s="11" t="s">
        <v>5339</v>
      </c>
      <c r="C3609" s="11" t="s">
        <v>6466</v>
      </c>
      <c r="D3609" s="11">
        <v>18163</v>
      </c>
      <c r="E3609" s="11" t="s">
        <v>240</v>
      </c>
      <c r="F3609" s="11" t="s">
        <v>26</v>
      </c>
      <c r="G3609" s="11" t="s">
        <v>26</v>
      </c>
      <c r="H3609" s="12" t="s">
        <v>4422</v>
      </c>
      <c r="I3609" s="12" t="s">
        <v>27</v>
      </c>
      <c r="J3609" s="12" t="s">
        <v>33</v>
      </c>
      <c r="K3609" s="12" t="s">
        <v>34</v>
      </c>
      <c r="L3609" s="13">
        <v>41.18</v>
      </c>
      <c r="M3609" s="13">
        <v>28</v>
      </c>
      <c r="N3609" s="13">
        <f t="shared" si="1601"/>
        <v>1.4707142857142856</v>
      </c>
      <c r="O3609" s="13">
        <v>85</v>
      </c>
      <c r="P3609" s="13" t="s">
        <v>30</v>
      </c>
      <c r="Q3609" s="13">
        <v>0</v>
      </c>
      <c r="R3609" s="70">
        <f t="shared" ref="R3609" si="1624">L3609*O3609</f>
        <v>3500.3</v>
      </c>
      <c r="S3609" s="70">
        <v>38</v>
      </c>
      <c r="T3609" s="70">
        <f t="shared" ref="T3609" si="1625">L3609*S3609</f>
        <v>1564.84</v>
      </c>
      <c r="U3609" s="70">
        <f t="shared" ref="U3609" si="1626">R3609-T3609</f>
        <v>1935.4600000000003</v>
      </c>
      <c r="V3609" s="70">
        <f>U3609*1</f>
        <v>1935.4600000000003</v>
      </c>
      <c r="W3609" s="70">
        <f t="shared" ref="W3609" si="1627">U3609-V3609</f>
        <v>0</v>
      </c>
      <c r="X3609" s="70">
        <f>L3609*37</f>
        <v>1523.66</v>
      </c>
      <c r="Y3609" s="71">
        <f>+T3609-X3609</f>
        <v>41.179999999999836</v>
      </c>
      <c r="Z3609" s="12" t="s">
        <v>41</v>
      </c>
      <c r="AA3609" s="12" t="s">
        <v>78</v>
      </c>
    </row>
    <row r="3610" spans="1:27" x14ac:dyDescent="0.25">
      <c r="A3610" s="10">
        <v>45713</v>
      </c>
      <c r="B3610" s="11" t="s">
        <v>749</v>
      </c>
      <c r="C3610" s="11" t="s">
        <v>6467</v>
      </c>
      <c r="D3610" s="11">
        <v>18164</v>
      </c>
      <c r="E3610" s="11" t="s">
        <v>435</v>
      </c>
      <c r="F3610" s="11" t="s">
        <v>26</v>
      </c>
      <c r="G3610" s="11">
        <v>2792</v>
      </c>
      <c r="H3610" s="12" t="s">
        <v>41</v>
      </c>
      <c r="I3610" s="12" t="s">
        <v>55</v>
      </c>
      <c r="J3610" s="12" t="s">
        <v>55</v>
      </c>
      <c r="K3610" s="12" t="s">
        <v>56</v>
      </c>
      <c r="L3610" s="13">
        <v>42.52</v>
      </c>
      <c r="M3610" s="13">
        <v>25</v>
      </c>
      <c r="N3610" s="13">
        <f t="shared" si="1601"/>
        <v>1.7008000000000001</v>
      </c>
      <c r="O3610" s="13" t="s">
        <v>30</v>
      </c>
      <c r="P3610" s="13">
        <v>24</v>
      </c>
      <c r="Q3610" s="13">
        <v>0</v>
      </c>
      <c r="R3610" s="70">
        <f>+M3610*P3610</f>
        <v>600</v>
      </c>
      <c r="S3610" s="70">
        <v>0</v>
      </c>
      <c r="T3610" s="70">
        <f>+M3610*S3610</f>
        <v>0</v>
      </c>
      <c r="U3610" s="70">
        <f t="shared" ref="U3610" si="1628">+R3610-T3610</f>
        <v>600</v>
      </c>
      <c r="V3610" s="70">
        <f>+U3610*0</f>
        <v>0</v>
      </c>
      <c r="W3610" s="70">
        <f t="shared" ref="W3610" si="1629">+U3610-V3610</f>
        <v>600</v>
      </c>
      <c r="X3610" s="70">
        <v>0</v>
      </c>
      <c r="Y3610" s="14">
        <f t="shared" ref="Y3610:Y3630" si="1630">T3610-X3610</f>
        <v>0</v>
      </c>
      <c r="Z3610" s="11" t="s">
        <v>26</v>
      </c>
      <c r="AA3610" s="12" t="s">
        <v>31</v>
      </c>
    </row>
    <row r="3611" spans="1:27" x14ac:dyDescent="0.25">
      <c r="A3611" s="10">
        <v>45713</v>
      </c>
      <c r="B3611" s="11" t="s">
        <v>6468</v>
      </c>
      <c r="C3611" s="11" t="s">
        <v>6469</v>
      </c>
      <c r="D3611" s="11">
        <v>18165</v>
      </c>
      <c r="E3611" s="11" t="s">
        <v>461</v>
      </c>
      <c r="F3611" s="11" t="s">
        <v>26</v>
      </c>
      <c r="G3611" s="11">
        <v>59</v>
      </c>
      <c r="H3611" s="12" t="s">
        <v>4444</v>
      </c>
      <c r="I3611" s="12" t="s">
        <v>37</v>
      </c>
      <c r="J3611" s="12" t="s">
        <v>85</v>
      </c>
      <c r="K3611" s="12" t="s">
        <v>86</v>
      </c>
      <c r="L3611" s="13">
        <v>33.159999999999997</v>
      </c>
      <c r="M3611" s="13">
        <v>21</v>
      </c>
      <c r="N3611" s="13">
        <f t="shared" si="1601"/>
        <v>1.5790476190476188</v>
      </c>
      <c r="O3611" s="13">
        <v>30</v>
      </c>
      <c r="P3611" s="13" t="s">
        <v>30</v>
      </c>
      <c r="Q3611" s="13">
        <v>0</v>
      </c>
      <c r="R3611" s="70">
        <f>L3611*O3611</f>
        <v>994.8</v>
      </c>
      <c r="S3611" s="70">
        <v>0</v>
      </c>
      <c r="T3611" s="70">
        <f>L3611*S3611</f>
        <v>0</v>
      </c>
      <c r="U3611" s="70">
        <f>R3611-T3611</f>
        <v>994.8</v>
      </c>
      <c r="V3611" s="70">
        <f>U3611*0</f>
        <v>0</v>
      </c>
      <c r="W3611" s="70">
        <f>U3611-V3611</f>
        <v>994.8</v>
      </c>
      <c r="X3611" s="70">
        <v>0</v>
      </c>
      <c r="Y3611" s="14">
        <f t="shared" si="1630"/>
        <v>0</v>
      </c>
      <c r="Z3611" s="11" t="s">
        <v>26</v>
      </c>
      <c r="AA3611" s="12" t="s">
        <v>31</v>
      </c>
    </row>
    <row r="3612" spans="1:27" x14ac:dyDescent="0.25">
      <c r="A3612" s="10">
        <v>45713</v>
      </c>
      <c r="B3612" s="11" t="s">
        <v>299</v>
      </c>
      <c r="C3612" s="11" t="s">
        <v>6470</v>
      </c>
      <c r="D3612" s="11">
        <v>18166</v>
      </c>
      <c r="E3612" s="11" t="s">
        <v>520</v>
      </c>
      <c r="F3612" s="11" t="s">
        <v>26</v>
      </c>
      <c r="G3612" s="11">
        <v>10456</v>
      </c>
      <c r="H3612" s="12" t="s">
        <v>140</v>
      </c>
      <c r="I3612" s="12" t="s">
        <v>27</v>
      </c>
      <c r="J3612" s="12" t="s">
        <v>33</v>
      </c>
      <c r="K3612" s="12" t="s">
        <v>34</v>
      </c>
      <c r="L3612" s="13">
        <v>42.54</v>
      </c>
      <c r="M3612" s="13">
        <v>29</v>
      </c>
      <c r="N3612" s="13">
        <f t="shared" si="1601"/>
        <v>1.4668965517241379</v>
      </c>
      <c r="O3612" s="13">
        <v>40</v>
      </c>
      <c r="P3612" s="13"/>
      <c r="Q3612" s="13">
        <v>0</v>
      </c>
      <c r="R3612" s="70">
        <f>+L3612*O3612</f>
        <v>1701.6</v>
      </c>
      <c r="S3612" s="70">
        <v>0</v>
      </c>
      <c r="T3612" s="70">
        <f>+L3612*S3612</f>
        <v>0</v>
      </c>
      <c r="U3612" s="70">
        <f>+R3612-T3612</f>
        <v>1701.6</v>
      </c>
      <c r="V3612" s="70">
        <f t="shared" ref="V3612" si="1631">+U3612*0</f>
        <v>0</v>
      </c>
      <c r="W3612" s="70">
        <f>+U3612-V3612</f>
        <v>1701.6</v>
      </c>
      <c r="X3612" s="70">
        <v>0</v>
      </c>
      <c r="Y3612" s="14">
        <f t="shared" si="1630"/>
        <v>0</v>
      </c>
      <c r="Z3612" s="11" t="s">
        <v>26</v>
      </c>
      <c r="AA3612" s="12" t="s">
        <v>31</v>
      </c>
    </row>
    <row r="3613" spans="1:27" x14ac:dyDescent="0.25">
      <c r="A3613" s="10">
        <v>45713</v>
      </c>
      <c r="B3613" s="11" t="s">
        <v>1917</v>
      </c>
      <c r="C3613" s="11" t="s">
        <v>6471</v>
      </c>
      <c r="D3613" s="11">
        <v>18167</v>
      </c>
      <c r="E3613" s="11" t="s">
        <v>593</v>
      </c>
      <c r="F3613" s="11" t="s">
        <v>26</v>
      </c>
      <c r="G3613" s="11">
        <v>44350</v>
      </c>
      <c r="H3613" s="12" t="s">
        <v>4423</v>
      </c>
      <c r="I3613" s="12" t="s">
        <v>27</v>
      </c>
      <c r="J3613" s="12" t="s">
        <v>47</v>
      </c>
      <c r="K3613" s="12" t="s">
        <v>48</v>
      </c>
      <c r="L3613" s="13">
        <v>36.159999999999997</v>
      </c>
      <c r="M3613" s="13">
        <v>25</v>
      </c>
      <c r="N3613" s="13">
        <f t="shared" si="1601"/>
        <v>1.4463999999999999</v>
      </c>
      <c r="O3613" s="13">
        <v>46</v>
      </c>
      <c r="P3613" s="13" t="s">
        <v>30</v>
      </c>
      <c r="Q3613" s="13">
        <v>0</v>
      </c>
      <c r="R3613" s="70">
        <f t="shared" ref="R3613" si="1632">+L3613*O3613</f>
        <v>1663.36</v>
      </c>
      <c r="S3613" s="70">
        <v>0</v>
      </c>
      <c r="T3613" s="70">
        <f t="shared" ref="T3613" si="1633">+L3613*S3613</f>
        <v>0</v>
      </c>
      <c r="U3613" s="70">
        <f t="shared" ref="U3613" si="1634">+R3613-T3613</f>
        <v>1663.36</v>
      </c>
      <c r="V3613" s="70">
        <f>+U3613*1</f>
        <v>1663.36</v>
      </c>
      <c r="W3613" s="70">
        <f t="shared" ref="W3613" si="1635">+U3613-V3613</f>
        <v>0</v>
      </c>
      <c r="X3613" s="70">
        <v>0</v>
      </c>
      <c r="Y3613" s="14">
        <f t="shared" si="1630"/>
        <v>0</v>
      </c>
      <c r="Z3613" s="11" t="s">
        <v>26</v>
      </c>
      <c r="AA3613" s="12" t="s">
        <v>31</v>
      </c>
    </row>
    <row r="3614" spans="1:27" x14ac:dyDescent="0.25">
      <c r="A3614" s="10">
        <v>45713</v>
      </c>
      <c r="B3614" s="11" t="s">
        <v>3334</v>
      </c>
      <c r="C3614" s="11" t="s">
        <v>6472</v>
      </c>
      <c r="D3614" s="11">
        <v>18168</v>
      </c>
      <c r="E3614" s="11" t="s">
        <v>230</v>
      </c>
      <c r="F3614" s="11" t="s">
        <v>26</v>
      </c>
      <c r="G3614" s="11">
        <v>26217</v>
      </c>
      <c r="H3614" s="12" t="s">
        <v>565</v>
      </c>
      <c r="I3614" s="12" t="s">
        <v>27</v>
      </c>
      <c r="J3614" s="12" t="s">
        <v>33</v>
      </c>
      <c r="K3614" s="12" t="s">
        <v>34</v>
      </c>
      <c r="L3614" s="13">
        <v>40.58</v>
      </c>
      <c r="M3614" s="13">
        <v>28</v>
      </c>
      <c r="N3614" s="13">
        <f t="shared" si="1601"/>
        <v>1.4492857142857143</v>
      </c>
      <c r="O3614" s="13"/>
      <c r="P3614" s="13">
        <v>60</v>
      </c>
      <c r="Q3614" s="13">
        <v>0</v>
      </c>
      <c r="R3614" s="70">
        <f>M3614*P3614</f>
        <v>1680</v>
      </c>
      <c r="S3614" s="70">
        <v>0</v>
      </c>
      <c r="T3614" s="70">
        <f>M3614*S3614</f>
        <v>0</v>
      </c>
      <c r="U3614" s="70">
        <f>R3614-T3614</f>
        <v>1680</v>
      </c>
      <c r="V3614" s="70">
        <f>U3614*0</f>
        <v>0</v>
      </c>
      <c r="W3614" s="70">
        <f>+U3614-V3614</f>
        <v>1680</v>
      </c>
      <c r="X3614" s="70">
        <v>0</v>
      </c>
      <c r="Y3614" s="14">
        <f t="shared" si="1630"/>
        <v>0</v>
      </c>
      <c r="Z3614" s="11" t="s">
        <v>26</v>
      </c>
      <c r="AA3614" s="12" t="s">
        <v>31</v>
      </c>
    </row>
    <row r="3615" spans="1:27" x14ac:dyDescent="0.25">
      <c r="A3615" s="10">
        <v>45713</v>
      </c>
      <c r="B3615" s="11" t="s">
        <v>1417</v>
      </c>
      <c r="C3615" s="11" t="s">
        <v>6473</v>
      </c>
      <c r="D3615" s="11">
        <v>18169</v>
      </c>
      <c r="E3615" s="11" t="s">
        <v>2126</v>
      </c>
      <c r="F3615" s="11" t="s">
        <v>26</v>
      </c>
      <c r="G3615" s="11">
        <v>112452</v>
      </c>
      <c r="H3615" s="12" t="s">
        <v>4446</v>
      </c>
      <c r="I3615" s="12" t="s">
        <v>27</v>
      </c>
      <c r="J3615" s="12" t="s">
        <v>33</v>
      </c>
      <c r="K3615" s="12" t="s">
        <v>34</v>
      </c>
      <c r="L3615" s="13">
        <v>35.299999999999997</v>
      </c>
      <c r="M3615" s="13">
        <v>25</v>
      </c>
      <c r="N3615" s="13">
        <f t="shared" si="1601"/>
        <v>1.4119999999999999</v>
      </c>
      <c r="O3615" s="13">
        <v>44</v>
      </c>
      <c r="P3615" s="13" t="s">
        <v>30</v>
      </c>
      <c r="Q3615" s="13">
        <v>0</v>
      </c>
      <c r="R3615" s="70">
        <f t="shared" ref="R3615" si="1636">+L3615*O3615</f>
        <v>1553.1999999999998</v>
      </c>
      <c r="S3615" s="70">
        <v>0</v>
      </c>
      <c r="T3615" s="70">
        <f>+L3615*S3615</f>
        <v>0</v>
      </c>
      <c r="U3615" s="70">
        <f>+R3615-T3615</f>
        <v>1553.1999999999998</v>
      </c>
      <c r="V3615" s="70">
        <f>+U3615*1</f>
        <v>1553.1999999999998</v>
      </c>
      <c r="W3615" s="70">
        <f>+U3615-V3615</f>
        <v>0</v>
      </c>
      <c r="X3615" s="70">
        <v>0</v>
      </c>
      <c r="Y3615" s="14">
        <f t="shared" si="1630"/>
        <v>0</v>
      </c>
      <c r="Z3615" s="11" t="s">
        <v>26</v>
      </c>
      <c r="AA3615" s="12" t="s">
        <v>31</v>
      </c>
    </row>
    <row r="3616" spans="1:27" x14ac:dyDescent="0.25">
      <c r="A3616" s="10">
        <v>45713</v>
      </c>
      <c r="B3616" s="11" t="s">
        <v>731</v>
      </c>
      <c r="C3616" s="11" t="s">
        <v>6474</v>
      </c>
      <c r="D3616" s="11">
        <v>18170</v>
      </c>
      <c r="E3616" s="11" t="s">
        <v>67</v>
      </c>
      <c r="F3616" s="11" t="s">
        <v>26</v>
      </c>
      <c r="G3616" s="11">
        <v>1650</v>
      </c>
      <c r="H3616" s="12" t="s">
        <v>66</v>
      </c>
      <c r="I3616" s="12" t="s">
        <v>37</v>
      </c>
      <c r="J3616" s="12" t="s">
        <v>1909</v>
      </c>
      <c r="K3616" s="12" t="s">
        <v>82</v>
      </c>
      <c r="L3616" s="13">
        <v>39.659999999999997</v>
      </c>
      <c r="M3616" s="13">
        <v>25</v>
      </c>
      <c r="N3616" s="13">
        <f t="shared" si="1601"/>
        <v>1.5863999999999998</v>
      </c>
      <c r="O3616" s="13" t="s">
        <v>30</v>
      </c>
      <c r="P3616" s="13">
        <v>54</v>
      </c>
      <c r="Q3616" s="13">
        <v>0</v>
      </c>
      <c r="R3616" s="70">
        <f>M3616*P3616</f>
        <v>1350</v>
      </c>
      <c r="S3616" s="70">
        <v>0</v>
      </c>
      <c r="T3616" s="70">
        <f>M3616*S3616</f>
        <v>0</v>
      </c>
      <c r="U3616" s="70">
        <f t="shared" ref="U3616" si="1637">R3616-T3616</f>
        <v>1350</v>
      </c>
      <c r="V3616" s="70">
        <f>U3616*1</f>
        <v>1350</v>
      </c>
      <c r="W3616" s="70">
        <f>U3616-V3616</f>
        <v>0</v>
      </c>
      <c r="X3616" s="70">
        <v>0</v>
      </c>
      <c r="Y3616" s="14">
        <f t="shared" si="1630"/>
        <v>0</v>
      </c>
      <c r="Z3616" s="11" t="s">
        <v>26</v>
      </c>
      <c r="AA3616" s="12" t="s">
        <v>31</v>
      </c>
    </row>
    <row r="3617" spans="1:27" x14ac:dyDescent="0.25">
      <c r="A3617" s="10">
        <v>45713</v>
      </c>
      <c r="B3617" s="11" t="s">
        <v>623</v>
      </c>
      <c r="C3617" s="11" t="s">
        <v>6475</v>
      </c>
      <c r="D3617" s="11">
        <v>18171</v>
      </c>
      <c r="E3617" s="11" t="s">
        <v>604</v>
      </c>
      <c r="F3617" s="11" t="s">
        <v>26</v>
      </c>
      <c r="G3617" s="11">
        <v>1122</v>
      </c>
      <c r="H3617" s="12" t="s">
        <v>141</v>
      </c>
      <c r="I3617" s="12" t="s">
        <v>37</v>
      </c>
      <c r="J3617" s="12" t="s">
        <v>85</v>
      </c>
      <c r="K3617" s="12" t="s">
        <v>86</v>
      </c>
      <c r="L3617" s="13">
        <v>38.56</v>
      </c>
      <c r="M3617" s="13">
        <v>25</v>
      </c>
      <c r="N3617" s="13">
        <f t="shared" si="1601"/>
        <v>1.5424</v>
      </c>
      <c r="O3617" s="13">
        <v>29</v>
      </c>
      <c r="P3617" s="13" t="s">
        <v>30</v>
      </c>
      <c r="Q3617" s="13">
        <v>0</v>
      </c>
      <c r="R3617" s="70">
        <f>L3617*O3617</f>
        <v>1118.24</v>
      </c>
      <c r="S3617" s="70">
        <v>0</v>
      </c>
      <c r="T3617" s="70">
        <f>L3617*S3617</f>
        <v>0</v>
      </c>
      <c r="U3617" s="70">
        <f>R3617-T3617</f>
        <v>1118.24</v>
      </c>
      <c r="V3617" s="70">
        <f>U3617*0</f>
        <v>0</v>
      </c>
      <c r="W3617" s="70">
        <f>U3617-V3617</f>
        <v>1118.24</v>
      </c>
      <c r="X3617" s="70">
        <v>0</v>
      </c>
      <c r="Y3617" s="14">
        <f t="shared" si="1630"/>
        <v>0</v>
      </c>
      <c r="Z3617" s="11" t="s">
        <v>26</v>
      </c>
      <c r="AA3617" s="12" t="s">
        <v>31</v>
      </c>
    </row>
    <row r="3618" spans="1:27" x14ac:dyDescent="0.25">
      <c r="A3618" s="10">
        <v>45713</v>
      </c>
      <c r="B3618" s="11" t="s">
        <v>375</v>
      </c>
      <c r="C3618" s="11" t="s">
        <v>6476</v>
      </c>
      <c r="D3618" s="11">
        <v>18172</v>
      </c>
      <c r="E3618" s="11" t="s">
        <v>461</v>
      </c>
      <c r="F3618" s="11" t="s">
        <v>26</v>
      </c>
      <c r="G3618" s="11">
        <v>60</v>
      </c>
      <c r="H3618" s="12" t="s">
        <v>4444</v>
      </c>
      <c r="I3618" s="12" t="s">
        <v>37</v>
      </c>
      <c r="J3618" s="12" t="s">
        <v>85</v>
      </c>
      <c r="K3618" s="12" t="s">
        <v>86</v>
      </c>
      <c r="L3618" s="13">
        <v>31.26</v>
      </c>
      <c r="M3618" s="13">
        <v>20</v>
      </c>
      <c r="N3618" s="13">
        <f t="shared" si="1601"/>
        <v>1.5630000000000002</v>
      </c>
      <c r="O3618" s="13">
        <v>30</v>
      </c>
      <c r="P3618" s="13" t="s">
        <v>30</v>
      </c>
      <c r="Q3618" s="13">
        <v>0</v>
      </c>
      <c r="R3618" s="70">
        <f>L3618*O3618</f>
        <v>937.80000000000007</v>
      </c>
      <c r="S3618" s="70">
        <v>0</v>
      </c>
      <c r="T3618" s="70">
        <f>L3618*S3618</f>
        <v>0</v>
      </c>
      <c r="U3618" s="70">
        <f>R3618-T3618</f>
        <v>937.80000000000007</v>
      </c>
      <c r="V3618" s="70">
        <f>U3618*0</f>
        <v>0</v>
      </c>
      <c r="W3618" s="70">
        <f>U3618-V3618</f>
        <v>937.80000000000007</v>
      </c>
      <c r="X3618" s="70">
        <v>0</v>
      </c>
      <c r="Y3618" s="14">
        <f t="shared" si="1630"/>
        <v>0</v>
      </c>
      <c r="Z3618" s="11" t="s">
        <v>26</v>
      </c>
      <c r="AA3618" s="12" t="s">
        <v>31</v>
      </c>
    </row>
    <row r="3619" spans="1:27" x14ac:dyDescent="0.25">
      <c r="A3619" s="10">
        <v>45713</v>
      </c>
      <c r="B3619" s="11" t="s">
        <v>6477</v>
      </c>
      <c r="C3619" s="11" t="s">
        <v>6478</v>
      </c>
      <c r="D3619" s="11">
        <v>18173</v>
      </c>
      <c r="E3619" s="11" t="s">
        <v>65</v>
      </c>
      <c r="F3619" s="11" t="s">
        <v>26</v>
      </c>
      <c r="G3619" s="11">
        <v>1716</v>
      </c>
      <c r="H3619" s="12" t="s">
        <v>66</v>
      </c>
      <c r="I3619" s="12" t="s">
        <v>37</v>
      </c>
      <c r="J3619" s="12" t="s">
        <v>1909</v>
      </c>
      <c r="K3619" s="12" t="s">
        <v>82</v>
      </c>
      <c r="L3619" s="13">
        <v>39.92</v>
      </c>
      <c r="M3619" s="13">
        <v>25</v>
      </c>
      <c r="N3619" s="13">
        <f t="shared" si="1601"/>
        <v>1.5968</v>
      </c>
      <c r="O3619" s="13" t="s">
        <v>30</v>
      </c>
      <c r="P3619" s="13">
        <v>54</v>
      </c>
      <c r="Q3619" s="13">
        <v>0</v>
      </c>
      <c r="R3619" s="70">
        <f>M3619*P3619</f>
        <v>1350</v>
      </c>
      <c r="S3619" s="70">
        <v>0</v>
      </c>
      <c r="T3619" s="70">
        <f>M3619*S3619</f>
        <v>0</v>
      </c>
      <c r="U3619" s="70">
        <f t="shared" ref="U3619" si="1638">R3619-T3619</f>
        <v>1350</v>
      </c>
      <c r="V3619" s="70">
        <f>U3619*1</f>
        <v>1350</v>
      </c>
      <c r="W3619" s="70">
        <f>U3619-V3619</f>
        <v>0</v>
      </c>
      <c r="X3619" s="70">
        <v>0</v>
      </c>
      <c r="Y3619" s="14">
        <f t="shared" si="1630"/>
        <v>0</v>
      </c>
      <c r="Z3619" s="11" t="s">
        <v>26</v>
      </c>
      <c r="AA3619" s="12" t="s">
        <v>31</v>
      </c>
    </row>
    <row r="3620" spans="1:27" x14ac:dyDescent="0.25">
      <c r="A3620" s="10">
        <v>45713</v>
      </c>
      <c r="B3620" s="11" t="s">
        <v>282</v>
      </c>
      <c r="C3620" s="11" t="s">
        <v>6479</v>
      </c>
      <c r="D3620" s="11">
        <v>18174</v>
      </c>
      <c r="E3620" s="11" t="s">
        <v>552</v>
      </c>
      <c r="F3620" s="11" t="s">
        <v>26</v>
      </c>
      <c r="G3620" s="11">
        <v>44183</v>
      </c>
      <c r="H3620" s="12" t="s">
        <v>4423</v>
      </c>
      <c r="I3620" s="12" t="s">
        <v>27</v>
      </c>
      <c r="J3620" s="12" t="s">
        <v>47</v>
      </c>
      <c r="K3620" s="12" t="s">
        <v>48</v>
      </c>
      <c r="L3620" s="13">
        <v>32.76</v>
      </c>
      <c r="M3620" s="13">
        <v>25</v>
      </c>
      <c r="N3620" s="13">
        <f t="shared" si="1601"/>
        <v>1.3104</v>
      </c>
      <c r="O3620" s="13">
        <v>46</v>
      </c>
      <c r="P3620" s="13" t="s">
        <v>30</v>
      </c>
      <c r="Q3620" s="13">
        <v>0</v>
      </c>
      <c r="R3620" s="70">
        <f t="shared" ref="R3620" si="1639">+L3620*O3620</f>
        <v>1506.9599999999998</v>
      </c>
      <c r="S3620" s="70">
        <v>0</v>
      </c>
      <c r="T3620" s="70">
        <f t="shared" ref="T3620" si="1640">+L3620*S3620</f>
        <v>0</v>
      </c>
      <c r="U3620" s="70">
        <f t="shared" ref="U3620" si="1641">+R3620-T3620</f>
        <v>1506.9599999999998</v>
      </c>
      <c r="V3620" s="70">
        <f>+U3620*1</f>
        <v>1506.9599999999998</v>
      </c>
      <c r="W3620" s="70">
        <f t="shared" ref="W3620" si="1642">+U3620-V3620</f>
        <v>0</v>
      </c>
      <c r="X3620" s="70">
        <v>0</v>
      </c>
      <c r="Y3620" s="14">
        <f t="shared" si="1630"/>
        <v>0</v>
      </c>
      <c r="Z3620" s="11" t="s">
        <v>26</v>
      </c>
      <c r="AA3620" s="12" t="s">
        <v>31</v>
      </c>
    </row>
    <row r="3621" spans="1:27" x14ac:dyDescent="0.25">
      <c r="A3621" s="10">
        <v>45713</v>
      </c>
      <c r="B3621" s="11" t="s">
        <v>5887</v>
      </c>
      <c r="C3621" s="11" t="s">
        <v>6480</v>
      </c>
      <c r="D3621" s="11">
        <v>18175</v>
      </c>
      <c r="E3621" s="11" t="s">
        <v>461</v>
      </c>
      <c r="F3621" s="11" t="s">
        <v>26</v>
      </c>
      <c r="G3621" s="11">
        <v>124</v>
      </c>
      <c r="H3621" s="12" t="s">
        <v>4444</v>
      </c>
      <c r="I3621" s="12" t="s">
        <v>37</v>
      </c>
      <c r="J3621" s="12" t="s">
        <v>85</v>
      </c>
      <c r="K3621" s="12" t="s">
        <v>86</v>
      </c>
      <c r="L3621" s="13">
        <v>31.16</v>
      </c>
      <c r="M3621" s="13">
        <v>20</v>
      </c>
      <c r="N3621" s="13">
        <f t="shared" si="1601"/>
        <v>1.5580000000000001</v>
      </c>
      <c r="O3621" s="13">
        <v>30</v>
      </c>
      <c r="P3621" s="13" t="s">
        <v>30</v>
      </c>
      <c r="Q3621" s="13">
        <v>0</v>
      </c>
      <c r="R3621" s="70">
        <f>L3621*O3621</f>
        <v>934.8</v>
      </c>
      <c r="S3621" s="70">
        <v>0</v>
      </c>
      <c r="T3621" s="70">
        <f>L3621*S3621</f>
        <v>0</v>
      </c>
      <c r="U3621" s="70">
        <f>R3621-T3621</f>
        <v>934.8</v>
      </c>
      <c r="V3621" s="70">
        <f>U3621*0</f>
        <v>0</v>
      </c>
      <c r="W3621" s="70">
        <f>U3621-V3621</f>
        <v>934.8</v>
      </c>
      <c r="X3621" s="70">
        <v>0</v>
      </c>
      <c r="Y3621" s="14">
        <f t="shared" si="1630"/>
        <v>0</v>
      </c>
      <c r="Z3621" s="11" t="s">
        <v>26</v>
      </c>
      <c r="AA3621" s="12" t="s">
        <v>31</v>
      </c>
    </row>
    <row r="3622" spans="1:27" x14ac:dyDescent="0.25">
      <c r="A3622" s="10">
        <v>45713</v>
      </c>
      <c r="B3622" s="11" t="s">
        <v>6026</v>
      </c>
      <c r="C3622" s="11" t="s">
        <v>6481</v>
      </c>
      <c r="D3622" s="11">
        <v>18176</v>
      </c>
      <c r="E3622" s="11" t="s">
        <v>605</v>
      </c>
      <c r="F3622" s="11" t="s">
        <v>26</v>
      </c>
      <c r="G3622" s="11">
        <v>1073</v>
      </c>
      <c r="H3622" s="12" t="s">
        <v>141</v>
      </c>
      <c r="I3622" s="12" t="s">
        <v>27</v>
      </c>
      <c r="J3622" s="12" t="s">
        <v>42</v>
      </c>
      <c r="K3622" s="12" t="s">
        <v>43</v>
      </c>
      <c r="L3622" s="13">
        <v>45.62</v>
      </c>
      <c r="M3622" s="13">
        <v>28</v>
      </c>
      <c r="N3622" s="13">
        <f t="shared" si="1601"/>
        <v>1.6292857142857142</v>
      </c>
      <c r="O3622" s="13">
        <v>40</v>
      </c>
      <c r="P3622" s="13" t="s">
        <v>30</v>
      </c>
      <c r="Q3622" s="13">
        <v>0</v>
      </c>
      <c r="R3622" s="70">
        <f>L3622*O3622</f>
        <v>1824.8</v>
      </c>
      <c r="S3622" s="70">
        <v>0</v>
      </c>
      <c r="T3622" s="70">
        <f>L3622*S3622</f>
        <v>0</v>
      </c>
      <c r="U3622" s="70">
        <f>R3622-T3622</f>
        <v>1824.8</v>
      </c>
      <c r="V3622" s="70">
        <f>U3622*0</f>
        <v>0</v>
      </c>
      <c r="W3622" s="70">
        <f>U3622-V3622</f>
        <v>1824.8</v>
      </c>
      <c r="X3622" s="70">
        <v>0</v>
      </c>
      <c r="Y3622" s="14">
        <f t="shared" si="1630"/>
        <v>0</v>
      </c>
      <c r="Z3622" s="11" t="s">
        <v>26</v>
      </c>
      <c r="AA3622" s="12" t="s">
        <v>31</v>
      </c>
    </row>
    <row r="3623" spans="1:27" x14ac:dyDescent="0.25">
      <c r="A3623" s="10">
        <v>45713</v>
      </c>
      <c r="B3623" s="11" t="s">
        <v>1889</v>
      </c>
      <c r="C3623" s="11" t="s">
        <v>6482</v>
      </c>
      <c r="D3623" s="11">
        <v>18177</v>
      </c>
      <c r="E3623" s="11" t="s">
        <v>184</v>
      </c>
      <c r="F3623" s="11" t="s">
        <v>26</v>
      </c>
      <c r="G3623" s="11">
        <v>1029</v>
      </c>
      <c r="H3623" s="12" t="s">
        <v>141</v>
      </c>
      <c r="I3623" s="12" t="s">
        <v>27</v>
      </c>
      <c r="J3623" s="12" t="s">
        <v>33</v>
      </c>
      <c r="K3623" s="12" t="s">
        <v>34</v>
      </c>
      <c r="L3623" s="13">
        <v>38.119999999999997</v>
      </c>
      <c r="M3623" s="13">
        <v>25</v>
      </c>
      <c r="N3623" s="13">
        <f t="shared" si="1601"/>
        <v>1.5247999999999999</v>
      </c>
      <c r="O3623" s="13">
        <v>40</v>
      </c>
      <c r="P3623" s="13" t="s">
        <v>30</v>
      </c>
      <c r="Q3623" s="13">
        <v>0</v>
      </c>
      <c r="R3623" s="70">
        <f>L3623*O3623</f>
        <v>1524.8</v>
      </c>
      <c r="S3623" s="70">
        <v>0</v>
      </c>
      <c r="T3623" s="70">
        <f>L3623*S3623</f>
        <v>0</v>
      </c>
      <c r="U3623" s="70">
        <f>R3623-T3623</f>
        <v>1524.8</v>
      </c>
      <c r="V3623" s="70">
        <f>U3623*0</f>
        <v>0</v>
      </c>
      <c r="W3623" s="70">
        <f>U3623-V3623</f>
        <v>1524.8</v>
      </c>
      <c r="X3623" s="70">
        <v>0</v>
      </c>
      <c r="Y3623" s="14">
        <f t="shared" si="1630"/>
        <v>0</v>
      </c>
      <c r="Z3623" s="11" t="s">
        <v>26</v>
      </c>
      <c r="AA3623" s="12" t="s">
        <v>31</v>
      </c>
    </row>
    <row r="3624" spans="1:27" x14ac:dyDescent="0.25">
      <c r="A3624" s="10">
        <v>45713</v>
      </c>
      <c r="B3624" s="11" t="s">
        <v>4394</v>
      </c>
      <c r="C3624" s="11" t="s">
        <v>6483</v>
      </c>
      <c r="D3624" s="11">
        <v>18178</v>
      </c>
      <c r="E3624" s="11" t="s">
        <v>50</v>
      </c>
      <c r="F3624" s="11" t="s">
        <v>26</v>
      </c>
      <c r="G3624" s="11">
        <v>769</v>
      </c>
      <c r="H3624" s="12" t="s">
        <v>163</v>
      </c>
      <c r="I3624" s="12" t="s">
        <v>27</v>
      </c>
      <c r="J3624" s="12" t="s">
        <v>42</v>
      </c>
      <c r="K3624" s="12" t="s">
        <v>43</v>
      </c>
      <c r="L3624" s="13">
        <v>41.36</v>
      </c>
      <c r="M3624" s="13">
        <v>25</v>
      </c>
      <c r="N3624" s="13">
        <f t="shared" si="1601"/>
        <v>1.6543999999999999</v>
      </c>
      <c r="O3624" s="13" t="s">
        <v>30</v>
      </c>
      <c r="P3624" s="13">
        <v>64</v>
      </c>
      <c r="Q3624" s="13">
        <v>0</v>
      </c>
      <c r="R3624" s="70">
        <f>M3624*P3624</f>
        <v>1600</v>
      </c>
      <c r="S3624" s="70">
        <v>0</v>
      </c>
      <c r="T3624" s="70">
        <f>M3624*S3624</f>
        <v>0</v>
      </c>
      <c r="U3624" s="70">
        <f>R3624-T3624</f>
        <v>1600</v>
      </c>
      <c r="V3624" s="70">
        <f t="shared" ref="V3624" si="1643">U3624*0</f>
        <v>0</v>
      </c>
      <c r="W3624" s="70">
        <f t="shared" ref="W3624" si="1644">U3624-V3624</f>
        <v>1600</v>
      </c>
      <c r="X3624" s="70">
        <v>0</v>
      </c>
      <c r="Y3624" s="14">
        <f t="shared" si="1630"/>
        <v>0</v>
      </c>
      <c r="Z3624" s="11" t="s">
        <v>26</v>
      </c>
      <c r="AA3624" s="12" t="s">
        <v>31</v>
      </c>
    </row>
    <row r="3625" spans="1:27" x14ac:dyDescent="0.25">
      <c r="A3625" s="10">
        <v>45713</v>
      </c>
      <c r="B3625" s="11" t="s">
        <v>382</v>
      </c>
      <c r="C3625" s="11" t="s">
        <v>6484</v>
      </c>
      <c r="D3625" s="11">
        <v>18179</v>
      </c>
      <c r="E3625" s="11" t="s">
        <v>60</v>
      </c>
      <c r="F3625" s="11" t="s">
        <v>26</v>
      </c>
      <c r="G3625" s="11" t="s">
        <v>35</v>
      </c>
      <c r="H3625" s="12" t="s">
        <v>36</v>
      </c>
      <c r="I3625" s="12" t="s">
        <v>27</v>
      </c>
      <c r="J3625" s="12" t="s">
        <v>28</v>
      </c>
      <c r="K3625" s="12" t="s">
        <v>29</v>
      </c>
      <c r="L3625" s="13">
        <v>4.3600000000000003</v>
      </c>
      <c r="M3625" s="13">
        <v>3</v>
      </c>
      <c r="N3625" s="13">
        <f t="shared" si="1601"/>
        <v>1.4533333333333334</v>
      </c>
      <c r="O3625" s="13">
        <v>32</v>
      </c>
      <c r="P3625" s="13" t="s">
        <v>30</v>
      </c>
      <c r="Q3625" s="13">
        <v>0</v>
      </c>
      <c r="R3625" s="70">
        <f>(L3625*O3625)-Q3625</f>
        <v>139.52000000000001</v>
      </c>
      <c r="S3625" s="70">
        <v>0</v>
      </c>
      <c r="T3625" s="70">
        <f t="shared" ref="T3625" si="1645">+L3625*S3625</f>
        <v>0</v>
      </c>
      <c r="U3625" s="70">
        <f t="shared" ref="U3625" si="1646">+R3625-T3625</f>
        <v>139.52000000000001</v>
      </c>
      <c r="V3625" s="70">
        <f>+U3625*0</f>
        <v>0</v>
      </c>
      <c r="W3625" s="70">
        <f t="shared" ref="W3625" si="1647">+U3625-V3625</f>
        <v>139.52000000000001</v>
      </c>
      <c r="X3625" s="70">
        <v>0</v>
      </c>
      <c r="Y3625" s="14">
        <f t="shared" si="1630"/>
        <v>0</v>
      </c>
      <c r="Z3625" s="11" t="s">
        <v>26</v>
      </c>
      <c r="AA3625" s="12" t="s">
        <v>31</v>
      </c>
    </row>
    <row r="3626" spans="1:27" x14ac:dyDescent="0.25">
      <c r="A3626" s="10">
        <v>45713</v>
      </c>
      <c r="B3626" s="11" t="s">
        <v>6485</v>
      </c>
      <c r="C3626" s="11" t="s">
        <v>6486</v>
      </c>
      <c r="D3626" s="11">
        <v>18180</v>
      </c>
      <c r="E3626" s="11" t="s">
        <v>81</v>
      </c>
      <c r="F3626" s="11" t="s">
        <v>26</v>
      </c>
      <c r="G3626" s="11">
        <v>1223</v>
      </c>
      <c r="H3626" s="12" t="s">
        <v>141</v>
      </c>
      <c r="I3626" s="12" t="s">
        <v>27</v>
      </c>
      <c r="J3626" s="12" t="s">
        <v>33</v>
      </c>
      <c r="K3626" s="12" t="s">
        <v>34</v>
      </c>
      <c r="L3626" s="13">
        <v>41.92</v>
      </c>
      <c r="M3626" s="13">
        <v>28</v>
      </c>
      <c r="N3626" s="13">
        <f t="shared" si="1601"/>
        <v>1.4971428571428571</v>
      </c>
      <c r="O3626" s="13">
        <v>40</v>
      </c>
      <c r="P3626" s="13" t="s">
        <v>30</v>
      </c>
      <c r="Q3626" s="13">
        <v>0</v>
      </c>
      <c r="R3626" s="70">
        <f>L3626*O3626</f>
        <v>1676.8000000000002</v>
      </c>
      <c r="S3626" s="70">
        <v>0</v>
      </c>
      <c r="T3626" s="70">
        <f>L3626*S3626</f>
        <v>0</v>
      </c>
      <c r="U3626" s="70">
        <f>R3626-T3626</f>
        <v>1676.8000000000002</v>
      </c>
      <c r="V3626" s="70">
        <f>U3626*0</f>
        <v>0</v>
      </c>
      <c r="W3626" s="70">
        <f>U3626-V3626</f>
        <v>1676.8000000000002</v>
      </c>
      <c r="X3626" s="70">
        <v>0</v>
      </c>
      <c r="Y3626" s="14">
        <f t="shared" si="1630"/>
        <v>0</v>
      </c>
      <c r="Z3626" s="11" t="s">
        <v>26</v>
      </c>
      <c r="AA3626" s="12" t="s">
        <v>31</v>
      </c>
    </row>
    <row r="3627" spans="1:27" x14ac:dyDescent="0.25">
      <c r="A3627" s="10">
        <v>45713</v>
      </c>
      <c r="B3627" s="11" t="s">
        <v>6487</v>
      </c>
      <c r="C3627" s="11" t="s">
        <v>6488</v>
      </c>
      <c r="D3627" s="11">
        <v>18181</v>
      </c>
      <c r="E3627" s="11" t="s">
        <v>461</v>
      </c>
      <c r="F3627" s="11" t="s">
        <v>26</v>
      </c>
      <c r="G3627" s="11">
        <v>126</v>
      </c>
      <c r="H3627" s="12" t="s">
        <v>4444</v>
      </c>
      <c r="I3627" s="12" t="s">
        <v>37</v>
      </c>
      <c r="J3627" s="12" t="s">
        <v>85</v>
      </c>
      <c r="K3627" s="12" t="s">
        <v>86</v>
      </c>
      <c r="L3627" s="13">
        <v>33.92</v>
      </c>
      <c r="M3627" s="13">
        <v>20</v>
      </c>
      <c r="N3627" s="13">
        <f t="shared" si="1601"/>
        <v>1.6960000000000002</v>
      </c>
      <c r="O3627" s="13">
        <v>30</v>
      </c>
      <c r="P3627" s="13" t="s">
        <v>30</v>
      </c>
      <c r="Q3627" s="13">
        <v>0</v>
      </c>
      <c r="R3627" s="70">
        <f>L3627*O3627</f>
        <v>1017.6</v>
      </c>
      <c r="S3627" s="70">
        <v>0</v>
      </c>
      <c r="T3627" s="70">
        <f>L3627*S3627</f>
        <v>0</v>
      </c>
      <c r="U3627" s="70">
        <f>R3627-T3627</f>
        <v>1017.6</v>
      </c>
      <c r="V3627" s="70">
        <f>U3627*0</f>
        <v>0</v>
      </c>
      <c r="W3627" s="70">
        <f>U3627-V3627</f>
        <v>1017.6</v>
      </c>
      <c r="X3627" s="70">
        <v>0</v>
      </c>
      <c r="Y3627" s="14">
        <f t="shared" si="1630"/>
        <v>0</v>
      </c>
      <c r="Z3627" s="11" t="s">
        <v>26</v>
      </c>
      <c r="AA3627" s="12" t="s">
        <v>31</v>
      </c>
    </row>
    <row r="3628" spans="1:27" x14ac:dyDescent="0.25">
      <c r="A3628" s="10">
        <v>45713</v>
      </c>
      <c r="B3628" s="11" t="s">
        <v>702</v>
      </c>
      <c r="C3628" s="11" t="s">
        <v>6489</v>
      </c>
      <c r="D3628" s="11">
        <v>18182</v>
      </c>
      <c r="E3628" s="11" t="s">
        <v>435</v>
      </c>
      <c r="F3628" s="11" t="s">
        <v>26</v>
      </c>
      <c r="G3628" s="11">
        <v>2793</v>
      </c>
      <c r="H3628" s="12" t="s">
        <v>41</v>
      </c>
      <c r="I3628" s="12" t="s">
        <v>55</v>
      </c>
      <c r="J3628" s="12" t="s">
        <v>55</v>
      </c>
      <c r="K3628" s="12" t="s">
        <v>56</v>
      </c>
      <c r="L3628" s="13">
        <v>40.86</v>
      </c>
      <c r="M3628" s="13">
        <v>25</v>
      </c>
      <c r="N3628" s="13">
        <f t="shared" si="1601"/>
        <v>1.6344000000000001</v>
      </c>
      <c r="O3628" s="13" t="s">
        <v>30</v>
      </c>
      <c r="P3628" s="13">
        <v>24</v>
      </c>
      <c r="Q3628" s="13">
        <v>0</v>
      </c>
      <c r="R3628" s="70">
        <f>+M3628*P3628</f>
        <v>600</v>
      </c>
      <c r="S3628" s="70">
        <v>0</v>
      </c>
      <c r="T3628" s="70">
        <f>+M3628*S3628</f>
        <v>0</v>
      </c>
      <c r="U3628" s="70">
        <f t="shared" ref="U3628" si="1648">+R3628-T3628</f>
        <v>600</v>
      </c>
      <c r="V3628" s="70">
        <f>+U3628*0</f>
        <v>0</v>
      </c>
      <c r="W3628" s="70">
        <f t="shared" ref="W3628" si="1649">+U3628-V3628</f>
        <v>600</v>
      </c>
      <c r="X3628" s="70">
        <v>0</v>
      </c>
      <c r="Y3628" s="14">
        <f t="shared" si="1630"/>
        <v>0</v>
      </c>
      <c r="Z3628" s="11" t="s">
        <v>26</v>
      </c>
      <c r="AA3628" s="12" t="s">
        <v>31</v>
      </c>
    </row>
    <row r="3629" spans="1:27" x14ac:dyDescent="0.25">
      <c r="A3629" s="10">
        <v>45713</v>
      </c>
      <c r="B3629" s="11" t="s">
        <v>6490</v>
      </c>
      <c r="C3629" s="11" t="s">
        <v>6491</v>
      </c>
      <c r="D3629" s="11">
        <v>18183</v>
      </c>
      <c r="E3629" s="11" t="s">
        <v>77</v>
      </c>
      <c r="F3629" s="11" t="s">
        <v>26</v>
      </c>
      <c r="G3629" s="11">
        <v>112461</v>
      </c>
      <c r="H3629" s="12" t="s">
        <v>4446</v>
      </c>
      <c r="I3629" s="12" t="s">
        <v>27</v>
      </c>
      <c r="J3629" s="12" t="s">
        <v>33</v>
      </c>
      <c r="K3629" s="12" t="s">
        <v>34</v>
      </c>
      <c r="L3629" s="13">
        <v>35.32</v>
      </c>
      <c r="M3629" s="13">
        <v>25</v>
      </c>
      <c r="N3629" s="13">
        <f t="shared" si="1601"/>
        <v>1.4128000000000001</v>
      </c>
      <c r="O3629" s="13">
        <v>44</v>
      </c>
      <c r="P3629" s="13" t="s">
        <v>30</v>
      </c>
      <c r="Q3629" s="13">
        <v>0</v>
      </c>
      <c r="R3629" s="70">
        <f t="shared" ref="R3629" si="1650">+L3629*O3629</f>
        <v>1554.08</v>
      </c>
      <c r="S3629" s="70">
        <v>0</v>
      </c>
      <c r="T3629" s="70">
        <f>+L3629*S3629</f>
        <v>0</v>
      </c>
      <c r="U3629" s="70">
        <f>+R3629-T3629</f>
        <v>1554.08</v>
      </c>
      <c r="V3629" s="70">
        <f>+U3629*1</f>
        <v>1554.08</v>
      </c>
      <c r="W3629" s="70">
        <f>+U3629-V3629</f>
        <v>0</v>
      </c>
      <c r="X3629" s="70">
        <v>0</v>
      </c>
      <c r="Y3629" s="14">
        <f t="shared" si="1630"/>
        <v>0</v>
      </c>
      <c r="Z3629" s="11" t="s">
        <v>26</v>
      </c>
      <c r="AA3629" s="12" t="s">
        <v>31</v>
      </c>
    </row>
    <row r="3630" spans="1:27" x14ac:dyDescent="0.25">
      <c r="A3630" s="10">
        <v>45713</v>
      </c>
      <c r="B3630" s="11" t="s">
        <v>6492</v>
      </c>
      <c r="C3630" s="11" t="s">
        <v>6493</v>
      </c>
      <c r="D3630" s="11">
        <v>18184</v>
      </c>
      <c r="E3630" s="11" t="s">
        <v>570</v>
      </c>
      <c r="F3630" s="11" t="s">
        <v>26</v>
      </c>
      <c r="G3630" s="11">
        <v>10773</v>
      </c>
      <c r="H3630" s="12" t="s">
        <v>140</v>
      </c>
      <c r="I3630" s="12" t="s">
        <v>27</v>
      </c>
      <c r="J3630" s="12" t="s">
        <v>47</v>
      </c>
      <c r="K3630" s="12" t="s">
        <v>48</v>
      </c>
      <c r="L3630" s="13">
        <v>42.36</v>
      </c>
      <c r="M3630" s="13">
        <v>29</v>
      </c>
      <c r="N3630" s="13">
        <f t="shared" si="1601"/>
        <v>1.4606896551724138</v>
      </c>
      <c r="O3630" s="13">
        <v>40</v>
      </c>
      <c r="P3630" s="13"/>
      <c r="Q3630" s="13">
        <v>0</v>
      </c>
      <c r="R3630" s="70">
        <f>+L3630*O3630</f>
        <v>1694.4</v>
      </c>
      <c r="S3630" s="70">
        <v>0</v>
      </c>
      <c r="T3630" s="70">
        <f>+L3630*S3630</f>
        <v>0</v>
      </c>
      <c r="U3630" s="70">
        <f>+R3630-T3630</f>
        <v>1694.4</v>
      </c>
      <c r="V3630" s="70">
        <f t="shared" ref="V3630" si="1651">+U3630*0</f>
        <v>0</v>
      </c>
      <c r="W3630" s="70">
        <f>+U3630-V3630</f>
        <v>1694.4</v>
      </c>
      <c r="X3630" s="70">
        <v>0</v>
      </c>
      <c r="Y3630" s="14">
        <f t="shared" si="1630"/>
        <v>0</v>
      </c>
      <c r="Z3630" s="11" t="s">
        <v>26</v>
      </c>
      <c r="AA3630" s="12" t="s">
        <v>31</v>
      </c>
    </row>
    <row r="3631" spans="1:27" x14ac:dyDescent="0.25">
      <c r="A3631" s="10">
        <v>45713</v>
      </c>
      <c r="B3631" s="11" t="s">
        <v>6494</v>
      </c>
      <c r="C3631" s="11" t="s">
        <v>6495</v>
      </c>
      <c r="D3631" s="11">
        <v>18185</v>
      </c>
      <c r="E3631" s="11" t="s">
        <v>240</v>
      </c>
      <c r="F3631" s="11" t="s">
        <v>26</v>
      </c>
      <c r="G3631" s="11" t="s">
        <v>26</v>
      </c>
      <c r="H3631" s="12" t="s">
        <v>146</v>
      </c>
      <c r="I3631" s="12" t="s">
        <v>27</v>
      </c>
      <c r="J3631" s="12" t="s">
        <v>33</v>
      </c>
      <c r="K3631" s="12" t="s">
        <v>34</v>
      </c>
      <c r="L3631" s="13">
        <v>42.8</v>
      </c>
      <c r="M3631" s="13">
        <v>29</v>
      </c>
      <c r="N3631" s="13">
        <f t="shared" si="1601"/>
        <v>1.4758620689655171</v>
      </c>
      <c r="O3631" s="13">
        <v>91</v>
      </c>
      <c r="P3631" s="13" t="s">
        <v>30</v>
      </c>
      <c r="Q3631" s="13">
        <v>0</v>
      </c>
      <c r="R3631" s="70">
        <f>+L3631*O3631</f>
        <v>3894.7999999999997</v>
      </c>
      <c r="S3631" s="70">
        <v>40</v>
      </c>
      <c r="T3631" s="70">
        <f>L3631*S3631</f>
        <v>1712</v>
      </c>
      <c r="U3631" s="70">
        <f t="shared" ref="U3631" si="1652">R3631-T3631</f>
        <v>2182.7999999999997</v>
      </c>
      <c r="V3631" s="70">
        <f>U3631*1</f>
        <v>2182.7999999999997</v>
      </c>
      <c r="W3631" s="70">
        <f t="shared" ref="W3631" si="1653">U3631-V3631</f>
        <v>0</v>
      </c>
      <c r="X3631" s="70">
        <f>L3631*37</f>
        <v>1583.6</v>
      </c>
      <c r="Y3631" s="71">
        <f>+T3631-X3631</f>
        <v>128.40000000000009</v>
      </c>
      <c r="Z3631" s="12" t="s">
        <v>41</v>
      </c>
      <c r="AA3631" s="12" t="s">
        <v>79</v>
      </c>
    </row>
    <row r="3632" spans="1:27" x14ac:dyDescent="0.25">
      <c r="A3632" s="10">
        <v>45713</v>
      </c>
      <c r="B3632" s="11" t="s">
        <v>6496</v>
      </c>
      <c r="C3632" s="11" t="s">
        <v>6497</v>
      </c>
      <c r="D3632" s="11">
        <v>18186</v>
      </c>
      <c r="E3632" s="11" t="s">
        <v>589</v>
      </c>
      <c r="F3632" s="11" t="s">
        <v>26</v>
      </c>
      <c r="G3632" s="11">
        <v>56940</v>
      </c>
      <c r="H3632" s="12" t="s">
        <v>4423</v>
      </c>
      <c r="I3632" s="12" t="s">
        <v>27</v>
      </c>
      <c r="J3632" s="12" t="s">
        <v>47</v>
      </c>
      <c r="K3632" s="12" t="s">
        <v>48</v>
      </c>
      <c r="L3632" s="13">
        <v>32.96</v>
      </c>
      <c r="M3632" s="13">
        <v>25</v>
      </c>
      <c r="N3632" s="13">
        <f t="shared" si="1601"/>
        <v>1.3184</v>
      </c>
      <c r="O3632" s="13">
        <v>46</v>
      </c>
      <c r="P3632" s="13" t="s">
        <v>30</v>
      </c>
      <c r="Q3632" s="13">
        <v>0</v>
      </c>
      <c r="R3632" s="70">
        <f t="shared" ref="R3632" si="1654">+L3632*O3632</f>
        <v>1516.16</v>
      </c>
      <c r="S3632" s="70">
        <v>0</v>
      </c>
      <c r="T3632" s="70">
        <f t="shared" ref="T3632" si="1655">+L3632*S3632</f>
        <v>0</v>
      </c>
      <c r="U3632" s="70">
        <f t="shared" ref="U3632" si="1656">+R3632-T3632</f>
        <v>1516.16</v>
      </c>
      <c r="V3632" s="70">
        <f>+U3632*1</f>
        <v>1516.16</v>
      </c>
      <c r="W3632" s="70">
        <f t="shared" ref="W3632" si="1657">+U3632-V3632</f>
        <v>0</v>
      </c>
      <c r="X3632" s="70">
        <v>0</v>
      </c>
      <c r="Y3632" s="14">
        <f t="shared" ref="Y3632:Y3653" si="1658">T3632-X3632</f>
        <v>0</v>
      </c>
      <c r="Z3632" s="11" t="s">
        <v>26</v>
      </c>
      <c r="AA3632" s="12" t="s">
        <v>31</v>
      </c>
    </row>
    <row r="3633" spans="1:27" x14ac:dyDescent="0.25">
      <c r="A3633" s="10">
        <v>45713</v>
      </c>
      <c r="B3633" s="11" t="s">
        <v>6498</v>
      </c>
      <c r="C3633" s="11" t="s">
        <v>6499</v>
      </c>
      <c r="D3633" s="11">
        <v>18187</v>
      </c>
      <c r="E3633" s="11" t="s">
        <v>501</v>
      </c>
      <c r="F3633" s="11" t="s">
        <v>26</v>
      </c>
      <c r="G3633" s="11">
        <v>824</v>
      </c>
      <c r="H3633" s="12" t="s">
        <v>141</v>
      </c>
      <c r="I3633" s="12" t="s">
        <v>27</v>
      </c>
      <c r="J3633" s="12" t="s">
        <v>42</v>
      </c>
      <c r="K3633" s="12" t="s">
        <v>43</v>
      </c>
      <c r="L3633" s="13">
        <v>43.8</v>
      </c>
      <c r="M3633" s="13">
        <v>25</v>
      </c>
      <c r="N3633" s="13">
        <f t="shared" si="1601"/>
        <v>1.7519999999999998</v>
      </c>
      <c r="O3633" s="13">
        <v>40</v>
      </c>
      <c r="P3633" s="13" t="s">
        <v>30</v>
      </c>
      <c r="Q3633" s="13">
        <v>0</v>
      </c>
      <c r="R3633" s="70">
        <f>L3633*O3633</f>
        <v>1752</v>
      </c>
      <c r="S3633" s="70">
        <v>0</v>
      </c>
      <c r="T3633" s="70">
        <f>L3633*S3633</f>
        <v>0</v>
      </c>
      <c r="U3633" s="70">
        <f>R3633-T3633</f>
        <v>1752</v>
      </c>
      <c r="V3633" s="70">
        <f>U3633*0</f>
        <v>0</v>
      </c>
      <c r="W3633" s="70">
        <f>U3633-V3633</f>
        <v>1752</v>
      </c>
      <c r="X3633" s="70">
        <v>0</v>
      </c>
      <c r="Y3633" s="14">
        <f t="shared" si="1658"/>
        <v>0</v>
      </c>
      <c r="Z3633" s="11" t="s">
        <v>26</v>
      </c>
      <c r="AA3633" s="12" t="s">
        <v>31</v>
      </c>
    </row>
    <row r="3634" spans="1:27" x14ac:dyDescent="0.25">
      <c r="A3634" s="10">
        <v>45713</v>
      </c>
      <c r="B3634" s="11" t="s">
        <v>6500</v>
      </c>
      <c r="C3634" s="11" t="s">
        <v>6501</v>
      </c>
      <c r="D3634" s="11">
        <v>18189</v>
      </c>
      <c r="E3634" s="11" t="s">
        <v>57</v>
      </c>
      <c r="F3634" s="11" t="s">
        <v>26</v>
      </c>
      <c r="G3634" s="11">
        <v>3323</v>
      </c>
      <c r="H3634" s="12" t="s">
        <v>41</v>
      </c>
      <c r="I3634" s="12" t="s">
        <v>55</v>
      </c>
      <c r="J3634" s="12" t="s">
        <v>55</v>
      </c>
      <c r="K3634" s="12" t="s">
        <v>56</v>
      </c>
      <c r="L3634" s="13">
        <v>40.42</v>
      </c>
      <c r="M3634" s="13">
        <v>25</v>
      </c>
      <c r="N3634" s="13">
        <f t="shared" si="1601"/>
        <v>1.6168</v>
      </c>
      <c r="O3634" s="13" t="s">
        <v>30</v>
      </c>
      <c r="P3634" s="13">
        <v>24</v>
      </c>
      <c r="Q3634" s="13">
        <v>0</v>
      </c>
      <c r="R3634" s="70">
        <f>+M3634*P3634</f>
        <v>600</v>
      </c>
      <c r="S3634" s="70">
        <v>0</v>
      </c>
      <c r="T3634" s="70">
        <f>+M3634*S3634</f>
        <v>0</v>
      </c>
      <c r="U3634" s="70">
        <f t="shared" ref="U3634:U3636" si="1659">+R3634-T3634</f>
        <v>600</v>
      </c>
      <c r="V3634" s="70">
        <f>+U3634*0</f>
        <v>0</v>
      </c>
      <c r="W3634" s="70">
        <f t="shared" ref="W3634:W3636" si="1660">+U3634-V3634</f>
        <v>600</v>
      </c>
      <c r="X3634" s="70">
        <v>0</v>
      </c>
      <c r="Y3634" s="14">
        <f t="shared" si="1658"/>
        <v>0</v>
      </c>
      <c r="Z3634" s="11" t="s">
        <v>26</v>
      </c>
      <c r="AA3634" s="12" t="s">
        <v>31</v>
      </c>
    </row>
    <row r="3635" spans="1:27" x14ac:dyDescent="0.25">
      <c r="A3635" s="10">
        <v>45713</v>
      </c>
      <c r="B3635" s="11" t="s">
        <v>6502</v>
      </c>
      <c r="C3635" s="11" t="s">
        <v>6503</v>
      </c>
      <c r="D3635" s="11">
        <v>18190</v>
      </c>
      <c r="E3635" s="11" t="s">
        <v>74</v>
      </c>
      <c r="F3635" s="11" t="s">
        <v>26</v>
      </c>
      <c r="G3635" s="11">
        <v>1343</v>
      </c>
      <c r="H3635" s="12" t="s">
        <v>70</v>
      </c>
      <c r="I3635" s="12" t="s">
        <v>27</v>
      </c>
      <c r="J3635" s="12" t="s">
        <v>33</v>
      </c>
      <c r="K3635" s="12" t="s">
        <v>34</v>
      </c>
      <c r="L3635" s="13">
        <v>37.479999999999997</v>
      </c>
      <c r="M3635" s="13">
        <v>25</v>
      </c>
      <c r="N3635" s="13">
        <f t="shared" si="1601"/>
        <v>1.4991999999999999</v>
      </c>
      <c r="O3635" s="13" t="s">
        <v>30</v>
      </c>
      <c r="P3635" s="13">
        <v>60</v>
      </c>
      <c r="Q3635" s="13">
        <v>0</v>
      </c>
      <c r="R3635" s="70">
        <f>+M3635*P3635</f>
        <v>1500</v>
      </c>
      <c r="S3635" s="70">
        <v>0</v>
      </c>
      <c r="T3635" s="70">
        <f>+M3635*S3635</f>
        <v>0</v>
      </c>
      <c r="U3635" s="70">
        <f t="shared" si="1659"/>
        <v>1500</v>
      </c>
      <c r="V3635" s="70">
        <f>+U3635*0</f>
        <v>0</v>
      </c>
      <c r="W3635" s="70">
        <f t="shared" si="1660"/>
        <v>1500</v>
      </c>
      <c r="X3635" s="70">
        <v>0</v>
      </c>
      <c r="Y3635" s="14">
        <f t="shared" si="1658"/>
        <v>0</v>
      </c>
      <c r="Z3635" s="11" t="s">
        <v>26</v>
      </c>
      <c r="AA3635" s="12" t="s">
        <v>31</v>
      </c>
    </row>
    <row r="3636" spans="1:27" x14ac:dyDescent="0.25">
      <c r="A3636" s="10">
        <v>45713</v>
      </c>
      <c r="B3636" s="11" t="s">
        <v>6504</v>
      </c>
      <c r="C3636" s="11" t="s">
        <v>6505</v>
      </c>
      <c r="D3636" s="11">
        <v>18191</v>
      </c>
      <c r="E3636" s="11" t="s">
        <v>539</v>
      </c>
      <c r="F3636" s="11" t="s">
        <v>26</v>
      </c>
      <c r="G3636" s="11">
        <v>3375</v>
      </c>
      <c r="H3636" s="12" t="s">
        <v>41</v>
      </c>
      <c r="I3636" s="12" t="s">
        <v>55</v>
      </c>
      <c r="J3636" s="12" t="s">
        <v>55</v>
      </c>
      <c r="K3636" s="12" t="s">
        <v>56</v>
      </c>
      <c r="L3636" s="13">
        <v>40.82</v>
      </c>
      <c r="M3636" s="13">
        <v>25</v>
      </c>
      <c r="N3636" s="13">
        <f t="shared" si="1601"/>
        <v>1.6328</v>
      </c>
      <c r="O3636" s="13" t="s">
        <v>30</v>
      </c>
      <c r="P3636" s="13">
        <v>24</v>
      </c>
      <c r="Q3636" s="13">
        <v>0</v>
      </c>
      <c r="R3636" s="70">
        <f>+M3636*P3636</f>
        <v>600</v>
      </c>
      <c r="S3636" s="70">
        <v>0</v>
      </c>
      <c r="T3636" s="70">
        <f>+M3636*S3636</f>
        <v>0</v>
      </c>
      <c r="U3636" s="70">
        <f t="shared" si="1659"/>
        <v>600</v>
      </c>
      <c r="V3636" s="70">
        <f>+U3636*0</f>
        <v>0</v>
      </c>
      <c r="W3636" s="70">
        <f t="shared" si="1660"/>
        <v>600</v>
      </c>
      <c r="X3636" s="70">
        <v>0</v>
      </c>
      <c r="Y3636" s="14">
        <f t="shared" si="1658"/>
        <v>0</v>
      </c>
      <c r="Z3636" s="11" t="s">
        <v>26</v>
      </c>
      <c r="AA3636" s="12" t="s">
        <v>31</v>
      </c>
    </row>
    <row r="3637" spans="1:27" x14ac:dyDescent="0.25">
      <c r="A3637" s="10">
        <v>45713</v>
      </c>
      <c r="B3637" s="11" t="s">
        <v>357</v>
      </c>
      <c r="C3637" s="11" t="s">
        <v>6506</v>
      </c>
      <c r="D3637" s="11">
        <v>18192</v>
      </c>
      <c r="E3637" s="11" t="s">
        <v>461</v>
      </c>
      <c r="F3637" s="11" t="s">
        <v>26</v>
      </c>
      <c r="G3637" s="11">
        <v>127</v>
      </c>
      <c r="H3637" s="12" t="s">
        <v>4444</v>
      </c>
      <c r="I3637" s="12" t="s">
        <v>37</v>
      </c>
      <c r="J3637" s="12" t="s">
        <v>85</v>
      </c>
      <c r="K3637" s="12" t="s">
        <v>86</v>
      </c>
      <c r="L3637" s="13">
        <v>31.7</v>
      </c>
      <c r="M3637" s="13">
        <v>20</v>
      </c>
      <c r="N3637" s="13">
        <f t="shared" si="1601"/>
        <v>1.585</v>
      </c>
      <c r="O3637" s="13">
        <v>30</v>
      </c>
      <c r="P3637" s="13" t="s">
        <v>30</v>
      </c>
      <c r="Q3637" s="13">
        <v>0</v>
      </c>
      <c r="R3637" s="70">
        <f>L3637*O3637</f>
        <v>951</v>
      </c>
      <c r="S3637" s="70">
        <v>0</v>
      </c>
      <c r="T3637" s="70">
        <f>L3637*S3637</f>
        <v>0</v>
      </c>
      <c r="U3637" s="70">
        <f>R3637-T3637</f>
        <v>951</v>
      </c>
      <c r="V3637" s="70">
        <f>U3637*0</f>
        <v>0</v>
      </c>
      <c r="W3637" s="70">
        <f>U3637-V3637</f>
        <v>951</v>
      </c>
      <c r="X3637" s="70">
        <v>0</v>
      </c>
      <c r="Y3637" s="14">
        <f t="shared" si="1658"/>
        <v>0</v>
      </c>
      <c r="Z3637" s="11" t="s">
        <v>26</v>
      </c>
      <c r="AA3637" s="12" t="s">
        <v>31</v>
      </c>
    </row>
    <row r="3638" spans="1:27" x14ac:dyDescent="0.25">
      <c r="A3638" s="10">
        <v>45713</v>
      </c>
      <c r="B3638" s="11" t="s">
        <v>4046</v>
      </c>
      <c r="C3638" s="11" t="s">
        <v>6507</v>
      </c>
      <c r="D3638" s="11">
        <v>18193</v>
      </c>
      <c r="E3638" s="11" t="s">
        <v>246</v>
      </c>
      <c r="F3638" s="11" t="s">
        <v>26</v>
      </c>
      <c r="G3638" s="11">
        <v>3428</v>
      </c>
      <c r="H3638" s="12" t="s">
        <v>41</v>
      </c>
      <c r="I3638" s="12" t="s">
        <v>55</v>
      </c>
      <c r="J3638" s="12" t="s">
        <v>566</v>
      </c>
      <c r="K3638" s="12" t="s">
        <v>550</v>
      </c>
      <c r="L3638" s="13">
        <v>39.86</v>
      </c>
      <c r="M3638" s="13">
        <v>24</v>
      </c>
      <c r="N3638" s="13">
        <f t="shared" si="1601"/>
        <v>1.6608333333333334</v>
      </c>
      <c r="O3638" s="13">
        <v>25</v>
      </c>
      <c r="P3638" s="13"/>
      <c r="Q3638" s="13">
        <v>0</v>
      </c>
      <c r="R3638" s="70">
        <f>L3638*O3638</f>
        <v>996.5</v>
      </c>
      <c r="S3638" s="70">
        <v>0</v>
      </c>
      <c r="T3638" s="70">
        <f t="shared" ref="T3638" si="1661">L3638*S3638</f>
        <v>0</v>
      </c>
      <c r="U3638" s="70">
        <f>R3638-T3638</f>
        <v>996.5</v>
      </c>
      <c r="V3638" s="70">
        <f>U3638*0</f>
        <v>0</v>
      </c>
      <c r="W3638" s="70">
        <f>U3638-V3638</f>
        <v>996.5</v>
      </c>
      <c r="X3638" s="70">
        <v>0</v>
      </c>
      <c r="Y3638" s="14">
        <f t="shared" si="1658"/>
        <v>0</v>
      </c>
      <c r="Z3638" s="11" t="s">
        <v>26</v>
      </c>
      <c r="AA3638" s="12" t="s">
        <v>31</v>
      </c>
    </row>
    <row r="3639" spans="1:27" x14ac:dyDescent="0.25">
      <c r="A3639" s="10">
        <v>45713</v>
      </c>
      <c r="B3639" s="11" t="s">
        <v>6508</v>
      </c>
      <c r="C3639" s="11" t="s">
        <v>6509</v>
      </c>
      <c r="D3639" s="11">
        <v>18194</v>
      </c>
      <c r="E3639" s="11" t="s">
        <v>230</v>
      </c>
      <c r="F3639" s="11" t="s">
        <v>26</v>
      </c>
      <c r="G3639" s="11">
        <v>26218</v>
      </c>
      <c r="H3639" s="12" t="s">
        <v>565</v>
      </c>
      <c r="I3639" s="12" t="s">
        <v>27</v>
      </c>
      <c r="J3639" s="12" t="s">
        <v>42</v>
      </c>
      <c r="K3639" s="12" t="s">
        <v>43</v>
      </c>
      <c r="L3639" s="13">
        <v>41.78</v>
      </c>
      <c r="M3639" s="13">
        <v>25</v>
      </c>
      <c r="N3639" s="13">
        <f t="shared" si="1601"/>
        <v>1.6712</v>
      </c>
      <c r="O3639" s="13"/>
      <c r="P3639" s="13">
        <v>64</v>
      </c>
      <c r="Q3639" s="13">
        <v>0</v>
      </c>
      <c r="R3639" s="70">
        <f>M3639*P3639</f>
        <v>1600</v>
      </c>
      <c r="S3639" s="70">
        <v>0</v>
      </c>
      <c r="T3639" s="70">
        <f>M3639*S3639</f>
        <v>0</v>
      </c>
      <c r="U3639" s="70">
        <f>R3639-T3639</f>
        <v>1600</v>
      </c>
      <c r="V3639" s="70">
        <f>U3639*0</f>
        <v>0</v>
      </c>
      <c r="W3639" s="70">
        <f>+U3639-V3639</f>
        <v>1600</v>
      </c>
      <c r="X3639" s="70">
        <v>0</v>
      </c>
      <c r="Y3639" s="14">
        <f t="shared" si="1658"/>
        <v>0</v>
      </c>
      <c r="Z3639" s="11" t="s">
        <v>26</v>
      </c>
      <c r="AA3639" s="12" t="s">
        <v>31</v>
      </c>
    </row>
    <row r="3640" spans="1:27" x14ac:dyDescent="0.25">
      <c r="A3640" s="10">
        <v>45713</v>
      </c>
      <c r="B3640" s="11" t="s">
        <v>2556</v>
      </c>
      <c r="C3640" s="11" t="s">
        <v>6510</v>
      </c>
      <c r="D3640" s="11">
        <v>18195</v>
      </c>
      <c r="E3640" s="11" t="s">
        <v>593</v>
      </c>
      <c r="F3640" s="11" t="s">
        <v>26</v>
      </c>
      <c r="G3640" s="11">
        <v>56551</v>
      </c>
      <c r="H3640" s="12" t="s">
        <v>4423</v>
      </c>
      <c r="I3640" s="12" t="s">
        <v>27</v>
      </c>
      <c r="J3640" s="12" t="s">
        <v>33</v>
      </c>
      <c r="K3640" s="12" t="s">
        <v>34</v>
      </c>
      <c r="L3640" s="13">
        <v>35.200000000000003</v>
      </c>
      <c r="M3640" s="13">
        <v>25</v>
      </c>
      <c r="N3640" s="13">
        <f t="shared" si="1601"/>
        <v>1.4080000000000001</v>
      </c>
      <c r="O3640" s="13">
        <v>45</v>
      </c>
      <c r="P3640" s="13" t="s">
        <v>30</v>
      </c>
      <c r="Q3640" s="13">
        <v>0</v>
      </c>
      <c r="R3640" s="70">
        <f>+L3640*O3640</f>
        <v>1584.0000000000002</v>
      </c>
      <c r="S3640" s="70">
        <v>0</v>
      </c>
      <c r="T3640" s="70">
        <f>+L3640*S3640</f>
        <v>0</v>
      </c>
      <c r="U3640" s="70">
        <f t="shared" ref="U3640" si="1662">+R3640-T3640</f>
        <v>1584.0000000000002</v>
      </c>
      <c r="V3640" s="70">
        <f>+U3640*1</f>
        <v>1584.0000000000002</v>
      </c>
      <c r="W3640" s="70">
        <f t="shared" ref="W3640" si="1663">+U3640-V3640</f>
        <v>0</v>
      </c>
      <c r="X3640" s="70">
        <v>0</v>
      </c>
      <c r="Y3640" s="14">
        <f t="shared" si="1658"/>
        <v>0</v>
      </c>
      <c r="Z3640" s="11" t="s">
        <v>26</v>
      </c>
      <c r="AA3640" s="12" t="s">
        <v>31</v>
      </c>
    </row>
    <row r="3641" spans="1:27" x14ac:dyDescent="0.25">
      <c r="A3641" s="10">
        <v>45713</v>
      </c>
      <c r="B3641" s="11" t="s">
        <v>6511</v>
      </c>
      <c r="C3641" s="11" t="s">
        <v>6512</v>
      </c>
      <c r="D3641" s="11">
        <v>18196</v>
      </c>
      <c r="E3641" s="11" t="s">
        <v>604</v>
      </c>
      <c r="F3641" s="11" t="s">
        <v>26</v>
      </c>
      <c r="G3641" s="11">
        <v>1123</v>
      </c>
      <c r="H3641" s="12" t="s">
        <v>141</v>
      </c>
      <c r="I3641" s="12" t="s">
        <v>27</v>
      </c>
      <c r="J3641" s="12" t="s">
        <v>33</v>
      </c>
      <c r="K3641" s="12" t="s">
        <v>34</v>
      </c>
      <c r="L3641" s="13">
        <v>39.1</v>
      </c>
      <c r="M3641" s="13">
        <v>27</v>
      </c>
      <c r="N3641" s="13">
        <f t="shared" si="1601"/>
        <v>1.4481481481481482</v>
      </c>
      <c r="O3641" s="13">
        <v>40</v>
      </c>
      <c r="P3641" s="13" t="s">
        <v>30</v>
      </c>
      <c r="Q3641" s="13">
        <v>0</v>
      </c>
      <c r="R3641" s="70">
        <f>L3641*O3641</f>
        <v>1564</v>
      </c>
      <c r="S3641" s="70">
        <v>0</v>
      </c>
      <c r="T3641" s="70">
        <f>L3641*S3641</f>
        <v>0</v>
      </c>
      <c r="U3641" s="70">
        <f>R3641-T3641</f>
        <v>1564</v>
      </c>
      <c r="V3641" s="70">
        <f>U3641*0</f>
        <v>0</v>
      </c>
      <c r="W3641" s="70">
        <f>U3641-V3641</f>
        <v>1564</v>
      </c>
      <c r="X3641" s="70">
        <v>0</v>
      </c>
      <c r="Y3641" s="14">
        <f t="shared" si="1658"/>
        <v>0</v>
      </c>
      <c r="Z3641" s="11" t="s">
        <v>26</v>
      </c>
      <c r="AA3641" s="12" t="s">
        <v>31</v>
      </c>
    </row>
    <row r="3642" spans="1:27" x14ac:dyDescent="0.25">
      <c r="A3642" s="10">
        <v>45713</v>
      </c>
      <c r="B3642" s="11" t="s">
        <v>6362</v>
      </c>
      <c r="C3642" s="11" t="s">
        <v>6513</v>
      </c>
      <c r="D3642" s="11">
        <v>18197</v>
      </c>
      <c r="E3642" s="11" t="s">
        <v>461</v>
      </c>
      <c r="F3642" s="11" t="s">
        <v>26</v>
      </c>
      <c r="G3642" s="11">
        <v>129</v>
      </c>
      <c r="H3642" s="12" t="s">
        <v>4444</v>
      </c>
      <c r="I3642" s="12" t="s">
        <v>37</v>
      </c>
      <c r="J3642" s="12" t="s">
        <v>85</v>
      </c>
      <c r="K3642" s="12" t="s">
        <v>86</v>
      </c>
      <c r="L3642" s="13">
        <v>31.56</v>
      </c>
      <c r="M3642" s="13">
        <v>20</v>
      </c>
      <c r="N3642" s="13">
        <f t="shared" si="1601"/>
        <v>1.5779999999999998</v>
      </c>
      <c r="O3642" s="13">
        <v>30</v>
      </c>
      <c r="P3642" s="13" t="s">
        <v>30</v>
      </c>
      <c r="Q3642" s="13">
        <v>0</v>
      </c>
      <c r="R3642" s="70">
        <f>L3642*O3642</f>
        <v>946.8</v>
      </c>
      <c r="S3642" s="70">
        <v>0</v>
      </c>
      <c r="T3642" s="70">
        <f>L3642*S3642</f>
        <v>0</v>
      </c>
      <c r="U3642" s="70">
        <f>R3642-T3642</f>
        <v>946.8</v>
      </c>
      <c r="V3642" s="70">
        <f>U3642*0</f>
        <v>0</v>
      </c>
      <c r="W3642" s="70">
        <f>U3642-V3642</f>
        <v>946.8</v>
      </c>
      <c r="X3642" s="70">
        <v>0</v>
      </c>
      <c r="Y3642" s="14">
        <f t="shared" si="1658"/>
        <v>0</v>
      </c>
      <c r="Z3642" s="11" t="s">
        <v>26</v>
      </c>
      <c r="AA3642" s="12" t="s">
        <v>31</v>
      </c>
    </row>
    <row r="3643" spans="1:27" x14ac:dyDescent="0.25">
      <c r="A3643" s="10">
        <v>45713</v>
      </c>
      <c r="B3643" s="11" t="s">
        <v>6514</v>
      </c>
      <c r="C3643" s="11" t="s">
        <v>6515</v>
      </c>
      <c r="D3643" s="11">
        <v>18198</v>
      </c>
      <c r="E3643" s="11" t="s">
        <v>69</v>
      </c>
      <c r="F3643" s="11" t="s">
        <v>26</v>
      </c>
      <c r="G3643" s="11">
        <v>2134</v>
      </c>
      <c r="H3643" s="12" t="s">
        <v>70</v>
      </c>
      <c r="I3643" s="12" t="s">
        <v>27</v>
      </c>
      <c r="J3643" s="12" t="s">
        <v>47</v>
      </c>
      <c r="K3643" s="12" t="s">
        <v>48</v>
      </c>
      <c r="L3643" s="13">
        <v>38.64</v>
      </c>
      <c r="M3643" s="13">
        <v>25</v>
      </c>
      <c r="N3643" s="13">
        <f t="shared" si="1601"/>
        <v>1.5456000000000001</v>
      </c>
      <c r="O3643" s="13" t="s">
        <v>30</v>
      </c>
      <c r="P3643" s="13">
        <v>60</v>
      </c>
      <c r="Q3643" s="13">
        <v>0</v>
      </c>
      <c r="R3643" s="70">
        <f>+M3643*P3643</f>
        <v>1500</v>
      </c>
      <c r="S3643" s="70">
        <v>0</v>
      </c>
      <c r="T3643" s="70">
        <f>+M3643*S3643</f>
        <v>0</v>
      </c>
      <c r="U3643" s="70">
        <f t="shared" ref="U3643" si="1664">+R3643-T3643</f>
        <v>1500</v>
      </c>
      <c r="V3643" s="70">
        <f>+U3643*0</f>
        <v>0</v>
      </c>
      <c r="W3643" s="70">
        <f t="shared" ref="W3643" si="1665">+U3643-V3643</f>
        <v>1500</v>
      </c>
      <c r="X3643" s="70">
        <v>0</v>
      </c>
      <c r="Y3643" s="14">
        <f t="shared" si="1658"/>
        <v>0</v>
      </c>
      <c r="Z3643" s="11" t="s">
        <v>26</v>
      </c>
      <c r="AA3643" s="12" t="s">
        <v>31</v>
      </c>
    </row>
    <row r="3644" spans="1:27" x14ac:dyDescent="0.25">
      <c r="A3644" s="10">
        <v>45713</v>
      </c>
      <c r="B3644" s="11" t="s">
        <v>6516</v>
      </c>
      <c r="C3644" s="11" t="s">
        <v>6517</v>
      </c>
      <c r="D3644" s="11">
        <v>18200</v>
      </c>
      <c r="E3644" s="11" t="s">
        <v>184</v>
      </c>
      <c r="F3644" s="11" t="s">
        <v>26</v>
      </c>
      <c r="G3644" s="11">
        <v>1030</v>
      </c>
      <c r="H3644" s="12" t="s">
        <v>141</v>
      </c>
      <c r="I3644" s="12" t="s">
        <v>27</v>
      </c>
      <c r="J3644" s="12" t="s">
        <v>33</v>
      </c>
      <c r="K3644" s="12" t="s">
        <v>34</v>
      </c>
      <c r="L3644" s="13">
        <v>37.799999999999997</v>
      </c>
      <c r="M3644" s="13">
        <v>25</v>
      </c>
      <c r="N3644" s="13">
        <f t="shared" si="1601"/>
        <v>1.5119999999999998</v>
      </c>
      <c r="O3644" s="13">
        <v>40</v>
      </c>
      <c r="P3644" s="13" t="s">
        <v>30</v>
      </c>
      <c r="Q3644" s="13">
        <v>0</v>
      </c>
      <c r="R3644" s="70">
        <f>L3644*O3644</f>
        <v>1512</v>
      </c>
      <c r="S3644" s="70">
        <v>0</v>
      </c>
      <c r="T3644" s="70">
        <f>L3644*S3644</f>
        <v>0</v>
      </c>
      <c r="U3644" s="70">
        <f>R3644-T3644</f>
        <v>1512</v>
      </c>
      <c r="V3644" s="70">
        <f>U3644*0</f>
        <v>0</v>
      </c>
      <c r="W3644" s="70">
        <f>U3644-V3644</f>
        <v>1512</v>
      </c>
      <c r="X3644" s="70">
        <v>0</v>
      </c>
      <c r="Y3644" s="14">
        <f t="shared" si="1658"/>
        <v>0</v>
      </c>
      <c r="Z3644" s="11" t="s">
        <v>26</v>
      </c>
      <c r="AA3644" s="12" t="s">
        <v>31</v>
      </c>
    </row>
    <row r="3645" spans="1:27" x14ac:dyDescent="0.25">
      <c r="A3645" s="10">
        <v>45713</v>
      </c>
      <c r="B3645" s="11" t="s">
        <v>6518</v>
      </c>
      <c r="C3645" s="11" t="s">
        <v>6519</v>
      </c>
      <c r="D3645" s="11">
        <v>18201</v>
      </c>
      <c r="E3645" s="11" t="s">
        <v>552</v>
      </c>
      <c r="F3645" s="11" t="s">
        <v>26</v>
      </c>
      <c r="G3645" s="11">
        <v>44184</v>
      </c>
      <c r="H3645" s="12" t="s">
        <v>4423</v>
      </c>
      <c r="I3645" s="12" t="s">
        <v>27</v>
      </c>
      <c r="J3645" s="12" t="s">
        <v>47</v>
      </c>
      <c r="K3645" s="12" t="s">
        <v>48</v>
      </c>
      <c r="L3645" s="13">
        <v>34.46</v>
      </c>
      <c r="M3645" s="13">
        <v>25</v>
      </c>
      <c r="N3645" s="13">
        <f t="shared" si="1601"/>
        <v>1.3784000000000001</v>
      </c>
      <c r="O3645" s="13">
        <v>46</v>
      </c>
      <c r="P3645" s="13" t="s">
        <v>30</v>
      </c>
      <c r="Q3645" s="13">
        <v>0</v>
      </c>
      <c r="R3645" s="70">
        <f t="shared" ref="R3645" si="1666">+L3645*O3645</f>
        <v>1585.16</v>
      </c>
      <c r="S3645" s="70">
        <v>0</v>
      </c>
      <c r="T3645" s="70">
        <f t="shared" ref="T3645" si="1667">+L3645*S3645</f>
        <v>0</v>
      </c>
      <c r="U3645" s="70">
        <f t="shared" ref="U3645:U3647" si="1668">+R3645-T3645</f>
        <v>1585.16</v>
      </c>
      <c r="V3645" s="70">
        <f>+U3645*1</f>
        <v>1585.16</v>
      </c>
      <c r="W3645" s="70">
        <f t="shared" ref="W3645:W3647" si="1669">+U3645-V3645</f>
        <v>0</v>
      </c>
      <c r="X3645" s="70">
        <v>0</v>
      </c>
      <c r="Y3645" s="14">
        <f t="shared" si="1658"/>
        <v>0</v>
      </c>
      <c r="Z3645" s="11" t="s">
        <v>26</v>
      </c>
      <c r="AA3645" s="12" t="s">
        <v>31</v>
      </c>
    </row>
    <row r="3646" spans="1:27" x14ac:dyDescent="0.25">
      <c r="A3646" s="10">
        <v>45713</v>
      </c>
      <c r="B3646" s="11" t="s">
        <v>5815</v>
      </c>
      <c r="C3646" s="11" t="s">
        <v>6520</v>
      </c>
      <c r="D3646" s="11">
        <v>18202</v>
      </c>
      <c r="E3646" s="11" t="s">
        <v>40</v>
      </c>
      <c r="F3646" s="11" t="s">
        <v>26</v>
      </c>
      <c r="G3646" s="11">
        <v>3281</v>
      </c>
      <c r="H3646" s="12" t="s">
        <v>41</v>
      </c>
      <c r="I3646" s="12" t="s">
        <v>55</v>
      </c>
      <c r="J3646" s="12" t="s">
        <v>55</v>
      </c>
      <c r="K3646" s="12" t="s">
        <v>56</v>
      </c>
      <c r="L3646" s="13">
        <v>38.56</v>
      </c>
      <c r="M3646" s="13">
        <v>23</v>
      </c>
      <c r="N3646" s="13">
        <f t="shared" si="1601"/>
        <v>1.6765217391304348</v>
      </c>
      <c r="O3646" s="13" t="s">
        <v>30</v>
      </c>
      <c r="P3646" s="13">
        <v>24</v>
      </c>
      <c r="Q3646" s="13">
        <v>0</v>
      </c>
      <c r="R3646" s="70">
        <f>+M3646*P3646</f>
        <v>552</v>
      </c>
      <c r="S3646" s="70">
        <v>0</v>
      </c>
      <c r="T3646" s="70">
        <f>+M3646*S3646</f>
        <v>0</v>
      </c>
      <c r="U3646" s="70">
        <f t="shared" si="1668"/>
        <v>552</v>
      </c>
      <c r="V3646" s="70">
        <f>+U3646*0</f>
        <v>0</v>
      </c>
      <c r="W3646" s="70">
        <f t="shared" si="1669"/>
        <v>552</v>
      </c>
      <c r="X3646" s="70">
        <v>0</v>
      </c>
      <c r="Y3646" s="14">
        <f t="shared" si="1658"/>
        <v>0</v>
      </c>
      <c r="Z3646" s="11" t="s">
        <v>26</v>
      </c>
      <c r="AA3646" s="12" t="s">
        <v>31</v>
      </c>
    </row>
    <row r="3647" spans="1:27" x14ac:dyDescent="0.25">
      <c r="A3647" s="10">
        <v>45713</v>
      </c>
      <c r="B3647" s="11" t="s">
        <v>6521</v>
      </c>
      <c r="C3647" s="11" t="s">
        <v>6522</v>
      </c>
      <c r="D3647" s="11">
        <v>18203</v>
      </c>
      <c r="E3647" s="11" t="s">
        <v>483</v>
      </c>
      <c r="F3647" s="11" t="s">
        <v>26</v>
      </c>
      <c r="G3647" s="11">
        <v>3056</v>
      </c>
      <c r="H3647" s="12" t="s">
        <v>41</v>
      </c>
      <c r="I3647" s="12" t="s">
        <v>55</v>
      </c>
      <c r="J3647" s="12" t="s">
        <v>55</v>
      </c>
      <c r="K3647" s="12" t="s">
        <v>56</v>
      </c>
      <c r="L3647" s="13">
        <v>39.659999999999997</v>
      </c>
      <c r="M3647" s="13">
        <v>23</v>
      </c>
      <c r="N3647" s="13">
        <f t="shared" si="1601"/>
        <v>1.7243478260869565</v>
      </c>
      <c r="O3647" s="13" t="s">
        <v>30</v>
      </c>
      <c r="P3647" s="13">
        <v>24</v>
      </c>
      <c r="Q3647" s="13">
        <v>0</v>
      </c>
      <c r="R3647" s="70">
        <f>+M3647*P3647</f>
        <v>552</v>
      </c>
      <c r="S3647" s="70">
        <v>0</v>
      </c>
      <c r="T3647" s="70">
        <f>+M3647*S3647</f>
        <v>0</v>
      </c>
      <c r="U3647" s="70">
        <f t="shared" si="1668"/>
        <v>552</v>
      </c>
      <c r="V3647" s="70">
        <f>+U3647*0</f>
        <v>0</v>
      </c>
      <c r="W3647" s="70">
        <f t="shared" si="1669"/>
        <v>552</v>
      </c>
      <c r="X3647" s="70">
        <v>0</v>
      </c>
      <c r="Y3647" s="14">
        <f t="shared" si="1658"/>
        <v>0</v>
      </c>
      <c r="Z3647" s="11" t="s">
        <v>26</v>
      </c>
      <c r="AA3647" s="12" t="s">
        <v>31</v>
      </c>
    </row>
    <row r="3648" spans="1:27" x14ac:dyDescent="0.25">
      <c r="A3648" s="10">
        <v>45713</v>
      </c>
      <c r="B3648" s="11" t="s">
        <v>6523</v>
      </c>
      <c r="C3648" s="11" t="s">
        <v>6524</v>
      </c>
      <c r="D3648" s="11">
        <v>18204</v>
      </c>
      <c r="E3648" s="11" t="s">
        <v>461</v>
      </c>
      <c r="F3648" s="11" t="s">
        <v>26</v>
      </c>
      <c r="G3648" s="11">
        <v>125</v>
      </c>
      <c r="H3648" s="12" t="s">
        <v>4444</v>
      </c>
      <c r="I3648" s="12" t="s">
        <v>37</v>
      </c>
      <c r="J3648" s="12" t="s">
        <v>85</v>
      </c>
      <c r="K3648" s="12" t="s">
        <v>86</v>
      </c>
      <c r="L3648" s="13">
        <v>31.08</v>
      </c>
      <c r="M3648" s="13">
        <v>20</v>
      </c>
      <c r="N3648" s="13">
        <f t="shared" si="1601"/>
        <v>1.5539999999999998</v>
      </c>
      <c r="O3648" s="13">
        <v>30</v>
      </c>
      <c r="P3648" s="13" t="s">
        <v>30</v>
      </c>
      <c r="Q3648" s="13">
        <v>0</v>
      </c>
      <c r="R3648" s="70">
        <f>L3648*O3648</f>
        <v>932.4</v>
      </c>
      <c r="S3648" s="70">
        <v>0</v>
      </c>
      <c r="T3648" s="70">
        <f>L3648*S3648</f>
        <v>0</v>
      </c>
      <c r="U3648" s="70">
        <f>R3648-T3648</f>
        <v>932.4</v>
      </c>
      <c r="V3648" s="70">
        <f>U3648*0</f>
        <v>0</v>
      </c>
      <c r="W3648" s="70">
        <f>U3648-V3648</f>
        <v>932.4</v>
      </c>
      <c r="X3648" s="70">
        <v>0</v>
      </c>
      <c r="Y3648" s="14">
        <f t="shared" si="1658"/>
        <v>0</v>
      </c>
      <c r="Z3648" s="11" t="s">
        <v>26</v>
      </c>
      <c r="AA3648" s="12" t="s">
        <v>31</v>
      </c>
    </row>
    <row r="3649" spans="1:27" x14ac:dyDescent="0.25">
      <c r="A3649" s="10">
        <v>45713</v>
      </c>
      <c r="B3649" s="11" t="s">
        <v>6228</v>
      </c>
      <c r="C3649" s="11" t="s">
        <v>6525</v>
      </c>
      <c r="D3649" s="11">
        <v>18205</v>
      </c>
      <c r="E3649" s="11" t="s">
        <v>486</v>
      </c>
      <c r="F3649" s="11" t="s">
        <v>26</v>
      </c>
      <c r="G3649" s="11">
        <v>78451</v>
      </c>
      <c r="H3649" s="12" t="s">
        <v>4448</v>
      </c>
      <c r="I3649" s="12" t="s">
        <v>27</v>
      </c>
      <c r="J3649" s="12" t="s">
        <v>42</v>
      </c>
      <c r="K3649" s="12" t="s">
        <v>43</v>
      </c>
      <c r="L3649" s="13">
        <v>43.66</v>
      </c>
      <c r="M3649" s="13">
        <v>25</v>
      </c>
      <c r="N3649" s="13">
        <f t="shared" si="1601"/>
        <v>1.7464</v>
      </c>
      <c r="O3649" s="13">
        <v>42.5</v>
      </c>
      <c r="P3649" s="13"/>
      <c r="Q3649" s="13">
        <v>0</v>
      </c>
      <c r="R3649" s="70">
        <f>+L3649*O3649</f>
        <v>1855.55</v>
      </c>
      <c r="S3649" s="70">
        <v>0</v>
      </c>
      <c r="T3649" s="70">
        <f>+L3649*S3649</f>
        <v>0</v>
      </c>
      <c r="U3649" s="70">
        <f>+R3649-T3649</f>
        <v>1855.55</v>
      </c>
      <c r="V3649" s="70">
        <f>+U3649*0.75</f>
        <v>1391.6624999999999</v>
      </c>
      <c r="W3649" s="70">
        <f>+U3649-V3649</f>
        <v>463.88750000000005</v>
      </c>
      <c r="X3649" s="70">
        <v>0</v>
      </c>
      <c r="Y3649" s="14">
        <f t="shared" si="1658"/>
        <v>0</v>
      </c>
      <c r="Z3649" s="11" t="s">
        <v>26</v>
      </c>
      <c r="AA3649" s="12" t="s">
        <v>31</v>
      </c>
    </row>
    <row r="3650" spans="1:27" x14ac:dyDescent="0.25">
      <c r="A3650" s="10">
        <v>45713</v>
      </c>
      <c r="B3650" s="11" t="s">
        <v>703</v>
      </c>
      <c r="C3650" s="11" t="s">
        <v>6526</v>
      </c>
      <c r="D3650" s="11">
        <v>18206</v>
      </c>
      <c r="E3650" s="11" t="s">
        <v>74</v>
      </c>
      <c r="F3650" s="11" t="s">
        <v>26</v>
      </c>
      <c r="G3650" s="11">
        <v>1344</v>
      </c>
      <c r="H3650" s="12" t="s">
        <v>70</v>
      </c>
      <c r="I3650" s="12" t="s">
        <v>27</v>
      </c>
      <c r="J3650" s="12" t="s">
        <v>33</v>
      </c>
      <c r="K3650" s="12" t="s">
        <v>34</v>
      </c>
      <c r="L3650" s="13">
        <v>37.82</v>
      </c>
      <c r="M3650" s="13">
        <v>25</v>
      </c>
      <c r="N3650" s="13">
        <f t="shared" si="1601"/>
        <v>1.5127999999999999</v>
      </c>
      <c r="O3650" s="13" t="s">
        <v>30</v>
      </c>
      <c r="P3650" s="13">
        <v>60</v>
      </c>
      <c r="Q3650" s="13">
        <v>0</v>
      </c>
      <c r="R3650" s="70">
        <f>+M3650*P3650</f>
        <v>1500</v>
      </c>
      <c r="S3650" s="70">
        <v>0</v>
      </c>
      <c r="T3650" s="70">
        <f>+M3650*S3650</f>
        <v>0</v>
      </c>
      <c r="U3650" s="70">
        <f t="shared" ref="U3650" si="1670">+R3650-T3650</f>
        <v>1500</v>
      </c>
      <c r="V3650" s="70">
        <f>+U3650*0</f>
        <v>0</v>
      </c>
      <c r="W3650" s="70">
        <f t="shared" ref="W3650" si="1671">+U3650-V3650</f>
        <v>1500</v>
      </c>
      <c r="X3650" s="70">
        <v>0</v>
      </c>
      <c r="Y3650" s="14">
        <f t="shared" si="1658"/>
        <v>0</v>
      </c>
      <c r="Z3650" s="11" t="s">
        <v>26</v>
      </c>
      <c r="AA3650" s="12" t="s">
        <v>31</v>
      </c>
    </row>
    <row r="3651" spans="1:27" x14ac:dyDescent="0.25">
      <c r="A3651" s="10">
        <v>45713</v>
      </c>
      <c r="B3651" s="11" t="s">
        <v>6527</v>
      </c>
      <c r="C3651" s="11" t="s">
        <v>6528</v>
      </c>
      <c r="D3651" s="11">
        <v>18207</v>
      </c>
      <c r="E3651" s="11" t="s">
        <v>81</v>
      </c>
      <c r="F3651" s="11" t="s">
        <v>26</v>
      </c>
      <c r="G3651" s="11">
        <v>1224</v>
      </c>
      <c r="H3651" s="12" t="s">
        <v>141</v>
      </c>
      <c r="I3651" s="12" t="s">
        <v>27</v>
      </c>
      <c r="J3651" s="12" t="s">
        <v>33</v>
      </c>
      <c r="K3651" s="12" t="s">
        <v>34</v>
      </c>
      <c r="L3651" s="13">
        <v>42.4</v>
      </c>
      <c r="M3651" s="13">
        <v>29</v>
      </c>
      <c r="N3651" s="13">
        <f t="shared" si="1601"/>
        <v>1.4620689655172414</v>
      </c>
      <c r="O3651" s="13">
        <v>40</v>
      </c>
      <c r="P3651" s="13" t="s">
        <v>30</v>
      </c>
      <c r="Q3651" s="13">
        <v>0</v>
      </c>
      <c r="R3651" s="70">
        <f>L3651*O3651</f>
        <v>1696</v>
      </c>
      <c r="S3651" s="70">
        <v>0</v>
      </c>
      <c r="T3651" s="70">
        <f>L3651*S3651</f>
        <v>0</v>
      </c>
      <c r="U3651" s="70">
        <f>R3651-T3651</f>
        <v>1696</v>
      </c>
      <c r="V3651" s="70">
        <f>U3651*0</f>
        <v>0</v>
      </c>
      <c r="W3651" s="70">
        <f>U3651-V3651</f>
        <v>1696</v>
      </c>
      <c r="X3651" s="70">
        <v>0</v>
      </c>
      <c r="Y3651" s="14">
        <f t="shared" si="1658"/>
        <v>0</v>
      </c>
      <c r="Z3651" s="11" t="s">
        <v>26</v>
      </c>
      <c r="AA3651" s="12" t="s">
        <v>31</v>
      </c>
    </row>
    <row r="3652" spans="1:27" x14ac:dyDescent="0.25">
      <c r="A3652" s="10">
        <v>45713</v>
      </c>
      <c r="B3652" s="11" t="s">
        <v>6529</v>
      </c>
      <c r="C3652" s="11" t="s">
        <v>6530</v>
      </c>
      <c r="D3652" s="11">
        <v>18208</v>
      </c>
      <c r="E3652" s="11" t="s">
        <v>461</v>
      </c>
      <c r="F3652" s="11" t="s">
        <v>26</v>
      </c>
      <c r="G3652" s="11">
        <v>134</v>
      </c>
      <c r="H3652" s="12" t="s">
        <v>4444</v>
      </c>
      <c r="I3652" s="12" t="s">
        <v>37</v>
      </c>
      <c r="J3652" s="12" t="s">
        <v>85</v>
      </c>
      <c r="K3652" s="12" t="s">
        <v>86</v>
      </c>
      <c r="L3652" s="13">
        <v>31.48</v>
      </c>
      <c r="M3652" s="13">
        <v>20</v>
      </c>
      <c r="N3652" s="13">
        <f t="shared" si="1601"/>
        <v>1.5740000000000001</v>
      </c>
      <c r="O3652" s="13">
        <v>30</v>
      </c>
      <c r="P3652" s="13" t="s">
        <v>30</v>
      </c>
      <c r="Q3652" s="13">
        <v>0</v>
      </c>
      <c r="R3652" s="70">
        <f>L3652*O3652</f>
        <v>944.4</v>
      </c>
      <c r="S3652" s="70">
        <v>0</v>
      </c>
      <c r="T3652" s="70">
        <f>L3652*S3652</f>
        <v>0</v>
      </c>
      <c r="U3652" s="70">
        <f>R3652-T3652</f>
        <v>944.4</v>
      </c>
      <c r="V3652" s="70">
        <f>U3652*0</f>
        <v>0</v>
      </c>
      <c r="W3652" s="70">
        <f>U3652-V3652</f>
        <v>944.4</v>
      </c>
      <c r="X3652" s="70">
        <v>0</v>
      </c>
      <c r="Y3652" s="14">
        <f t="shared" si="1658"/>
        <v>0</v>
      </c>
      <c r="Z3652" s="11" t="s">
        <v>26</v>
      </c>
      <c r="AA3652" s="12" t="s">
        <v>31</v>
      </c>
    </row>
    <row r="3653" spans="1:27" x14ac:dyDescent="0.25">
      <c r="A3653" s="10">
        <v>45713</v>
      </c>
      <c r="B3653" s="11" t="s">
        <v>469</v>
      </c>
      <c r="C3653" s="11" t="s">
        <v>6531</v>
      </c>
      <c r="D3653" s="11">
        <v>18209</v>
      </c>
      <c r="E3653" s="11" t="s">
        <v>4559</v>
      </c>
      <c r="F3653" s="11" t="s">
        <v>26</v>
      </c>
      <c r="G3653" s="11" t="s">
        <v>35</v>
      </c>
      <c r="H3653" s="12" t="s">
        <v>36</v>
      </c>
      <c r="I3653" s="12" t="s">
        <v>27</v>
      </c>
      <c r="J3653" s="12" t="s">
        <v>33</v>
      </c>
      <c r="K3653" s="12" t="s">
        <v>34</v>
      </c>
      <c r="L3653" s="13">
        <v>14.56</v>
      </c>
      <c r="M3653" s="13">
        <v>10</v>
      </c>
      <c r="N3653" s="13">
        <f t="shared" si="1601"/>
        <v>1.456</v>
      </c>
      <c r="O3653" s="13">
        <v>50</v>
      </c>
      <c r="P3653" s="13" t="s">
        <v>30</v>
      </c>
      <c r="Q3653" s="13">
        <v>0</v>
      </c>
      <c r="R3653" s="70">
        <f>(L3653*O3653)-Q3653</f>
        <v>728</v>
      </c>
      <c r="S3653" s="70">
        <v>0</v>
      </c>
      <c r="T3653" s="70">
        <f t="shared" ref="T3653" si="1672">+L3653*S3653</f>
        <v>0</v>
      </c>
      <c r="U3653" s="70">
        <f t="shared" ref="U3653" si="1673">+R3653-T3653</f>
        <v>728</v>
      </c>
      <c r="V3653" s="70">
        <f t="shared" ref="V3653" si="1674">+U3653*0</f>
        <v>0</v>
      </c>
      <c r="W3653" s="70">
        <f t="shared" ref="W3653" si="1675">+U3653-V3653</f>
        <v>728</v>
      </c>
      <c r="X3653" s="70">
        <v>0</v>
      </c>
      <c r="Y3653" s="14">
        <f t="shared" si="1658"/>
        <v>0</v>
      </c>
      <c r="Z3653" s="11" t="s">
        <v>26</v>
      </c>
      <c r="AA3653" s="12" t="s">
        <v>31</v>
      </c>
    </row>
    <row r="3654" spans="1:27" x14ac:dyDescent="0.25">
      <c r="A3654" s="10">
        <v>45713</v>
      </c>
      <c r="B3654" s="11" t="s">
        <v>247</v>
      </c>
      <c r="C3654" s="11" t="s">
        <v>6532</v>
      </c>
      <c r="D3654" s="11">
        <v>18210</v>
      </c>
      <c r="E3654" s="11" t="s">
        <v>240</v>
      </c>
      <c r="F3654" s="11" t="s">
        <v>26</v>
      </c>
      <c r="G3654" s="11" t="s">
        <v>26</v>
      </c>
      <c r="H3654" s="12" t="s">
        <v>4422</v>
      </c>
      <c r="I3654" s="12" t="s">
        <v>27</v>
      </c>
      <c r="J3654" s="12" t="s">
        <v>42</v>
      </c>
      <c r="K3654" s="12" t="s">
        <v>43</v>
      </c>
      <c r="L3654" s="13">
        <v>43.1</v>
      </c>
      <c r="M3654" s="13">
        <v>25</v>
      </c>
      <c r="N3654" s="13">
        <f t="shared" si="1601"/>
        <v>1.724</v>
      </c>
      <c r="O3654" s="13">
        <v>83</v>
      </c>
      <c r="P3654" s="13" t="s">
        <v>30</v>
      </c>
      <c r="Q3654" s="13">
        <v>0</v>
      </c>
      <c r="R3654" s="70">
        <f>L3654*O3654</f>
        <v>3577.3</v>
      </c>
      <c r="S3654" s="70">
        <v>38</v>
      </c>
      <c r="T3654" s="70">
        <f>L3654*S3654</f>
        <v>1637.8</v>
      </c>
      <c r="U3654" s="70">
        <f>R3654-T3654</f>
        <v>1939.5000000000002</v>
      </c>
      <c r="V3654" s="70">
        <f>U3654*1</f>
        <v>1939.5000000000002</v>
      </c>
      <c r="W3654" s="70">
        <f>U3654-V3654</f>
        <v>0</v>
      </c>
      <c r="X3654" s="70">
        <f>L3654*37</f>
        <v>1594.7</v>
      </c>
      <c r="Y3654" s="71">
        <f>+T3654-X3654</f>
        <v>43.099999999999909</v>
      </c>
      <c r="Z3654" s="14" t="s">
        <v>41</v>
      </c>
      <c r="AA3654" s="12" t="s">
        <v>78</v>
      </c>
    </row>
    <row r="3655" spans="1:27" x14ac:dyDescent="0.25">
      <c r="A3655" s="10">
        <v>45713</v>
      </c>
      <c r="B3655" s="11" t="s">
        <v>4135</v>
      </c>
      <c r="C3655" s="11" t="s">
        <v>6533</v>
      </c>
      <c r="D3655" s="11">
        <v>18211</v>
      </c>
      <c r="E3655" s="11" t="s">
        <v>435</v>
      </c>
      <c r="F3655" s="11" t="s">
        <v>26</v>
      </c>
      <c r="G3655" s="11">
        <v>2794</v>
      </c>
      <c r="H3655" s="12" t="s">
        <v>41</v>
      </c>
      <c r="I3655" s="12" t="s">
        <v>55</v>
      </c>
      <c r="J3655" s="12" t="s">
        <v>55</v>
      </c>
      <c r="K3655" s="12" t="s">
        <v>56</v>
      </c>
      <c r="L3655" s="13">
        <v>40.700000000000003</v>
      </c>
      <c r="M3655" s="13">
        <v>25</v>
      </c>
      <c r="N3655" s="13">
        <f t="shared" si="1601"/>
        <v>1.6280000000000001</v>
      </c>
      <c r="O3655" s="13" t="s">
        <v>30</v>
      </c>
      <c r="P3655" s="13">
        <v>24</v>
      </c>
      <c r="Q3655" s="13">
        <v>0</v>
      </c>
      <c r="R3655" s="70">
        <f>+M3655*P3655</f>
        <v>600</v>
      </c>
      <c r="S3655" s="70">
        <v>0</v>
      </c>
      <c r="T3655" s="70">
        <f>+M3655*S3655</f>
        <v>0</v>
      </c>
      <c r="U3655" s="70">
        <f t="shared" ref="U3655" si="1676">+R3655-T3655</f>
        <v>600</v>
      </c>
      <c r="V3655" s="70">
        <f>+U3655*0</f>
        <v>0</v>
      </c>
      <c r="W3655" s="70">
        <f t="shared" ref="W3655" si="1677">+U3655-V3655</f>
        <v>600</v>
      </c>
      <c r="X3655" s="70">
        <v>0</v>
      </c>
      <c r="Y3655" s="14">
        <f t="shared" ref="Y3655:Y3668" si="1678">T3655-X3655</f>
        <v>0</v>
      </c>
      <c r="Z3655" s="11" t="s">
        <v>26</v>
      </c>
      <c r="AA3655" s="12" t="s">
        <v>31</v>
      </c>
    </row>
    <row r="3656" spans="1:27" x14ac:dyDescent="0.25">
      <c r="A3656" s="10">
        <v>45713</v>
      </c>
      <c r="B3656" s="11" t="s">
        <v>291</v>
      </c>
      <c r="C3656" s="11" t="s">
        <v>6534</v>
      </c>
      <c r="D3656" s="11">
        <v>18212</v>
      </c>
      <c r="E3656" s="11" t="s">
        <v>3786</v>
      </c>
      <c r="F3656" s="11" t="s">
        <v>26</v>
      </c>
      <c r="G3656" s="11">
        <v>24347</v>
      </c>
      <c r="H3656" s="12" t="s">
        <v>4448</v>
      </c>
      <c r="I3656" s="12" t="s">
        <v>27</v>
      </c>
      <c r="J3656" s="12" t="s">
        <v>42</v>
      </c>
      <c r="K3656" s="12" t="s">
        <v>43</v>
      </c>
      <c r="L3656" s="13">
        <v>42.5</v>
      </c>
      <c r="M3656" s="13">
        <v>25</v>
      </c>
      <c r="N3656" s="13">
        <f t="shared" si="1601"/>
        <v>1.7</v>
      </c>
      <c r="O3656" s="13">
        <v>42.5</v>
      </c>
      <c r="P3656" s="13"/>
      <c r="Q3656" s="13">
        <v>0</v>
      </c>
      <c r="R3656" s="70">
        <f>+L3656*O3656</f>
        <v>1806.25</v>
      </c>
      <c r="S3656" s="70">
        <v>0</v>
      </c>
      <c r="T3656" s="70">
        <f>+L3656*S3656</f>
        <v>0</v>
      </c>
      <c r="U3656" s="70">
        <f>+R3656-T3656</f>
        <v>1806.25</v>
      </c>
      <c r="V3656" s="70">
        <f>+U3656*0.75</f>
        <v>1354.6875</v>
      </c>
      <c r="W3656" s="70">
        <f>+U3656-V3656</f>
        <v>451.5625</v>
      </c>
      <c r="X3656" s="70">
        <v>0</v>
      </c>
      <c r="Y3656" s="14">
        <f t="shared" si="1678"/>
        <v>0</v>
      </c>
      <c r="Z3656" s="11" t="s">
        <v>26</v>
      </c>
      <c r="AA3656" s="12" t="s">
        <v>31</v>
      </c>
    </row>
    <row r="3657" spans="1:27" x14ac:dyDescent="0.25">
      <c r="A3657" s="10">
        <v>45713</v>
      </c>
      <c r="B3657" s="11" t="s">
        <v>1337</v>
      </c>
      <c r="C3657" s="11" t="s">
        <v>6535</v>
      </c>
      <c r="D3657" s="11">
        <v>18213</v>
      </c>
      <c r="E3657" s="11" t="s">
        <v>539</v>
      </c>
      <c r="F3657" s="11" t="s">
        <v>26</v>
      </c>
      <c r="G3657" s="11">
        <v>3377</v>
      </c>
      <c r="H3657" s="12" t="s">
        <v>41</v>
      </c>
      <c r="I3657" s="12" t="s">
        <v>55</v>
      </c>
      <c r="J3657" s="12" t="s">
        <v>55</v>
      </c>
      <c r="K3657" s="12" t="s">
        <v>56</v>
      </c>
      <c r="L3657" s="13">
        <v>40.46</v>
      </c>
      <c r="M3657" s="13">
        <v>25</v>
      </c>
      <c r="N3657" s="13">
        <f t="shared" si="1601"/>
        <v>1.6184000000000001</v>
      </c>
      <c r="O3657" s="13" t="s">
        <v>30</v>
      </c>
      <c r="P3657" s="13">
        <v>24</v>
      </c>
      <c r="Q3657" s="13">
        <v>0</v>
      </c>
      <c r="R3657" s="70">
        <f>+M3657*P3657</f>
        <v>600</v>
      </c>
      <c r="S3657" s="70">
        <v>0</v>
      </c>
      <c r="T3657" s="70">
        <f>+M3657*S3657</f>
        <v>0</v>
      </c>
      <c r="U3657" s="70">
        <f t="shared" ref="U3657" si="1679">+R3657-T3657</f>
        <v>600</v>
      </c>
      <c r="V3657" s="70">
        <f>+U3657*0</f>
        <v>0</v>
      </c>
      <c r="W3657" s="70">
        <f t="shared" ref="W3657" si="1680">+U3657-V3657</f>
        <v>600</v>
      </c>
      <c r="X3657" s="70">
        <v>0</v>
      </c>
      <c r="Y3657" s="14">
        <f t="shared" si="1678"/>
        <v>0</v>
      </c>
      <c r="Z3657" s="11" t="s">
        <v>26</v>
      </c>
      <c r="AA3657" s="12" t="s">
        <v>31</v>
      </c>
    </row>
    <row r="3658" spans="1:27" x14ac:dyDescent="0.25">
      <c r="A3658" s="10">
        <v>45713</v>
      </c>
      <c r="B3658" s="11" t="s">
        <v>6536</v>
      </c>
      <c r="C3658" s="11" t="s">
        <v>6537</v>
      </c>
      <c r="D3658" s="11">
        <v>18214</v>
      </c>
      <c r="E3658" s="11" t="s">
        <v>1200</v>
      </c>
      <c r="F3658" s="11" t="s">
        <v>26</v>
      </c>
      <c r="G3658" s="11">
        <v>2992</v>
      </c>
      <c r="H3658" s="12" t="s">
        <v>163</v>
      </c>
      <c r="I3658" s="12" t="s">
        <v>27</v>
      </c>
      <c r="J3658" s="12" t="s">
        <v>33</v>
      </c>
      <c r="K3658" s="12" t="s">
        <v>34</v>
      </c>
      <c r="L3658" s="13">
        <v>37.68</v>
      </c>
      <c r="M3658" s="13">
        <v>25</v>
      </c>
      <c r="N3658" s="13">
        <f t="shared" ref="N3658:N3668" si="1681">L3658/M3658</f>
        <v>1.5072000000000001</v>
      </c>
      <c r="O3658" s="13" t="s">
        <v>30</v>
      </c>
      <c r="P3658" s="13">
        <v>60</v>
      </c>
      <c r="Q3658" s="13">
        <v>0</v>
      </c>
      <c r="R3658" s="70">
        <f>M3658*P3658</f>
        <v>1500</v>
      </c>
      <c r="S3658" s="70">
        <v>0</v>
      </c>
      <c r="T3658" s="70">
        <f>M3658*S3658</f>
        <v>0</v>
      </c>
      <c r="U3658" s="70">
        <f>R3658-T3658</f>
        <v>1500</v>
      </c>
      <c r="V3658" s="70">
        <f>U3658*0</f>
        <v>0</v>
      </c>
      <c r="W3658" s="70">
        <f>U3658-V3658</f>
        <v>1500</v>
      </c>
      <c r="X3658" s="70">
        <v>0</v>
      </c>
      <c r="Y3658" s="14">
        <f t="shared" si="1678"/>
        <v>0</v>
      </c>
      <c r="Z3658" s="11" t="s">
        <v>26</v>
      </c>
      <c r="AA3658" s="12" t="s">
        <v>31</v>
      </c>
    </row>
    <row r="3659" spans="1:27" x14ac:dyDescent="0.25">
      <c r="A3659" s="10">
        <v>45713</v>
      </c>
      <c r="B3659" s="11" t="s">
        <v>290</v>
      </c>
      <c r="C3659" s="11" t="s">
        <v>6538</v>
      </c>
      <c r="D3659" s="11">
        <v>18215</v>
      </c>
      <c r="E3659" s="11" t="s">
        <v>6054</v>
      </c>
      <c r="F3659" s="11" t="s">
        <v>26</v>
      </c>
      <c r="G3659" s="11">
        <v>4676</v>
      </c>
      <c r="H3659" s="12" t="s">
        <v>140</v>
      </c>
      <c r="I3659" s="12" t="s">
        <v>55</v>
      </c>
      <c r="J3659" s="12" t="s">
        <v>55</v>
      </c>
      <c r="K3659" s="12" t="s">
        <v>56</v>
      </c>
      <c r="L3659" s="13">
        <v>42</v>
      </c>
      <c r="M3659" s="13">
        <v>25</v>
      </c>
      <c r="N3659" s="13">
        <f t="shared" si="1681"/>
        <v>1.68</v>
      </c>
      <c r="O3659" s="13">
        <v>15</v>
      </c>
      <c r="P3659" s="13"/>
      <c r="Q3659" s="13">
        <v>0</v>
      </c>
      <c r="R3659" s="70">
        <f>+L3659*O3659</f>
        <v>630</v>
      </c>
      <c r="S3659" s="70">
        <v>0</v>
      </c>
      <c r="T3659" s="70">
        <f>+L3659*S3659</f>
        <v>0</v>
      </c>
      <c r="U3659" s="70">
        <f>+R3659-T3659</f>
        <v>630</v>
      </c>
      <c r="V3659" s="70">
        <f t="shared" ref="V3659" si="1682">+U3659*0</f>
        <v>0</v>
      </c>
      <c r="W3659" s="70">
        <f>+U3659-V3659</f>
        <v>630</v>
      </c>
      <c r="X3659" s="70">
        <v>0</v>
      </c>
      <c r="Y3659" s="14">
        <f t="shared" si="1678"/>
        <v>0</v>
      </c>
      <c r="Z3659" s="11" t="s">
        <v>26</v>
      </c>
      <c r="AA3659" s="12" t="s">
        <v>31</v>
      </c>
    </row>
    <row r="3660" spans="1:27" x14ac:dyDescent="0.25">
      <c r="A3660" s="10">
        <v>45713</v>
      </c>
      <c r="B3660" s="11" t="s">
        <v>3897</v>
      </c>
      <c r="C3660" s="11" t="s">
        <v>6539</v>
      </c>
      <c r="D3660" s="11">
        <v>18216</v>
      </c>
      <c r="E3660" s="11" t="s">
        <v>544</v>
      </c>
      <c r="F3660" s="11" t="s">
        <v>26</v>
      </c>
      <c r="G3660" s="11">
        <v>78508</v>
      </c>
      <c r="H3660" s="12" t="s">
        <v>4448</v>
      </c>
      <c r="I3660" s="12" t="s">
        <v>27</v>
      </c>
      <c r="J3660" s="12" t="s">
        <v>42</v>
      </c>
      <c r="K3660" s="12" t="s">
        <v>43</v>
      </c>
      <c r="L3660" s="13">
        <v>44.44</v>
      </c>
      <c r="M3660" s="13">
        <v>25</v>
      </c>
      <c r="N3660" s="13">
        <f t="shared" si="1681"/>
        <v>1.7775999999999998</v>
      </c>
      <c r="O3660" s="13">
        <v>42.5</v>
      </c>
      <c r="P3660" s="13"/>
      <c r="Q3660" s="13">
        <v>0</v>
      </c>
      <c r="R3660" s="70">
        <f>+L3660*O3660</f>
        <v>1888.6999999999998</v>
      </c>
      <c r="S3660" s="70">
        <v>0</v>
      </c>
      <c r="T3660" s="70">
        <f>+L3660*S3660</f>
        <v>0</v>
      </c>
      <c r="U3660" s="70">
        <f>+R3660-T3660</f>
        <v>1888.6999999999998</v>
      </c>
      <c r="V3660" s="70">
        <f>+U3660*0.75</f>
        <v>1416.5249999999999</v>
      </c>
      <c r="W3660" s="70">
        <f>+U3660-V3660</f>
        <v>472.17499999999995</v>
      </c>
      <c r="X3660" s="70">
        <v>0</v>
      </c>
      <c r="Y3660" s="14">
        <f t="shared" si="1678"/>
        <v>0</v>
      </c>
      <c r="Z3660" s="11" t="s">
        <v>26</v>
      </c>
      <c r="AA3660" s="12" t="s">
        <v>31</v>
      </c>
    </row>
    <row r="3661" spans="1:27" x14ac:dyDescent="0.25">
      <c r="A3661" s="10">
        <v>45713</v>
      </c>
      <c r="B3661" s="11" t="s">
        <v>3676</v>
      </c>
      <c r="C3661" s="11" t="s">
        <v>6540</v>
      </c>
      <c r="D3661" s="11">
        <v>18217</v>
      </c>
      <c r="E3661" s="11" t="s">
        <v>230</v>
      </c>
      <c r="F3661" s="11" t="s">
        <v>26</v>
      </c>
      <c r="G3661" s="11">
        <v>26219</v>
      </c>
      <c r="H3661" s="12" t="s">
        <v>565</v>
      </c>
      <c r="I3661" s="12" t="s">
        <v>27</v>
      </c>
      <c r="J3661" s="12" t="s">
        <v>47</v>
      </c>
      <c r="K3661" s="12" t="s">
        <v>48</v>
      </c>
      <c r="L3661" s="13">
        <v>39.94</v>
      </c>
      <c r="M3661" s="13">
        <v>28</v>
      </c>
      <c r="N3661" s="13">
        <f t="shared" si="1681"/>
        <v>1.4264285714285714</v>
      </c>
      <c r="O3661" s="13"/>
      <c r="P3661" s="13">
        <v>60</v>
      </c>
      <c r="Q3661" s="13">
        <v>0</v>
      </c>
      <c r="R3661" s="70">
        <f>M3661*P3661</f>
        <v>1680</v>
      </c>
      <c r="S3661" s="70">
        <v>0</v>
      </c>
      <c r="T3661" s="70">
        <f>M3661*S3661</f>
        <v>0</v>
      </c>
      <c r="U3661" s="70">
        <f>R3661-T3661</f>
        <v>1680</v>
      </c>
      <c r="V3661" s="70">
        <f>U3661*0</f>
        <v>0</v>
      </c>
      <c r="W3661" s="70">
        <f>+U3661-V3661</f>
        <v>1680</v>
      </c>
      <c r="X3661" s="70">
        <v>0</v>
      </c>
      <c r="Y3661" s="14">
        <f t="shared" si="1678"/>
        <v>0</v>
      </c>
      <c r="Z3661" s="11" t="s">
        <v>26</v>
      </c>
      <c r="AA3661" s="12" t="s">
        <v>31</v>
      </c>
    </row>
    <row r="3662" spans="1:27" x14ac:dyDescent="0.25">
      <c r="A3662" s="10">
        <v>45713</v>
      </c>
      <c r="B3662" s="11" t="s">
        <v>1775</v>
      </c>
      <c r="C3662" s="11" t="s">
        <v>6541</v>
      </c>
      <c r="D3662" s="11">
        <v>18218</v>
      </c>
      <c r="E3662" s="11" t="s">
        <v>604</v>
      </c>
      <c r="F3662" s="11" t="s">
        <v>26</v>
      </c>
      <c r="G3662" s="11">
        <v>1124</v>
      </c>
      <c r="H3662" s="12" t="s">
        <v>141</v>
      </c>
      <c r="I3662" s="12" t="s">
        <v>27</v>
      </c>
      <c r="J3662" s="12" t="s">
        <v>47</v>
      </c>
      <c r="K3662" s="12" t="s">
        <v>48</v>
      </c>
      <c r="L3662" s="13">
        <v>39.32</v>
      </c>
      <c r="M3662" s="13">
        <v>27</v>
      </c>
      <c r="N3662" s="13">
        <f t="shared" si="1681"/>
        <v>1.4562962962962962</v>
      </c>
      <c r="O3662" s="13">
        <v>40</v>
      </c>
      <c r="P3662" s="13" t="s">
        <v>30</v>
      </c>
      <c r="Q3662" s="13">
        <v>0</v>
      </c>
      <c r="R3662" s="70">
        <f>L3662*O3662</f>
        <v>1572.8</v>
      </c>
      <c r="S3662" s="70">
        <v>0</v>
      </c>
      <c r="T3662" s="70">
        <f>L3662*S3662</f>
        <v>0</v>
      </c>
      <c r="U3662" s="70">
        <f>R3662-T3662</f>
        <v>1572.8</v>
      </c>
      <c r="V3662" s="70">
        <f>U3662*0</f>
        <v>0</v>
      </c>
      <c r="W3662" s="70">
        <f>U3662-V3662</f>
        <v>1572.8</v>
      </c>
      <c r="X3662" s="70">
        <v>0</v>
      </c>
      <c r="Y3662" s="14">
        <f t="shared" si="1678"/>
        <v>0</v>
      </c>
      <c r="Z3662" s="11" t="s">
        <v>26</v>
      </c>
      <c r="AA3662" s="12" t="s">
        <v>31</v>
      </c>
    </row>
    <row r="3663" spans="1:27" x14ac:dyDescent="0.25">
      <c r="A3663" s="10">
        <v>45713</v>
      </c>
      <c r="B3663" s="11" t="s">
        <v>6542</v>
      </c>
      <c r="C3663" s="11" t="s">
        <v>6543</v>
      </c>
      <c r="D3663" s="11">
        <v>18219</v>
      </c>
      <c r="E3663" s="11" t="s">
        <v>246</v>
      </c>
      <c r="F3663" s="11" t="s">
        <v>26</v>
      </c>
      <c r="G3663" s="11">
        <v>3429</v>
      </c>
      <c r="H3663" s="12" t="s">
        <v>41</v>
      </c>
      <c r="I3663" s="12" t="s">
        <v>55</v>
      </c>
      <c r="J3663" s="12" t="s">
        <v>566</v>
      </c>
      <c r="K3663" s="12" t="s">
        <v>550</v>
      </c>
      <c r="L3663" s="13">
        <v>40.18</v>
      </c>
      <c r="M3663" s="13">
        <v>25</v>
      </c>
      <c r="N3663" s="13">
        <f t="shared" si="1681"/>
        <v>1.6072</v>
      </c>
      <c r="O3663" s="13">
        <v>25</v>
      </c>
      <c r="P3663" s="13"/>
      <c r="Q3663" s="13">
        <v>0</v>
      </c>
      <c r="R3663" s="70">
        <f>L3663*O3663</f>
        <v>1004.5</v>
      </c>
      <c r="S3663" s="70">
        <v>0</v>
      </c>
      <c r="T3663" s="70">
        <f t="shared" ref="T3663" si="1683">L3663*S3663</f>
        <v>0</v>
      </c>
      <c r="U3663" s="70">
        <f>R3663-T3663</f>
        <v>1004.5</v>
      </c>
      <c r="V3663" s="70">
        <f>U3663*0</f>
        <v>0</v>
      </c>
      <c r="W3663" s="70">
        <f>U3663-V3663</f>
        <v>1004.5</v>
      </c>
      <c r="X3663" s="70">
        <v>0</v>
      </c>
      <c r="Y3663" s="14">
        <f t="shared" si="1678"/>
        <v>0</v>
      </c>
      <c r="Z3663" s="11" t="s">
        <v>26</v>
      </c>
      <c r="AA3663" s="12" t="s">
        <v>31</v>
      </c>
    </row>
    <row r="3664" spans="1:27" x14ac:dyDescent="0.25">
      <c r="A3664" s="10">
        <v>45713</v>
      </c>
      <c r="B3664" s="11" t="s">
        <v>6544</v>
      </c>
      <c r="C3664" s="11" t="s">
        <v>6545</v>
      </c>
      <c r="D3664" s="11">
        <v>18220</v>
      </c>
      <c r="E3664" s="11" t="s">
        <v>593</v>
      </c>
      <c r="F3664" s="11" t="s">
        <v>26</v>
      </c>
      <c r="G3664" s="11">
        <v>56552</v>
      </c>
      <c r="H3664" s="12" t="s">
        <v>4423</v>
      </c>
      <c r="I3664" s="12" t="s">
        <v>27</v>
      </c>
      <c r="J3664" s="12" t="s">
        <v>33</v>
      </c>
      <c r="K3664" s="12" t="s">
        <v>34</v>
      </c>
      <c r="L3664" s="13">
        <v>35.159999999999997</v>
      </c>
      <c r="M3664" s="13">
        <v>25</v>
      </c>
      <c r="N3664" s="13">
        <f t="shared" si="1681"/>
        <v>1.4063999999999999</v>
      </c>
      <c r="O3664" s="13">
        <v>45</v>
      </c>
      <c r="P3664" s="13" t="s">
        <v>30</v>
      </c>
      <c r="Q3664" s="13">
        <v>0</v>
      </c>
      <c r="R3664" s="70">
        <f>+L3664*O3664</f>
        <v>1582.1999999999998</v>
      </c>
      <c r="S3664" s="70">
        <v>0</v>
      </c>
      <c r="T3664" s="70">
        <f>+L3664*S3664</f>
        <v>0</v>
      </c>
      <c r="U3664" s="70">
        <f t="shared" ref="U3664" si="1684">+R3664-T3664</f>
        <v>1582.1999999999998</v>
      </c>
      <c r="V3664" s="70">
        <f>+U3664*1</f>
        <v>1582.1999999999998</v>
      </c>
      <c r="W3664" s="70">
        <f t="shared" ref="W3664" si="1685">+U3664-V3664</f>
        <v>0</v>
      </c>
      <c r="X3664" s="70">
        <v>0</v>
      </c>
      <c r="Y3664" s="14">
        <f t="shared" si="1678"/>
        <v>0</v>
      </c>
      <c r="Z3664" s="11" t="s">
        <v>26</v>
      </c>
      <c r="AA3664" s="12" t="s">
        <v>31</v>
      </c>
    </row>
    <row r="3665" spans="1:27" x14ac:dyDescent="0.25">
      <c r="A3665" s="10">
        <v>45713</v>
      </c>
      <c r="B3665" s="11" t="s">
        <v>378</v>
      </c>
      <c r="C3665" s="11" t="s">
        <v>6546</v>
      </c>
      <c r="D3665" s="11">
        <v>18221</v>
      </c>
      <c r="E3665" s="11" t="s">
        <v>505</v>
      </c>
      <c r="F3665" s="11" t="s">
        <v>26</v>
      </c>
      <c r="G3665" s="11">
        <v>1266</v>
      </c>
      <c r="H3665" s="12" t="s">
        <v>141</v>
      </c>
      <c r="I3665" s="12" t="s">
        <v>27</v>
      </c>
      <c r="J3665" s="12" t="s">
        <v>33</v>
      </c>
      <c r="K3665" s="12" t="s">
        <v>34</v>
      </c>
      <c r="L3665" s="13">
        <v>40.74</v>
      </c>
      <c r="M3665" s="13">
        <v>28</v>
      </c>
      <c r="N3665" s="13">
        <f t="shared" si="1681"/>
        <v>1.4550000000000001</v>
      </c>
      <c r="O3665" s="13">
        <v>40</v>
      </c>
      <c r="P3665" s="13" t="s">
        <v>30</v>
      </c>
      <c r="Q3665" s="13">
        <v>0</v>
      </c>
      <c r="R3665" s="70">
        <f>L3665*O3665</f>
        <v>1629.6000000000001</v>
      </c>
      <c r="S3665" s="70">
        <v>0</v>
      </c>
      <c r="T3665" s="70">
        <f>L3665*S3665</f>
        <v>0</v>
      </c>
      <c r="U3665" s="70">
        <f>R3665-T3665</f>
        <v>1629.6000000000001</v>
      </c>
      <c r="V3665" s="70">
        <f>U3665*0</f>
        <v>0</v>
      </c>
      <c r="W3665" s="70">
        <f>U3665-V3665</f>
        <v>1629.6000000000001</v>
      </c>
      <c r="X3665" s="70">
        <v>0</v>
      </c>
      <c r="Y3665" s="14">
        <f t="shared" si="1678"/>
        <v>0</v>
      </c>
      <c r="Z3665" s="11" t="s">
        <v>26</v>
      </c>
      <c r="AA3665" s="12" t="s">
        <v>31</v>
      </c>
    </row>
    <row r="3666" spans="1:27" x14ac:dyDescent="0.25">
      <c r="A3666" s="10">
        <v>45713</v>
      </c>
      <c r="B3666" s="11" t="s">
        <v>6547</v>
      </c>
      <c r="C3666" s="11" t="s">
        <v>6548</v>
      </c>
      <c r="D3666" s="11">
        <v>18222</v>
      </c>
      <c r="E3666" s="11" t="s">
        <v>53</v>
      </c>
      <c r="F3666" s="11" t="s">
        <v>26</v>
      </c>
      <c r="G3666" s="11">
        <v>3975</v>
      </c>
      <c r="H3666" s="12" t="s">
        <v>41</v>
      </c>
      <c r="I3666" s="12" t="s">
        <v>55</v>
      </c>
      <c r="J3666" s="12" t="s">
        <v>55</v>
      </c>
      <c r="K3666" s="12" t="s">
        <v>56</v>
      </c>
      <c r="L3666" s="13">
        <v>41.42</v>
      </c>
      <c r="M3666" s="13">
        <v>25</v>
      </c>
      <c r="N3666" s="13">
        <f t="shared" si="1681"/>
        <v>1.6568000000000001</v>
      </c>
      <c r="O3666" s="13" t="s">
        <v>30</v>
      </c>
      <c r="P3666" s="13">
        <v>24</v>
      </c>
      <c r="Q3666" s="13">
        <v>0</v>
      </c>
      <c r="R3666" s="70">
        <f>+M3666*P3666</f>
        <v>600</v>
      </c>
      <c r="S3666" s="70">
        <v>0</v>
      </c>
      <c r="T3666" s="70">
        <f>+M3666*S3666</f>
        <v>0</v>
      </c>
      <c r="U3666" s="70">
        <f t="shared" ref="U3666:U3667" si="1686">+R3666-T3666</f>
        <v>600</v>
      </c>
      <c r="V3666" s="70">
        <f>+U3666*0</f>
        <v>0</v>
      </c>
      <c r="W3666" s="70">
        <f t="shared" ref="W3666:W3667" si="1687">+U3666-V3666</f>
        <v>600</v>
      </c>
      <c r="X3666" s="70">
        <v>0</v>
      </c>
      <c r="Y3666" s="14">
        <f t="shared" si="1678"/>
        <v>0</v>
      </c>
      <c r="Z3666" s="11" t="s">
        <v>26</v>
      </c>
      <c r="AA3666" s="12" t="s">
        <v>31</v>
      </c>
    </row>
    <row r="3667" spans="1:27" x14ac:dyDescent="0.25">
      <c r="A3667" s="10">
        <v>45713</v>
      </c>
      <c r="B3667" s="11" t="s">
        <v>6421</v>
      </c>
      <c r="C3667" s="11" t="s">
        <v>6549</v>
      </c>
      <c r="D3667" s="11">
        <v>18223</v>
      </c>
      <c r="E3667" s="11" t="s">
        <v>3637</v>
      </c>
      <c r="F3667" s="11" t="s">
        <v>26</v>
      </c>
      <c r="G3667" s="11" t="s">
        <v>35</v>
      </c>
      <c r="H3667" s="12" t="s">
        <v>36</v>
      </c>
      <c r="I3667" s="12" t="s">
        <v>27</v>
      </c>
      <c r="J3667" s="12" t="s">
        <v>42</v>
      </c>
      <c r="K3667" s="12" t="s">
        <v>43</v>
      </c>
      <c r="L3667" s="13">
        <v>9.92</v>
      </c>
      <c r="M3667" s="13">
        <v>7</v>
      </c>
      <c r="N3667" s="13">
        <f t="shared" si="1681"/>
        <v>1.417142857142857</v>
      </c>
      <c r="O3667" s="13">
        <v>45</v>
      </c>
      <c r="P3667" s="13" t="s">
        <v>30</v>
      </c>
      <c r="Q3667" s="13">
        <v>0</v>
      </c>
      <c r="R3667" s="70">
        <f>(L3667*O3667)-Q3667</f>
        <v>446.4</v>
      </c>
      <c r="S3667" s="70">
        <v>0</v>
      </c>
      <c r="T3667" s="70">
        <f t="shared" ref="T3667" si="1688">+L3667*S3667</f>
        <v>0</v>
      </c>
      <c r="U3667" s="70">
        <f t="shared" si="1686"/>
        <v>446.4</v>
      </c>
      <c r="V3667" s="70">
        <f>+U3667*0</f>
        <v>0</v>
      </c>
      <c r="W3667" s="70">
        <f t="shared" si="1687"/>
        <v>446.4</v>
      </c>
      <c r="X3667" s="70">
        <v>0</v>
      </c>
      <c r="Y3667" s="14">
        <f t="shared" si="1678"/>
        <v>0</v>
      </c>
      <c r="Z3667" s="11" t="s">
        <v>26</v>
      </c>
      <c r="AA3667" s="12" t="s">
        <v>31</v>
      </c>
    </row>
    <row r="3668" spans="1:27" x14ac:dyDescent="0.25">
      <c r="A3668" s="10">
        <v>45713</v>
      </c>
      <c r="B3668" s="11" t="s">
        <v>1196</v>
      </c>
      <c r="C3668" s="11" t="s">
        <v>6550</v>
      </c>
      <c r="D3668" s="11">
        <v>18224</v>
      </c>
      <c r="E3668" s="11" t="s">
        <v>2126</v>
      </c>
      <c r="F3668" s="11" t="s">
        <v>26</v>
      </c>
      <c r="G3668" s="11">
        <v>112478</v>
      </c>
      <c r="H3668" s="12" t="s">
        <v>4446</v>
      </c>
      <c r="I3668" s="12" t="s">
        <v>27</v>
      </c>
      <c r="J3668" s="12" t="s">
        <v>47</v>
      </c>
      <c r="K3668" s="12" t="s">
        <v>48</v>
      </c>
      <c r="L3668" s="13">
        <v>35.799999999999997</v>
      </c>
      <c r="M3668" s="13">
        <v>24</v>
      </c>
      <c r="N3668" s="13">
        <f t="shared" si="1681"/>
        <v>1.4916666666666665</v>
      </c>
      <c r="O3668" s="13">
        <v>44</v>
      </c>
      <c r="P3668" s="13" t="s">
        <v>30</v>
      </c>
      <c r="Q3668" s="13">
        <v>0</v>
      </c>
      <c r="R3668" s="70">
        <f t="shared" ref="R3668" si="1689">+L3668*O3668</f>
        <v>1575.1999999999998</v>
      </c>
      <c r="S3668" s="70">
        <v>0</v>
      </c>
      <c r="T3668" s="70">
        <f>+L3668*S3668</f>
        <v>0</v>
      </c>
      <c r="U3668" s="70">
        <f>+R3668-T3668</f>
        <v>1575.1999999999998</v>
      </c>
      <c r="V3668" s="70">
        <f>+U3668*1</f>
        <v>1575.1999999999998</v>
      </c>
      <c r="W3668" s="70">
        <f>+U3668-V3668</f>
        <v>0</v>
      </c>
      <c r="X3668" s="70">
        <v>0</v>
      </c>
      <c r="Y3668" s="14">
        <f t="shared" si="1678"/>
        <v>0</v>
      </c>
      <c r="Z3668" s="11" t="s">
        <v>26</v>
      </c>
      <c r="AA3668" s="12" t="s">
        <v>31</v>
      </c>
    </row>
    <row r="3669" spans="1:27" x14ac:dyDescent="0.25">
      <c r="A3669" s="10">
        <v>45714</v>
      </c>
      <c r="B3669" s="11" t="s">
        <v>5433</v>
      </c>
      <c r="C3669" s="11" t="s">
        <v>6551</v>
      </c>
      <c r="D3669" s="11">
        <v>18225</v>
      </c>
      <c r="E3669" s="11" t="s">
        <v>501</v>
      </c>
      <c r="F3669" s="11" t="s">
        <v>26</v>
      </c>
      <c r="G3669" s="11" t="s">
        <v>26</v>
      </c>
      <c r="H3669" s="12" t="s">
        <v>4422</v>
      </c>
      <c r="I3669" s="12" t="s">
        <v>27</v>
      </c>
      <c r="J3669" s="12" t="s">
        <v>33</v>
      </c>
      <c r="K3669" s="12" t="s">
        <v>34</v>
      </c>
      <c r="L3669" s="13">
        <v>41.78</v>
      </c>
      <c r="M3669" s="13">
        <v>28</v>
      </c>
      <c r="N3669" s="13">
        <f>L3669/M3669</f>
        <v>1.4921428571428572</v>
      </c>
      <c r="O3669" s="13">
        <v>85</v>
      </c>
      <c r="P3669" s="13" t="s">
        <v>30</v>
      </c>
      <c r="Q3669" s="13">
        <v>0</v>
      </c>
      <c r="R3669" s="70">
        <f t="shared" ref="R3669" si="1690">L3669*O3669</f>
        <v>3551.3</v>
      </c>
      <c r="S3669" s="70">
        <v>38</v>
      </c>
      <c r="T3669" s="70">
        <f t="shared" ref="T3669" si="1691">L3669*S3669</f>
        <v>1587.64</v>
      </c>
      <c r="U3669" s="70">
        <f t="shared" ref="U3669" si="1692">R3669-T3669</f>
        <v>1963.66</v>
      </c>
      <c r="V3669" s="70">
        <f>U3669*1</f>
        <v>1963.66</v>
      </c>
      <c r="W3669" s="70">
        <f t="shared" ref="W3669" si="1693">U3669-V3669</f>
        <v>0</v>
      </c>
      <c r="X3669" s="70">
        <f>L3669*36</f>
        <v>1504.08</v>
      </c>
      <c r="Y3669" s="71">
        <f>+T3669-X3669</f>
        <v>83.560000000000173</v>
      </c>
      <c r="Z3669" s="12" t="s">
        <v>141</v>
      </c>
      <c r="AA3669" s="12" t="s">
        <v>78</v>
      </c>
    </row>
    <row r="3670" spans="1:27" x14ac:dyDescent="0.25">
      <c r="A3670" s="10">
        <v>45714</v>
      </c>
      <c r="B3670" s="11" t="s">
        <v>6552</v>
      </c>
      <c r="C3670" s="11" t="s">
        <v>6553</v>
      </c>
      <c r="D3670" s="11">
        <v>18226</v>
      </c>
      <c r="E3670" s="11" t="s">
        <v>552</v>
      </c>
      <c r="F3670" s="11" t="s">
        <v>26</v>
      </c>
      <c r="G3670" s="11">
        <v>44185</v>
      </c>
      <c r="H3670" s="12" t="s">
        <v>4423</v>
      </c>
      <c r="I3670" s="12" t="s">
        <v>27</v>
      </c>
      <c r="J3670" s="12" t="s">
        <v>47</v>
      </c>
      <c r="K3670" s="12" t="s">
        <v>48</v>
      </c>
      <c r="L3670" s="13">
        <v>36.22</v>
      </c>
      <c r="M3670" s="13">
        <v>25</v>
      </c>
      <c r="N3670" s="13">
        <f t="shared" ref="N3670:N3733" si="1694">L3670/M3670</f>
        <v>1.4487999999999999</v>
      </c>
      <c r="O3670" s="13">
        <v>46</v>
      </c>
      <c r="P3670" s="13" t="s">
        <v>30</v>
      </c>
      <c r="Q3670" s="13">
        <v>0</v>
      </c>
      <c r="R3670" s="70">
        <f t="shared" ref="R3670" si="1695">+L3670*O3670</f>
        <v>1666.12</v>
      </c>
      <c r="S3670" s="70">
        <v>0</v>
      </c>
      <c r="T3670" s="70">
        <f t="shared" ref="T3670" si="1696">+L3670*S3670</f>
        <v>0</v>
      </c>
      <c r="U3670" s="70">
        <f t="shared" ref="U3670" si="1697">+R3670-T3670</f>
        <v>1666.12</v>
      </c>
      <c r="V3670" s="70">
        <f>+U3670*1</f>
        <v>1666.12</v>
      </c>
      <c r="W3670" s="70">
        <f t="shared" ref="W3670" si="1698">+U3670-V3670</f>
        <v>0</v>
      </c>
      <c r="X3670" s="70">
        <v>0</v>
      </c>
      <c r="Y3670" s="14">
        <f t="shared" ref="Y3670:Y3671" si="1699">T3670-X3670</f>
        <v>0</v>
      </c>
      <c r="Z3670" s="11" t="s">
        <v>26</v>
      </c>
      <c r="AA3670" s="12" t="s">
        <v>31</v>
      </c>
    </row>
    <row r="3671" spans="1:27" x14ac:dyDescent="0.25">
      <c r="A3671" s="10">
        <v>45714</v>
      </c>
      <c r="B3671" s="11" t="s">
        <v>1488</v>
      </c>
      <c r="C3671" s="11" t="s">
        <v>6554</v>
      </c>
      <c r="D3671" s="11">
        <v>18227</v>
      </c>
      <c r="E3671" s="11" t="s">
        <v>32</v>
      </c>
      <c r="F3671" s="11" t="s">
        <v>26</v>
      </c>
      <c r="G3671" s="11">
        <v>1604</v>
      </c>
      <c r="H3671" s="12" t="s">
        <v>45</v>
      </c>
      <c r="I3671" s="12" t="s">
        <v>27</v>
      </c>
      <c r="J3671" s="12" t="s">
        <v>42</v>
      </c>
      <c r="K3671" s="12" t="s">
        <v>43</v>
      </c>
      <c r="L3671" s="13">
        <v>42.92</v>
      </c>
      <c r="M3671" s="13">
        <v>25</v>
      </c>
      <c r="N3671" s="13">
        <f t="shared" si="1694"/>
        <v>1.7168000000000001</v>
      </c>
      <c r="O3671" s="13" t="s">
        <v>30</v>
      </c>
      <c r="P3671" s="13">
        <v>62</v>
      </c>
      <c r="Q3671" s="13">
        <v>0</v>
      </c>
      <c r="R3671" s="70">
        <f>M3671*P3671</f>
        <v>1550</v>
      </c>
      <c r="S3671" s="70">
        <v>0</v>
      </c>
      <c r="T3671" s="70">
        <f>M3671*S3671</f>
        <v>0</v>
      </c>
      <c r="U3671" s="70">
        <f>R3671-T3671</f>
        <v>1550</v>
      </c>
      <c r="V3671" s="70">
        <f>U3671*0</f>
        <v>0</v>
      </c>
      <c r="W3671" s="70">
        <f>U3671-V3671</f>
        <v>1550</v>
      </c>
      <c r="X3671" s="70">
        <v>0</v>
      </c>
      <c r="Y3671" s="14">
        <f t="shared" si="1699"/>
        <v>0</v>
      </c>
      <c r="Z3671" s="11" t="s">
        <v>26</v>
      </c>
      <c r="AA3671" s="12" t="s">
        <v>31</v>
      </c>
    </row>
    <row r="3672" spans="1:27" x14ac:dyDescent="0.25">
      <c r="A3672" s="10">
        <v>45714</v>
      </c>
      <c r="B3672" s="11" t="s">
        <v>6555</v>
      </c>
      <c r="C3672" s="11" t="s">
        <v>6556</v>
      </c>
      <c r="D3672" s="11">
        <v>18228</v>
      </c>
      <c r="E3672" s="11" t="s">
        <v>98</v>
      </c>
      <c r="F3672" s="11" t="s">
        <v>26</v>
      </c>
      <c r="G3672" s="11" t="s">
        <v>26</v>
      </c>
      <c r="H3672" s="12" t="s">
        <v>4422</v>
      </c>
      <c r="I3672" s="12" t="s">
        <v>27</v>
      </c>
      <c r="J3672" s="12" t="s">
        <v>42</v>
      </c>
      <c r="K3672" s="12" t="s">
        <v>43</v>
      </c>
      <c r="L3672" s="13">
        <v>40.98</v>
      </c>
      <c r="M3672" s="13">
        <v>25</v>
      </c>
      <c r="N3672" s="13">
        <f t="shared" si="1694"/>
        <v>1.6391999999999998</v>
      </c>
      <c r="O3672" s="13">
        <v>83</v>
      </c>
      <c r="P3672" s="13" t="s">
        <v>30</v>
      </c>
      <c r="Q3672" s="13">
        <v>0</v>
      </c>
      <c r="R3672" s="70">
        <f>L3672*O3672</f>
        <v>3401.3399999999997</v>
      </c>
      <c r="S3672" s="70">
        <v>38</v>
      </c>
      <c r="T3672" s="70">
        <f>L3672*S3672</f>
        <v>1557.2399999999998</v>
      </c>
      <c r="U3672" s="70">
        <f>R3672-T3672</f>
        <v>1844.1</v>
      </c>
      <c r="V3672" s="70">
        <f>U3672*1</f>
        <v>1844.1</v>
      </c>
      <c r="W3672" s="70">
        <f>U3672-V3672</f>
        <v>0</v>
      </c>
      <c r="X3672" s="70">
        <f>L3672*36</f>
        <v>1475.28</v>
      </c>
      <c r="Y3672" s="71">
        <f>+T3672-X3672</f>
        <v>81.959999999999809</v>
      </c>
      <c r="Z3672" s="12" t="s">
        <v>140</v>
      </c>
      <c r="AA3672" s="12" t="s">
        <v>78</v>
      </c>
    </row>
    <row r="3673" spans="1:27" x14ac:dyDescent="0.25">
      <c r="A3673" s="10">
        <v>45714</v>
      </c>
      <c r="B3673" s="11" t="s">
        <v>1053</v>
      </c>
      <c r="C3673" s="11" t="s">
        <v>6557</v>
      </c>
      <c r="D3673" s="11">
        <v>18229</v>
      </c>
      <c r="E3673" s="11" t="s">
        <v>44</v>
      </c>
      <c r="F3673" s="11" t="s">
        <v>26</v>
      </c>
      <c r="G3673" s="11">
        <v>1677</v>
      </c>
      <c r="H3673" s="12" t="s">
        <v>45</v>
      </c>
      <c r="I3673" s="12" t="s">
        <v>27</v>
      </c>
      <c r="J3673" s="12" t="s">
        <v>42</v>
      </c>
      <c r="K3673" s="12" t="s">
        <v>43</v>
      </c>
      <c r="L3673" s="13">
        <v>42.46</v>
      </c>
      <c r="M3673" s="13">
        <v>25</v>
      </c>
      <c r="N3673" s="13">
        <f t="shared" si="1694"/>
        <v>1.6984000000000001</v>
      </c>
      <c r="O3673" s="13" t="s">
        <v>30</v>
      </c>
      <c r="P3673" s="13">
        <v>62</v>
      </c>
      <c r="Q3673" s="13">
        <v>0</v>
      </c>
      <c r="R3673" s="70">
        <f>M3673*P3673</f>
        <v>1550</v>
      </c>
      <c r="S3673" s="70">
        <v>0</v>
      </c>
      <c r="T3673" s="70">
        <f>M3673*S3673</f>
        <v>0</v>
      </c>
      <c r="U3673" s="70">
        <f>R3673-T3673</f>
        <v>1550</v>
      </c>
      <c r="V3673" s="70">
        <f>U3673*0</f>
        <v>0</v>
      </c>
      <c r="W3673" s="70">
        <f>U3673-V3673</f>
        <v>1550</v>
      </c>
      <c r="X3673" s="70">
        <v>0</v>
      </c>
      <c r="Y3673" s="14">
        <f t="shared" ref="Y3673:Y3674" si="1700">T3673-X3673</f>
        <v>0</v>
      </c>
      <c r="Z3673" s="11" t="s">
        <v>26</v>
      </c>
      <c r="AA3673" s="12" t="s">
        <v>31</v>
      </c>
    </row>
    <row r="3674" spans="1:27" x14ac:dyDescent="0.25">
      <c r="A3674" s="10">
        <v>45714</v>
      </c>
      <c r="B3674" s="11" t="s">
        <v>6558</v>
      </c>
      <c r="C3674" s="11" t="s">
        <v>6559</v>
      </c>
      <c r="D3674" s="11">
        <v>18230</v>
      </c>
      <c r="E3674" s="11" t="s">
        <v>50</v>
      </c>
      <c r="F3674" s="11" t="s">
        <v>26</v>
      </c>
      <c r="G3674" s="11">
        <v>770</v>
      </c>
      <c r="H3674" s="12" t="s">
        <v>163</v>
      </c>
      <c r="I3674" s="12" t="s">
        <v>27</v>
      </c>
      <c r="J3674" s="12" t="s">
        <v>47</v>
      </c>
      <c r="K3674" s="12" t="s">
        <v>48</v>
      </c>
      <c r="L3674" s="13">
        <v>35.64</v>
      </c>
      <c r="M3674" s="13">
        <v>25</v>
      </c>
      <c r="N3674" s="13">
        <f t="shared" si="1694"/>
        <v>1.4256</v>
      </c>
      <c r="O3674" s="13" t="s">
        <v>30</v>
      </c>
      <c r="P3674" s="13">
        <v>60</v>
      </c>
      <c r="Q3674" s="13">
        <v>0</v>
      </c>
      <c r="R3674" s="70">
        <f>M3674*P3674</f>
        <v>1500</v>
      </c>
      <c r="S3674" s="70">
        <v>0</v>
      </c>
      <c r="T3674" s="70">
        <f>M3674*S3674</f>
        <v>0</v>
      </c>
      <c r="U3674" s="70">
        <f>R3674-T3674</f>
        <v>1500</v>
      </c>
      <c r="V3674" s="70">
        <f>U3674*0</f>
        <v>0</v>
      </c>
      <c r="W3674" s="70">
        <f>U3674-V3674</f>
        <v>1500</v>
      </c>
      <c r="X3674" s="70">
        <v>0</v>
      </c>
      <c r="Y3674" s="14">
        <f t="shared" si="1700"/>
        <v>0</v>
      </c>
      <c r="Z3674" s="11" t="s">
        <v>26</v>
      </c>
      <c r="AA3674" s="12" t="s">
        <v>31</v>
      </c>
    </row>
    <row r="3675" spans="1:27" x14ac:dyDescent="0.25">
      <c r="A3675" s="10">
        <v>45714</v>
      </c>
      <c r="B3675" s="11" t="s">
        <v>6560</v>
      </c>
      <c r="C3675" s="11" t="s">
        <v>6561</v>
      </c>
      <c r="D3675" s="11">
        <v>18231</v>
      </c>
      <c r="E3675" s="11" t="s">
        <v>81</v>
      </c>
      <c r="F3675" s="11" t="s">
        <v>26</v>
      </c>
      <c r="G3675" s="11" t="s">
        <v>26</v>
      </c>
      <c r="H3675" s="12" t="s">
        <v>4422</v>
      </c>
      <c r="I3675" s="12" t="s">
        <v>27</v>
      </c>
      <c r="J3675" s="12" t="s">
        <v>33</v>
      </c>
      <c r="K3675" s="12" t="s">
        <v>34</v>
      </c>
      <c r="L3675" s="13">
        <v>41.4</v>
      </c>
      <c r="M3675" s="13">
        <v>28</v>
      </c>
      <c r="N3675" s="13">
        <f t="shared" si="1694"/>
        <v>1.4785714285714284</v>
      </c>
      <c r="O3675" s="13">
        <v>85</v>
      </c>
      <c r="P3675" s="13" t="s">
        <v>30</v>
      </c>
      <c r="Q3675" s="13">
        <v>0</v>
      </c>
      <c r="R3675" s="70">
        <f t="shared" ref="R3675" si="1701">L3675*O3675</f>
        <v>3519</v>
      </c>
      <c r="S3675" s="70">
        <v>38</v>
      </c>
      <c r="T3675" s="70">
        <f t="shared" ref="T3675" si="1702">L3675*S3675</f>
        <v>1573.2</v>
      </c>
      <c r="U3675" s="70">
        <f t="shared" ref="U3675" si="1703">R3675-T3675</f>
        <v>1945.8</v>
      </c>
      <c r="V3675" s="70">
        <f>U3675*1</f>
        <v>1945.8</v>
      </c>
      <c r="W3675" s="70">
        <f t="shared" ref="W3675" si="1704">U3675-V3675</f>
        <v>0</v>
      </c>
      <c r="X3675" s="70">
        <f>L3675*36</f>
        <v>1490.3999999999999</v>
      </c>
      <c r="Y3675" s="71">
        <f>+T3675-X3675</f>
        <v>82.800000000000182</v>
      </c>
      <c r="Z3675" s="12" t="s">
        <v>141</v>
      </c>
      <c r="AA3675" s="12" t="s">
        <v>78</v>
      </c>
    </row>
    <row r="3676" spans="1:27" x14ac:dyDescent="0.25">
      <c r="A3676" s="10">
        <v>45714</v>
      </c>
      <c r="B3676" s="11" t="s">
        <v>6048</v>
      </c>
      <c r="C3676" s="11" t="s">
        <v>6562</v>
      </c>
      <c r="D3676" s="11">
        <v>18232</v>
      </c>
      <c r="E3676" s="11" t="s">
        <v>246</v>
      </c>
      <c r="F3676" s="11" t="s">
        <v>26</v>
      </c>
      <c r="G3676" s="11">
        <v>3430</v>
      </c>
      <c r="H3676" s="12" t="s">
        <v>41</v>
      </c>
      <c r="I3676" s="12" t="s">
        <v>55</v>
      </c>
      <c r="J3676" s="12" t="s">
        <v>55</v>
      </c>
      <c r="K3676" s="12" t="s">
        <v>56</v>
      </c>
      <c r="L3676" s="13">
        <v>39.82</v>
      </c>
      <c r="M3676" s="13">
        <v>23</v>
      </c>
      <c r="N3676" s="13">
        <f t="shared" si="1694"/>
        <v>1.731304347826087</v>
      </c>
      <c r="O3676" s="13" t="s">
        <v>30</v>
      </c>
      <c r="P3676" s="13">
        <v>24</v>
      </c>
      <c r="Q3676" s="13">
        <v>0</v>
      </c>
      <c r="R3676" s="70">
        <f>+M3676*P3676</f>
        <v>552</v>
      </c>
      <c r="S3676" s="70">
        <v>0</v>
      </c>
      <c r="T3676" s="70">
        <f>+M3676*S3676</f>
        <v>0</v>
      </c>
      <c r="U3676" s="70">
        <f t="shared" ref="U3676" si="1705">+R3676-T3676</f>
        <v>552</v>
      </c>
      <c r="V3676" s="70">
        <f>+U3676*0</f>
        <v>0</v>
      </c>
      <c r="W3676" s="70">
        <f t="shared" ref="W3676" si="1706">+U3676-V3676</f>
        <v>552</v>
      </c>
      <c r="X3676" s="70">
        <v>0</v>
      </c>
      <c r="Y3676" s="14">
        <f t="shared" ref="Y3676:Y3692" si="1707">T3676-X3676</f>
        <v>0</v>
      </c>
      <c r="Z3676" s="11" t="s">
        <v>26</v>
      </c>
      <c r="AA3676" s="12" t="s">
        <v>31</v>
      </c>
    </row>
    <row r="3677" spans="1:27" x14ac:dyDescent="0.25">
      <c r="A3677" s="10">
        <v>45714</v>
      </c>
      <c r="B3677" s="11" t="s">
        <v>6563</v>
      </c>
      <c r="C3677" s="11" t="s">
        <v>6564</v>
      </c>
      <c r="D3677" s="11">
        <v>18233</v>
      </c>
      <c r="E3677" s="11" t="s">
        <v>605</v>
      </c>
      <c r="F3677" s="11" t="s">
        <v>26</v>
      </c>
      <c r="G3677" s="11">
        <v>1074</v>
      </c>
      <c r="H3677" s="12" t="s">
        <v>141</v>
      </c>
      <c r="I3677" s="12" t="s">
        <v>27</v>
      </c>
      <c r="J3677" s="12" t="s">
        <v>42</v>
      </c>
      <c r="K3677" s="12" t="s">
        <v>43</v>
      </c>
      <c r="L3677" s="13">
        <v>42.22</v>
      </c>
      <c r="M3677" s="13">
        <v>25</v>
      </c>
      <c r="N3677" s="13">
        <f t="shared" si="1694"/>
        <v>1.6887999999999999</v>
      </c>
      <c r="O3677" s="13">
        <v>40</v>
      </c>
      <c r="P3677" s="13" t="s">
        <v>30</v>
      </c>
      <c r="Q3677" s="13">
        <v>0</v>
      </c>
      <c r="R3677" s="70">
        <f>L3677*O3677</f>
        <v>1688.8</v>
      </c>
      <c r="S3677" s="70">
        <v>0</v>
      </c>
      <c r="T3677" s="70">
        <f>L3677*S3677</f>
        <v>0</v>
      </c>
      <c r="U3677" s="70">
        <f>R3677-T3677</f>
        <v>1688.8</v>
      </c>
      <c r="V3677" s="70">
        <f>U3677*0</f>
        <v>0</v>
      </c>
      <c r="W3677" s="70">
        <f>U3677-V3677</f>
        <v>1688.8</v>
      </c>
      <c r="X3677" s="70">
        <v>0</v>
      </c>
      <c r="Y3677" s="14">
        <f t="shared" si="1707"/>
        <v>0</v>
      </c>
      <c r="Z3677" s="11" t="s">
        <v>26</v>
      </c>
      <c r="AA3677" s="12" t="s">
        <v>31</v>
      </c>
    </row>
    <row r="3678" spans="1:27" x14ac:dyDescent="0.25">
      <c r="A3678" s="10">
        <v>45714</v>
      </c>
      <c r="B3678" s="11" t="s">
        <v>6565</v>
      </c>
      <c r="C3678" s="11" t="s">
        <v>6566</v>
      </c>
      <c r="D3678" s="11">
        <v>18234</v>
      </c>
      <c r="E3678" s="11" t="s">
        <v>57</v>
      </c>
      <c r="F3678" s="11" t="s">
        <v>26</v>
      </c>
      <c r="G3678" s="11">
        <v>3326</v>
      </c>
      <c r="H3678" s="12" t="s">
        <v>41</v>
      </c>
      <c r="I3678" s="12" t="s">
        <v>55</v>
      </c>
      <c r="J3678" s="12" t="s">
        <v>566</v>
      </c>
      <c r="K3678" s="12" t="s">
        <v>550</v>
      </c>
      <c r="L3678" s="13">
        <v>40.700000000000003</v>
      </c>
      <c r="M3678" s="13">
        <v>25</v>
      </c>
      <c r="N3678" s="13">
        <f t="shared" si="1694"/>
        <v>1.6280000000000001</v>
      </c>
      <c r="O3678" s="13">
        <v>25</v>
      </c>
      <c r="P3678" s="13"/>
      <c r="Q3678" s="13">
        <v>0</v>
      </c>
      <c r="R3678" s="70">
        <f>L3678*O3678</f>
        <v>1017.5000000000001</v>
      </c>
      <c r="S3678" s="70">
        <v>0</v>
      </c>
      <c r="T3678" s="70">
        <f t="shared" ref="T3678" si="1708">L3678*S3678</f>
        <v>0</v>
      </c>
      <c r="U3678" s="70">
        <f>R3678-T3678</f>
        <v>1017.5000000000001</v>
      </c>
      <c r="V3678" s="70">
        <f>U3678*0</f>
        <v>0</v>
      </c>
      <c r="W3678" s="70">
        <f>U3678-V3678</f>
        <v>1017.5000000000001</v>
      </c>
      <c r="X3678" s="70">
        <v>0</v>
      </c>
      <c r="Y3678" s="14">
        <f t="shared" si="1707"/>
        <v>0</v>
      </c>
      <c r="Z3678" s="11" t="s">
        <v>26</v>
      </c>
      <c r="AA3678" s="12" t="s">
        <v>31</v>
      </c>
    </row>
    <row r="3679" spans="1:27" x14ac:dyDescent="0.25">
      <c r="A3679" s="10">
        <v>45714</v>
      </c>
      <c r="B3679" s="11" t="s">
        <v>3368</v>
      </c>
      <c r="C3679" s="11" t="s">
        <v>6567</v>
      </c>
      <c r="D3679" s="11">
        <v>18235</v>
      </c>
      <c r="E3679" s="11" t="s">
        <v>461</v>
      </c>
      <c r="F3679" s="11" t="s">
        <v>26</v>
      </c>
      <c r="G3679" s="11" t="s">
        <v>35</v>
      </c>
      <c r="H3679" s="12" t="s">
        <v>36</v>
      </c>
      <c r="I3679" s="12" t="s">
        <v>55</v>
      </c>
      <c r="J3679" s="12" t="s">
        <v>55</v>
      </c>
      <c r="K3679" s="12" t="s">
        <v>56</v>
      </c>
      <c r="L3679" s="13">
        <v>31.4</v>
      </c>
      <c r="M3679" s="13">
        <v>20</v>
      </c>
      <c r="N3679" s="13">
        <f t="shared" si="1694"/>
        <v>1.5699999999999998</v>
      </c>
      <c r="O3679" s="13">
        <v>20</v>
      </c>
      <c r="P3679" s="13" t="s">
        <v>30</v>
      </c>
      <c r="Q3679" s="13">
        <v>0</v>
      </c>
      <c r="R3679" s="70">
        <f>(L3679*O3679)-Q3679</f>
        <v>628</v>
      </c>
      <c r="S3679" s="70">
        <v>0</v>
      </c>
      <c r="T3679" s="70">
        <f t="shared" ref="T3679" si="1709">+L3679*S3679</f>
        <v>0</v>
      </c>
      <c r="U3679" s="70">
        <f t="shared" ref="U3679:U3680" si="1710">+R3679-T3679</f>
        <v>628</v>
      </c>
      <c r="V3679" s="70">
        <f t="shared" ref="V3679" si="1711">+U3679*0</f>
        <v>0</v>
      </c>
      <c r="W3679" s="70">
        <f t="shared" ref="W3679:W3680" si="1712">+U3679-V3679</f>
        <v>628</v>
      </c>
      <c r="X3679" s="70">
        <v>0</v>
      </c>
      <c r="Y3679" s="14">
        <f t="shared" si="1707"/>
        <v>0</v>
      </c>
      <c r="Z3679" s="11" t="s">
        <v>26</v>
      </c>
      <c r="AA3679" s="12" t="s">
        <v>31</v>
      </c>
    </row>
    <row r="3680" spans="1:27" x14ac:dyDescent="0.25">
      <c r="A3680" s="10">
        <v>45714</v>
      </c>
      <c r="B3680" s="11" t="s">
        <v>6568</v>
      </c>
      <c r="C3680" s="11" t="s">
        <v>6569</v>
      </c>
      <c r="D3680" s="11">
        <v>18236</v>
      </c>
      <c r="E3680" s="11" t="s">
        <v>539</v>
      </c>
      <c r="F3680" s="11" t="s">
        <v>26</v>
      </c>
      <c r="G3680" s="11">
        <v>3379</v>
      </c>
      <c r="H3680" s="12" t="s">
        <v>41</v>
      </c>
      <c r="I3680" s="12" t="s">
        <v>27</v>
      </c>
      <c r="J3680" s="12" t="s">
        <v>33</v>
      </c>
      <c r="K3680" s="12" t="s">
        <v>34</v>
      </c>
      <c r="L3680" s="13">
        <v>38.4</v>
      </c>
      <c r="M3680" s="13">
        <v>25</v>
      </c>
      <c r="N3680" s="13">
        <f t="shared" si="1694"/>
        <v>1.536</v>
      </c>
      <c r="O3680" s="13" t="s">
        <v>30</v>
      </c>
      <c r="P3680" s="13">
        <v>60</v>
      </c>
      <c r="Q3680" s="13">
        <v>0</v>
      </c>
      <c r="R3680" s="70">
        <f>M3680*P3680</f>
        <v>1500</v>
      </c>
      <c r="S3680" s="70">
        <v>0</v>
      </c>
      <c r="T3680" s="70">
        <f>M3680*S3680</f>
        <v>0</v>
      </c>
      <c r="U3680" s="70">
        <f t="shared" si="1710"/>
        <v>1500</v>
      </c>
      <c r="V3680" s="70">
        <f>+U3680*0</f>
        <v>0</v>
      </c>
      <c r="W3680" s="70">
        <f t="shared" si="1712"/>
        <v>1500</v>
      </c>
      <c r="X3680" s="70">
        <v>0</v>
      </c>
      <c r="Y3680" s="14">
        <f t="shared" si="1707"/>
        <v>0</v>
      </c>
      <c r="Z3680" s="11" t="s">
        <v>26</v>
      </c>
      <c r="AA3680" s="12" t="s">
        <v>31</v>
      </c>
    </row>
    <row r="3681" spans="1:27" x14ac:dyDescent="0.25">
      <c r="A3681" s="10">
        <v>45714</v>
      </c>
      <c r="B3681" s="11" t="s">
        <v>394</v>
      </c>
      <c r="C3681" s="11" t="s">
        <v>6570</v>
      </c>
      <c r="D3681" s="11">
        <v>18237</v>
      </c>
      <c r="E3681" s="11" t="s">
        <v>479</v>
      </c>
      <c r="F3681" s="11" t="s">
        <v>26</v>
      </c>
      <c r="G3681" s="11">
        <v>78051</v>
      </c>
      <c r="H3681" s="12" t="s">
        <v>4448</v>
      </c>
      <c r="I3681" s="12" t="s">
        <v>27</v>
      </c>
      <c r="J3681" s="12" t="s">
        <v>42</v>
      </c>
      <c r="K3681" s="12" t="s">
        <v>43</v>
      </c>
      <c r="L3681" s="13">
        <v>42.02</v>
      </c>
      <c r="M3681" s="13">
        <v>25</v>
      </c>
      <c r="N3681" s="13">
        <f t="shared" si="1694"/>
        <v>1.6808000000000001</v>
      </c>
      <c r="O3681" s="13">
        <v>42.5</v>
      </c>
      <c r="P3681" s="13"/>
      <c r="Q3681" s="13">
        <v>0</v>
      </c>
      <c r="R3681" s="70">
        <f>+L3681*O3681</f>
        <v>1785.8500000000001</v>
      </c>
      <c r="S3681" s="70">
        <v>0</v>
      </c>
      <c r="T3681" s="70">
        <f>+L3681*S3681</f>
        <v>0</v>
      </c>
      <c r="U3681" s="70">
        <f>+R3681-T3681</f>
        <v>1785.8500000000001</v>
      </c>
      <c r="V3681" s="70">
        <f>+U3681*0.75</f>
        <v>1339.3875</v>
      </c>
      <c r="W3681" s="70">
        <f>+U3681-V3681</f>
        <v>446.46250000000009</v>
      </c>
      <c r="X3681" s="70">
        <v>0</v>
      </c>
      <c r="Y3681" s="14">
        <f t="shared" si="1707"/>
        <v>0</v>
      </c>
      <c r="Z3681" s="11" t="s">
        <v>26</v>
      </c>
      <c r="AA3681" s="12" t="s">
        <v>31</v>
      </c>
    </row>
    <row r="3682" spans="1:27" x14ac:dyDescent="0.25">
      <c r="A3682" s="10">
        <v>45714</v>
      </c>
      <c r="B3682" s="11" t="s">
        <v>6571</v>
      </c>
      <c r="C3682" s="11" t="s">
        <v>6572</v>
      </c>
      <c r="D3682" s="11">
        <v>18238</v>
      </c>
      <c r="E3682" s="11" t="s">
        <v>482</v>
      </c>
      <c r="F3682" s="11" t="s">
        <v>26</v>
      </c>
      <c r="G3682" s="11">
        <v>78052</v>
      </c>
      <c r="H3682" s="12" t="s">
        <v>4448</v>
      </c>
      <c r="I3682" s="12" t="s">
        <v>27</v>
      </c>
      <c r="J3682" s="12" t="s">
        <v>42</v>
      </c>
      <c r="K3682" s="12" t="s">
        <v>43</v>
      </c>
      <c r="L3682" s="13">
        <v>41.48</v>
      </c>
      <c r="M3682" s="13">
        <v>25</v>
      </c>
      <c r="N3682" s="13">
        <f t="shared" si="1694"/>
        <v>1.6591999999999998</v>
      </c>
      <c r="O3682" s="13">
        <v>42.5</v>
      </c>
      <c r="P3682" s="13"/>
      <c r="Q3682" s="13">
        <v>0</v>
      </c>
      <c r="R3682" s="70">
        <f>+L3682*O3682</f>
        <v>1762.8999999999999</v>
      </c>
      <c r="S3682" s="70">
        <v>0</v>
      </c>
      <c r="T3682" s="70">
        <f>+L3682*S3682</f>
        <v>0</v>
      </c>
      <c r="U3682" s="70">
        <f>+R3682-T3682</f>
        <v>1762.8999999999999</v>
      </c>
      <c r="V3682" s="70">
        <f>+U3682*0.75</f>
        <v>1322.175</v>
      </c>
      <c r="W3682" s="70">
        <f>+U3682-V3682</f>
        <v>440.72499999999991</v>
      </c>
      <c r="X3682" s="70">
        <v>0</v>
      </c>
      <c r="Y3682" s="14">
        <f t="shared" si="1707"/>
        <v>0</v>
      </c>
      <c r="Z3682" s="11" t="s">
        <v>26</v>
      </c>
      <c r="AA3682" s="12" t="s">
        <v>31</v>
      </c>
    </row>
    <row r="3683" spans="1:27" x14ac:dyDescent="0.25">
      <c r="A3683" s="10">
        <v>45714</v>
      </c>
      <c r="B3683" s="11" t="s">
        <v>6573</v>
      </c>
      <c r="C3683" s="11" t="s">
        <v>6574</v>
      </c>
      <c r="D3683" s="11">
        <v>18239</v>
      </c>
      <c r="E3683" s="11" t="s">
        <v>484</v>
      </c>
      <c r="F3683" s="11" t="s">
        <v>26</v>
      </c>
      <c r="G3683" s="11">
        <v>10044</v>
      </c>
      <c r="H3683" s="12" t="s">
        <v>140</v>
      </c>
      <c r="I3683" s="12" t="s">
        <v>27</v>
      </c>
      <c r="J3683" s="12" t="s">
        <v>33</v>
      </c>
      <c r="K3683" s="12" t="s">
        <v>34</v>
      </c>
      <c r="L3683" s="13">
        <v>45.04</v>
      </c>
      <c r="M3683" s="13">
        <v>31</v>
      </c>
      <c r="N3683" s="13">
        <f t="shared" si="1694"/>
        <v>1.4529032258064516</v>
      </c>
      <c r="O3683" s="13">
        <v>40</v>
      </c>
      <c r="P3683" s="13"/>
      <c r="Q3683" s="13">
        <v>0</v>
      </c>
      <c r="R3683" s="70">
        <f>+L3683*O3683</f>
        <v>1801.6</v>
      </c>
      <c r="S3683" s="70">
        <v>0</v>
      </c>
      <c r="T3683" s="70">
        <f>+L3683*S3683</f>
        <v>0</v>
      </c>
      <c r="U3683" s="70">
        <f>+R3683-T3683</f>
        <v>1801.6</v>
      </c>
      <c r="V3683" s="70">
        <f t="shared" ref="V3683" si="1713">+U3683*0</f>
        <v>0</v>
      </c>
      <c r="W3683" s="70">
        <f>+U3683-V3683</f>
        <v>1801.6</v>
      </c>
      <c r="X3683" s="70">
        <v>0</v>
      </c>
      <c r="Y3683" s="14">
        <f t="shared" si="1707"/>
        <v>0</v>
      </c>
      <c r="Z3683" s="11" t="s">
        <v>26</v>
      </c>
      <c r="AA3683" s="12" t="s">
        <v>31</v>
      </c>
    </row>
    <row r="3684" spans="1:27" x14ac:dyDescent="0.25">
      <c r="A3684" s="10">
        <v>45714</v>
      </c>
      <c r="B3684" s="11" t="s">
        <v>6575</v>
      </c>
      <c r="C3684" s="11" t="s">
        <v>6576</v>
      </c>
      <c r="D3684" s="11">
        <v>18240</v>
      </c>
      <c r="E3684" s="11" t="s">
        <v>1200</v>
      </c>
      <c r="F3684" s="11" t="s">
        <v>26</v>
      </c>
      <c r="G3684" s="11">
        <v>2993</v>
      </c>
      <c r="H3684" s="12" t="s">
        <v>163</v>
      </c>
      <c r="I3684" s="12" t="s">
        <v>27</v>
      </c>
      <c r="J3684" s="12" t="s">
        <v>42</v>
      </c>
      <c r="K3684" s="12" t="s">
        <v>43</v>
      </c>
      <c r="L3684" s="13">
        <v>41.88</v>
      </c>
      <c r="M3684" s="13">
        <v>25</v>
      </c>
      <c r="N3684" s="13">
        <f t="shared" si="1694"/>
        <v>1.6752</v>
      </c>
      <c r="O3684" s="13" t="s">
        <v>30</v>
      </c>
      <c r="P3684" s="13">
        <v>64</v>
      </c>
      <c r="Q3684" s="13">
        <v>0</v>
      </c>
      <c r="R3684" s="70">
        <f>M3684*P3684</f>
        <v>1600</v>
      </c>
      <c r="S3684" s="70">
        <v>0</v>
      </c>
      <c r="T3684" s="70">
        <f>M3684*S3684</f>
        <v>0</v>
      </c>
      <c r="U3684" s="70">
        <f>R3684-T3684</f>
        <v>1600</v>
      </c>
      <c r="V3684" s="70">
        <f t="shared" ref="V3684" si="1714">U3684*0</f>
        <v>0</v>
      </c>
      <c r="W3684" s="70">
        <f t="shared" ref="W3684" si="1715">U3684-V3684</f>
        <v>1600</v>
      </c>
      <c r="X3684" s="70">
        <v>0</v>
      </c>
      <c r="Y3684" s="14">
        <f t="shared" si="1707"/>
        <v>0</v>
      </c>
      <c r="Z3684" s="11" t="s">
        <v>26</v>
      </c>
      <c r="AA3684" s="12" t="s">
        <v>31</v>
      </c>
    </row>
    <row r="3685" spans="1:27" x14ac:dyDescent="0.25">
      <c r="A3685" s="10">
        <v>45714</v>
      </c>
      <c r="B3685" s="11" t="s">
        <v>351</v>
      </c>
      <c r="C3685" s="11" t="s">
        <v>6577</v>
      </c>
      <c r="D3685" s="11">
        <v>18241</v>
      </c>
      <c r="E3685" s="11" t="s">
        <v>520</v>
      </c>
      <c r="F3685" s="11" t="s">
        <v>26</v>
      </c>
      <c r="G3685" s="11">
        <v>10457</v>
      </c>
      <c r="H3685" s="12" t="s">
        <v>140</v>
      </c>
      <c r="I3685" s="12" t="s">
        <v>27</v>
      </c>
      <c r="J3685" s="12" t="s">
        <v>42</v>
      </c>
      <c r="K3685" s="12" t="s">
        <v>43</v>
      </c>
      <c r="L3685" s="13">
        <v>42.52</v>
      </c>
      <c r="M3685" s="13">
        <v>25</v>
      </c>
      <c r="N3685" s="13">
        <f t="shared" si="1694"/>
        <v>1.7008000000000001</v>
      </c>
      <c r="O3685" s="13">
        <v>35</v>
      </c>
      <c r="P3685" s="13"/>
      <c r="Q3685" s="13">
        <v>0</v>
      </c>
      <c r="R3685" s="70">
        <f>+L3685*O3685</f>
        <v>1488.2</v>
      </c>
      <c r="S3685" s="70">
        <v>0</v>
      </c>
      <c r="T3685" s="70">
        <f>+L3685*S3685</f>
        <v>0</v>
      </c>
      <c r="U3685" s="70">
        <f>+R3685-T3685</f>
        <v>1488.2</v>
      </c>
      <c r="V3685" s="70">
        <f t="shared" ref="V3685" si="1716">+U3685*0</f>
        <v>0</v>
      </c>
      <c r="W3685" s="70">
        <f>+U3685-V3685</f>
        <v>1488.2</v>
      </c>
      <c r="X3685" s="70">
        <v>0</v>
      </c>
      <c r="Y3685" s="14">
        <f t="shared" si="1707"/>
        <v>0</v>
      </c>
      <c r="Z3685" s="11" t="s">
        <v>26</v>
      </c>
      <c r="AA3685" s="12" t="s">
        <v>31</v>
      </c>
    </row>
    <row r="3686" spans="1:27" x14ac:dyDescent="0.25">
      <c r="A3686" s="10">
        <v>45714</v>
      </c>
      <c r="B3686" s="11" t="s">
        <v>6536</v>
      </c>
      <c r="C3686" s="11" t="s">
        <v>6578</v>
      </c>
      <c r="D3686" s="11">
        <v>18242</v>
      </c>
      <c r="E3686" s="11" t="s">
        <v>435</v>
      </c>
      <c r="F3686" s="11" t="s">
        <v>26</v>
      </c>
      <c r="G3686" s="11">
        <v>2795</v>
      </c>
      <c r="H3686" s="12" t="s">
        <v>41</v>
      </c>
      <c r="I3686" s="12" t="s">
        <v>55</v>
      </c>
      <c r="J3686" s="12" t="s">
        <v>55</v>
      </c>
      <c r="K3686" s="12" t="s">
        <v>56</v>
      </c>
      <c r="L3686" s="13">
        <v>39.020000000000003</v>
      </c>
      <c r="M3686" s="13">
        <v>23</v>
      </c>
      <c r="N3686" s="13">
        <f t="shared" si="1694"/>
        <v>1.696521739130435</v>
      </c>
      <c r="O3686" s="13" t="s">
        <v>30</v>
      </c>
      <c r="P3686" s="13">
        <v>24</v>
      </c>
      <c r="Q3686" s="13">
        <v>0</v>
      </c>
      <c r="R3686" s="70">
        <f>+M3686*P3686</f>
        <v>552</v>
      </c>
      <c r="S3686" s="70">
        <v>0</v>
      </c>
      <c r="T3686" s="70">
        <f>+M3686*S3686</f>
        <v>0</v>
      </c>
      <c r="U3686" s="70">
        <f t="shared" ref="U3686" si="1717">+R3686-T3686</f>
        <v>552</v>
      </c>
      <c r="V3686" s="70">
        <f>+U3686*0</f>
        <v>0</v>
      </c>
      <c r="W3686" s="70">
        <f t="shared" ref="W3686" si="1718">+U3686-V3686</f>
        <v>552</v>
      </c>
      <c r="X3686" s="70">
        <v>0</v>
      </c>
      <c r="Y3686" s="14">
        <f t="shared" si="1707"/>
        <v>0</v>
      </c>
      <c r="Z3686" s="11" t="s">
        <v>26</v>
      </c>
      <c r="AA3686" s="12" t="s">
        <v>31</v>
      </c>
    </row>
    <row r="3687" spans="1:27" x14ac:dyDescent="0.25">
      <c r="A3687" s="10">
        <v>45714</v>
      </c>
      <c r="B3687" s="11" t="s">
        <v>112</v>
      </c>
      <c r="C3687" s="11" t="s">
        <v>6579</v>
      </c>
      <c r="D3687" s="11">
        <v>18243</v>
      </c>
      <c r="E3687" s="11" t="s">
        <v>2109</v>
      </c>
      <c r="F3687" s="11" t="s">
        <v>26</v>
      </c>
      <c r="G3687" s="11">
        <v>10635</v>
      </c>
      <c r="H3687" s="12" t="s">
        <v>140</v>
      </c>
      <c r="I3687" s="12" t="s">
        <v>27</v>
      </c>
      <c r="J3687" s="12" t="s">
        <v>42</v>
      </c>
      <c r="K3687" s="12" t="s">
        <v>43</v>
      </c>
      <c r="L3687" s="13">
        <v>42.54</v>
      </c>
      <c r="M3687" s="13">
        <v>25</v>
      </c>
      <c r="N3687" s="13">
        <f t="shared" si="1694"/>
        <v>1.7016</v>
      </c>
      <c r="O3687" s="13">
        <v>35</v>
      </c>
      <c r="P3687" s="13"/>
      <c r="Q3687" s="13">
        <v>0</v>
      </c>
      <c r="R3687" s="70">
        <f>+L3687*O3687</f>
        <v>1488.8999999999999</v>
      </c>
      <c r="S3687" s="70">
        <v>0</v>
      </c>
      <c r="T3687" s="70">
        <f>+L3687*S3687</f>
        <v>0</v>
      </c>
      <c r="U3687" s="70">
        <f>+R3687-T3687</f>
        <v>1488.8999999999999</v>
      </c>
      <c r="V3687" s="70">
        <f t="shared" ref="V3687:V3688" si="1719">+U3687*0</f>
        <v>0</v>
      </c>
      <c r="W3687" s="70">
        <f>+U3687-V3687</f>
        <v>1488.8999999999999</v>
      </c>
      <c r="X3687" s="70">
        <v>0</v>
      </c>
      <c r="Y3687" s="14">
        <f t="shared" si="1707"/>
        <v>0</v>
      </c>
      <c r="Z3687" s="11" t="s">
        <v>26</v>
      </c>
      <c r="AA3687" s="12" t="s">
        <v>31</v>
      </c>
    </row>
    <row r="3688" spans="1:27" x14ac:dyDescent="0.25">
      <c r="A3688" s="10">
        <v>45714</v>
      </c>
      <c r="B3688" s="11" t="s">
        <v>6580</v>
      </c>
      <c r="C3688" s="11" t="s">
        <v>6581</v>
      </c>
      <c r="D3688" s="11">
        <v>18244</v>
      </c>
      <c r="E3688" s="11" t="s">
        <v>6582</v>
      </c>
      <c r="F3688" s="11" t="s">
        <v>26</v>
      </c>
      <c r="G3688" s="11" t="s">
        <v>35</v>
      </c>
      <c r="H3688" s="12" t="s">
        <v>36</v>
      </c>
      <c r="I3688" s="12" t="s">
        <v>55</v>
      </c>
      <c r="J3688" s="12" t="s">
        <v>55</v>
      </c>
      <c r="K3688" s="12" t="s">
        <v>56</v>
      </c>
      <c r="L3688" s="13">
        <v>31.44</v>
      </c>
      <c r="M3688" s="13">
        <v>20</v>
      </c>
      <c r="N3688" s="13">
        <f t="shared" si="1694"/>
        <v>1.5720000000000001</v>
      </c>
      <c r="O3688" s="13">
        <v>20</v>
      </c>
      <c r="P3688" s="13" t="s">
        <v>30</v>
      </c>
      <c r="Q3688" s="13">
        <v>0</v>
      </c>
      <c r="R3688" s="70">
        <f>(L3688*O3688)-Q3688</f>
        <v>628.80000000000007</v>
      </c>
      <c r="S3688" s="70">
        <v>0</v>
      </c>
      <c r="T3688" s="70">
        <f t="shared" ref="T3688" si="1720">+L3688*S3688</f>
        <v>0</v>
      </c>
      <c r="U3688" s="70">
        <f t="shared" ref="U3688" si="1721">+R3688-T3688</f>
        <v>628.80000000000007</v>
      </c>
      <c r="V3688" s="70">
        <f t="shared" si="1719"/>
        <v>0</v>
      </c>
      <c r="W3688" s="70">
        <f t="shared" ref="W3688" si="1722">+U3688-V3688</f>
        <v>628.80000000000007</v>
      </c>
      <c r="X3688" s="70">
        <v>0</v>
      </c>
      <c r="Y3688" s="14">
        <f t="shared" si="1707"/>
        <v>0</v>
      </c>
      <c r="Z3688" s="11" t="s">
        <v>26</v>
      </c>
      <c r="AA3688" s="12" t="s">
        <v>31</v>
      </c>
    </row>
    <row r="3689" spans="1:27" x14ac:dyDescent="0.25">
      <c r="A3689" s="10">
        <v>45714</v>
      </c>
      <c r="B3689" s="11" t="s">
        <v>6583</v>
      </c>
      <c r="C3689" s="11" t="s">
        <v>6584</v>
      </c>
      <c r="D3689" s="11">
        <v>18245</v>
      </c>
      <c r="E3689" s="11" t="s">
        <v>2126</v>
      </c>
      <c r="F3689" s="11" t="s">
        <v>26</v>
      </c>
      <c r="G3689" s="11">
        <v>112483</v>
      </c>
      <c r="H3689" s="12" t="s">
        <v>4446</v>
      </c>
      <c r="I3689" s="12" t="s">
        <v>27</v>
      </c>
      <c r="J3689" s="12" t="s">
        <v>33</v>
      </c>
      <c r="K3689" s="12" t="s">
        <v>34</v>
      </c>
      <c r="L3689" s="13">
        <v>34.92</v>
      </c>
      <c r="M3689" s="13">
        <v>24</v>
      </c>
      <c r="N3689" s="13">
        <f t="shared" si="1694"/>
        <v>1.4550000000000001</v>
      </c>
      <c r="O3689" s="13">
        <v>44</v>
      </c>
      <c r="P3689" s="13" t="s">
        <v>30</v>
      </c>
      <c r="Q3689" s="13">
        <v>0</v>
      </c>
      <c r="R3689" s="70">
        <f t="shared" ref="R3689" si="1723">+L3689*O3689</f>
        <v>1536.48</v>
      </c>
      <c r="S3689" s="70">
        <v>0</v>
      </c>
      <c r="T3689" s="70">
        <f>+L3689*S3689</f>
        <v>0</v>
      </c>
      <c r="U3689" s="70">
        <f>+R3689-T3689</f>
        <v>1536.48</v>
      </c>
      <c r="V3689" s="70">
        <f>+U3689*1</f>
        <v>1536.48</v>
      </c>
      <c r="W3689" s="70">
        <f>+U3689-V3689</f>
        <v>0</v>
      </c>
      <c r="X3689" s="70">
        <v>0</v>
      </c>
      <c r="Y3689" s="14">
        <f t="shared" si="1707"/>
        <v>0</v>
      </c>
      <c r="Z3689" s="11" t="s">
        <v>26</v>
      </c>
      <c r="AA3689" s="12" t="s">
        <v>31</v>
      </c>
    </row>
    <row r="3690" spans="1:27" x14ac:dyDescent="0.25">
      <c r="A3690" s="10">
        <v>45714</v>
      </c>
      <c r="B3690" s="11" t="s">
        <v>2531</v>
      </c>
      <c r="C3690" s="11" t="s">
        <v>6585</v>
      </c>
      <c r="D3690" s="11">
        <v>18246</v>
      </c>
      <c r="E3690" s="11" t="s">
        <v>61</v>
      </c>
      <c r="F3690" s="11" t="s">
        <v>26</v>
      </c>
      <c r="G3690" s="11" t="s">
        <v>35</v>
      </c>
      <c r="H3690" s="12" t="s">
        <v>36</v>
      </c>
      <c r="I3690" s="12" t="s">
        <v>27</v>
      </c>
      <c r="J3690" s="12" t="s">
        <v>42</v>
      </c>
      <c r="K3690" s="12" t="s">
        <v>43</v>
      </c>
      <c r="L3690" s="13">
        <v>9.74</v>
      </c>
      <c r="M3690" s="13">
        <v>6</v>
      </c>
      <c r="N3690" s="13">
        <f t="shared" si="1694"/>
        <v>1.6233333333333333</v>
      </c>
      <c r="O3690" s="13">
        <v>45</v>
      </c>
      <c r="P3690" s="13" t="s">
        <v>30</v>
      </c>
      <c r="Q3690" s="13">
        <v>0</v>
      </c>
      <c r="R3690" s="70">
        <f>(L3690*O3690)-Q3690</f>
        <v>438.3</v>
      </c>
      <c r="S3690" s="70">
        <v>0</v>
      </c>
      <c r="T3690" s="70">
        <f t="shared" ref="T3690" si="1724">+L3690*S3690</f>
        <v>0</v>
      </c>
      <c r="U3690" s="70">
        <f t="shared" ref="U3690" si="1725">+R3690-T3690</f>
        <v>438.3</v>
      </c>
      <c r="V3690" s="70">
        <f>+U3690*0</f>
        <v>0</v>
      </c>
      <c r="W3690" s="70">
        <f t="shared" ref="W3690" si="1726">+U3690-V3690</f>
        <v>438.3</v>
      </c>
      <c r="X3690" s="70">
        <v>0</v>
      </c>
      <c r="Y3690" s="14">
        <f t="shared" si="1707"/>
        <v>0</v>
      </c>
      <c r="Z3690" s="11" t="s">
        <v>26</v>
      </c>
      <c r="AA3690" s="12" t="s">
        <v>31</v>
      </c>
    </row>
    <row r="3691" spans="1:27" x14ac:dyDescent="0.25">
      <c r="A3691" s="10">
        <v>45714</v>
      </c>
      <c r="B3691" s="11" t="s">
        <v>6428</v>
      </c>
      <c r="C3691" s="11" t="s">
        <v>6586</v>
      </c>
      <c r="D3691" s="11">
        <v>18247</v>
      </c>
      <c r="E3691" s="11" t="s">
        <v>570</v>
      </c>
      <c r="F3691" s="11" t="s">
        <v>26</v>
      </c>
      <c r="G3691" s="11">
        <v>10774</v>
      </c>
      <c r="H3691" s="12" t="s">
        <v>140</v>
      </c>
      <c r="I3691" s="12" t="s">
        <v>27</v>
      </c>
      <c r="J3691" s="12" t="s">
        <v>42</v>
      </c>
      <c r="K3691" s="12" t="s">
        <v>43</v>
      </c>
      <c r="L3691" s="13">
        <v>41.68</v>
      </c>
      <c r="M3691" s="13">
        <v>25</v>
      </c>
      <c r="N3691" s="13">
        <f t="shared" si="1694"/>
        <v>1.6672</v>
      </c>
      <c r="O3691" s="13">
        <v>35</v>
      </c>
      <c r="P3691" s="13"/>
      <c r="Q3691" s="13">
        <v>0</v>
      </c>
      <c r="R3691" s="70">
        <f>+L3691*O3691</f>
        <v>1458.8</v>
      </c>
      <c r="S3691" s="70">
        <v>0</v>
      </c>
      <c r="T3691" s="70">
        <f>+L3691*S3691</f>
        <v>0</v>
      </c>
      <c r="U3691" s="70">
        <f>+R3691-T3691</f>
        <v>1458.8</v>
      </c>
      <c r="V3691" s="70">
        <f t="shared" ref="V3691" si="1727">+U3691*0</f>
        <v>0</v>
      </c>
      <c r="W3691" s="70">
        <f>+U3691-V3691</f>
        <v>1458.8</v>
      </c>
      <c r="X3691" s="70">
        <v>0</v>
      </c>
      <c r="Y3691" s="14">
        <f t="shared" si="1707"/>
        <v>0</v>
      </c>
      <c r="Z3691" s="11" t="s">
        <v>26</v>
      </c>
      <c r="AA3691" s="12" t="s">
        <v>31</v>
      </c>
    </row>
    <row r="3692" spans="1:27" x14ac:dyDescent="0.25">
      <c r="A3692" s="10">
        <v>45714</v>
      </c>
      <c r="B3692" s="11" t="s">
        <v>6587</v>
      </c>
      <c r="C3692" s="11" t="s">
        <v>6588</v>
      </c>
      <c r="D3692" s="11">
        <v>18249</v>
      </c>
      <c r="E3692" s="11" t="s">
        <v>53</v>
      </c>
      <c r="F3692" s="11" t="s">
        <v>26</v>
      </c>
      <c r="G3692" s="11">
        <v>3976</v>
      </c>
      <c r="H3692" s="12" t="s">
        <v>41</v>
      </c>
      <c r="I3692" s="12" t="s">
        <v>27</v>
      </c>
      <c r="J3692" s="12" t="s">
        <v>33</v>
      </c>
      <c r="K3692" s="12" t="s">
        <v>34</v>
      </c>
      <c r="L3692" s="13">
        <v>38.880000000000003</v>
      </c>
      <c r="M3692" s="13">
        <v>25</v>
      </c>
      <c r="N3692" s="13">
        <f t="shared" si="1694"/>
        <v>1.5552000000000001</v>
      </c>
      <c r="O3692" s="13" t="s">
        <v>30</v>
      </c>
      <c r="P3692" s="13">
        <v>60</v>
      </c>
      <c r="Q3692" s="13">
        <v>0</v>
      </c>
      <c r="R3692" s="70">
        <f>M3692*P3692</f>
        <v>1500</v>
      </c>
      <c r="S3692" s="70">
        <v>0</v>
      </c>
      <c r="T3692" s="70">
        <f>M3692*S3692</f>
        <v>0</v>
      </c>
      <c r="U3692" s="70">
        <f t="shared" ref="U3692" si="1728">+R3692-T3692</f>
        <v>1500</v>
      </c>
      <c r="V3692" s="70">
        <f>+U3692*0</f>
        <v>0</v>
      </c>
      <c r="W3692" s="70">
        <f t="shared" ref="W3692" si="1729">+U3692-V3692</f>
        <v>1500</v>
      </c>
      <c r="X3692" s="70">
        <v>0</v>
      </c>
      <c r="Y3692" s="14">
        <f t="shared" si="1707"/>
        <v>0</v>
      </c>
      <c r="Z3692" s="11" t="s">
        <v>26</v>
      </c>
      <c r="AA3692" s="12" t="s">
        <v>31</v>
      </c>
    </row>
    <row r="3693" spans="1:27" x14ac:dyDescent="0.25">
      <c r="A3693" s="10">
        <v>45714</v>
      </c>
      <c r="B3693" s="11" t="s">
        <v>6589</v>
      </c>
      <c r="C3693" s="11" t="s">
        <v>6590</v>
      </c>
      <c r="D3693" s="11">
        <v>18250</v>
      </c>
      <c r="E3693" s="11" t="s">
        <v>240</v>
      </c>
      <c r="F3693" s="11" t="s">
        <v>26</v>
      </c>
      <c r="G3693" s="11" t="s">
        <v>26</v>
      </c>
      <c r="H3693" s="12" t="s">
        <v>4422</v>
      </c>
      <c r="I3693" s="12" t="s">
        <v>27</v>
      </c>
      <c r="J3693" s="12" t="s">
        <v>47</v>
      </c>
      <c r="K3693" s="12" t="s">
        <v>48</v>
      </c>
      <c r="L3693" s="13">
        <v>40.56</v>
      </c>
      <c r="M3693" s="13">
        <v>28</v>
      </c>
      <c r="N3693" s="13">
        <f t="shared" si="1694"/>
        <v>1.4485714285714286</v>
      </c>
      <c r="O3693" s="13">
        <v>87</v>
      </c>
      <c r="P3693" s="13" t="s">
        <v>30</v>
      </c>
      <c r="Q3693" s="13">
        <v>0</v>
      </c>
      <c r="R3693" s="70">
        <f t="shared" ref="R3693" si="1730">L3693*O3693</f>
        <v>3528.7200000000003</v>
      </c>
      <c r="S3693" s="70">
        <v>38</v>
      </c>
      <c r="T3693" s="70">
        <f t="shared" ref="T3693" si="1731">L3693*S3693</f>
        <v>1541.2800000000002</v>
      </c>
      <c r="U3693" s="70">
        <f t="shared" ref="U3693" si="1732">R3693-T3693</f>
        <v>1987.44</v>
      </c>
      <c r="V3693" s="70">
        <f>U3693*1</f>
        <v>1987.44</v>
      </c>
      <c r="W3693" s="70">
        <f t="shared" ref="W3693" si="1733">U3693-V3693</f>
        <v>0</v>
      </c>
      <c r="X3693" s="70">
        <f>L3693*37</f>
        <v>1500.72</v>
      </c>
      <c r="Y3693" s="71">
        <f>+T3693-X3693</f>
        <v>40.560000000000173</v>
      </c>
      <c r="Z3693" s="12" t="s">
        <v>41</v>
      </c>
      <c r="AA3693" s="12" t="s">
        <v>78</v>
      </c>
    </row>
    <row r="3694" spans="1:27" x14ac:dyDescent="0.25">
      <c r="A3694" s="10">
        <v>45714</v>
      </c>
      <c r="B3694" s="11" t="s">
        <v>6591</v>
      </c>
      <c r="C3694" s="11" t="s">
        <v>6592</v>
      </c>
      <c r="D3694" s="11">
        <v>18251</v>
      </c>
      <c r="E3694" s="11" t="s">
        <v>80</v>
      </c>
      <c r="F3694" s="11" t="s">
        <v>26</v>
      </c>
      <c r="G3694" s="11">
        <v>10907</v>
      </c>
      <c r="H3694" s="12" t="s">
        <v>140</v>
      </c>
      <c r="I3694" s="12" t="s">
        <v>27</v>
      </c>
      <c r="J3694" s="12" t="s">
        <v>42</v>
      </c>
      <c r="K3694" s="12" t="s">
        <v>43</v>
      </c>
      <c r="L3694" s="13">
        <v>44.94</v>
      </c>
      <c r="M3694" s="13">
        <v>25</v>
      </c>
      <c r="N3694" s="13">
        <f t="shared" si="1694"/>
        <v>1.7975999999999999</v>
      </c>
      <c r="O3694" s="13">
        <v>35</v>
      </c>
      <c r="P3694" s="13"/>
      <c r="Q3694" s="13">
        <v>0</v>
      </c>
      <c r="R3694" s="70">
        <f>+L3694*O3694</f>
        <v>1572.8999999999999</v>
      </c>
      <c r="S3694" s="70">
        <v>0</v>
      </c>
      <c r="T3694" s="70">
        <f>+L3694*S3694</f>
        <v>0</v>
      </c>
      <c r="U3694" s="70">
        <f>+R3694-T3694</f>
        <v>1572.8999999999999</v>
      </c>
      <c r="V3694" s="70">
        <f t="shared" ref="V3694" si="1734">+U3694*0</f>
        <v>0</v>
      </c>
      <c r="W3694" s="70">
        <f>+U3694-V3694</f>
        <v>1572.8999999999999</v>
      </c>
      <c r="X3694" s="70">
        <v>0</v>
      </c>
      <c r="Y3694" s="14">
        <f t="shared" ref="Y3694:Y3697" si="1735">T3694-X3694</f>
        <v>0</v>
      </c>
      <c r="Z3694" s="11" t="s">
        <v>26</v>
      </c>
      <c r="AA3694" s="12" t="s">
        <v>31</v>
      </c>
    </row>
    <row r="3695" spans="1:27" x14ac:dyDescent="0.25">
      <c r="A3695" s="10">
        <v>45714</v>
      </c>
      <c r="B3695" s="11" t="s">
        <v>6593</v>
      </c>
      <c r="C3695" s="11" t="s">
        <v>6594</v>
      </c>
      <c r="D3695" s="11">
        <v>18252</v>
      </c>
      <c r="E3695" s="11" t="s">
        <v>552</v>
      </c>
      <c r="F3695" s="11" t="s">
        <v>26</v>
      </c>
      <c r="G3695" s="11">
        <v>44186</v>
      </c>
      <c r="H3695" s="12" t="s">
        <v>4423</v>
      </c>
      <c r="I3695" s="12" t="s">
        <v>27</v>
      </c>
      <c r="J3695" s="12" t="s">
        <v>42</v>
      </c>
      <c r="K3695" s="12" t="s">
        <v>43</v>
      </c>
      <c r="L3695" s="13">
        <v>33.56</v>
      </c>
      <c r="M3695" s="13">
        <v>25</v>
      </c>
      <c r="N3695" s="13">
        <f t="shared" si="1694"/>
        <v>1.3424</v>
      </c>
      <c r="O3695" s="13">
        <v>42</v>
      </c>
      <c r="P3695" s="13" t="s">
        <v>30</v>
      </c>
      <c r="Q3695" s="13">
        <v>0</v>
      </c>
      <c r="R3695" s="70">
        <f t="shared" ref="R3695" si="1736">+L3695*O3695</f>
        <v>1409.52</v>
      </c>
      <c r="S3695" s="70">
        <v>0</v>
      </c>
      <c r="T3695" s="70">
        <f t="shared" ref="T3695" si="1737">+L3695*S3695</f>
        <v>0</v>
      </c>
      <c r="U3695" s="70">
        <f t="shared" ref="U3695:U3696" si="1738">+R3695-T3695</f>
        <v>1409.52</v>
      </c>
      <c r="V3695" s="70">
        <f>+U3695*1</f>
        <v>1409.52</v>
      </c>
      <c r="W3695" s="70">
        <f t="shared" ref="W3695:W3696" si="1739">+U3695-V3695</f>
        <v>0</v>
      </c>
      <c r="X3695" s="70">
        <v>0</v>
      </c>
      <c r="Y3695" s="14">
        <f t="shared" si="1735"/>
        <v>0</v>
      </c>
      <c r="Z3695" s="11" t="s">
        <v>26</v>
      </c>
      <c r="AA3695" s="12" t="s">
        <v>31</v>
      </c>
    </row>
    <row r="3696" spans="1:27" x14ac:dyDescent="0.25">
      <c r="A3696" s="10">
        <v>45714</v>
      </c>
      <c r="B3696" s="11" t="s">
        <v>6595</v>
      </c>
      <c r="C3696" s="11" t="s">
        <v>6596</v>
      </c>
      <c r="D3696" s="11">
        <v>18253</v>
      </c>
      <c r="E3696" s="11" t="s">
        <v>593</v>
      </c>
      <c r="F3696" s="11" t="s">
        <v>26</v>
      </c>
      <c r="G3696" s="11">
        <v>56553</v>
      </c>
      <c r="H3696" s="12" t="s">
        <v>4423</v>
      </c>
      <c r="I3696" s="12" t="s">
        <v>27</v>
      </c>
      <c r="J3696" s="12" t="s">
        <v>33</v>
      </c>
      <c r="K3696" s="12" t="s">
        <v>34</v>
      </c>
      <c r="L3696" s="13">
        <v>34.06</v>
      </c>
      <c r="M3696" s="13">
        <v>25</v>
      </c>
      <c r="N3696" s="13">
        <f t="shared" si="1694"/>
        <v>1.3624000000000001</v>
      </c>
      <c r="O3696" s="13">
        <v>45</v>
      </c>
      <c r="P3696" s="13" t="s">
        <v>30</v>
      </c>
      <c r="Q3696" s="13">
        <v>0</v>
      </c>
      <c r="R3696" s="70">
        <f>+L3696*O3696</f>
        <v>1532.7</v>
      </c>
      <c r="S3696" s="70">
        <v>0</v>
      </c>
      <c r="T3696" s="70">
        <f>+L3696*S3696</f>
        <v>0</v>
      </c>
      <c r="U3696" s="70">
        <f t="shared" si="1738"/>
        <v>1532.7</v>
      </c>
      <c r="V3696" s="70">
        <f>+U3696*1</f>
        <v>1532.7</v>
      </c>
      <c r="W3696" s="70">
        <f t="shared" si="1739"/>
        <v>0</v>
      </c>
      <c r="X3696" s="70">
        <v>0</v>
      </c>
      <c r="Y3696" s="14">
        <f t="shared" si="1735"/>
        <v>0</v>
      </c>
      <c r="Z3696" s="11" t="s">
        <v>26</v>
      </c>
      <c r="AA3696" s="12" t="s">
        <v>31</v>
      </c>
    </row>
    <row r="3697" spans="1:27" x14ac:dyDescent="0.25">
      <c r="A3697" s="10">
        <v>45714</v>
      </c>
      <c r="B3697" s="11" t="s">
        <v>616</v>
      </c>
      <c r="C3697" s="11" t="s">
        <v>6597</v>
      </c>
      <c r="D3697" s="11">
        <v>18254</v>
      </c>
      <c r="E3697" s="11" t="s">
        <v>98</v>
      </c>
      <c r="F3697" s="11" t="s">
        <v>26</v>
      </c>
      <c r="G3697" s="11">
        <v>10732</v>
      </c>
      <c r="H3697" s="12" t="s">
        <v>140</v>
      </c>
      <c r="I3697" s="12" t="s">
        <v>27</v>
      </c>
      <c r="J3697" s="12" t="s">
        <v>42</v>
      </c>
      <c r="K3697" s="12" t="s">
        <v>43</v>
      </c>
      <c r="L3697" s="13">
        <v>42.4</v>
      </c>
      <c r="M3697" s="13">
        <v>25</v>
      </c>
      <c r="N3697" s="13">
        <f t="shared" si="1694"/>
        <v>1.696</v>
      </c>
      <c r="O3697" s="13">
        <v>35</v>
      </c>
      <c r="P3697" s="13"/>
      <c r="Q3697" s="13">
        <v>0</v>
      </c>
      <c r="R3697" s="70">
        <f>+L3697*O3697</f>
        <v>1484</v>
      </c>
      <c r="S3697" s="70">
        <v>0</v>
      </c>
      <c r="T3697" s="70">
        <f>+L3697*S3697</f>
        <v>0</v>
      </c>
      <c r="U3697" s="70">
        <f>+R3697-T3697</f>
        <v>1484</v>
      </c>
      <c r="V3697" s="70">
        <f t="shared" ref="V3697" si="1740">+U3697*0</f>
        <v>0</v>
      </c>
      <c r="W3697" s="70">
        <f>+U3697-V3697</f>
        <v>1484</v>
      </c>
      <c r="X3697" s="70">
        <v>0</v>
      </c>
      <c r="Y3697" s="14">
        <f t="shared" si="1735"/>
        <v>0</v>
      </c>
      <c r="Z3697" s="11" t="s">
        <v>26</v>
      </c>
      <c r="AA3697" s="12" t="s">
        <v>31</v>
      </c>
    </row>
    <row r="3698" spans="1:27" x14ac:dyDescent="0.25">
      <c r="A3698" s="10">
        <v>45714</v>
      </c>
      <c r="B3698" s="11" t="s">
        <v>6598</v>
      </c>
      <c r="C3698" s="11" t="s">
        <v>6599</v>
      </c>
      <c r="D3698" s="11">
        <v>18255</v>
      </c>
      <c r="E3698" s="11" t="s">
        <v>6135</v>
      </c>
      <c r="F3698" s="11" t="s">
        <v>26</v>
      </c>
      <c r="G3698" s="11">
        <v>2964</v>
      </c>
      <c r="H3698" s="12" t="s">
        <v>4442</v>
      </c>
      <c r="I3698" s="12" t="s">
        <v>27</v>
      </c>
      <c r="J3698" s="12" t="s">
        <v>33</v>
      </c>
      <c r="K3698" s="12" t="s">
        <v>34</v>
      </c>
      <c r="L3698" s="13">
        <v>13.98</v>
      </c>
      <c r="M3698" s="13">
        <v>10</v>
      </c>
      <c r="N3698" s="13">
        <f t="shared" si="1694"/>
        <v>1.3980000000000001</v>
      </c>
      <c r="O3698" s="13">
        <v>42</v>
      </c>
      <c r="P3698" s="13" t="s">
        <v>30</v>
      </c>
      <c r="Q3698" s="13">
        <v>0</v>
      </c>
      <c r="R3698" s="70">
        <f>L3698*O3698</f>
        <v>587.16</v>
      </c>
      <c r="S3698" s="70">
        <v>0</v>
      </c>
      <c r="T3698" s="70">
        <f>L3698*S3698</f>
        <v>0</v>
      </c>
      <c r="U3698" s="70">
        <f>R3698-T3698</f>
        <v>587.16</v>
      </c>
      <c r="V3698" s="70">
        <f>U3698*1</f>
        <v>587.16</v>
      </c>
      <c r="W3698" s="70">
        <f>U3698-V3698</f>
        <v>0</v>
      </c>
      <c r="X3698" s="70">
        <v>0</v>
      </c>
      <c r="Y3698" s="71">
        <f>T3698-X3698</f>
        <v>0</v>
      </c>
      <c r="Z3698" s="11" t="s">
        <v>26</v>
      </c>
      <c r="AA3698" s="12" t="s">
        <v>31</v>
      </c>
    </row>
    <row r="3699" spans="1:27" x14ac:dyDescent="0.25">
      <c r="A3699" s="10">
        <v>45714</v>
      </c>
      <c r="B3699" s="11" t="s">
        <v>2506</v>
      </c>
      <c r="C3699" s="11" t="s">
        <v>6600</v>
      </c>
      <c r="D3699" s="11">
        <v>18256</v>
      </c>
      <c r="E3699" s="11" t="s">
        <v>1200</v>
      </c>
      <c r="F3699" s="11" t="s">
        <v>26</v>
      </c>
      <c r="G3699" s="11">
        <v>2994</v>
      </c>
      <c r="H3699" s="12" t="s">
        <v>163</v>
      </c>
      <c r="I3699" s="12" t="s">
        <v>27</v>
      </c>
      <c r="J3699" s="12" t="s">
        <v>47</v>
      </c>
      <c r="K3699" s="12" t="s">
        <v>48</v>
      </c>
      <c r="L3699" s="13">
        <v>37.54</v>
      </c>
      <c r="M3699" s="13">
        <v>25</v>
      </c>
      <c r="N3699" s="13">
        <f t="shared" si="1694"/>
        <v>1.5016</v>
      </c>
      <c r="O3699" s="13" t="s">
        <v>30</v>
      </c>
      <c r="P3699" s="13">
        <v>60</v>
      </c>
      <c r="Q3699" s="13">
        <v>0</v>
      </c>
      <c r="R3699" s="70">
        <f>M3699*P3699</f>
        <v>1500</v>
      </c>
      <c r="S3699" s="70">
        <v>0</v>
      </c>
      <c r="T3699" s="70">
        <f>M3699*S3699</f>
        <v>0</v>
      </c>
      <c r="U3699" s="70">
        <f>R3699-T3699</f>
        <v>1500</v>
      </c>
      <c r="V3699" s="70">
        <f>U3699*0</f>
        <v>0</v>
      </c>
      <c r="W3699" s="70">
        <f>U3699-V3699</f>
        <v>1500</v>
      </c>
      <c r="X3699" s="70">
        <v>0</v>
      </c>
      <c r="Y3699" s="14">
        <f t="shared" ref="Y3699:Y3703" si="1741">T3699-X3699</f>
        <v>0</v>
      </c>
      <c r="Z3699" s="11" t="s">
        <v>26</v>
      </c>
      <c r="AA3699" s="12" t="s">
        <v>31</v>
      </c>
    </row>
    <row r="3700" spans="1:27" x14ac:dyDescent="0.25">
      <c r="A3700" s="10">
        <v>45714</v>
      </c>
      <c r="B3700" s="11" t="s">
        <v>6601</v>
      </c>
      <c r="C3700" s="11" t="s">
        <v>6602</v>
      </c>
      <c r="D3700" s="11">
        <v>18257</v>
      </c>
      <c r="E3700" s="11" t="s">
        <v>74</v>
      </c>
      <c r="F3700" s="11" t="s">
        <v>26</v>
      </c>
      <c r="G3700" s="11">
        <v>1345</v>
      </c>
      <c r="H3700" s="12" t="s">
        <v>70</v>
      </c>
      <c r="I3700" s="12" t="s">
        <v>27</v>
      </c>
      <c r="J3700" s="12" t="s">
        <v>33</v>
      </c>
      <c r="K3700" s="12" t="s">
        <v>34</v>
      </c>
      <c r="L3700" s="13">
        <v>37.5</v>
      </c>
      <c r="M3700" s="13">
        <v>25</v>
      </c>
      <c r="N3700" s="13">
        <f t="shared" si="1694"/>
        <v>1.5</v>
      </c>
      <c r="O3700" s="13" t="s">
        <v>30</v>
      </c>
      <c r="P3700" s="13">
        <v>60</v>
      </c>
      <c r="Q3700" s="13">
        <v>0</v>
      </c>
      <c r="R3700" s="70">
        <f>+M3700*P3700</f>
        <v>1500</v>
      </c>
      <c r="S3700" s="70">
        <v>0</v>
      </c>
      <c r="T3700" s="70">
        <f>+M3700*S3700</f>
        <v>0</v>
      </c>
      <c r="U3700" s="70">
        <f t="shared" ref="U3700:U3702" si="1742">+R3700-T3700</f>
        <v>1500</v>
      </c>
      <c r="V3700" s="70">
        <f>+U3700*0</f>
        <v>0</v>
      </c>
      <c r="W3700" s="70">
        <f t="shared" ref="W3700:W3702" si="1743">+U3700-V3700</f>
        <v>1500</v>
      </c>
      <c r="X3700" s="70">
        <v>0</v>
      </c>
      <c r="Y3700" s="14">
        <f t="shared" si="1741"/>
        <v>0</v>
      </c>
      <c r="Z3700" s="11" t="s">
        <v>26</v>
      </c>
      <c r="AA3700" s="12" t="s">
        <v>31</v>
      </c>
    </row>
    <row r="3701" spans="1:27" x14ac:dyDescent="0.25">
      <c r="A3701" s="10">
        <v>45714</v>
      </c>
      <c r="B3701" s="11" t="s">
        <v>1372</v>
      </c>
      <c r="C3701" s="11" t="s">
        <v>6603</v>
      </c>
      <c r="D3701" s="11">
        <v>18258</v>
      </c>
      <c r="E3701" s="11" t="s">
        <v>69</v>
      </c>
      <c r="F3701" s="11" t="s">
        <v>26</v>
      </c>
      <c r="G3701" s="11">
        <v>2135</v>
      </c>
      <c r="H3701" s="12" t="s">
        <v>70</v>
      </c>
      <c r="I3701" s="12" t="s">
        <v>27</v>
      </c>
      <c r="J3701" s="12" t="s">
        <v>42</v>
      </c>
      <c r="K3701" s="12" t="s">
        <v>43</v>
      </c>
      <c r="L3701" s="13">
        <v>42.1</v>
      </c>
      <c r="M3701" s="13">
        <v>25</v>
      </c>
      <c r="N3701" s="13">
        <f t="shared" si="1694"/>
        <v>1.6840000000000002</v>
      </c>
      <c r="O3701" s="13" t="s">
        <v>30</v>
      </c>
      <c r="P3701" s="13">
        <v>64</v>
      </c>
      <c r="Q3701" s="13">
        <v>0</v>
      </c>
      <c r="R3701" s="70">
        <f>+M3701*P3701</f>
        <v>1600</v>
      </c>
      <c r="S3701" s="70">
        <v>0</v>
      </c>
      <c r="T3701" s="70">
        <f>+M3701*S3701</f>
        <v>0</v>
      </c>
      <c r="U3701" s="70">
        <f t="shared" si="1742"/>
        <v>1600</v>
      </c>
      <c r="V3701" s="70">
        <f t="shared" ref="V3701:V3702" si="1744">+U3701*0</f>
        <v>0</v>
      </c>
      <c r="W3701" s="70">
        <f t="shared" si="1743"/>
        <v>1600</v>
      </c>
      <c r="X3701" s="70">
        <v>0</v>
      </c>
      <c r="Y3701" s="14">
        <f t="shared" si="1741"/>
        <v>0</v>
      </c>
      <c r="Z3701" s="11" t="s">
        <v>26</v>
      </c>
      <c r="AA3701" s="12" t="s">
        <v>31</v>
      </c>
    </row>
    <row r="3702" spans="1:27" x14ac:dyDescent="0.25">
      <c r="A3702" s="10">
        <v>45714</v>
      </c>
      <c r="B3702" s="11" t="s">
        <v>2788</v>
      </c>
      <c r="C3702" s="11" t="s">
        <v>6604</v>
      </c>
      <c r="D3702" s="11">
        <v>18259</v>
      </c>
      <c r="E3702" s="11" t="s">
        <v>6605</v>
      </c>
      <c r="F3702" s="11" t="s">
        <v>26</v>
      </c>
      <c r="G3702" s="11" t="s">
        <v>35</v>
      </c>
      <c r="H3702" s="12" t="s">
        <v>36</v>
      </c>
      <c r="I3702" s="12" t="s">
        <v>27</v>
      </c>
      <c r="J3702" s="12" t="s">
        <v>33</v>
      </c>
      <c r="K3702" s="12" t="s">
        <v>34</v>
      </c>
      <c r="L3702" s="13">
        <v>16.079999999999998</v>
      </c>
      <c r="M3702" s="13">
        <v>11</v>
      </c>
      <c r="N3702" s="13">
        <f t="shared" si="1694"/>
        <v>1.4618181818181817</v>
      </c>
      <c r="O3702" s="13">
        <v>50</v>
      </c>
      <c r="P3702" s="13" t="s">
        <v>30</v>
      </c>
      <c r="Q3702" s="13">
        <v>0</v>
      </c>
      <c r="R3702" s="70">
        <f>(L3702*O3702)-Q3702</f>
        <v>803.99999999999989</v>
      </c>
      <c r="S3702" s="70">
        <v>0</v>
      </c>
      <c r="T3702" s="70">
        <f t="shared" ref="T3702" si="1745">+L3702*S3702</f>
        <v>0</v>
      </c>
      <c r="U3702" s="70">
        <f t="shared" si="1742"/>
        <v>803.99999999999989</v>
      </c>
      <c r="V3702" s="70">
        <f t="shared" si="1744"/>
        <v>0</v>
      </c>
      <c r="W3702" s="70">
        <f t="shared" si="1743"/>
        <v>803.99999999999989</v>
      </c>
      <c r="X3702" s="70">
        <v>0</v>
      </c>
      <c r="Y3702" s="14">
        <f t="shared" si="1741"/>
        <v>0</v>
      </c>
      <c r="Z3702" s="11" t="s">
        <v>26</v>
      </c>
      <c r="AA3702" s="12" t="s">
        <v>31</v>
      </c>
    </row>
    <row r="3703" spans="1:27" x14ac:dyDescent="0.25">
      <c r="A3703" s="10">
        <v>45714</v>
      </c>
      <c r="B3703" s="11" t="s">
        <v>6606</v>
      </c>
      <c r="C3703" s="11" t="s">
        <v>6607</v>
      </c>
      <c r="D3703" s="11">
        <v>18260</v>
      </c>
      <c r="E3703" s="11" t="s">
        <v>50</v>
      </c>
      <c r="F3703" s="11" t="s">
        <v>26</v>
      </c>
      <c r="G3703" s="11">
        <v>771</v>
      </c>
      <c r="H3703" s="12" t="s">
        <v>163</v>
      </c>
      <c r="I3703" s="12" t="s">
        <v>27</v>
      </c>
      <c r="J3703" s="12" t="s">
        <v>33</v>
      </c>
      <c r="K3703" s="12" t="s">
        <v>34</v>
      </c>
      <c r="L3703" s="13">
        <v>38.68</v>
      </c>
      <c r="M3703" s="13">
        <v>25</v>
      </c>
      <c r="N3703" s="13">
        <f t="shared" si="1694"/>
        <v>1.5471999999999999</v>
      </c>
      <c r="O3703" s="13" t="s">
        <v>30</v>
      </c>
      <c r="P3703" s="13">
        <v>60</v>
      </c>
      <c r="Q3703" s="13">
        <v>0</v>
      </c>
      <c r="R3703" s="70">
        <f>M3703*P3703</f>
        <v>1500</v>
      </c>
      <c r="S3703" s="70">
        <v>0</v>
      </c>
      <c r="T3703" s="70">
        <f>M3703*S3703</f>
        <v>0</v>
      </c>
      <c r="U3703" s="70">
        <f>R3703-T3703</f>
        <v>1500</v>
      </c>
      <c r="V3703" s="70">
        <f>U3703*0</f>
        <v>0</v>
      </c>
      <c r="W3703" s="70">
        <f>U3703-V3703</f>
        <v>1500</v>
      </c>
      <c r="X3703" s="70">
        <v>0</v>
      </c>
      <c r="Y3703" s="14">
        <f t="shared" si="1741"/>
        <v>0</v>
      </c>
      <c r="Z3703" s="11" t="s">
        <v>26</v>
      </c>
      <c r="AA3703" s="12" t="s">
        <v>31</v>
      </c>
    </row>
    <row r="3704" spans="1:27" x14ac:dyDescent="0.25">
      <c r="A3704" s="10">
        <v>45714</v>
      </c>
      <c r="B3704" s="11" t="s">
        <v>6544</v>
      </c>
      <c r="C3704" s="11" t="s">
        <v>6608</v>
      </c>
      <c r="D3704" s="11">
        <v>18261</v>
      </c>
      <c r="E3704" s="11" t="s">
        <v>431</v>
      </c>
      <c r="F3704" s="11" t="s">
        <v>26</v>
      </c>
      <c r="G3704" s="11">
        <v>1058</v>
      </c>
      <c r="H3704" s="12" t="s">
        <v>6328</v>
      </c>
      <c r="I3704" s="12" t="s">
        <v>27</v>
      </c>
      <c r="J3704" s="12" t="s">
        <v>42</v>
      </c>
      <c r="K3704" s="12" t="s">
        <v>43</v>
      </c>
      <c r="L3704" s="13">
        <v>40.18</v>
      </c>
      <c r="M3704" s="13">
        <v>25</v>
      </c>
      <c r="N3704" s="13">
        <f t="shared" si="1694"/>
        <v>1.6072</v>
      </c>
      <c r="O3704" s="13">
        <v>42.5</v>
      </c>
      <c r="P3704" s="13"/>
      <c r="Q3704" s="13">
        <v>0</v>
      </c>
      <c r="R3704" s="70">
        <f>L3704*O3704</f>
        <v>1707.65</v>
      </c>
      <c r="S3704" s="70">
        <v>0</v>
      </c>
      <c r="T3704" s="70">
        <f>+L3704*S3704</f>
        <v>0</v>
      </c>
      <c r="U3704" s="70">
        <f>R3704-T3704</f>
        <v>1707.65</v>
      </c>
      <c r="V3704" s="70">
        <f>U3704*0</f>
        <v>0</v>
      </c>
      <c r="W3704" s="70">
        <f>U3704-V3704</f>
        <v>1707.65</v>
      </c>
      <c r="X3704" s="74">
        <f>L3704*0</f>
        <v>0</v>
      </c>
      <c r="Y3704" s="74">
        <f>T3704-X3704</f>
        <v>0</v>
      </c>
      <c r="Z3704" s="74" t="s">
        <v>26</v>
      </c>
      <c r="AA3704" s="12" t="s">
        <v>31</v>
      </c>
    </row>
    <row r="3705" spans="1:27" x14ac:dyDescent="0.25">
      <c r="A3705" s="10">
        <v>45714</v>
      </c>
      <c r="B3705" s="11" t="s">
        <v>6609</v>
      </c>
      <c r="C3705" s="11" t="s">
        <v>6610</v>
      </c>
      <c r="D3705" s="11">
        <v>18262</v>
      </c>
      <c r="E3705" s="11" t="s">
        <v>325</v>
      </c>
      <c r="F3705" s="11" t="s">
        <v>26</v>
      </c>
      <c r="G3705" s="11" t="s">
        <v>35</v>
      </c>
      <c r="H3705" s="12" t="s">
        <v>36</v>
      </c>
      <c r="I3705" s="12" t="s">
        <v>27</v>
      </c>
      <c r="J3705" s="12" t="s">
        <v>42</v>
      </c>
      <c r="K3705" s="12" t="s">
        <v>43</v>
      </c>
      <c r="L3705" s="13">
        <v>8.14</v>
      </c>
      <c r="M3705" s="13">
        <v>5</v>
      </c>
      <c r="N3705" s="13">
        <f t="shared" si="1694"/>
        <v>1.6280000000000001</v>
      </c>
      <c r="O3705" s="13">
        <v>45</v>
      </c>
      <c r="P3705" s="13" t="s">
        <v>30</v>
      </c>
      <c r="Q3705" s="13">
        <v>0</v>
      </c>
      <c r="R3705" s="70">
        <f>(L3705*O3705)-Q3705</f>
        <v>366.3</v>
      </c>
      <c r="S3705" s="70">
        <v>0</v>
      </c>
      <c r="T3705" s="70">
        <f t="shared" ref="T3705" si="1746">+L3705*S3705</f>
        <v>0</v>
      </c>
      <c r="U3705" s="70">
        <f t="shared" ref="U3705:U3708" si="1747">+R3705-T3705</f>
        <v>366.3</v>
      </c>
      <c r="V3705" s="70">
        <f>+U3705*0</f>
        <v>0</v>
      </c>
      <c r="W3705" s="70">
        <f t="shared" ref="W3705:W3708" si="1748">+U3705-V3705</f>
        <v>366.3</v>
      </c>
      <c r="X3705" s="70">
        <v>0</v>
      </c>
      <c r="Y3705" s="14">
        <f t="shared" ref="Y3705:Y3715" si="1749">T3705-X3705</f>
        <v>0</v>
      </c>
      <c r="Z3705" s="11" t="s">
        <v>26</v>
      </c>
      <c r="AA3705" s="12" t="s">
        <v>31</v>
      </c>
    </row>
    <row r="3706" spans="1:27" x14ac:dyDescent="0.25">
      <c r="A3706" s="10">
        <v>45714</v>
      </c>
      <c r="B3706" s="11" t="s">
        <v>280</v>
      </c>
      <c r="C3706" s="11" t="s">
        <v>6611</v>
      </c>
      <c r="D3706" s="11">
        <v>18263</v>
      </c>
      <c r="E3706" s="11" t="s">
        <v>57</v>
      </c>
      <c r="F3706" s="11" t="s">
        <v>26</v>
      </c>
      <c r="G3706" s="11">
        <v>3327</v>
      </c>
      <c r="H3706" s="12" t="s">
        <v>41</v>
      </c>
      <c r="I3706" s="12" t="s">
        <v>55</v>
      </c>
      <c r="J3706" s="12" t="s">
        <v>55</v>
      </c>
      <c r="K3706" s="12" t="s">
        <v>56</v>
      </c>
      <c r="L3706" s="13">
        <v>40.58</v>
      </c>
      <c r="M3706" s="13">
        <v>25</v>
      </c>
      <c r="N3706" s="13">
        <f t="shared" si="1694"/>
        <v>1.6232</v>
      </c>
      <c r="O3706" s="13" t="s">
        <v>30</v>
      </c>
      <c r="P3706" s="13">
        <v>24</v>
      </c>
      <c r="Q3706" s="13">
        <v>0</v>
      </c>
      <c r="R3706" s="70">
        <f>+M3706*P3706</f>
        <v>600</v>
      </c>
      <c r="S3706" s="70">
        <v>0</v>
      </c>
      <c r="T3706" s="70">
        <f>+M3706*S3706</f>
        <v>0</v>
      </c>
      <c r="U3706" s="70">
        <f t="shared" si="1747"/>
        <v>600</v>
      </c>
      <c r="V3706" s="70">
        <f>+U3706*0</f>
        <v>0</v>
      </c>
      <c r="W3706" s="70">
        <f t="shared" si="1748"/>
        <v>600</v>
      </c>
      <c r="X3706" s="70">
        <v>0</v>
      </c>
      <c r="Y3706" s="14">
        <f t="shared" si="1749"/>
        <v>0</v>
      </c>
      <c r="Z3706" s="11" t="s">
        <v>26</v>
      </c>
      <c r="AA3706" s="12" t="s">
        <v>31</v>
      </c>
    </row>
    <row r="3707" spans="1:27" x14ac:dyDescent="0.25">
      <c r="A3707" s="10">
        <v>45714</v>
      </c>
      <c r="B3707" s="11" t="s">
        <v>5428</v>
      </c>
      <c r="C3707" s="11" t="s">
        <v>6612</v>
      </c>
      <c r="D3707" s="11">
        <v>18264</v>
      </c>
      <c r="E3707" s="11" t="s">
        <v>69</v>
      </c>
      <c r="F3707" s="11" t="s">
        <v>26</v>
      </c>
      <c r="G3707" s="11">
        <v>2136</v>
      </c>
      <c r="H3707" s="12" t="s">
        <v>70</v>
      </c>
      <c r="I3707" s="12" t="s">
        <v>27</v>
      </c>
      <c r="J3707" s="12" t="s">
        <v>33</v>
      </c>
      <c r="K3707" s="12" t="s">
        <v>34</v>
      </c>
      <c r="L3707" s="13">
        <v>37.200000000000003</v>
      </c>
      <c r="M3707" s="13">
        <v>25</v>
      </c>
      <c r="N3707" s="13">
        <f t="shared" si="1694"/>
        <v>1.4880000000000002</v>
      </c>
      <c r="O3707" s="13" t="s">
        <v>30</v>
      </c>
      <c r="P3707" s="13">
        <v>60</v>
      </c>
      <c r="Q3707" s="13">
        <v>0</v>
      </c>
      <c r="R3707" s="70">
        <f>+M3707*P3707</f>
        <v>1500</v>
      </c>
      <c r="S3707" s="70">
        <v>0</v>
      </c>
      <c r="T3707" s="70">
        <f>+M3707*S3707</f>
        <v>0</v>
      </c>
      <c r="U3707" s="70">
        <f t="shared" si="1747"/>
        <v>1500</v>
      </c>
      <c r="V3707" s="70">
        <f>+U3707*0</f>
        <v>0</v>
      </c>
      <c r="W3707" s="70">
        <f t="shared" si="1748"/>
        <v>1500</v>
      </c>
      <c r="X3707" s="70">
        <v>0</v>
      </c>
      <c r="Y3707" s="14">
        <f t="shared" si="1749"/>
        <v>0</v>
      </c>
      <c r="Z3707" s="11" t="s">
        <v>26</v>
      </c>
      <c r="AA3707" s="12" t="s">
        <v>31</v>
      </c>
    </row>
    <row r="3708" spans="1:27" x14ac:dyDescent="0.25">
      <c r="A3708" s="10">
        <v>45714</v>
      </c>
      <c r="B3708" s="11" t="s">
        <v>356</v>
      </c>
      <c r="C3708" s="11" t="s">
        <v>6613</v>
      </c>
      <c r="D3708" s="11">
        <v>18265</v>
      </c>
      <c r="E3708" s="11" t="s">
        <v>246</v>
      </c>
      <c r="F3708" s="11" t="s">
        <v>26</v>
      </c>
      <c r="G3708" s="11">
        <v>3432</v>
      </c>
      <c r="H3708" s="12" t="s">
        <v>41</v>
      </c>
      <c r="I3708" s="12" t="s">
        <v>55</v>
      </c>
      <c r="J3708" s="12" t="s">
        <v>55</v>
      </c>
      <c r="K3708" s="12" t="s">
        <v>56</v>
      </c>
      <c r="L3708" s="13">
        <v>40.700000000000003</v>
      </c>
      <c r="M3708" s="13">
        <v>25</v>
      </c>
      <c r="N3708" s="13">
        <f t="shared" si="1694"/>
        <v>1.6280000000000001</v>
      </c>
      <c r="O3708" s="13" t="s">
        <v>30</v>
      </c>
      <c r="P3708" s="13">
        <v>24</v>
      </c>
      <c r="Q3708" s="13">
        <v>0</v>
      </c>
      <c r="R3708" s="70">
        <f>+M3708*P3708</f>
        <v>600</v>
      </c>
      <c r="S3708" s="70">
        <v>0</v>
      </c>
      <c r="T3708" s="70">
        <f>+M3708*S3708</f>
        <v>0</v>
      </c>
      <c r="U3708" s="70">
        <f t="shared" si="1747"/>
        <v>600</v>
      </c>
      <c r="V3708" s="70">
        <f>+U3708*0</f>
        <v>0</v>
      </c>
      <c r="W3708" s="70">
        <f t="shared" si="1748"/>
        <v>600</v>
      </c>
      <c r="X3708" s="70">
        <v>0</v>
      </c>
      <c r="Y3708" s="14">
        <f t="shared" si="1749"/>
        <v>0</v>
      </c>
      <c r="Z3708" s="11" t="s">
        <v>26</v>
      </c>
      <c r="AA3708" s="12" t="s">
        <v>31</v>
      </c>
    </row>
    <row r="3709" spans="1:27" x14ac:dyDescent="0.25">
      <c r="A3709" s="10">
        <v>45714</v>
      </c>
      <c r="B3709" s="11" t="s">
        <v>6614</v>
      </c>
      <c r="C3709" s="11" t="s">
        <v>6615</v>
      </c>
      <c r="D3709" s="11">
        <v>18266</v>
      </c>
      <c r="E3709" s="11" t="s">
        <v>2126</v>
      </c>
      <c r="F3709" s="11" t="s">
        <v>26</v>
      </c>
      <c r="G3709" s="11">
        <v>112488</v>
      </c>
      <c r="H3709" s="12" t="s">
        <v>4446</v>
      </c>
      <c r="I3709" s="12" t="s">
        <v>27</v>
      </c>
      <c r="J3709" s="12" t="s">
        <v>33</v>
      </c>
      <c r="K3709" s="12" t="s">
        <v>34</v>
      </c>
      <c r="L3709" s="13">
        <v>35.5</v>
      </c>
      <c r="M3709" s="13">
        <v>25</v>
      </c>
      <c r="N3709" s="13">
        <f t="shared" si="1694"/>
        <v>1.42</v>
      </c>
      <c r="O3709" s="13">
        <v>44</v>
      </c>
      <c r="P3709" s="13" t="s">
        <v>30</v>
      </c>
      <c r="Q3709" s="13">
        <v>0</v>
      </c>
      <c r="R3709" s="70">
        <f t="shared" ref="R3709" si="1750">+L3709*O3709</f>
        <v>1562</v>
      </c>
      <c r="S3709" s="70">
        <v>0</v>
      </c>
      <c r="T3709" s="70">
        <f>+L3709*S3709</f>
        <v>0</v>
      </c>
      <c r="U3709" s="70">
        <f>+R3709-T3709</f>
        <v>1562</v>
      </c>
      <c r="V3709" s="70">
        <f>+U3709*1</f>
        <v>1562</v>
      </c>
      <c r="W3709" s="70">
        <f>+U3709-V3709</f>
        <v>0</v>
      </c>
      <c r="X3709" s="70">
        <v>0</v>
      </c>
      <c r="Y3709" s="14">
        <f t="shared" si="1749"/>
        <v>0</v>
      </c>
      <c r="Z3709" s="11" t="s">
        <v>26</v>
      </c>
      <c r="AA3709" s="12" t="s">
        <v>31</v>
      </c>
    </row>
    <row r="3710" spans="1:27" x14ac:dyDescent="0.25">
      <c r="A3710" s="10">
        <v>45714</v>
      </c>
      <c r="B3710" s="11" t="s">
        <v>6616</v>
      </c>
      <c r="C3710" s="11" t="s">
        <v>6617</v>
      </c>
      <c r="D3710" s="11">
        <v>18267</v>
      </c>
      <c r="E3710" s="11" t="s">
        <v>74</v>
      </c>
      <c r="F3710" s="11" t="s">
        <v>26</v>
      </c>
      <c r="G3710" s="11">
        <v>1346</v>
      </c>
      <c r="H3710" s="12" t="s">
        <v>70</v>
      </c>
      <c r="I3710" s="12" t="s">
        <v>27</v>
      </c>
      <c r="J3710" s="12" t="s">
        <v>33</v>
      </c>
      <c r="K3710" s="12" t="s">
        <v>34</v>
      </c>
      <c r="L3710" s="13">
        <v>38.04</v>
      </c>
      <c r="M3710" s="13">
        <v>25</v>
      </c>
      <c r="N3710" s="13">
        <f t="shared" si="1694"/>
        <v>1.5216000000000001</v>
      </c>
      <c r="O3710" s="13" t="s">
        <v>30</v>
      </c>
      <c r="P3710" s="13">
        <v>60</v>
      </c>
      <c r="Q3710" s="13">
        <v>0</v>
      </c>
      <c r="R3710" s="70">
        <f>+M3710*P3710</f>
        <v>1500</v>
      </c>
      <c r="S3710" s="70">
        <v>0</v>
      </c>
      <c r="T3710" s="70">
        <f>+M3710*S3710</f>
        <v>0</v>
      </c>
      <c r="U3710" s="70">
        <f t="shared" ref="U3710" si="1751">+R3710-T3710</f>
        <v>1500</v>
      </c>
      <c r="V3710" s="70">
        <f>+U3710*0</f>
        <v>0</v>
      </c>
      <c r="W3710" s="70">
        <f t="shared" ref="W3710" si="1752">+U3710-V3710</f>
        <v>1500</v>
      </c>
      <c r="X3710" s="70">
        <v>0</v>
      </c>
      <c r="Y3710" s="14">
        <f t="shared" si="1749"/>
        <v>0</v>
      </c>
      <c r="Z3710" s="11" t="s">
        <v>26</v>
      </c>
      <c r="AA3710" s="12" t="s">
        <v>31</v>
      </c>
    </row>
    <row r="3711" spans="1:27" x14ac:dyDescent="0.25">
      <c r="A3711" s="10">
        <v>45714</v>
      </c>
      <c r="B3711" s="11" t="s">
        <v>130</v>
      </c>
      <c r="C3711" s="11" t="s">
        <v>6618</v>
      </c>
      <c r="D3711" s="11">
        <v>18268</v>
      </c>
      <c r="E3711" s="11" t="s">
        <v>570</v>
      </c>
      <c r="F3711" s="11" t="s">
        <v>26</v>
      </c>
      <c r="G3711" s="11">
        <v>10775</v>
      </c>
      <c r="H3711" s="12" t="s">
        <v>140</v>
      </c>
      <c r="I3711" s="12" t="s">
        <v>27</v>
      </c>
      <c r="J3711" s="12" t="s">
        <v>42</v>
      </c>
      <c r="K3711" s="12" t="s">
        <v>43</v>
      </c>
      <c r="L3711" s="13">
        <v>41.76</v>
      </c>
      <c r="M3711" s="13">
        <v>25</v>
      </c>
      <c r="N3711" s="13">
        <f t="shared" si="1694"/>
        <v>1.6703999999999999</v>
      </c>
      <c r="O3711" s="13">
        <v>35</v>
      </c>
      <c r="P3711" s="13"/>
      <c r="Q3711" s="13">
        <v>0</v>
      </c>
      <c r="R3711" s="70">
        <f>+L3711*O3711</f>
        <v>1461.6</v>
      </c>
      <c r="S3711" s="70">
        <v>0</v>
      </c>
      <c r="T3711" s="70">
        <f>+L3711*S3711</f>
        <v>0</v>
      </c>
      <c r="U3711" s="70">
        <f>+R3711-T3711</f>
        <v>1461.6</v>
      </c>
      <c r="V3711" s="70">
        <f t="shared" ref="V3711:V3713" si="1753">+U3711*0</f>
        <v>0</v>
      </c>
      <c r="W3711" s="70">
        <f>+U3711-V3711</f>
        <v>1461.6</v>
      </c>
      <c r="X3711" s="70">
        <v>0</v>
      </c>
      <c r="Y3711" s="14">
        <f t="shared" si="1749"/>
        <v>0</v>
      </c>
      <c r="Z3711" s="11" t="s">
        <v>26</v>
      </c>
      <c r="AA3711" s="12" t="s">
        <v>31</v>
      </c>
    </row>
    <row r="3712" spans="1:27" x14ac:dyDescent="0.25">
      <c r="A3712" s="10">
        <v>45714</v>
      </c>
      <c r="B3712" s="11" t="s">
        <v>702</v>
      </c>
      <c r="C3712" s="11" t="s">
        <v>6619</v>
      </c>
      <c r="D3712" s="11">
        <v>18269</v>
      </c>
      <c r="E3712" s="11" t="s">
        <v>61</v>
      </c>
      <c r="F3712" s="11" t="s">
        <v>26</v>
      </c>
      <c r="G3712" s="11" t="s">
        <v>35</v>
      </c>
      <c r="H3712" s="12" t="s">
        <v>36</v>
      </c>
      <c r="I3712" s="12" t="s">
        <v>27</v>
      </c>
      <c r="J3712" s="12" t="s">
        <v>33</v>
      </c>
      <c r="K3712" s="12" t="s">
        <v>34</v>
      </c>
      <c r="L3712" s="13">
        <v>8.3800000000000008</v>
      </c>
      <c r="M3712" s="13">
        <v>6</v>
      </c>
      <c r="N3712" s="13">
        <f t="shared" si="1694"/>
        <v>1.3966666666666667</v>
      </c>
      <c r="O3712" s="13">
        <v>50</v>
      </c>
      <c r="P3712" s="13" t="s">
        <v>30</v>
      </c>
      <c r="Q3712" s="13">
        <v>0</v>
      </c>
      <c r="R3712" s="70">
        <f>(L3712*O3712)-Q3712</f>
        <v>419.00000000000006</v>
      </c>
      <c r="S3712" s="70">
        <v>0</v>
      </c>
      <c r="T3712" s="70">
        <f t="shared" ref="T3712" si="1754">+L3712*S3712</f>
        <v>0</v>
      </c>
      <c r="U3712" s="70">
        <f t="shared" ref="U3712" si="1755">+R3712-T3712</f>
        <v>419.00000000000006</v>
      </c>
      <c r="V3712" s="70">
        <f t="shared" si="1753"/>
        <v>0</v>
      </c>
      <c r="W3712" s="70">
        <f t="shared" ref="W3712" si="1756">+U3712-V3712</f>
        <v>419.00000000000006</v>
      </c>
      <c r="X3712" s="70">
        <v>0</v>
      </c>
      <c r="Y3712" s="14">
        <f t="shared" si="1749"/>
        <v>0</v>
      </c>
      <c r="Z3712" s="11" t="s">
        <v>26</v>
      </c>
      <c r="AA3712" s="12" t="s">
        <v>31</v>
      </c>
    </row>
    <row r="3713" spans="1:27" x14ac:dyDescent="0.25">
      <c r="A3713" s="10">
        <v>45714</v>
      </c>
      <c r="B3713" s="11" t="s">
        <v>6620</v>
      </c>
      <c r="C3713" s="11" t="s">
        <v>6621</v>
      </c>
      <c r="D3713" s="11">
        <v>18270</v>
      </c>
      <c r="E3713" s="11" t="s">
        <v>80</v>
      </c>
      <c r="F3713" s="11" t="s">
        <v>26</v>
      </c>
      <c r="G3713" s="11">
        <v>10908</v>
      </c>
      <c r="H3713" s="12" t="s">
        <v>140</v>
      </c>
      <c r="I3713" s="12" t="s">
        <v>27</v>
      </c>
      <c r="J3713" s="12" t="s">
        <v>47</v>
      </c>
      <c r="K3713" s="12" t="s">
        <v>48</v>
      </c>
      <c r="L3713" s="13">
        <v>41.22</v>
      </c>
      <c r="M3713" s="13">
        <v>28</v>
      </c>
      <c r="N3713" s="13">
        <f t="shared" si="1694"/>
        <v>1.4721428571428572</v>
      </c>
      <c r="O3713" s="13">
        <v>40</v>
      </c>
      <c r="P3713" s="13"/>
      <c r="Q3713" s="13">
        <v>0</v>
      </c>
      <c r="R3713" s="70">
        <f>+L3713*O3713</f>
        <v>1648.8</v>
      </c>
      <c r="S3713" s="70">
        <v>0</v>
      </c>
      <c r="T3713" s="70">
        <f>+L3713*S3713</f>
        <v>0</v>
      </c>
      <c r="U3713" s="70">
        <f>+R3713-T3713</f>
        <v>1648.8</v>
      </c>
      <c r="V3713" s="70">
        <f t="shared" si="1753"/>
        <v>0</v>
      </c>
      <c r="W3713" s="70">
        <f>+U3713-V3713</f>
        <v>1648.8</v>
      </c>
      <c r="X3713" s="70">
        <v>0</v>
      </c>
      <c r="Y3713" s="14">
        <f t="shared" si="1749"/>
        <v>0</v>
      </c>
      <c r="Z3713" s="11" t="s">
        <v>26</v>
      </c>
      <c r="AA3713" s="12" t="s">
        <v>31</v>
      </c>
    </row>
    <row r="3714" spans="1:27" x14ac:dyDescent="0.25">
      <c r="A3714" s="10">
        <v>45714</v>
      </c>
      <c r="B3714" s="11" t="s">
        <v>263</v>
      </c>
      <c r="C3714" s="11" t="s">
        <v>6622</v>
      </c>
      <c r="D3714" s="11">
        <v>18271</v>
      </c>
      <c r="E3714" s="11" t="s">
        <v>53</v>
      </c>
      <c r="F3714" s="11" t="s">
        <v>26</v>
      </c>
      <c r="G3714" s="11">
        <v>3978</v>
      </c>
      <c r="H3714" s="12" t="s">
        <v>41</v>
      </c>
      <c r="I3714" s="12" t="s">
        <v>55</v>
      </c>
      <c r="J3714" s="12" t="s">
        <v>55</v>
      </c>
      <c r="K3714" s="12" t="s">
        <v>56</v>
      </c>
      <c r="L3714" s="13">
        <v>39.86</v>
      </c>
      <c r="M3714" s="13">
        <v>24</v>
      </c>
      <c r="N3714" s="13">
        <f t="shared" si="1694"/>
        <v>1.6608333333333334</v>
      </c>
      <c r="O3714" s="13" t="s">
        <v>30</v>
      </c>
      <c r="P3714" s="13">
        <v>24</v>
      </c>
      <c r="Q3714" s="13">
        <v>0</v>
      </c>
      <c r="R3714" s="70">
        <f>+M3714*P3714</f>
        <v>576</v>
      </c>
      <c r="S3714" s="70">
        <v>0</v>
      </c>
      <c r="T3714" s="70">
        <f>+M3714*S3714</f>
        <v>0</v>
      </c>
      <c r="U3714" s="70">
        <f t="shared" ref="U3714:U3715" si="1757">+R3714-T3714</f>
        <v>576</v>
      </c>
      <c r="V3714" s="70">
        <f>+U3714*0</f>
        <v>0</v>
      </c>
      <c r="W3714" s="70">
        <f t="shared" ref="W3714:W3715" si="1758">+U3714-V3714</f>
        <v>576</v>
      </c>
      <c r="X3714" s="70">
        <v>0</v>
      </c>
      <c r="Y3714" s="14">
        <f t="shared" si="1749"/>
        <v>0</v>
      </c>
      <c r="Z3714" s="11" t="s">
        <v>26</v>
      </c>
      <c r="AA3714" s="12" t="s">
        <v>31</v>
      </c>
    </row>
    <row r="3715" spans="1:27" x14ac:dyDescent="0.25">
      <c r="A3715" s="10">
        <v>45714</v>
      </c>
      <c r="B3715" s="11" t="s">
        <v>6623</v>
      </c>
      <c r="C3715" s="11" t="s">
        <v>6624</v>
      </c>
      <c r="D3715" s="11">
        <v>18272</v>
      </c>
      <c r="E3715" s="11" t="s">
        <v>97</v>
      </c>
      <c r="F3715" s="11" t="s">
        <v>26</v>
      </c>
      <c r="G3715" s="11">
        <v>9864</v>
      </c>
      <c r="H3715" s="12" t="s">
        <v>4447</v>
      </c>
      <c r="I3715" s="12" t="s">
        <v>27</v>
      </c>
      <c r="J3715" s="12" t="s">
        <v>42</v>
      </c>
      <c r="K3715" s="12" t="s">
        <v>43</v>
      </c>
      <c r="L3715" s="13">
        <v>22.32</v>
      </c>
      <c r="M3715" s="13">
        <v>13</v>
      </c>
      <c r="N3715" s="13">
        <f t="shared" si="1694"/>
        <v>1.716923076923077</v>
      </c>
      <c r="O3715" s="13" t="s">
        <v>30</v>
      </c>
      <c r="P3715" s="13">
        <v>65.599999999999994</v>
      </c>
      <c r="Q3715" s="13">
        <v>0</v>
      </c>
      <c r="R3715" s="70">
        <f>+M3715*P3715</f>
        <v>852.8</v>
      </c>
      <c r="S3715" s="70">
        <v>0</v>
      </c>
      <c r="T3715" s="70">
        <f>+M3715*S3715</f>
        <v>0</v>
      </c>
      <c r="U3715" s="70">
        <f t="shared" si="1757"/>
        <v>852.8</v>
      </c>
      <c r="V3715" s="70">
        <f>+U3715*1</f>
        <v>852.8</v>
      </c>
      <c r="W3715" s="70">
        <f t="shared" si="1758"/>
        <v>0</v>
      </c>
      <c r="X3715" s="70">
        <v>0</v>
      </c>
      <c r="Y3715" s="14">
        <f t="shared" si="1749"/>
        <v>0</v>
      </c>
      <c r="Z3715" s="11" t="s">
        <v>26</v>
      </c>
      <c r="AA3715" s="12" t="s">
        <v>31</v>
      </c>
    </row>
    <row r="3716" spans="1:27" x14ac:dyDescent="0.25">
      <c r="A3716" s="10">
        <v>45714</v>
      </c>
      <c r="B3716" s="11" t="s">
        <v>1810</v>
      </c>
      <c r="C3716" s="11" t="s">
        <v>6625</v>
      </c>
      <c r="D3716" s="11">
        <v>18273</v>
      </c>
      <c r="E3716" s="11" t="s">
        <v>240</v>
      </c>
      <c r="F3716" s="11" t="s">
        <v>26</v>
      </c>
      <c r="G3716" s="11" t="s">
        <v>26</v>
      </c>
      <c r="H3716" s="12" t="s">
        <v>4422</v>
      </c>
      <c r="I3716" s="12" t="s">
        <v>27</v>
      </c>
      <c r="J3716" s="12" t="s">
        <v>42</v>
      </c>
      <c r="K3716" s="12" t="s">
        <v>43</v>
      </c>
      <c r="L3716" s="13">
        <v>44.32</v>
      </c>
      <c r="M3716" s="13">
        <v>25</v>
      </c>
      <c r="N3716" s="13">
        <f t="shared" si="1694"/>
        <v>1.7727999999999999</v>
      </c>
      <c r="O3716" s="13">
        <v>83</v>
      </c>
      <c r="P3716" s="13" t="s">
        <v>30</v>
      </c>
      <c r="Q3716" s="13">
        <v>0</v>
      </c>
      <c r="R3716" s="70">
        <f>L3716*O3716</f>
        <v>3678.56</v>
      </c>
      <c r="S3716" s="70">
        <v>38</v>
      </c>
      <c r="T3716" s="70">
        <f>L3716*S3716</f>
        <v>1684.16</v>
      </c>
      <c r="U3716" s="70">
        <f>R3716-T3716</f>
        <v>1994.3999999999999</v>
      </c>
      <c r="V3716" s="70">
        <f>U3716*1</f>
        <v>1994.3999999999999</v>
      </c>
      <c r="W3716" s="70">
        <f>U3716-V3716</f>
        <v>0</v>
      </c>
      <c r="X3716" s="70">
        <f>L3716*37</f>
        <v>1639.84</v>
      </c>
      <c r="Y3716" s="71">
        <f>+T3716-X3716</f>
        <v>44.320000000000164</v>
      </c>
      <c r="Z3716" s="12" t="s">
        <v>41</v>
      </c>
      <c r="AA3716" s="12" t="s">
        <v>78</v>
      </c>
    </row>
    <row r="3717" spans="1:27" x14ac:dyDescent="0.25">
      <c r="A3717" s="10">
        <v>45714</v>
      </c>
      <c r="B3717" s="11" t="s">
        <v>6626</v>
      </c>
      <c r="C3717" s="11" t="s">
        <v>6627</v>
      </c>
      <c r="D3717" s="11">
        <v>18274</v>
      </c>
      <c r="E3717" s="11" t="s">
        <v>593</v>
      </c>
      <c r="F3717" s="11" t="s">
        <v>26</v>
      </c>
      <c r="G3717" s="11">
        <v>56554</v>
      </c>
      <c r="H3717" s="12" t="s">
        <v>4423</v>
      </c>
      <c r="I3717" s="12" t="s">
        <v>27</v>
      </c>
      <c r="J3717" s="12" t="s">
        <v>47</v>
      </c>
      <c r="K3717" s="12" t="s">
        <v>48</v>
      </c>
      <c r="L3717" s="13">
        <v>35.42</v>
      </c>
      <c r="M3717" s="13">
        <v>25</v>
      </c>
      <c r="N3717" s="13">
        <f t="shared" si="1694"/>
        <v>1.4168000000000001</v>
      </c>
      <c r="O3717" s="13">
        <v>46</v>
      </c>
      <c r="P3717" s="13" t="s">
        <v>30</v>
      </c>
      <c r="Q3717" s="13">
        <v>0</v>
      </c>
      <c r="R3717" s="70">
        <f t="shared" ref="R3717" si="1759">+L3717*O3717</f>
        <v>1629.3200000000002</v>
      </c>
      <c r="S3717" s="70">
        <v>0</v>
      </c>
      <c r="T3717" s="70">
        <f t="shared" ref="T3717" si="1760">+L3717*S3717</f>
        <v>0</v>
      </c>
      <c r="U3717" s="70">
        <f t="shared" ref="U3717" si="1761">+R3717-T3717</f>
        <v>1629.3200000000002</v>
      </c>
      <c r="V3717" s="70">
        <f>+U3717*1</f>
        <v>1629.3200000000002</v>
      </c>
      <c r="W3717" s="70">
        <f t="shared" ref="W3717" si="1762">+U3717-V3717</f>
        <v>0</v>
      </c>
      <c r="X3717" s="70">
        <v>0</v>
      </c>
      <c r="Y3717" s="14">
        <f t="shared" ref="Y3717:Y3738" si="1763">T3717-X3717</f>
        <v>0</v>
      </c>
      <c r="Z3717" s="11" t="s">
        <v>26</v>
      </c>
      <c r="AA3717" s="12" t="s">
        <v>31</v>
      </c>
    </row>
    <row r="3718" spans="1:27" x14ac:dyDescent="0.25">
      <c r="A3718" s="10">
        <v>45714</v>
      </c>
      <c r="B3718" s="11" t="s">
        <v>3071</v>
      </c>
      <c r="C3718" s="11" t="s">
        <v>6628</v>
      </c>
      <c r="D3718" s="11">
        <v>18275</v>
      </c>
      <c r="E3718" s="11" t="s">
        <v>1200</v>
      </c>
      <c r="F3718" s="11" t="s">
        <v>26</v>
      </c>
      <c r="G3718" s="11">
        <v>2995</v>
      </c>
      <c r="H3718" s="12" t="s">
        <v>163</v>
      </c>
      <c r="I3718" s="12" t="s">
        <v>27</v>
      </c>
      <c r="J3718" s="12" t="s">
        <v>42</v>
      </c>
      <c r="K3718" s="12" t="s">
        <v>43</v>
      </c>
      <c r="L3718" s="13">
        <v>43.92</v>
      </c>
      <c r="M3718" s="13">
        <v>25</v>
      </c>
      <c r="N3718" s="13">
        <f t="shared" si="1694"/>
        <v>1.7568000000000001</v>
      </c>
      <c r="O3718" s="13" t="s">
        <v>30</v>
      </c>
      <c r="P3718" s="13">
        <v>64</v>
      </c>
      <c r="Q3718" s="13">
        <v>0</v>
      </c>
      <c r="R3718" s="70">
        <f>M3718*P3718</f>
        <v>1600</v>
      </c>
      <c r="S3718" s="70">
        <v>0</v>
      </c>
      <c r="T3718" s="70">
        <f>M3718*S3718</f>
        <v>0</v>
      </c>
      <c r="U3718" s="70">
        <f>R3718-T3718</f>
        <v>1600</v>
      </c>
      <c r="V3718" s="70">
        <f t="shared" ref="V3718" si="1764">U3718*0</f>
        <v>0</v>
      </c>
      <c r="W3718" s="70">
        <f t="shared" ref="W3718" si="1765">U3718-V3718</f>
        <v>1600</v>
      </c>
      <c r="X3718" s="70">
        <v>0</v>
      </c>
      <c r="Y3718" s="14">
        <f t="shared" si="1763"/>
        <v>0</v>
      </c>
      <c r="Z3718" s="11" t="s">
        <v>26</v>
      </c>
      <c r="AA3718" s="12" t="s">
        <v>31</v>
      </c>
    </row>
    <row r="3719" spans="1:27" x14ac:dyDescent="0.25">
      <c r="A3719" s="10">
        <v>45714</v>
      </c>
      <c r="B3719" s="11" t="s">
        <v>4328</v>
      </c>
      <c r="C3719" s="11" t="s">
        <v>6629</v>
      </c>
      <c r="D3719" s="11">
        <v>18276</v>
      </c>
      <c r="E3719" s="11" t="s">
        <v>203</v>
      </c>
      <c r="F3719" s="11" t="s">
        <v>26</v>
      </c>
      <c r="G3719" s="11" t="s">
        <v>35</v>
      </c>
      <c r="H3719" s="12" t="s">
        <v>36</v>
      </c>
      <c r="I3719" s="12" t="s">
        <v>55</v>
      </c>
      <c r="J3719" s="12" t="s">
        <v>55</v>
      </c>
      <c r="K3719" s="12" t="s">
        <v>56</v>
      </c>
      <c r="L3719" s="13">
        <v>12.54</v>
      </c>
      <c r="M3719" s="13">
        <v>7</v>
      </c>
      <c r="N3719" s="13">
        <f t="shared" si="1694"/>
        <v>1.7914285714285714</v>
      </c>
      <c r="O3719" s="13">
        <v>20</v>
      </c>
      <c r="P3719" s="13" t="s">
        <v>30</v>
      </c>
      <c r="Q3719" s="13">
        <v>0</v>
      </c>
      <c r="R3719" s="70">
        <f>(L3719*O3719)-Q3719</f>
        <v>250.79999999999998</v>
      </c>
      <c r="S3719" s="70">
        <v>0</v>
      </c>
      <c r="T3719" s="70">
        <f t="shared" ref="T3719" si="1766">+L3719*S3719</f>
        <v>0</v>
      </c>
      <c r="U3719" s="70">
        <f t="shared" ref="U3719:U3724" si="1767">+R3719-T3719</f>
        <v>250.79999999999998</v>
      </c>
      <c r="V3719" s="70">
        <f t="shared" ref="V3719" si="1768">+U3719*0</f>
        <v>0</v>
      </c>
      <c r="W3719" s="70">
        <f t="shared" ref="W3719:W3724" si="1769">+U3719-V3719</f>
        <v>250.79999999999998</v>
      </c>
      <c r="X3719" s="70">
        <v>0</v>
      </c>
      <c r="Y3719" s="14">
        <f t="shared" si="1763"/>
        <v>0</v>
      </c>
      <c r="Z3719" s="11" t="s">
        <v>26</v>
      </c>
      <c r="AA3719" s="12" t="s">
        <v>31</v>
      </c>
    </row>
    <row r="3720" spans="1:27" x14ac:dyDescent="0.25">
      <c r="A3720" s="10">
        <v>45714</v>
      </c>
      <c r="B3720" s="11" t="s">
        <v>3289</v>
      </c>
      <c r="C3720" s="11" t="s">
        <v>6630</v>
      </c>
      <c r="D3720" s="11">
        <v>18277</v>
      </c>
      <c r="E3720" s="11" t="s">
        <v>552</v>
      </c>
      <c r="F3720" s="11" t="s">
        <v>26</v>
      </c>
      <c r="G3720" s="11">
        <v>44188</v>
      </c>
      <c r="H3720" s="12" t="s">
        <v>4423</v>
      </c>
      <c r="I3720" s="12" t="s">
        <v>27</v>
      </c>
      <c r="J3720" s="12" t="s">
        <v>33</v>
      </c>
      <c r="K3720" s="12" t="s">
        <v>34</v>
      </c>
      <c r="L3720" s="13">
        <v>32.119999999999997</v>
      </c>
      <c r="M3720" s="13">
        <v>25</v>
      </c>
      <c r="N3720" s="13">
        <f t="shared" si="1694"/>
        <v>1.2847999999999999</v>
      </c>
      <c r="O3720" s="13">
        <v>45</v>
      </c>
      <c r="P3720" s="13" t="s">
        <v>30</v>
      </c>
      <c r="Q3720" s="13">
        <v>0</v>
      </c>
      <c r="R3720" s="70">
        <f>+L3720*O3720</f>
        <v>1445.3999999999999</v>
      </c>
      <c r="S3720" s="70">
        <v>0</v>
      </c>
      <c r="T3720" s="70">
        <f>+L3720*S3720</f>
        <v>0</v>
      </c>
      <c r="U3720" s="70">
        <f t="shared" si="1767"/>
        <v>1445.3999999999999</v>
      </c>
      <c r="V3720" s="70">
        <f>+U3720*1</f>
        <v>1445.3999999999999</v>
      </c>
      <c r="W3720" s="70">
        <f t="shared" si="1769"/>
        <v>0</v>
      </c>
      <c r="X3720" s="70">
        <v>0</v>
      </c>
      <c r="Y3720" s="14">
        <f t="shared" si="1763"/>
        <v>0</v>
      </c>
      <c r="Z3720" s="11" t="s">
        <v>26</v>
      </c>
      <c r="AA3720" s="12" t="s">
        <v>31</v>
      </c>
    </row>
    <row r="3721" spans="1:27" x14ac:dyDescent="0.25">
      <c r="A3721" s="10">
        <v>45714</v>
      </c>
      <c r="B3721" s="11" t="s">
        <v>323</v>
      </c>
      <c r="C3721" s="11" t="s">
        <v>6631</v>
      </c>
      <c r="D3721" s="11">
        <v>18278</v>
      </c>
      <c r="E3721" s="11" t="s">
        <v>74</v>
      </c>
      <c r="F3721" s="11" t="s">
        <v>26</v>
      </c>
      <c r="G3721" s="11">
        <v>1347</v>
      </c>
      <c r="H3721" s="12" t="s">
        <v>70</v>
      </c>
      <c r="I3721" s="12" t="s">
        <v>27</v>
      </c>
      <c r="J3721" s="12" t="s">
        <v>33</v>
      </c>
      <c r="K3721" s="12" t="s">
        <v>34</v>
      </c>
      <c r="L3721" s="13">
        <v>39.979999999999997</v>
      </c>
      <c r="M3721" s="13">
        <v>25</v>
      </c>
      <c r="N3721" s="13">
        <f t="shared" si="1694"/>
        <v>1.5992</v>
      </c>
      <c r="O3721" s="13" t="s">
        <v>30</v>
      </c>
      <c r="P3721" s="13">
        <v>60</v>
      </c>
      <c r="Q3721" s="13">
        <v>0</v>
      </c>
      <c r="R3721" s="70">
        <f>+M3721*P3721</f>
        <v>1500</v>
      </c>
      <c r="S3721" s="70">
        <v>0</v>
      </c>
      <c r="T3721" s="70">
        <f>+M3721*S3721</f>
        <v>0</v>
      </c>
      <c r="U3721" s="70">
        <f t="shared" si="1767"/>
        <v>1500</v>
      </c>
      <c r="V3721" s="70">
        <f>+U3721*0</f>
        <v>0</v>
      </c>
      <c r="W3721" s="70">
        <f t="shared" si="1769"/>
        <v>1500</v>
      </c>
      <c r="X3721" s="70">
        <v>0</v>
      </c>
      <c r="Y3721" s="14">
        <f t="shared" si="1763"/>
        <v>0</v>
      </c>
      <c r="Z3721" s="11" t="s">
        <v>26</v>
      </c>
      <c r="AA3721" s="12" t="s">
        <v>31</v>
      </c>
    </row>
    <row r="3722" spans="1:27" x14ac:dyDescent="0.25">
      <c r="A3722" s="10">
        <v>45714</v>
      </c>
      <c r="B3722" s="11" t="s">
        <v>3821</v>
      </c>
      <c r="C3722" s="11" t="s">
        <v>6632</v>
      </c>
      <c r="D3722" s="11">
        <v>18279</v>
      </c>
      <c r="E3722" s="11" t="s">
        <v>60</v>
      </c>
      <c r="F3722" s="11" t="s">
        <v>26</v>
      </c>
      <c r="G3722" s="11" t="s">
        <v>35</v>
      </c>
      <c r="H3722" s="12" t="s">
        <v>36</v>
      </c>
      <c r="I3722" s="12" t="s">
        <v>27</v>
      </c>
      <c r="J3722" s="12" t="s">
        <v>33</v>
      </c>
      <c r="K3722" s="12" t="s">
        <v>34</v>
      </c>
      <c r="L3722" s="13">
        <v>6.06</v>
      </c>
      <c r="M3722" s="13">
        <v>4</v>
      </c>
      <c r="N3722" s="13">
        <f t="shared" si="1694"/>
        <v>1.5149999999999999</v>
      </c>
      <c r="O3722" s="13">
        <v>50</v>
      </c>
      <c r="P3722" s="13" t="s">
        <v>30</v>
      </c>
      <c r="Q3722" s="13">
        <v>0</v>
      </c>
      <c r="R3722" s="70">
        <f>(L3722*O3722)-Q3722</f>
        <v>303</v>
      </c>
      <c r="S3722" s="70">
        <v>0</v>
      </c>
      <c r="T3722" s="70">
        <f t="shared" ref="T3722" si="1770">+L3722*S3722</f>
        <v>0</v>
      </c>
      <c r="U3722" s="70">
        <f t="shared" si="1767"/>
        <v>303</v>
      </c>
      <c r="V3722" s="70">
        <f t="shared" ref="V3722:V3724" si="1771">+U3722*0</f>
        <v>0</v>
      </c>
      <c r="W3722" s="70">
        <f t="shared" si="1769"/>
        <v>303</v>
      </c>
      <c r="X3722" s="70">
        <v>0</v>
      </c>
      <c r="Y3722" s="14">
        <f t="shared" si="1763"/>
        <v>0</v>
      </c>
      <c r="Z3722" s="11" t="s">
        <v>26</v>
      </c>
      <c r="AA3722" s="12" t="s">
        <v>31</v>
      </c>
    </row>
    <row r="3723" spans="1:27" x14ac:dyDescent="0.25">
      <c r="A3723" s="10">
        <v>45714</v>
      </c>
      <c r="B3723" s="11" t="s">
        <v>1337</v>
      </c>
      <c r="C3723" s="11" t="s">
        <v>6633</v>
      </c>
      <c r="D3723" s="11">
        <v>18280</v>
      </c>
      <c r="E3723" s="11" t="s">
        <v>69</v>
      </c>
      <c r="F3723" s="11" t="s">
        <v>26</v>
      </c>
      <c r="G3723" s="11">
        <v>2137</v>
      </c>
      <c r="H3723" s="12" t="s">
        <v>70</v>
      </c>
      <c r="I3723" s="12" t="s">
        <v>27</v>
      </c>
      <c r="J3723" s="12" t="s">
        <v>42</v>
      </c>
      <c r="K3723" s="12" t="s">
        <v>43</v>
      </c>
      <c r="L3723" s="13">
        <v>42.02</v>
      </c>
      <c r="M3723" s="13">
        <v>25</v>
      </c>
      <c r="N3723" s="13">
        <f t="shared" si="1694"/>
        <v>1.6808000000000001</v>
      </c>
      <c r="O3723" s="13" t="s">
        <v>30</v>
      </c>
      <c r="P3723" s="13">
        <v>64</v>
      </c>
      <c r="Q3723" s="13">
        <v>0</v>
      </c>
      <c r="R3723" s="70">
        <f>+M3723*P3723</f>
        <v>1600</v>
      </c>
      <c r="S3723" s="70">
        <v>0</v>
      </c>
      <c r="T3723" s="70">
        <f>+M3723*S3723</f>
        <v>0</v>
      </c>
      <c r="U3723" s="70">
        <f t="shared" si="1767"/>
        <v>1600</v>
      </c>
      <c r="V3723" s="70">
        <f t="shared" si="1771"/>
        <v>0</v>
      </c>
      <c r="W3723" s="70">
        <f t="shared" si="1769"/>
        <v>1600</v>
      </c>
      <c r="X3723" s="70">
        <v>0</v>
      </c>
      <c r="Y3723" s="14">
        <f t="shared" si="1763"/>
        <v>0</v>
      </c>
      <c r="Z3723" s="11" t="s">
        <v>26</v>
      </c>
      <c r="AA3723" s="12" t="s">
        <v>31</v>
      </c>
    </row>
    <row r="3724" spans="1:27" x14ac:dyDescent="0.25">
      <c r="A3724" s="10">
        <v>45714</v>
      </c>
      <c r="B3724" s="11" t="s">
        <v>2670</v>
      </c>
      <c r="C3724" s="11" t="s">
        <v>6634</v>
      </c>
      <c r="D3724" s="11">
        <v>18281</v>
      </c>
      <c r="E3724" s="11" t="s">
        <v>484</v>
      </c>
      <c r="F3724" s="11" t="s">
        <v>26</v>
      </c>
      <c r="G3724" s="11" t="s">
        <v>35</v>
      </c>
      <c r="H3724" s="12" t="s">
        <v>36</v>
      </c>
      <c r="I3724" s="12" t="s">
        <v>55</v>
      </c>
      <c r="J3724" s="12" t="s">
        <v>55</v>
      </c>
      <c r="K3724" s="12" t="s">
        <v>56</v>
      </c>
      <c r="L3724" s="13">
        <v>33.82</v>
      </c>
      <c r="M3724" s="13">
        <v>22</v>
      </c>
      <c r="N3724" s="13">
        <f t="shared" si="1694"/>
        <v>1.5372727272727273</v>
      </c>
      <c r="O3724" s="13">
        <v>20</v>
      </c>
      <c r="P3724" s="13" t="s">
        <v>30</v>
      </c>
      <c r="Q3724" s="13">
        <v>0</v>
      </c>
      <c r="R3724" s="70">
        <f>(L3724*O3724)-Q3724</f>
        <v>676.4</v>
      </c>
      <c r="S3724" s="70">
        <v>0</v>
      </c>
      <c r="T3724" s="70">
        <f t="shared" ref="T3724" si="1772">+L3724*S3724</f>
        <v>0</v>
      </c>
      <c r="U3724" s="70">
        <f t="shared" si="1767"/>
        <v>676.4</v>
      </c>
      <c r="V3724" s="70">
        <f t="shared" si="1771"/>
        <v>0</v>
      </c>
      <c r="W3724" s="70">
        <f t="shared" si="1769"/>
        <v>676.4</v>
      </c>
      <c r="X3724" s="70">
        <v>0</v>
      </c>
      <c r="Y3724" s="14">
        <f t="shared" si="1763"/>
        <v>0</v>
      </c>
      <c r="Z3724" s="11" t="s">
        <v>26</v>
      </c>
      <c r="AA3724" s="12" t="s">
        <v>31</v>
      </c>
    </row>
    <row r="3725" spans="1:27" x14ac:dyDescent="0.25">
      <c r="A3725" s="10">
        <v>45714</v>
      </c>
      <c r="B3725" s="11" t="s">
        <v>430</v>
      </c>
      <c r="C3725" s="11" t="s">
        <v>6635</v>
      </c>
      <c r="D3725" s="11">
        <v>18282</v>
      </c>
      <c r="E3725" s="11" t="s">
        <v>461</v>
      </c>
      <c r="F3725" s="11" t="s">
        <v>26</v>
      </c>
      <c r="G3725" s="11">
        <v>136</v>
      </c>
      <c r="H3725" s="12" t="s">
        <v>4444</v>
      </c>
      <c r="I3725" s="12" t="s">
        <v>37</v>
      </c>
      <c r="J3725" s="12" t="s">
        <v>85</v>
      </c>
      <c r="K3725" s="12" t="s">
        <v>86</v>
      </c>
      <c r="L3725" s="13">
        <v>31.38</v>
      </c>
      <c r="M3725" s="13">
        <v>20</v>
      </c>
      <c r="N3725" s="13">
        <f t="shared" si="1694"/>
        <v>1.569</v>
      </c>
      <c r="O3725" s="13">
        <v>30</v>
      </c>
      <c r="P3725" s="13" t="s">
        <v>30</v>
      </c>
      <c r="Q3725" s="13">
        <v>0</v>
      </c>
      <c r="R3725" s="70">
        <f>L3725*O3725</f>
        <v>941.4</v>
      </c>
      <c r="S3725" s="70">
        <v>0</v>
      </c>
      <c r="T3725" s="70">
        <f>L3725*S3725</f>
        <v>0</v>
      </c>
      <c r="U3725" s="70">
        <f>R3725-T3725</f>
        <v>941.4</v>
      </c>
      <c r="V3725" s="70">
        <f>U3725*0</f>
        <v>0</v>
      </c>
      <c r="W3725" s="70">
        <f>U3725-V3725</f>
        <v>941.4</v>
      </c>
      <c r="X3725" s="70">
        <v>0</v>
      </c>
      <c r="Y3725" s="14">
        <f t="shared" si="1763"/>
        <v>0</v>
      </c>
      <c r="Z3725" s="11" t="s">
        <v>26</v>
      </c>
      <c r="AA3725" s="12" t="s">
        <v>31</v>
      </c>
    </row>
    <row r="3726" spans="1:27" x14ac:dyDescent="0.25">
      <c r="A3726" s="10">
        <v>45714</v>
      </c>
      <c r="B3726" s="11" t="s">
        <v>6636</v>
      </c>
      <c r="C3726" s="11" t="s">
        <v>6637</v>
      </c>
      <c r="D3726" s="11">
        <v>18283</v>
      </c>
      <c r="E3726" s="11" t="s">
        <v>486</v>
      </c>
      <c r="F3726" s="11" t="s">
        <v>26</v>
      </c>
      <c r="G3726" s="11">
        <v>78152</v>
      </c>
      <c r="H3726" s="12" t="s">
        <v>4448</v>
      </c>
      <c r="I3726" s="12" t="s">
        <v>27</v>
      </c>
      <c r="J3726" s="12" t="s">
        <v>42</v>
      </c>
      <c r="K3726" s="12" t="s">
        <v>43</v>
      </c>
      <c r="L3726" s="13">
        <v>45.18</v>
      </c>
      <c r="M3726" s="13">
        <v>28</v>
      </c>
      <c r="N3726" s="13">
        <f t="shared" si="1694"/>
        <v>1.6135714285714287</v>
      </c>
      <c r="O3726" s="13">
        <v>42.5</v>
      </c>
      <c r="P3726" s="13"/>
      <c r="Q3726" s="13">
        <v>0</v>
      </c>
      <c r="R3726" s="70">
        <f>+L3726*O3726</f>
        <v>1920.15</v>
      </c>
      <c r="S3726" s="70">
        <v>0</v>
      </c>
      <c r="T3726" s="70">
        <f>+L3726*S3726</f>
        <v>0</v>
      </c>
      <c r="U3726" s="70">
        <f>+R3726-T3726</f>
        <v>1920.15</v>
      </c>
      <c r="V3726" s="70">
        <f>+U3726*0.75</f>
        <v>1440.1125000000002</v>
      </c>
      <c r="W3726" s="70">
        <f>+U3726-V3726</f>
        <v>480.03749999999991</v>
      </c>
      <c r="X3726" s="70">
        <v>0</v>
      </c>
      <c r="Y3726" s="14">
        <f t="shared" si="1763"/>
        <v>0</v>
      </c>
      <c r="Z3726" s="11" t="s">
        <v>26</v>
      </c>
      <c r="AA3726" s="12" t="s">
        <v>31</v>
      </c>
    </row>
    <row r="3727" spans="1:27" x14ac:dyDescent="0.25">
      <c r="A3727" s="10">
        <v>45714</v>
      </c>
      <c r="B3727" s="11" t="s">
        <v>613</v>
      </c>
      <c r="C3727" s="11" t="s">
        <v>6638</v>
      </c>
      <c r="D3727" s="11">
        <v>18284</v>
      </c>
      <c r="E3727" s="11" t="s">
        <v>539</v>
      </c>
      <c r="F3727" s="11" t="s">
        <v>26</v>
      </c>
      <c r="G3727" s="11">
        <v>3381</v>
      </c>
      <c r="H3727" s="12" t="s">
        <v>41</v>
      </c>
      <c r="I3727" s="12" t="s">
        <v>55</v>
      </c>
      <c r="J3727" s="12" t="s">
        <v>55</v>
      </c>
      <c r="K3727" s="12" t="s">
        <v>56</v>
      </c>
      <c r="L3727" s="13">
        <v>40</v>
      </c>
      <c r="M3727" s="13">
        <v>25</v>
      </c>
      <c r="N3727" s="13">
        <f t="shared" si="1694"/>
        <v>1.6</v>
      </c>
      <c r="O3727" s="13" t="s">
        <v>30</v>
      </c>
      <c r="P3727" s="13">
        <v>24</v>
      </c>
      <c r="Q3727" s="13">
        <v>0</v>
      </c>
      <c r="R3727" s="70">
        <f>+M3727*P3727</f>
        <v>600</v>
      </c>
      <c r="S3727" s="70">
        <v>0</v>
      </c>
      <c r="T3727" s="70">
        <f>+M3727*S3727</f>
        <v>0</v>
      </c>
      <c r="U3727" s="70">
        <f t="shared" ref="U3727" si="1773">+R3727-T3727</f>
        <v>600</v>
      </c>
      <c r="V3727" s="70">
        <f>+U3727*0</f>
        <v>0</v>
      </c>
      <c r="W3727" s="70">
        <f t="shared" ref="W3727" si="1774">+U3727-V3727</f>
        <v>600</v>
      </c>
      <c r="X3727" s="70">
        <v>0</v>
      </c>
      <c r="Y3727" s="14">
        <f t="shared" si="1763"/>
        <v>0</v>
      </c>
      <c r="Z3727" s="11" t="s">
        <v>26</v>
      </c>
      <c r="AA3727" s="12" t="s">
        <v>31</v>
      </c>
    </row>
    <row r="3728" spans="1:27" x14ac:dyDescent="0.25">
      <c r="A3728" s="10">
        <v>45714</v>
      </c>
      <c r="B3728" s="11" t="s">
        <v>282</v>
      </c>
      <c r="C3728" s="11" t="s">
        <v>6639</v>
      </c>
      <c r="D3728" s="11">
        <v>18285</v>
      </c>
      <c r="E3728" s="11" t="s">
        <v>6144</v>
      </c>
      <c r="F3728" s="11" t="s">
        <v>26</v>
      </c>
      <c r="G3728" s="11">
        <v>4674</v>
      </c>
      <c r="H3728" s="12" t="s">
        <v>140</v>
      </c>
      <c r="I3728" s="12" t="s">
        <v>27</v>
      </c>
      <c r="J3728" s="12" t="s">
        <v>33</v>
      </c>
      <c r="K3728" s="12" t="s">
        <v>34</v>
      </c>
      <c r="L3728" s="13">
        <v>34.96</v>
      </c>
      <c r="M3728" s="13">
        <v>24</v>
      </c>
      <c r="N3728" s="13">
        <f t="shared" si="1694"/>
        <v>1.4566666666666668</v>
      </c>
      <c r="O3728" s="13">
        <v>40</v>
      </c>
      <c r="P3728" s="13"/>
      <c r="Q3728" s="13">
        <v>0</v>
      </c>
      <c r="R3728" s="70">
        <f>+L3728*O3728</f>
        <v>1398.4</v>
      </c>
      <c r="S3728" s="70">
        <v>0</v>
      </c>
      <c r="T3728" s="70">
        <f>+L3728*S3728</f>
        <v>0</v>
      </c>
      <c r="U3728" s="70">
        <f>+R3728-T3728</f>
        <v>1398.4</v>
      </c>
      <c r="V3728" s="70">
        <f t="shared" ref="V3728" si="1775">+U3728*0</f>
        <v>0</v>
      </c>
      <c r="W3728" s="70">
        <f>+U3728-V3728</f>
        <v>1398.4</v>
      </c>
      <c r="X3728" s="70">
        <v>0</v>
      </c>
      <c r="Y3728" s="14">
        <f t="shared" si="1763"/>
        <v>0</v>
      </c>
      <c r="Z3728" s="11" t="s">
        <v>26</v>
      </c>
      <c r="AA3728" s="12" t="s">
        <v>31</v>
      </c>
    </row>
    <row r="3729" spans="1:27" x14ac:dyDescent="0.25">
      <c r="A3729" s="10">
        <v>45714</v>
      </c>
      <c r="B3729" s="11" t="s">
        <v>2738</v>
      </c>
      <c r="C3729" s="11" t="s">
        <v>6640</v>
      </c>
      <c r="D3729" s="11">
        <v>18286</v>
      </c>
      <c r="E3729" s="11" t="s">
        <v>505</v>
      </c>
      <c r="F3729" s="11" t="s">
        <v>26</v>
      </c>
      <c r="G3729" s="11">
        <v>1267</v>
      </c>
      <c r="H3729" s="12" t="s">
        <v>141</v>
      </c>
      <c r="I3729" s="12" t="s">
        <v>27</v>
      </c>
      <c r="J3729" s="12" t="s">
        <v>47</v>
      </c>
      <c r="K3729" s="12" t="s">
        <v>48</v>
      </c>
      <c r="L3729" s="13">
        <v>41.34</v>
      </c>
      <c r="M3729" s="13">
        <v>28</v>
      </c>
      <c r="N3729" s="13">
        <f t="shared" si="1694"/>
        <v>1.4764285714285716</v>
      </c>
      <c r="O3729" s="13">
        <v>40</v>
      </c>
      <c r="P3729" s="13" t="s">
        <v>30</v>
      </c>
      <c r="Q3729" s="13">
        <v>0</v>
      </c>
      <c r="R3729" s="70">
        <f>L3729*O3729</f>
        <v>1653.6000000000001</v>
      </c>
      <c r="S3729" s="70">
        <v>0</v>
      </c>
      <c r="T3729" s="70">
        <f>L3729*S3729</f>
        <v>0</v>
      </c>
      <c r="U3729" s="70">
        <f>R3729-T3729</f>
        <v>1653.6000000000001</v>
      </c>
      <c r="V3729" s="70">
        <f>U3729*0</f>
        <v>0</v>
      </c>
      <c r="W3729" s="70">
        <f>U3729-V3729</f>
        <v>1653.6000000000001</v>
      </c>
      <c r="X3729" s="70">
        <v>0</v>
      </c>
      <c r="Y3729" s="14">
        <f t="shared" si="1763"/>
        <v>0</v>
      </c>
      <c r="Z3729" s="11" t="s">
        <v>26</v>
      </c>
      <c r="AA3729" s="12" t="s">
        <v>31</v>
      </c>
    </row>
    <row r="3730" spans="1:27" x14ac:dyDescent="0.25">
      <c r="A3730" s="10">
        <v>45714</v>
      </c>
      <c r="B3730" s="11" t="s">
        <v>6641</v>
      </c>
      <c r="C3730" s="11" t="s">
        <v>6642</v>
      </c>
      <c r="D3730" s="11">
        <v>18287</v>
      </c>
      <c r="E3730" s="11" t="s">
        <v>50</v>
      </c>
      <c r="F3730" s="11" t="s">
        <v>26</v>
      </c>
      <c r="G3730" s="11">
        <v>772</v>
      </c>
      <c r="H3730" s="12" t="s">
        <v>163</v>
      </c>
      <c r="I3730" s="12" t="s">
        <v>27</v>
      </c>
      <c r="J3730" s="12" t="s">
        <v>33</v>
      </c>
      <c r="K3730" s="12" t="s">
        <v>34</v>
      </c>
      <c r="L3730" s="13">
        <v>34.74</v>
      </c>
      <c r="M3730" s="13">
        <v>25</v>
      </c>
      <c r="N3730" s="13">
        <f t="shared" si="1694"/>
        <v>1.3896000000000002</v>
      </c>
      <c r="O3730" s="13" t="s">
        <v>30</v>
      </c>
      <c r="P3730" s="13">
        <v>60</v>
      </c>
      <c r="Q3730" s="13">
        <v>0</v>
      </c>
      <c r="R3730" s="70">
        <f>M3730*P3730</f>
        <v>1500</v>
      </c>
      <c r="S3730" s="70">
        <v>0</v>
      </c>
      <c r="T3730" s="70">
        <f>M3730*S3730</f>
        <v>0</v>
      </c>
      <c r="U3730" s="70">
        <f>R3730-T3730</f>
        <v>1500</v>
      </c>
      <c r="V3730" s="70">
        <f>U3730*0</f>
        <v>0</v>
      </c>
      <c r="W3730" s="70">
        <f>U3730-V3730</f>
        <v>1500</v>
      </c>
      <c r="X3730" s="70">
        <v>0</v>
      </c>
      <c r="Y3730" s="14">
        <f t="shared" si="1763"/>
        <v>0</v>
      </c>
      <c r="Z3730" s="11" t="s">
        <v>26</v>
      </c>
      <c r="AA3730" s="12" t="s">
        <v>31</v>
      </c>
    </row>
    <row r="3731" spans="1:27" x14ac:dyDescent="0.25">
      <c r="A3731" s="10">
        <v>45714</v>
      </c>
      <c r="B3731" s="11" t="s">
        <v>6643</v>
      </c>
      <c r="C3731" s="11" t="s">
        <v>6644</v>
      </c>
      <c r="D3731" s="11">
        <v>18288</v>
      </c>
      <c r="E3731" s="11" t="s">
        <v>461</v>
      </c>
      <c r="F3731" s="11" t="s">
        <v>26</v>
      </c>
      <c r="G3731" s="11">
        <v>137</v>
      </c>
      <c r="H3731" s="12" t="s">
        <v>4444</v>
      </c>
      <c r="I3731" s="12" t="s">
        <v>37</v>
      </c>
      <c r="J3731" s="12" t="s">
        <v>85</v>
      </c>
      <c r="K3731" s="12" t="s">
        <v>86</v>
      </c>
      <c r="L3731" s="13">
        <v>31.22</v>
      </c>
      <c r="M3731" s="13">
        <v>20</v>
      </c>
      <c r="N3731" s="13">
        <f t="shared" si="1694"/>
        <v>1.5609999999999999</v>
      </c>
      <c r="O3731" s="13">
        <v>30</v>
      </c>
      <c r="P3731" s="13" t="s">
        <v>30</v>
      </c>
      <c r="Q3731" s="13">
        <v>0</v>
      </c>
      <c r="R3731" s="70">
        <f>L3731*O3731</f>
        <v>936.59999999999991</v>
      </c>
      <c r="S3731" s="70">
        <v>0</v>
      </c>
      <c r="T3731" s="70">
        <f>L3731*S3731</f>
        <v>0</v>
      </c>
      <c r="U3731" s="70">
        <f>R3731-T3731</f>
        <v>936.59999999999991</v>
      </c>
      <c r="V3731" s="70">
        <f>U3731*0</f>
        <v>0</v>
      </c>
      <c r="W3731" s="70">
        <f>U3731-V3731</f>
        <v>936.59999999999991</v>
      </c>
      <c r="X3731" s="70">
        <v>0</v>
      </c>
      <c r="Y3731" s="14">
        <f t="shared" si="1763"/>
        <v>0</v>
      </c>
      <c r="Z3731" s="11" t="s">
        <v>26</v>
      </c>
      <c r="AA3731" s="12" t="s">
        <v>31</v>
      </c>
    </row>
    <row r="3732" spans="1:27" x14ac:dyDescent="0.25">
      <c r="A3732" s="10">
        <v>45714</v>
      </c>
      <c r="B3732" s="11" t="s">
        <v>323</v>
      </c>
      <c r="C3732" s="11" t="s">
        <v>6645</v>
      </c>
      <c r="D3732" s="11">
        <v>18289</v>
      </c>
      <c r="E3732" s="11" t="s">
        <v>97</v>
      </c>
      <c r="F3732" s="11" t="s">
        <v>26</v>
      </c>
      <c r="G3732" s="11">
        <v>9865</v>
      </c>
      <c r="H3732" s="12" t="s">
        <v>4447</v>
      </c>
      <c r="I3732" s="12" t="s">
        <v>27</v>
      </c>
      <c r="J3732" s="12" t="s">
        <v>42</v>
      </c>
      <c r="K3732" s="12" t="s">
        <v>43</v>
      </c>
      <c r="L3732" s="13">
        <v>20.12</v>
      </c>
      <c r="M3732" s="13">
        <v>13</v>
      </c>
      <c r="N3732" s="13">
        <f t="shared" si="1694"/>
        <v>1.5476923076923077</v>
      </c>
      <c r="O3732" s="13" t="s">
        <v>30</v>
      </c>
      <c r="P3732" s="13">
        <v>65.599999999999994</v>
      </c>
      <c r="Q3732" s="13">
        <v>0</v>
      </c>
      <c r="R3732" s="70">
        <f>+M3732*P3732</f>
        <v>852.8</v>
      </c>
      <c r="S3732" s="70">
        <v>0</v>
      </c>
      <c r="T3732" s="70">
        <f>+M3732*S3732</f>
        <v>0</v>
      </c>
      <c r="U3732" s="70">
        <f t="shared" ref="U3732" si="1776">+R3732-T3732</f>
        <v>852.8</v>
      </c>
      <c r="V3732" s="70">
        <f>+U3732*1</f>
        <v>852.8</v>
      </c>
      <c r="W3732" s="70">
        <f t="shared" ref="W3732" si="1777">+U3732-V3732</f>
        <v>0</v>
      </c>
      <c r="X3732" s="70">
        <v>0</v>
      </c>
      <c r="Y3732" s="14">
        <f t="shared" si="1763"/>
        <v>0</v>
      </c>
      <c r="Z3732" s="11" t="s">
        <v>26</v>
      </c>
      <c r="AA3732" s="12" t="s">
        <v>31</v>
      </c>
    </row>
    <row r="3733" spans="1:27" x14ac:dyDescent="0.25">
      <c r="A3733" s="10">
        <v>45714</v>
      </c>
      <c r="B3733" s="11" t="s">
        <v>6646</v>
      </c>
      <c r="C3733" s="11" t="s">
        <v>6647</v>
      </c>
      <c r="D3733" s="11">
        <v>18290</v>
      </c>
      <c r="E3733" s="11" t="s">
        <v>574</v>
      </c>
      <c r="F3733" s="11" t="s">
        <v>26</v>
      </c>
      <c r="G3733" s="11">
        <v>903</v>
      </c>
      <c r="H3733" s="12" t="s">
        <v>141</v>
      </c>
      <c r="I3733" s="12" t="s">
        <v>27</v>
      </c>
      <c r="J3733" s="12" t="s">
        <v>33</v>
      </c>
      <c r="K3733" s="12" t="s">
        <v>34</v>
      </c>
      <c r="L3733" s="13">
        <v>41.48</v>
      </c>
      <c r="M3733" s="13">
        <v>28</v>
      </c>
      <c r="N3733" s="13">
        <f t="shared" si="1694"/>
        <v>1.4814285714285713</v>
      </c>
      <c r="O3733" s="13">
        <v>40</v>
      </c>
      <c r="P3733" s="13" t="s">
        <v>30</v>
      </c>
      <c r="Q3733" s="13">
        <v>0</v>
      </c>
      <c r="R3733" s="70">
        <f>L3733*O3733</f>
        <v>1659.1999999999998</v>
      </c>
      <c r="S3733" s="70">
        <v>0</v>
      </c>
      <c r="T3733" s="70">
        <f>L3733*S3733</f>
        <v>0</v>
      </c>
      <c r="U3733" s="70">
        <f>R3733-T3733</f>
        <v>1659.1999999999998</v>
      </c>
      <c r="V3733" s="70">
        <f>U3733*0</f>
        <v>0</v>
      </c>
      <c r="W3733" s="70">
        <f>U3733-V3733</f>
        <v>1659.1999999999998</v>
      </c>
      <c r="X3733" s="70">
        <v>0</v>
      </c>
      <c r="Y3733" s="14">
        <f t="shared" si="1763"/>
        <v>0</v>
      </c>
      <c r="Z3733" s="11" t="s">
        <v>26</v>
      </c>
      <c r="AA3733" s="12" t="s">
        <v>31</v>
      </c>
    </row>
    <row r="3734" spans="1:27" x14ac:dyDescent="0.25">
      <c r="A3734" s="10">
        <v>45714</v>
      </c>
      <c r="B3734" s="11" t="s">
        <v>6648</v>
      </c>
      <c r="C3734" s="11" t="s">
        <v>6649</v>
      </c>
      <c r="D3734" s="11">
        <v>18291</v>
      </c>
      <c r="E3734" s="11" t="s">
        <v>501</v>
      </c>
      <c r="F3734" s="11" t="s">
        <v>26</v>
      </c>
      <c r="G3734" s="11">
        <v>825</v>
      </c>
      <c r="H3734" s="12" t="s">
        <v>141</v>
      </c>
      <c r="I3734" s="12" t="s">
        <v>27</v>
      </c>
      <c r="J3734" s="12" t="s">
        <v>33</v>
      </c>
      <c r="K3734" s="12" t="s">
        <v>34</v>
      </c>
      <c r="L3734" s="13">
        <v>41.04</v>
      </c>
      <c r="M3734" s="13">
        <v>28</v>
      </c>
      <c r="N3734" s="13">
        <f t="shared" ref="N3734:N3742" si="1778">L3734/M3734</f>
        <v>1.4657142857142857</v>
      </c>
      <c r="O3734" s="13">
        <v>40</v>
      </c>
      <c r="P3734" s="13" t="s">
        <v>30</v>
      </c>
      <c r="Q3734" s="13">
        <v>0</v>
      </c>
      <c r="R3734" s="70">
        <f>L3734*O3734</f>
        <v>1641.6</v>
      </c>
      <c r="S3734" s="70">
        <v>0</v>
      </c>
      <c r="T3734" s="70">
        <f>L3734*S3734</f>
        <v>0</v>
      </c>
      <c r="U3734" s="70">
        <f>R3734-T3734</f>
        <v>1641.6</v>
      </c>
      <c r="V3734" s="70">
        <f>U3734*0</f>
        <v>0</v>
      </c>
      <c r="W3734" s="70">
        <f>U3734-V3734</f>
        <v>1641.6</v>
      </c>
      <c r="X3734" s="70">
        <v>0</v>
      </c>
      <c r="Y3734" s="14">
        <f t="shared" si="1763"/>
        <v>0</v>
      </c>
      <c r="Z3734" s="11" t="s">
        <v>26</v>
      </c>
      <c r="AA3734" s="12" t="s">
        <v>31</v>
      </c>
    </row>
    <row r="3735" spans="1:27" x14ac:dyDescent="0.25">
      <c r="A3735" s="10">
        <v>45714</v>
      </c>
      <c r="B3735" s="11" t="s">
        <v>6650</v>
      </c>
      <c r="C3735" s="11" t="s">
        <v>6651</v>
      </c>
      <c r="D3735" s="11">
        <v>18293</v>
      </c>
      <c r="E3735" s="11" t="s">
        <v>461</v>
      </c>
      <c r="F3735" s="11" t="s">
        <v>26</v>
      </c>
      <c r="G3735" s="11">
        <v>135</v>
      </c>
      <c r="H3735" s="12" t="s">
        <v>4444</v>
      </c>
      <c r="I3735" s="12" t="s">
        <v>37</v>
      </c>
      <c r="J3735" s="12" t="s">
        <v>85</v>
      </c>
      <c r="K3735" s="12" t="s">
        <v>86</v>
      </c>
      <c r="L3735" s="13">
        <v>30.3</v>
      </c>
      <c r="M3735" s="13">
        <v>20</v>
      </c>
      <c r="N3735" s="13">
        <f t="shared" si="1778"/>
        <v>1.5150000000000001</v>
      </c>
      <c r="O3735" s="13">
        <v>30</v>
      </c>
      <c r="P3735" s="13" t="s">
        <v>30</v>
      </c>
      <c r="Q3735" s="13">
        <v>0</v>
      </c>
      <c r="R3735" s="70">
        <f>L3735*O3735</f>
        <v>909</v>
      </c>
      <c r="S3735" s="70">
        <v>0</v>
      </c>
      <c r="T3735" s="70">
        <f>L3735*S3735</f>
        <v>0</v>
      </c>
      <c r="U3735" s="70">
        <f>R3735-T3735</f>
        <v>909</v>
      </c>
      <c r="V3735" s="70">
        <f>U3735*0</f>
        <v>0</v>
      </c>
      <c r="W3735" s="70">
        <f>U3735-V3735</f>
        <v>909</v>
      </c>
      <c r="X3735" s="70">
        <v>0</v>
      </c>
      <c r="Y3735" s="14">
        <f t="shared" si="1763"/>
        <v>0</v>
      </c>
      <c r="Z3735" s="11" t="s">
        <v>26</v>
      </c>
      <c r="AA3735" s="12" t="s">
        <v>31</v>
      </c>
    </row>
    <row r="3736" spans="1:27" x14ac:dyDescent="0.25">
      <c r="A3736" s="10">
        <v>45714</v>
      </c>
      <c r="B3736" s="11" t="s">
        <v>6652</v>
      </c>
      <c r="C3736" s="11" t="s">
        <v>6653</v>
      </c>
      <c r="D3736" s="11">
        <v>18294</v>
      </c>
      <c r="E3736" s="11" t="s">
        <v>57</v>
      </c>
      <c r="F3736" s="11" t="s">
        <v>26</v>
      </c>
      <c r="G3736" s="11">
        <v>3329</v>
      </c>
      <c r="H3736" s="12" t="s">
        <v>41</v>
      </c>
      <c r="I3736" s="12" t="s">
        <v>55</v>
      </c>
      <c r="J3736" s="12" t="s">
        <v>55</v>
      </c>
      <c r="K3736" s="12" t="s">
        <v>56</v>
      </c>
      <c r="L3736" s="13">
        <v>42</v>
      </c>
      <c r="M3736" s="13">
        <v>25</v>
      </c>
      <c r="N3736" s="13">
        <f t="shared" si="1778"/>
        <v>1.68</v>
      </c>
      <c r="O3736" s="13" t="s">
        <v>30</v>
      </c>
      <c r="P3736" s="13">
        <v>24</v>
      </c>
      <c r="Q3736" s="13">
        <v>0</v>
      </c>
      <c r="R3736" s="70">
        <f>+M3736*P3736</f>
        <v>600</v>
      </c>
      <c r="S3736" s="70">
        <v>0</v>
      </c>
      <c r="T3736" s="70">
        <f>+M3736*S3736</f>
        <v>0</v>
      </c>
      <c r="U3736" s="70">
        <f t="shared" ref="U3736:U3737" si="1779">+R3736-T3736</f>
        <v>600</v>
      </c>
      <c r="V3736" s="70">
        <f>+U3736*0</f>
        <v>0</v>
      </c>
      <c r="W3736" s="70">
        <f t="shared" ref="W3736:W3737" si="1780">+U3736-V3736</f>
        <v>600</v>
      </c>
      <c r="X3736" s="70">
        <v>0</v>
      </c>
      <c r="Y3736" s="14">
        <f t="shared" si="1763"/>
        <v>0</v>
      </c>
      <c r="Z3736" s="11" t="s">
        <v>26</v>
      </c>
      <c r="AA3736" s="12" t="s">
        <v>31</v>
      </c>
    </row>
    <row r="3737" spans="1:27" x14ac:dyDescent="0.25">
      <c r="A3737" s="10">
        <v>45714</v>
      </c>
      <c r="B3737" s="11" t="s">
        <v>6654</v>
      </c>
      <c r="C3737" s="11" t="s">
        <v>6655</v>
      </c>
      <c r="D3737" s="11">
        <v>18295</v>
      </c>
      <c r="E3737" s="11" t="s">
        <v>246</v>
      </c>
      <c r="F3737" s="11" t="s">
        <v>26</v>
      </c>
      <c r="G3737" s="11">
        <v>3434</v>
      </c>
      <c r="H3737" s="12" t="s">
        <v>41</v>
      </c>
      <c r="I3737" s="12" t="s">
        <v>55</v>
      </c>
      <c r="J3737" s="12" t="s">
        <v>55</v>
      </c>
      <c r="K3737" s="12" t="s">
        <v>56</v>
      </c>
      <c r="L3737" s="13">
        <v>41.24</v>
      </c>
      <c r="M3737" s="13">
        <v>25</v>
      </c>
      <c r="N3737" s="13">
        <f t="shared" si="1778"/>
        <v>1.6496000000000002</v>
      </c>
      <c r="O3737" s="13" t="s">
        <v>30</v>
      </c>
      <c r="P3737" s="13">
        <v>24</v>
      </c>
      <c r="Q3737" s="13">
        <v>0</v>
      </c>
      <c r="R3737" s="70">
        <f>+M3737*P3737</f>
        <v>600</v>
      </c>
      <c r="S3737" s="70">
        <v>0</v>
      </c>
      <c r="T3737" s="70">
        <f>+M3737*S3737</f>
        <v>0</v>
      </c>
      <c r="U3737" s="70">
        <f t="shared" si="1779"/>
        <v>600</v>
      </c>
      <c r="V3737" s="70">
        <f>+U3737*0</f>
        <v>0</v>
      </c>
      <c r="W3737" s="70">
        <f t="shared" si="1780"/>
        <v>600</v>
      </c>
      <c r="X3737" s="70">
        <v>0</v>
      </c>
      <c r="Y3737" s="14">
        <f t="shared" si="1763"/>
        <v>0</v>
      </c>
      <c r="Z3737" s="11" t="s">
        <v>26</v>
      </c>
      <c r="AA3737" s="12" t="s">
        <v>31</v>
      </c>
    </row>
    <row r="3738" spans="1:27" x14ac:dyDescent="0.25">
      <c r="A3738" s="10">
        <v>45714</v>
      </c>
      <c r="B3738" s="11" t="s">
        <v>6656</v>
      </c>
      <c r="C3738" s="11" t="s">
        <v>6657</v>
      </c>
      <c r="D3738" s="11">
        <v>18296</v>
      </c>
      <c r="E3738" s="11" t="s">
        <v>53</v>
      </c>
      <c r="F3738" s="11" t="s">
        <v>26</v>
      </c>
      <c r="G3738" s="11">
        <v>3979</v>
      </c>
      <c r="H3738" s="12" t="s">
        <v>41</v>
      </c>
      <c r="I3738" s="12" t="s">
        <v>27</v>
      </c>
      <c r="J3738" s="12" t="s">
        <v>42</v>
      </c>
      <c r="K3738" s="12" t="s">
        <v>43</v>
      </c>
      <c r="L3738" s="13">
        <v>43.4</v>
      </c>
      <c r="M3738" s="13">
        <v>25</v>
      </c>
      <c r="N3738" s="13">
        <f t="shared" si="1778"/>
        <v>1.736</v>
      </c>
      <c r="O3738" s="13" t="s">
        <v>30</v>
      </c>
      <c r="P3738" s="13">
        <v>64</v>
      </c>
      <c r="Q3738" s="13">
        <v>0</v>
      </c>
      <c r="R3738" s="70">
        <f>M3738*P3738</f>
        <v>1600</v>
      </c>
      <c r="S3738" s="70">
        <v>0</v>
      </c>
      <c r="T3738" s="70">
        <f>M3738*S3738</f>
        <v>0</v>
      </c>
      <c r="U3738" s="70">
        <f>+R3738-T3738</f>
        <v>1600</v>
      </c>
      <c r="V3738" s="70">
        <f t="shared" ref="V3738" si="1781">+U3738*0</f>
        <v>0</v>
      </c>
      <c r="W3738" s="70">
        <f>+U3738-V3738</f>
        <v>1600</v>
      </c>
      <c r="X3738" s="70">
        <v>0</v>
      </c>
      <c r="Y3738" s="14">
        <f t="shared" si="1763"/>
        <v>0</v>
      </c>
      <c r="Z3738" s="11" t="s">
        <v>26</v>
      </c>
      <c r="AA3738" s="12" t="s">
        <v>31</v>
      </c>
    </row>
    <row r="3739" spans="1:27" x14ac:dyDescent="0.25">
      <c r="A3739" s="10">
        <v>45714</v>
      </c>
      <c r="B3739" s="11" t="s">
        <v>6658</v>
      </c>
      <c r="C3739" s="11" t="s">
        <v>6659</v>
      </c>
      <c r="D3739" s="11">
        <v>18297</v>
      </c>
      <c r="E3739" s="11" t="s">
        <v>240</v>
      </c>
      <c r="F3739" s="11" t="s">
        <v>26</v>
      </c>
      <c r="G3739" s="11" t="s">
        <v>26</v>
      </c>
      <c r="H3739" s="12" t="s">
        <v>4422</v>
      </c>
      <c r="I3739" s="12" t="s">
        <v>27</v>
      </c>
      <c r="J3739" s="12" t="s">
        <v>42</v>
      </c>
      <c r="K3739" s="12" t="s">
        <v>43</v>
      </c>
      <c r="L3739" s="13">
        <v>43.26</v>
      </c>
      <c r="M3739" s="13">
        <v>25</v>
      </c>
      <c r="N3739" s="13">
        <f t="shared" si="1778"/>
        <v>1.7303999999999999</v>
      </c>
      <c r="O3739" s="13">
        <v>83</v>
      </c>
      <c r="P3739" s="13" t="s">
        <v>30</v>
      </c>
      <c r="Q3739" s="13">
        <v>0</v>
      </c>
      <c r="R3739" s="70">
        <f>L3739*O3739</f>
        <v>3590.58</v>
      </c>
      <c r="S3739" s="70">
        <v>38</v>
      </c>
      <c r="T3739" s="70">
        <f>L3739*S3739</f>
        <v>1643.8799999999999</v>
      </c>
      <c r="U3739" s="70">
        <f>R3739-T3739</f>
        <v>1946.7</v>
      </c>
      <c r="V3739" s="70">
        <f>U3739*1</f>
        <v>1946.7</v>
      </c>
      <c r="W3739" s="70">
        <f>U3739-V3739</f>
        <v>0</v>
      </c>
      <c r="X3739" s="70">
        <f>L3739*37</f>
        <v>1600.62</v>
      </c>
      <c r="Y3739" s="71">
        <f>+T3739-X3739</f>
        <v>43.259999999999991</v>
      </c>
      <c r="Z3739" s="12" t="s">
        <v>41</v>
      </c>
      <c r="AA3739" s="12" t="s">
        <v>78</v>
      </c>
    </row>
    <row r="3740" spans="1:27" x14ac:dyDescent="0.25">
      <c r="A3740" s="10">
        <v>45714</v>
      </c>
      <c r="B3740" s="11" t="s">
        <v>6660</v>
      </c>
      <c r="C3740" s="11" t="s">
        <v>6661</v>
      </c>
      <c r="D3740" s="11">
        <v>18298</v>
      </c>
      <c r="E3740" s="11" t="s">
        <v>1200</v>
      </c>
      <c r="F3740" s="11" t="s">
        <v>26</v>
      </c>
      <c r="G3740" s="11">
        <v>2996</v>
      </c>
      <c r="H3740" s="12" t="s">
        <v>163</v>
      </c>
      <c r="I3740" s="12" t="s">
        <v>55</v>
      </c>
      <c r="J3740" s="12" t="s">
        <v>55</v>
      </c>
      <c r="K3740" s="12" t="s">
        <v>56</v>
      </c>
      <c r="L3740" s="13">
        <v>39.86</v>
      </c>
      <c r="M3740" s="13">
        <v>25</v>
      </c>
      <c r="N3740" s="13">
        <f t="shared" si="1778"/>
        <v>1.5944</v>
      </c>
      <c r="O3740" s="13" t="s">
        <v>30</v>
      </c>
      <c r="P3740" s="13">
        <v>25</v>
      </c>
      <c r="Q3740" s="13">
        <v>0</v>
      </c>
      <c r="R3740" s="70">
        <f>M3740*P3740</f>
        <v>625</v>
      </c>
      <c r="S3740" s="70">
        <v>0</v>
      </c>
      <c r="T3740" s="70">
        <f>M3740*S3740</f>
        <v>0</v>
      </c>
      <c r="U3740" s="70">
        <f>R3740-T3740</f>
        <v>625</v>
      </c>
      <c r="V3740" s="70">
        <f>U3740*0</f>
        <v>0</v>
      </c>
      <c r="W3740" s="70">
        <f>U3740-V3740</f>
        <v>625</v>
      </c>
      <c r="X3740" s="70">
        <v>0</v>
      </c>
      <c r="Y3740" s="14">
        <f t="shared" ref="Y3740:Y3747" si="1782">T3740-X3740</f>
        <v>0</v>
      </c>
      <c r="Z3740" s="11" t="s">
        <v>26</v>
      </c>
      <c r="AA3740" s="12" t="s">
        <v>31</v>
      </c>
    </row>
    <row r="3741" spans="1:27" x14ac:dyDescent="0.25">
      <c r="A3741" s="10">
        <v>45714</v>
      </c>
      <c r="B3741" s="11" t="s">
        <v>3017</v>
      </c>
      <c r="C3741" s="11" t="s">
        <v>6662</v>
      </c>
      <c r="D3741" s="11">
        <v>18299</v>
      </c>
      <c r="E3741" s="11" t="s">
        <v>593</v>
      </c>
      <c r="F3741" s="11" t="s">
        <v>26</v>
      </c>
      <c r="G3741" s="11">
        <v>56555</v>
      </c>
      <c r="H3741" s="12" t="s">
        <v>4423</v>
      </c>
      <c r="I3741" s="12" t="s">
        <v>27</v>
      </c>
      <c r="J3741" s="12" t="s">
        <v>33</v>
      </c>
      <c r="K3741" s="12" t="s">
        <v>34</v>
      </c>
      <c r="L3741" s="13">
        <v>34.82</v>
      </c>
      <c r="M3741" s="13">
        <v>25</v>
      </c>
      <c r="N3741" s="13">
        <f t="shared" si="1778"/>
        <v>1.3928</v>
      </c>
      <c r="O3741" s="13">
        <v>45</v>
      </c>
      <c r="P3741" s="13" t="s">
        <v>30</v>
      </c>
      <c r="Q3741" s="13">
        <v>0</v>
      </c>
      <c r="R3741" s="70">
        <f>+L3741*O3741</f>
        <v>1566.9</v>
      </c>
      <c r="S3741" s="70">
        <v>0</v>
      </c>
      <c r="T3741" s="70">
        <f>+L3741*S3741</f>
        <v>0</v>
      </c>
      <c r="U3741" s="70">
        <f t="shared" ref="U3741:U3744" si="1783">+R3741-T3741</f>
        <v>1566.9</v>
      </c>
      <c r="V3741" s="70">
        <f>+U3741*1</f>
        <v>1566.9</v>
      </c>
      <c r="W3741" s="70">
        <f t="shared" ref="W3741:W3744" si="1784">+U3741-V3741</f>
        <v>0</v>
      </c>
      <c r="X3741" s="70">
        <v>0</v>
      </c>
      <c r="Y3741" s="14">
        <f t="shared" si="1782"/>
        <v>0</v>
      </c>
      <c r="Z3741" s="11" t="s">
        <v>26</v>
      </c>
      <c r="AA3741" s="12" t="s">
        <v>31</v>
      </c>
    </row>
    <row r="3742" spans="1:27" x14ac:dyDescent="0.25">
      <c r="A3742" s="10">
        <v>45714</v>
      </c>
      <c r="B3742" s="11" t="s">
        <v>1642</v>
      </c>
      <c r="C3742" s="11" t="s">
        <v>6663</v>
      </c>
      <c r="D3742" s="11">
        <v>18300</v>
      </c>
      <c r="E3742" s="11" t="s">
        <v>322</v>
      </c>
      <c r="F3742" s="11" t="s">
        <v>26</v>
      </c>
      <c r="G3742" s="11" t="s">
        <v>35</v>
      </c>
      <c r="H3742" s="12" t="s">
        <v>36</v>
      </c>
      <c r="I3742" s="12" t="s">
        <v>55</v>
      </c>
      <c r="J3742" s="12" t="s">
        <v>55</v>
      </c>
      <c r="K3742" s="12" t="s">
        <v>56</v>
      </c>
      <c r="L3742" s="13">
        <v>37.42</v>
      </c>
      <c r="M3742" s="13">
        <v>22</v>
      </c>
      <c r="N3742" s="13">
        <f t="shared" si="1778"/>
        <v>1.7009090909090909</v>
      </c>
      <c r="O3742" s="13">
        <v>20</v>
      </c>
      <c r="P3742" s="13" t="s">
        <v>30</v>
      </c>
      <c r="Q3742" s="13">
        <v>0</v>
      </c>
      <c r="R3742" s="70">
        <f>(L3742*O3742)-Q3742</f>
        <v>748.40000000000009</v>
      </c>
      <c r="S3742" s="70">
        <v>0</v>
      </c>
      <c r="T3742" s="70">
        <f t="shared" ref="T3742:T3744" si="1785">+L3742*S3742</f>
        <v>0</v>
      </c>
      <c r="U3742" s="70">
        <f t="shared" si="1783"/>
        <v>748.40000000000009</v>
      </c>
      <c r="V3742" s="70">
        <f t="shared" ref="V3742" si="1786">+U3742*0</f>
        <v>0</v>
      </c>
      <c r="W3742" s="70">
        <f t="shared" si="1784"/>
        <v>748.40000000000009</v>
      </c>
      <c r="X3742" s="70">
        <v>0</v>
      </c>
      <c r="Y3742" s="14">
        <f t="shared" si="1782"/>
        <v>0</v>
      </c>
      <c r="Z3742" s="11" t="s">
        <v>26</v>
      </c>
      <c r="AA3742" s="12" t="s">
        <v>31</v>
      </c>
    </row>
    <row r="3743" spans="1:27" x14ac:dyDescent="0.25">
      <c r="A3743" s="10">
        <v>45715</v>
      </c>
      <c r="B3743" s="11" t="s">
        <v>6677</v>
      </c>
      <c r="C3743" s="11" t="s">
        <v>6678</v>
      </c>
      <c r="D3743" s="11">
        <v>18301</v>
      </c>
      <c r="E3743" s="11" t="s">
        <v>552</v>
      </c>
      <c r="F3743" s="11" t="s">
        <v>26</v>
      </c>
      <c r="G3743" s="11">
        <v>44189</v>
      </c>
      <c r="H3743" s="12" t="s">
        <v>4423</v>
      </c>
      <c r="I3743" s="12" t="s">
        <v>27</v>
      </c>
      <c r="J3743" s="12" t="s">
        <v>47</v>
      </c>
      <c r="K3743" s="12" t="s">
        <v>48</v>
      </c>
      <c r="L3743" s="13">
        <v>34.200000000000003</v>
      </c>
      <c r="M3743" s="13">
        <v>25</v>
      </c>
      <c r="N3743" s="13">
        <f>+L3743/M3743</f>
        <v>1.3680000000000001</v>
      </c>
      <c r="O3743" s="13">
        <v>46</v>
      </c>
      <c r="P3743" s="13" t="s">
        <v>30</v>
      </c>
      <c r="Q3743" s="13">
        <v>0</v>
      </c>
      <c r="R3743" s="70">
        <f t="shared" ref="R3743:R3744" si="1787">+L3743*O3743</f>
        <v>1573.2</v>
      </c>
      <c r="S3743" s="70">
        <v>0</v>
      </c>
      <c r="T3743" s="70">
        <f t="shared" si="1785"/>
        <v>0</v>
      </c>
      <c r="U3743" s="70">
        <f t="shared" si="1783"/>
        <v>1573.2</v>
      </c>
      <c r="V3743" s="70">
        <f>+U3743*1</f>
        <v>1573.2</v>
      </c>
      <c r="W3743" s="70">
        <f t="shared" si="1784"/>
        <v>0</v>
      </c>
      <c r="X3743" s="70">
        <v>0</v>
      </c>
      <c r="Y3743" s="14">
        <f t="shared" si="1782"/>
        <v>0</v>
      </c>
      <c r="Z3743" s="12" t="s">
        <v>26</v>
      </c>
      <c r="AA3743" s="12" t="s">
        <v>31</v>
      </c>
    </row>
    <row r="3744" spans="1:27" x14ac:dyDescent="0.25">
      <c r="A3744" s="10">
        <v>45715</v>
      </c>
      <c r="B3744" s="11" t="s">
        <v>6679</v>
      </c>
      <c r="C3744" s="11" t="s">
        <v>6680</v>
      </c>
      <c r="D3744" s="11">
        <v>18302</v>
      </c>
      <c r="E3744" s="11" t="s">
        <v>224</v>
      </c>
      <c r="F3744" s="11" t="s">
        <v>26</v>
      </c>
      <c r="G3744" s="11">
        <v>3237</v>
      </c>
      <c r="H3744" s="12" t="s">
        <v>4423</v>
      </c>
      <c r="I3744" s="12" t="s">
        <v>27</v>
      </c>
      <c r="J3744" s="12" t="s">
        <v>47</v>
      </c>
      <c r="K3744" s="12" t="s">
        <v>48</v>
      </c>
      <c r="L3744" s="13">
        <v>35.299999999999997</v>
      </c>
      <c r="M3744" s="13">
        <v>25</v>
      </c>
      <c r="N3744" s="13">
        <f t="shared" ref="N3744:N3807" si="1788">+L3744/M3744</f>
        <v>1.4119999999999999</v>
      </c>
      <c r="O3744" s="13">
        <v>46</v>
      </c>
      <c r="P3744" s="13" t="s">
        <v>30</v>
      </c>
      <c r="Q3744" s="13">
        <v>0</v>
      </c>
      <c r="R3744" s="70">
        <f t="shared" si="1787"/>
        <v>1623.8</v>
      </c>
      <c r="S3744" s="70">
        <v>0</v>
      </c>
      <c r="T3744" s="70">
        <f t="shared" si="1785"/>
        <v>0</v>
      </c>
      <c r="U3744" s="70">
        <f t="shared" si="1783"/>
        <v>1623.8</v>
      </c>
      <c r="V3744" s="70">
        <f>+U3744*1</f>
        <v>1623.8</v>
      </c>
      <c r="W3744" s="70">
        <f t="shared" si="1784"/>
        <v>0</v>
      </c>
      <c r="X3744" s="70">
        <v>0</v>
      </c>
      <c r="Y3744" s="14">
        <f t="shared" si="1782"/>
        <v>0</v>
      </c>
      <c r="Z3744" s="12" t="s">
        <v>26</v>
      </c>
      <c r="AA3744" s="12" t="s">
        <v>31</v>
      </c>
    </row>
    <row r="3745" spans="1:27" x14ac:dyDescent="0.25">
      <c r="A3745" s="10">
        <v>45715</v>
      </c>
      <c r="B3745" s="11" t="s">
        <v>1819</v>
      </c>
      <c r="C3745" s="11" t="s">
        <v>6681</v>
      </c>
      <c r="D3745" s="11">
        <v>18303</v>
      </c>
      <c r="E3745" s="11" t="s">
        <v>50</v>
      </c>
      <c r="F3745" s="11" t="s">
        <v>26</v>
      </c>
      <c r="G3745" s="11">
        <v>773</v>
      </c>
      <c r="H3745" s="12" t="s">
        <v>163</v>
      </c>
      <c r="I3745" s="12" t="s">
        <v>27</v>
      </c>
      <c r="J3745" s="12" t="s">
        <v>33</v>
      </c>
      <c r="K3745" s="12" t="s">
        <v>34</v>
      </c>
      <c r="L3745" s="13">
        <v>38.619999999999997</v>
      </c>
      <c r="M3745" s="13">
        <v>25</v>
      </c>
      <c r="N3745" s="13">
        <f t="shared" si="1788"/>
        <v>1.5448</v>
      </c>
      <c r="O3745" s="13" t="s">
        <v>30</v>
      </c>
      <c r="P3745" s="13">
        <v>60</v>
      </c>
      <c r="Q3745" s="13">
        <v>0</v>
      </c>
      <c r="R3745" s="70">
        <f>M3745*P3745</f>
        <v>1500</v>
      </c>
      <c r="S3745" s="70">
        <v>0</v>
      </c>
      <c r="T3745" s="70">
        <f>M3745*S3745</f>
        <v>0</v>
      </c>
      <c r="U3745" s="70">
        <f>R3745-T3745</f>
        <v>1500</v>
      </c>
      <c r="V3745" s="70">
        <f>U3745*0</f>
        <v>0</v>
      </c>
      <c r="W3745" s="70">
        <f>U3745-V3745</f>
        <v>1500</v>
      </c>
      <c r="X3745" s="70">
        <v>0</v>
      </c>
      <c r="Y3745" s="14">
        <f t="shared" si="1782"/>
        <v>0</v>
      </c>
      <c r="Z3745" s="11" t="s">
        <v>26</v>
      </c>
      <c r="AA3745" s="12" t="s">
        <v>31</v>
      </c>
    </row>
    <row r="3746" spans="1:27" x14ac:dyDescent="0.25">
      <c r="A3746" s="10">
        <v>45715</v>
      </c>
      <c r="B3746" s="11" t="s">
        <v>3909</v>
      </c>
      <c r="C3746" s="11" t="s">
        <v>6682</v>
      </c>
      <c r="D3746" s="11">
        <v>18304</v>
      </c>
      <c r="E3746" s="11" t="s">
        <v>484</v>
      </c>
      <c r="F3746" s="11" t="s">
        <v>26</v>
      </c>
      <c r="G3746" s="11">
        <v>10042</v>
      </c>
      <c r="H3746" s="12" t="s">
        <v>140</v>
      </c>
      <c r="I3746" s="12" t="s">
        <v>27</v>
      </c>
      <c r="J3746" s="12" t="s">
        <v>33</v>
      </c>
      <c r="K3746" s="12" t="s">
        <v>34</v>
      </c>
      <c r="L3746" s="13">
        <v>43.72</v>
      </c>
      <c r="M3746" s="13">
        <v>30</v>
      </c>
      <c r="N3746" s="13">
        <f t="shared" si="1788"/>
        <v>1.4573333333333334</v>
      </c>
      <c r="O3746" s="13">
        <v>40</v>
      </c>
      <c r="P3746" s="13"/>
      <c r="Q3746" s="13">
        <v>0</v>
      </c>
      <c r="R3746" s="70">
        <f>+L3746*O3746</f>
        <v>1748.8</v>
      </c>
      <c r="S3746" s="70">
        <v>0</v>
      </c>
      <c r="T3746" s="70">
        <f>+L3746*S3746</f>
        <v>0</v>
      </c>
      <c r="U3746" s="70">
        <f>+R3746-T3746</f>
        <v>1748.8</v>
      </c>
      <c r="V3746" s="70">
        <f t="shared" ref="V3746:V3747" si="1789">+U3746*0</f>
        <v>0</v>
      </c>
      <c r="W3746" s="70">
        <f>+U3746-V3746</f>
        <v>1748.8</v>
      </c>
      <c r="X3746" s="70">
        <v>0</v>
      </c>
      <c r="Y3746" s="14">
        <f t="shared" si="1782"/>
        <v>0</v>
      </c>
      <c r="Z3746" s="11" t="s">
        <v>26</v>
      </c>
      <c r="AA3746" s="12" t="s">
        <v>31</v>
      </c>
    </row>
    <row r="3747" spans="1:27" x14ac:dyDescent="0.25">
      <c r="A3747" s="10">
        <v>45715</v>
      </c>
      <c r="B3747" s="11" t="s">
        <v>661</v>
      </c>
      <c r="C3747" s="11" t="s">
        <v>6683</v>
      </c>
      <c r="D3747" s="11">
        <v>18305</v>
      </c>
      <c r="E3747" s="11" t="s">
        <v>2109</v>
      </c>
      <c r="F3747" s="11" t="s">
        <v>26</v>
      </c>
      <c r="G3747" s="11">
        <v>10636</v>
      </c>
      <c r="H3747" s="12" t="s">
        <v>140</v>
      </c>
      <c r="I3747" s="12" t="s">
        <v>27</v>
      </c>
      <c r="J3747" s="12" t="s">
        <v>47</v>
      </c>
      <c r="K3747" s="12" t="s">
        <v>48</v>
      </c>
      <c r="L3747" s="13">
        <v>45.06</v>
      </c>
      <c r="M3747" s="13">
        <v>31</v>
      </c>
      <c r="N3747" s="13">
        <f t="shared" si="1788"/>
        <v>1.4535483870967743</v>
      </c>
      <c r="O3747" s="13">
        <v>40</v>
      </c>
      <c r="P3747" s="13"/>
      <c r="Q3747" s="13">
        <v>0</v>
      </c>
      <c r="R3747" s="70">
        <f>+L3747*O3747</f>
        <v>1802.4</v>
      </c>
      <c r="S3747" s="70">
        <v>0</v>
      </c>
      <c r="T3747" s="70">
        <f>+L3747*S3747</f>
        <v>0</v>
      </c>
      <c r="U3747" s="70">
        <f>+R3747-T3747</f>
        <v>1802.4</v>
      </c>
      <c r="V3747" s="70">
        <f t="shared" si="1789"/>
        <v>0</v>
      </c>
      <c r="W3747" s="70">
        <f>+U3747-V3747</f>
        <v>1802.4</v>
      </c>
      <c r="X3747" s="70">
        <v>0</v>
      </c>
      <c r="Y3747" s="14">
        <f t="shared" si="1782"/>
        <v>0</v>
      </c>
      <c r="Z3747" s="11" t="s">
        <v>26</v>
      </c>
      <c r="AA3747" s="12" t="s">
        <v>31</v>
      </c>
    </row>
    <row r="3748" spans="1:27" x14ac:dyDescent="0.25">
      <c r="A3748" s="10">
        <v>45715</v>
      </c>
      <c r="B3748" s="11" t="s">
        <v>381</v>
      </c>
      <c r="C3748" s="11" t="s">
        <v>6684</v>
      </c>
      <c r="D3748" s="11">
        <v>18306</v>
      </c>
      <c r="E3748" s="11" t="s">
        <v>184</v>
      </c>
      <c r="F3748" s="11" t="s">
        <v>26</v>
      </c>
      <c r="G3748" s="11" t="s">
        <v>26</v>
      </c>
      <c r="H3748" s="12" t="s">
        <v>4422</v>
      </c>
      <c r="I3748" s="12" t="s">
        <v>27</v>
      </c>
      <c r="J3748" s="12" t="s">
        <v>33</v>
      </c>
      <c r="K3748" s="12" t="s">
        <v>34</v>
      </c>
      <c r="L3748" s="13">
        <v>42.88</v>
      </c>
      <c r="M3748" s="13">
        <v>29</v>
      </c>
      <c r="N3748" s="13">
        <f t="shared" si="1788"/>
        <v>1.4786206896551726</v>
      </c>
      <c r="O3748" s="13">
        <v>85</v>
      </c>
      <c r="P3748" s="13" t="s">
        <v>30</v>
      </c>
      <c r="Q3748" s="13">
        <v>0</v>
      </c>
      <c r="R3748" s="70">
        <f t="shared" ref="R3748" si="1790">L3748*O3748</f>
        <v>3644.8</v>
      </c>
      <c r="S3748" s="70">
        <v>38</v>
      </c>
      <c r="T3748" s="70">
        <f t="shared" ref="T3748:T3749" si="1791">L3748*S3748</f>
        <v>1629.44</v>
      </c>
      <c r="U3748" s="70">
        <f t="shared" ref="U3748:U3754" si="1792">R3748-T3748</f>
        <v>2015.3600000000001</v>
      </c>
      <c r="V3748" s="70">
        <f>U3748*1</f>
        <v>2015.3600000000001</v>
      </c>
      <c r="W3748" s="70">
        <f t="shared" ref="W3748" si="1793">U3748-V3748</f>
        <v>0</v>
      </c>
      <c r="X3748" s="70">
        <f>L3748*36</f>
        <v>1543.68</v>
      </c>
      <c r="Y3748" s="71">
        <f>+T3748-X3748</f>
        <v>85.759999999999991</v>
      </c>
      <c r="Z3748" s="12" t="s">
        <v>141</v>
      </c>
      <c r="AA3748" s="12" t="s">
        <v>78</v>
      </c>
    </row>
    <row r="3749" spans="1:27" x14ac:dyDescent="0.25">
      <c r="A3749" s="10">
        <v>45715</v>
      </c>
      <c r="B3749" s="11" t="s">
        <v>4140</v>
      </c>
      <c r="C3749" s="11" t="s">
        <v>6685</v>
      </c>
      <c r="D3749" s="11">
        <v>18307</v>
      </c>
      <c r="E3749" s="11" t="s">
        <v>539</v>
      </c>
      <c r="F3749" s="11" t="s">
        <v>26</v>
      </c>
      <c r="G3749" s="11">
        <v>3383</v>
      </c>
      <c r="H3749" s="12" t="s">
        <v>41</v>
      </c>
      <c r="I3749" s="12" t="s">
        <v>55</v>
      </c>
      <c r="J3749" s="12" t="s">
        <v>566</v>
      </c>
      <c r="K3749" s="12" t="s">
        <v>550</v>
      </c>
      <c r="L3749" s="13">
        <v>42.26</v>
      </c>
      <c r="M3749" s="13">
        <v>25</v>
      </c>
      <c r="N3749" s="13">
        <f t="shared" si="1788"/>
        <v>1.6903999999999999</v>
      </c>
      <c r="O3749" s="13">
        <v>25</v>
      </c>
      <c r="P3749" s="13"/>
      <c r="Q3749" s="13">
        <v>0</v>
      </c>
      <c r="R3749" s="70">
        <f>L3749*O3749</f>
        <v>1056.5</v>
      </c>
      <c r="S3749" s="70">
        <v>0</v>
      </c>
      <c r="T3749" s="70">
        <f t="shared" si="1791"/>
        <v>0</v>
      </c>
      <c r="U3749" s="70">
        <f t="shared" si="1792"/>
        <v>1056.5</v>
      </c>
      <c r="V3749" s="70">
        <f>U3749*0</f>
        <v>0</v>
      </c>
      <c r="W3749" s="70">
        <f>U3749-V3749</f>
        <v>1056.5</v>
      </c>
      <c r="X3749" s="70">
        <v>0</v>
      </c>
      <c r="Y3749" s="14">
        <f t="shared" ref="Y3749:Y3759" si="1794">T3749-X3749</f>
        <v>0</v>
      </c>
      <c r="Z3749" s="11" t="s">
        <v>26</v>
      </c>
      <c r="AA3749" s="12" t="s">
        <v>31</v>
      </c>
    </row>
    <row r="3750" spans="1:27" x14ac:dyDescent="0.25">
      <c r="A3750" s="10">
        <v>45715</v>
      </c>
      <c r="B3750" s="11" t="s">
        <v>6686</v>
      </c>
      <c r="C3750" s="11" t="s">
        <v>6687</v>
      </c>
      <c r="D3750" s="11">
        <v>18308</v>
      </c>
      <c r="E3750" s="11" t="s">
        <v>32</v>
      </c>
      <c r="F3750" s="11" t="s">
        <v>26</v>
      </c>
      <c r="G3750" s="11">
        <v>1627</v>
      </c>
      <c r="H3750" s="12" t="s">
        <v>45</v>
      </c>
      <c r="I3750" s="12" t="s">
        <v>27</v>
      </c>
      <c r="J3750" s="12" t="s">
        <v>42</v>
      </c>
      <c r="K3750" s="12" t="s">
        <v>43</v>
      </c>
      <c r="L3750" s="13">
        <v>43.04</v>
      </c>
      <c r="M3750" s="13">
        <v>25</v>
      </c>
      <c r="N3750" s="13">
        <f t="shared" si="1788"/>
        <v>1.7216</v>
      </c>
      <c r="O3750" s="13" t="s">
        <v>30</v>
      </c>
      <c r="P3750" s="13">
        <v>62</v>
      </c>
      <c r="Q3750" s="13">
        <v>0</v>
      </c>
      <c r="R3750" s="70">
        <f>M3750*P3750</f>
        <v>1550</v>
      </c>
      <c r="S3750" s="70">
        <v>0</v>
      </c>
      <c r="T3750" s="70">
        <f>M3750*S3750</f>
        <v>0</v>
      </c>
      <c r="U3750" s="70">
        <f t="shared" si="1792"/>
        <v>1550</v>
      </c>
      <c r="V3750" s="70">
        <f>U3750*0</f>
        <v>0</v>
      </c>
      <c r="W3750" s="70">
        <f>U3750-V3750</f>
        <v>1550</v>
      </c>
      <c r="X3750" s="70">
        <v>0</v>
      </c>
      <c r="Y3750" s="14">
        <f t="shared" si="1794"/>
        <v>0</v>
      </c>
      <c r="Z3750" s="11" t="s">
        <v>26</v>
      </c>
      <c r="AA3750" s="12" t="s">
        <v>31</v>
      </c>
    </row>
    <row r="3751" spans="1:27" x14ac:dyDescent="0.25">
      <c r="A3751" s="10">
        <v>45715</v>
      </c>
      <c r="B3751" s="11" t="s">
        <v>6688</v>
      </c>
      <c r="C3751" s="11" t="s">
        <v>6689</v>
      </c>
      <c r="D3751" s="11">
        <v>18309</v>
      </c>
      <c r="E3751" s="11" t="s">
        <v>246</v>
      </c>
      <c r="F3751" s="11" t="s">
        <v>26</v>
      </c>
      <c r="G3751" s="11">
        <v>3435</v>
      </c>
      <c r="H3751" s="12" t="s">
        <v>41</v>
      </c>
      <c r="I3751" s="12" t="s">
        <v>55</v>
      </c>
      <c r="J3751" s="12" t="s">
        <v>566</v>
      </c>
      <c r="K3751" s="12" t="s">
        <v>550</v>
      </c>
      <c r="L3751" s="13">
        <v>41.26</v>
      </c>
      <c r="M3751" s="13">
        <v>25</v>
      </c>
      <c r="N3751" s="13">
        <f t="shared" si="1788"/>
        <v>1.6503999999999999</v>
      </c>
      <c r="O3751" s="13">
        <v>25</v>
      </c>
      <c r="P3751" s="13"/>
      <c r="Q3751" s="13">
        <v>0</v>
      </c>
      <c r="R3751" s="70">
        <f>L3751*O3751</f>
        <v>1031.5</v>
      </c>
      <c r="S3751" s="70">
        <v>0</v>
      </c>
      <c r="T3751" s="70">
        <f t="shared" ref="T3751" si="1795">L3751*S3751</f>
        <v>0</v>
      </c>
      <c r="U3751" s="70">
        <f t="shared" si="1792"/>
        <v>1031.5</v>
      </c>
      <c r="V3751" s="70">
        <f>U3751*0</f>
        <v>0</v>
      </c>
      <c r="W3751" s="70">
        <f>U3751-V3751</f>
        <v>1031.5</v>
      </c>
      <c r="X3751" s="70">
        <v>0</v>
      </c>
      <c r="Y3751" s="14">
        <f t="shared" si="1794"/>
        <v>0</v>
      </c>
      <c r="Z3751" s="11" t="s">
        <v>26</v>
      </c>
      <c r="AA3751" s="12" t="s">
        <v>31</v>
      </c>
    </row>
    <row r="3752" spans="1:27" x14ac:dyDescent="0.25">
      <c r="A3752" s="10">
        <v>45715</v>
      </c>
      <c r="B3752" s="11" t="s">
        <v>4147</v>
      </c>
      <c r="C3752" s="11" t="s">
        <v>6690</v>
      </c>
      <c r="D3752" s="11">
        <v>18310</v>
      </c>
      <c r="E3752" s="11" t="s">
        <v>49</v>
      </c>
      <c r="F3752" s="11" t="s">
        <v>26</v>
      </c>
      <c r="G3752" s="11">
        <v>1668</v>
      </c>
      <c r="H3752" s="12" t="s">
        <v>45</v>
      </c>
      <c r="I3752" s="12" t="s">
        <v>27</v>
      </c>
      <c r="J3752" s="12" t="s">
        <v>33</v>
      </c>
      <c r="K3752" s="12" t="s">
        <v>34</v>
      </c>
      <c r="L3752" s="13">
        <v>38.32</v>
      </c>
      <c r="M3752" s="13">
        <v>25</v>
      </c>
      <c r="N3752" s="13">
        <f t="shared" si="1788"/>
        <v>1.5327999999999999</v>
      </c>
      <c r="O3752" s="13" t="s">
        <v>30</v>
      </c>
      <c r="P3752" s="13">
        <v>58</v>
      </c>
      <c r="Q3752" s="13">
        <v>0</v>
      </c>
      <c r="R3752" s="70">
        <f>M3752*P3752</f>
        <v>1450</v>
      </c>
      <c r="S3752" s="70">
        <v>0</v>
      </c>
      <c r="T3752" s="70">
        <f>M3752*S3752</f>
        <v>0</v>
      </c>
      <c r="U3752" s="70">
        <f t="shared" si="1792"/>
        <v>1450</v>
      </c>
      <c r="V3752" s="70">
        <f t="shared" ref="V3752" si="1796">U3752*0</f>
        <v>0</v>
      </c>
      <c r="W3752" s="70">
        <f t="shared" ref="W3752" si="1797">U3752-V3752</f>
        <v>1450</v>
      </c>
      <c r="X3752" s="70">
        <v>0</v>
      </c>
      <c r="Y3752" s="14">
        <f t="shared" si="1794"/>
        <v>0</v>
      </c>
      <c r="Z3752" s="11" t="s">
        <v>26</v>
      </c>
      <c r="AA3752" s="12" t="s">
        <v>31</v>
      </c>
    </row>
    <row r="3753" spans="1:27" x14ac:dyDescent="0.25">
      <c r="A3753" s="10">
        <v>45715</v>
      </c>
      <c r="B3753" s="11" t="s">
        <v>378</v>
      </c>
      <c r="C3753" s="11" t="s">
        <v>6691</v>
      </c>
      <c r="D3753" s="11">
        <v>18311</v>
      </c>
      <c r="E3753" s="11" t="s">
        <v>483</v>
      </c>
      <c r="F3753" s="11" t="s">
        <v>26</v>
      </c>
      <c r="G3753" s="11">
        <v>3057</v>
      </c>
      <c r="H3753" s="12" t="s">
        <v>41</v>
      </c>
      <c r="I3753" s="12" t="s">
        <v>55</v>
      </c>
      <c r="J3753" s="12" t="s">
        <v>566</v>
      </c>
      <c r="K3753" s="12" t="s">
        <v>550</v>
      </c>
      <c r="L3753" s="13">
        <v>40.880000000000003</v>
      </c>
      <c r="M3753" s="13">
        <v>25</v>
      </c>
      <c r="N3753" s="13">
        <f t="shared" si="1788"/>
        <v>1.6352000000000002</v>
      </c>
      <c r="O3753" s="13">
        <v>25</v>
      </c>
      <c r="P3753" s="13"/>
      <c r="Q3753" s="13">
        <v>0</v>
      </c>
      <c r="R3753" s="70">
        <f>L3753*O3753</f>
        <v>1022.0000000000001</v>
      </c>
      <c r="S3753" s="70">
        <v>0</v>
      </c>
      <c r="T3753" s="70">
        <f t="shared" ref="T3753" si="1798">L3753*S3753</f>
        <v>0</v>
      </c>
      <c r="U3753" s="70">
        <f t="shared" si="1792"/>
        <v>1022.0000000000001</v>
      </c>
      <c r="V3753" s="70">
        <f>U3753*0</f>
        <v>0</v>
      </c>
      <c r="W3753" s="70">
        <f>U3753-V3753</f>
        <v>1022.0000000000001</v>
      </c>
      <c r="X3753" s="70">
        <v>0</v>
      </c>
      <c r="Y3753" s="14">
        <f t="shared" si="1794"/>
        <v>0</v>
      </c>
      <c r="Z3753" s="11" t="s">
        <v>26</v>
      </c>
      <c r="AA3753" s="12" t="s">
        <v>31</v>
      </c>
    </row>
    <row r="3754" spans="1:27" x14ac:dyDescent="0.25">
      <c r="A3754" s="10">
        <v>45715</v>
      </c>
      <c r="B3754" s="11" t="s">
        <v>397</v>
      </c>
      <c r="C3754" s="11" t="s">
        <v>6692</v>
      </c>
      <c r="D3754" s="11">
        <v>18312</v>
      </c>
      <c r="E3754" s="11" t="s">
        <v>44</v>
      </c>
      <c r="F3754" s="11" t="s">
        <v>26</v>
      </c>
      <c r="G3754" s="11">
        <v>1676</v>
      </c>
      <c r="H3754" s="12" t="s">
        <v>45</v>
      </c>
      <c r="I3754" s="12" t="s">
        <v>27</v>
      </c>
      <c r="J3754" s="12" t="s">
        <v>33</v>
      </c>
      <c r="K3754" s="12" t="s">
        <v>34</v>
      </c>
      <c r="L3754" s="13">
        <v>38.299999999999997</v>
      </c>
      <c r="M3754" s="13">
        <v>25</v>
      </c>
      <c r="N3754" s="13">
        <f t="shared" si="1788"/>
        <v>1.5319999999999998</v>
      </c>
      <c r="O3754" s="13" t="s">
        <v>30</v>
      </c>
      <c r="P3754" s="13">
        <v>58</v>
      </c>
      <c r="Q3754" s="13">
        <v>0</v>
      </c>
      <c r="R3754" s="70">
        <f>M3754*P3754</f>
        <v>1450</v>
      </c>
      <c r="S3754" s="70">
        <v>0</v>
      </c>
      <c r="T3754" s="70">
        <f>M3754*S3754</f>
        <v>0</v>
      </c>
      <c r="U3754" s="70">
        <f t="shared" si="1792"/>
        <v>1450</v>
      </c>
      <c r="V3754" s="70">
        <f t="shared" ref="V3754" si="1799">U3754*0</f>
        <v>0</v>
      </c>
      <c r="W3754" s="70">
        <f t="shared" ref="W3754" si="1800">U3754-V3754</f>
        <v>1450</v>
      </c>
      <c r="X3754" s="70">
        <v>0</v>
      </c>
      <c r="Y3754" s="14">
        <f t="shared" si="1794"/>
        <v>0</v>
      </c>
      <c r="Z3754" s="11" t="s">
        <v>26</v>
      </c>
      <c r="AA3754" s="12" t="s">
        <v>31</v>
      </c>
    </row>
    <row r="3755" spans="1:27" x14ac:dyDescent="0.25">
      <c r="A3755" s="10">
        <v>45715</v>
      </c>
      <c r="B3755" s="11" t="s">
        <v>6693</v>
      </c>
      <c r="C3755" s="11" t="s">
        <v>6694</v>
      </c>
      <c r="D3755" s="11">
        <v>18313</v>
      </c>
      <c r="E3755" s="11" t="s">
        <v>98</v>
      </c>
      <c r="F3755" s="11" t="s">
        <v>26</v>
      </c>
      <c r="G3755" s="11">
        <v>10733</v>
      </c>
      <c r="H3755" s="12" t="s">
        <v>140</v>
      </c>
      <c r="I3755" s="12" t="s">
        <v>27</v>
      </c>
      <c r="J3755" s="12" t="s">
        <v>47</v>
      </c>
      <c r="K3755" s="12" t="s">
        <v>48</v>
      </c>
      <c r="L3755" s="13">
        <v>39.76</v>
      </c>
      <c r="M3755" s="13">
        <v>27</v>
      </c>
      <c r="N3755" s="13">
        <f t="shared" si="1788"/>
        <v>1.4725925925925925</v>
      </c>
      <c r="O3755" s="13">
        <v>40</v>
      </c>
      <c r="P3755" s="13"/>
      <c r="Q3755" s="13">
        <v>0</v>
      </c>
      <c r="R3755" s="70">
        <f>+L3755*O3755</f>
        <v>1590.3999999999999</v>
      </c>
      <c r="S3755" s="70">
        <v>0</v>
      </c>
      <c r="T3755" s="70">
        <f>+L3755*S3755</f>
        <v>0</v>
      </c>
      <c r="U3755" s="70">
        <f>+R3755-T3755</f>
        <v>1590.3999999999999</v>
      </c>
      <c r="V3755" s="70">
        <f t="shared" ref="V3755" si="1801">+U3755*0</f>
        <v>0</v>
      </c>
      <c r="W3755" s="70">
        <f>+U3755-V3755</f>
        <v>1590.3999999999999</v>
      </c>
      <c r="X3755" s="70">
        <v>0</v>
      </c>
      <c r="Y3755" s="14">
        <f t="shared" si="1794"/>
        <v>0</v>
      </c>
      <c r="Z3755" s="11" t="s">
        <v>26</v>
      </c>
      <c r="AA3755" s="12" t="s">
        <v>31</v>
      </c>
    </row>
    <row r="3756" spans="1:27" x14ac:dyDescent="0.25">
      <c r="A3756" s="10">
        <v>45715</v>
      </c>
      <c r="B3756" s="11" t="s">
        <v>6695</v>
      </c>
      <c r="C3756" s="11" t="s">
        <v>6696</v>
      </c>
      <c r="D3756" s="11">
        <v>18314</v>
      </c>
      <c r="E3756" s="11" t="s">
        <v>57</v>
      </c>
      <c r="F3756" s="11" t="s">
        <v>26</v>
      </c>
      <c r="G3756" s="11">
        <v>3330</v>
      </c>
      <c r="H3756" s="12" t="s">
        <v>41</v>
      </c>
      <c r="I3756" s="12" t="s">
        <v>55</v>
      </c>
      <c r="J3756" s="12" t="s">
        <v>566</v>
      </c>
      <c r="K3756" s="12" t="s">
        <v>550</v>
      </c>
      <c r="L3756" s="13">
        <v>41.44</v>
      </c>
      <c r="M3756" s="13">
        <v>25</v>
      </c>
      <c r="N3756" s="13">
        <f t="shared" si="1788"/>
        <v>1.6576</v>
      </c>
      <c r="O3756" s="13">
        <v>25</v>
      </c>
      <c r="P3756" s="13"/>
      <c r="Q3756" s="13">
        <v>0</v>
      </c>
      <c r="R3756" s="70">
        <f>L3756*O3756</f>
        <v>1036</v>
      </c>
      <c r="S3756" s="70">
        <v>0</v>
      </c>
      <c r="T3756" s="70">
        <f t="shared" ref="T3756:T3757" si="1802">L3756*S3756</f>
        <v>0</v>
      </c>
      <c r="U3756" s="70">
        <f>R3756-T3756</f>
        <v>1036</v>
      </c>
      <c r="V3756" s="70">
        <f>U3756*0</f>
        <v>0</v>
      </c>
      <c r="W3756" s="70">
        <f>U3756-V3756</f>
        <v>1036</v>
      </c>
      <c r="X3756" s="70">
        <v>0</v>
      </c>
      <c r="Y3756" s="14">
        <f t="shared" si="1794"/>
        <v>0</v>
      </c>
      <c r="Z3756" s="11" t="s">
        <v>26</v>
      </c>
      <c r="AA3756" s="12" t="s">
        <v>31</v>
      </c>
    </row>
    <row r="3757" spans="1:27" x14ac:dyDescent="0.25">
      <c r="A3757" s="10">
        <v>45715</v>
      </c>
      <c r="B3757" s="11" t="s">
        <v>6697</v>
      </c>
      <c r="C3757" s="11" t="s">
        <v>6698</v>
      </c>
      <c r="D3757" s="11">
        <v>18315</v>
      </c>
      <c r="E3757" s="11" t="s">
        <v>40</v>
      </c>
      <c r="F3757" s="11" t="s">
        <v>26</v>
      </c>
      <c r="G3757" s="11">
        <v>3282</v>
      </c>
      <c r="H3757" s="12" t="s">
        <v>41</v>
      </c>
      <c r="I3757" s="12" t="s">
        <v>55</v>
      </c>
      <c r="J3757" s="12" t="s">
        <v>566</v>
      </c>
      <c r="K3757" s="12" t="s">
        <v>550</v>
      </c>
      <c r="L3757" s="13">
        <v>40.42</v>
      </c>
      <c r="M3757" s="13">
        <v>25</v>
      </c>
      <c r="N3757" s="13">
        <f t="shared" si="1788"/>
        <v>1.6168</v>
      </c>
      <c r="O3757" s="13">
        <v>25</v>
      </c>
      <c r="P3757" s="13"/>
      <c r="Q3757" s="13">
        <v>0</v>
      </c>
      <c r="R3757" s="70">
        <f>L3757*O3757</f>
        <v>1010.5</v>
      </c>
      <c r="S3757" s="70">
        <v>0</v>
      </c>
      <c r="T3757" s="70">
        <f t="shared" si="1802"/>
        <v>0</v>
      </c>
      <c r="U3757" s="70">
        <f>R3757-T3757</f>
        <v>1010.5</v>
      </c>
      <c r="V3757" s="70">
        <f>U3757*0</f>
        <v>0</v>
      </c>
      <c r="W3757" s="70">
        <f>U3757-V3757</f>
        <v>1010.5</v>
      </c>
      <c r="X3757" s="70">
        <v>0</v>
      </c>
      <c r="Y3757" s="14">
        <f t="shared" si="1794"/>
        <v>0</v>
      </c>
      <c r="Z3757" s="11" t="s">
        <v>26</v>
      </c>
      <c r="AA3757" s="12" t="s">
        <v>31</v>
      </c>
    </row>
    <row r="3758" spans="1:27" x14ac:dyDescent="0.25">
      <c r="A3758" s="10">
        <v>45715</v>
      </c>
      <c r="B3758" s="11" t="s">
        <v>6699</v>
      </c>
      <c r="C3758" s="11" t="s">
        <v>6700</v>
      </c>
      <c r="D3758" s="11">
        <v>18316</v>
      </c>
      <c r="E3758" s="11" t="s">
        <v>589</v>
      </c>
      <c r="F3758" s="11" t="s">
        <v>26</v>
      </c>
      <c r="G3758" s="11">
        <v>56941</v>
      </c>
      <c r="H3758" s="12" t="s">
        <v>4423</v>
      </c>
      <c r="I3758" s="12" t="s">
        <v>27</v>
      </c>
      <c r="J3758" s="12" t="s">
        <v>47</v>
      </c>
      <c r="K3758" s="12" t="s">
        <v>48</v>
      </c>
      <c r="L3758" s="13">
        <v>36.159999999999997</v>
      </c>
      <c r="M3758" s="13">
        <v>25</v>
      </c>
      <c r="N3758" s="13">
        <f t="shared" si="1788"/>
        <v>1.4463999999999999</v>
      </c>
      <c r="O3758" s="13">
        <v>46</v>
      </c>
      <c r="P3758" s="13" t="s">
        <v>30</v>
      </c>
      <c r="Q3758" s="13">
        <v>0</v>
      </c>
      <c r="R3758" s="70">
        <f t="shared" ref="R3758" si="1803">+L3758*O3758</f>
        <v>1663.36</v>
      </c>
      <c r="S3758" s="70">
        <v>0</v>
      </c>
      <c r="T3758" s="70">
        <f t="shared" ref="T3758" si="1804">+L3758*S3758</f>
        <v>0</v>
      </c>
      <c r="U3758" s="70">
        <f t="shared" ref="U3758" si="1805">+R3758-T3758</f>
        <v>1663.36</v>
      </c>
      <c r="V3758" s="70">
        <f>+U3758*1</f>
        <v>1663.36</v>
      </c>
      <c r="W3758" s="70">
        <f t="shared" ref="W3758" si="1806">+U3758-V3758</f>
        <v>0</v>
      </c>
      <c r="X3758" s="70">
        <v>0</v>
      </c>
      <c r="Y3758" s="14">
        <f t="shared" si="1794"/>
        <v>0</v>
      </c>
      <c r="Z3758" s="12" t="s">
        <v>26</v>
      </c>
      <c r="AA3758" s="12" t="s">
        <v>31</v>
      </c>
    </row>
    <row r="3759" spans="1:27" x14ac:dyDescent="0.25">
      <c r="A3759" s="10">
        <v>45715</v>
      </c>
      <c r="B3759" s="11" t="s">
        <v>4334</v>
      </c>
      <c r="C3759" s="11" t="s">
        <v>6701</v>
      </c>
      <c r="D3759" s="11">
        <v>18317</v>
      </c>
      <c r="E3759" s="11" t="s">
        <v>520</v>
      </c>
      <c r="F3759" s="11" t="s">
        <v>26</v>
      </c>
      <c r="G3759" s="11">
        <v>10458</v>
      </c>
      <c r="H3759" s="12" t="s">
        <v>140</v>
      </c>
      <c r="I3759" s="12" t="s">
        <v>27</v>
      </c>
      <c r="J3759" s="12" t="s">
        <v>47</v>
      </c>
      <c r="K3759" s="12" t="s">
        <v>48</v>
      </c>
      <c r="L3759" s="13">
        <v>42.6</v>
      </c>
      <c r="M3759" s="13">
        <v>29</v>
      </c>
      <c r="N3759" s="13">
        <f t="shared" si="1788"/>
        <v>1.4689655172413794</v>
      </c>
      <c r="O3759" s="13">
        <v>40</v>
      </c>
      <c r="P3759" s="13"/>
      <c r="Q3759" s="13">
        <v>0</v>
      </c>
      <c r="R3759" s="70">
        <f>+L3759*O3759</f>
        <v>1704</v>
      </c>
      <c r="S3759" s="70">
        <v>0</v>
      </c>
      <c r="T3759" s="70">
        <f>+L3759*S3759</f>
        <v>0</v>
      </c>
      <c r="U3759" s="70">
        <f>+R3759-T3759</f>
        <v>1704</v>
      </c>
      <c r="V3759" s="70">
        <f t="shared" ref="V3759" si="1807">+U3759*0</f>
        <v>0</v>
      </c>
      <c r="W3759" s="70">
        <f>+U3759-V3759</f>
        <v>1704</v>
      </c>
      <c r="X3759" s="70">
        <v>0</v>
      </c>
      <c r="Y3759" s="14">
        <f t="shared" si="1794"/>
        <v>0</v>
      </c>
      <c r="Z3759" s="11" t="s">
        <v>26</v>
      </c>
      <c r="AA3759" s="12" t="s">
        <v>31</v>
      </c>
    </row>
    <row r="3760" spans="1:27" x14ac:dyDescent="0.25">
      <c r="A3760" s="10">
        <v>45715</v>
      </c>
      <c r="B3760" s="11" t="s">
        <v>370</v>
      </c>
      <c r="C3760" s="11" t="s">
        <v>6702</v>
      </c>
      <c r="D3760" s="11">
        <v>18318</v>
      </c>
      <c r="E3760" s="11" t="s">
        <v>240</v>
      </c>
      <c r="F3760" s="11" t="s">
        <v>26</v>
      </c>
      <c r="G3760" s="11" t="s">
        <v>26</v>
      </c>
      <c r="H3760" s="12" t="s">
        <v>4422</v>
      </c>
      <c r="I3760" s="12" t="s">
        <v>27</v>
      </c>
      <c r="J3760" s="12" t="s">
        <v>42</v>
      </c>
      <c r="K3760" s="12" t="s">
        <v>43</v>
      </c>
      <c r="L3760" s="13">
        <v>44.48</v>
      </c>
      <c r="M3760" s="13">
        <v>25</v>
      </c>
      <c r="N3760" s="13">
        <f t="shared" si="1788"/>
        <v>1.7791999999999999</v>
      </c>
      <c r="O3760" s="13">
        <v>83</v>
      </c>
      <c r="P3760" s="13" t="s">
        <v>30</v>
      </c>
      <c r="Q3760" s="13">
        <v>0</v>
      </c>
      <c r="R3760" s="70">
        <f>L3760*O3760</f>
        <v>3691.8399999999997</v>
      </c>
      <c r="S3760" s="70">
        <v>38</v>
      </c>
      <c r="T3760" s="70">
        <f>L3760*S3760</f>
        <v>1690.2399999999998</v>
      </c>
      <c r="U3760" s="70">
        <f>R3760-T3760</f>
        <v>2001.6</v>
      </c>
      <c r="V3760" s="70">
        <f>U3760*1</f>
        <v>2001.6</v>
      </c>
      <c r="W3760" s="70">
        <f>U3760-V3760</f>
        <v>0</v>
      </c>
      <c r="X3760" s="70">
        <f>L3760*37</f>
        <v>1645.76</v>
      </c>
      <c r="Y3760" s="71">
        <f>+T3760-X3760</f>
        <v>44.479999999999791</v>
      </c>
      <c r="Z3760" s="12" t="s">
        <v>41</v>
      </c>
      <c r="AA3760" s="12" t="s">
        <v>78</v>
      </c>
    </row>
    <row r="3761" spans="1:27" x14ac:dyDescent="0.25">
      <c r="A3761" s="10">
        <v>45715</v>
      </c>
      <c r="B3761" s="11" t="s">
        <v>430</v>
      </c>
      <c r="C3761" s="11" t="s">
        <v>6703</v>
      </c>
      <c r="D3761" s="11">
        <v>18319</v>
      </c>
      <c r="E3761" s="11" t="s">
        <v>593</v>
      </c>
      <c r="F3761" s="11" t="s">
        <v>26</v>
      </c>
      <c r="G3761" s="11">
        <v>56556</v>
      </c>
      <c r="H3761" s="12" t="s">
        <v>4423</v>
      </c>
      <c r="I3761" s="12" t="s">
        <v>27</v>
      </c>
      <c r="J3761" s="12" t="s">
        <v>47</v>
      </c>
      <c r="K3761" s="12" t="s">
        <v>48</v>
      </c>
      <c r="L3761" s="13">
        <v>34.72</v>
      </c>
      <c r="M3761" s="13">
        <v>25</v>
      </c>
      <c r="N3761" s="13">
        <f t="shared" si="1788"/>
        <v>1.3888</v>
      </c>
      <c r="O3761" s="13">
        <v>46</v>
      </c>
      <c r="P3761" s="13" t="s">
        <v>30</v>
      </c>
      <c r="Q3761" s="13">
        <v>0</v>
      </c>
      <c r="R3761" s="70">
        <f t="shared" ref="R3761" si="1808">+L3761*O3761</f>
        <v>1597.12</v>
      </c>
      <c r="S3761" s="70">
        <v>0</v>
      </c>
      <c r="T3761" s="70">
        <f t="shared" ref="T3761" si="1809">+L3761*S3761</f>
        <v>0</v>
      </c>
      <c r="U3761" s="70">
        <f t="shared" ref="U3761" si="1810">+R3761-T3761</f>
        <v>1597.12</v>
      </c>
      <c r="V3761" s="70">
        <f>+U3761*1</f>
        <v>1597.12</v>
      </c>
      <c r="W3761" s="70">
        <f t="shared" ref="W3761" si="1811">+U3761-V3761</f>
        <v>0</v>
      </c>
      <c r="X3761" s="70">
        <v>0</v>
      </c>
      <c r="Y3761" s="14">
        <f t="shared" ref="Y3761:Y3777" si="1812">T3761-X3761</f>
        <v>0</v>
      </c>
      <c r="Z3761" s="12" t="s">
        <v>26</v>
      </c>
      <c r="AA3761" s="12" t="s">
        <v>31</v>
      </c>
    </row>
    <row r="3762" spans="1:27" x14ac:dyDescent="0.25">
      <c r="A3762" s="10">
        <v>45715</v>
      </c>
      <c r="B3762" s="11" t="s">
        <v>307</v>
      </c>
      <c r="C3762" s="11" t="s">
        <v>6704</v>
      </c>
      <c r="D3762" s="11">
        <v>18320</v>
      </c>
      <c r="E3762" s="11" t="s">
        <v>1200</v>
      </c>
      <c r="F3762" s="11" t="s">
        <v>26</v>
      </c>
      <c r="G3762" s="11">
        <v>2997</v>
      </c>
      <c r="H3762" s="12" t="s">
        <v>163</v>
      </c>
      <c r="I3762" s="12" t="s">
        <v>37</v>
      </c>
      <c r="J3762" s="12" t="s">
        <v>85</v>
      </c>
      <c r="K3762" s="12" t="s">
        <v>86</v>
      </c>
      <c r="L3762" s="13">
        <v>39.94</v>
      </c>
      <c r="M3762" s="13">
        <v>25</v>
      </c>
      <c r="N3762" s="13">
        <f t="shared" si="1788"/>
        <v>1.5975999999999999</v>
      </c>
      <c r="O3762" s="13" t="s">
        <v>30</v>
      </c>
      <c r="P3762" s="13">
        <v>42</v>
      </c>
      <c r="Q3762" s="13">
        <v>0</v>
      </c>
      <c r="R3762" s="70">
        <f>M3762*P3762</f>
        <v>1050</v>
      </c>
      <c r="S3762" s="70">
        <v>0</v>
      </c>
      <c r="T3762" s="70">
        <f>M3762*S3762</f>
        <v>0</v>
      </c>
      <c r="U3762" s="70">
        <f>R3762-T3762</f>
        <v>1050</v>
      </c>
      <c r="V3762" s="70">
        <f>U3762*0</f>
        <v>0</v>
      </c>
      <c r="W3762" s="70">
        <f>U3762-V3762</f>
        <v>1050</v>
      </c>
      <c r="X3762" s="70">
        <v>0</v>
      </c>
      <c r="Y3762" s="14">
        <f t="shared" si="1812"/>
        <v>0</v>
      </c>
      <c r="Z3762" s="11" t="s">
        <v>26</v>
      </c>
      <c r="AA3762" s="12" t="s">
        <v>31</v>
      </c>
    </row>
    <row r="3763" spans="1:27" x14ac:dyDescent="0.25">
      <c r="A3763" s="10">
        <v>45715</v>
      </c>
      <c r="B3763" s="11" t="s">
        <v>6699</v>
      </c>
      <c r="C3763" s="11" t="s">
        <v>6705</v>
      </c>
      <c r="D3763" s="11">
        <v>18321</v>
      </c>
      <c r="E3763" s="11" t="s">
        <v>46</v>
      </c>
      <c r="F3763" s="11" t="s">
        <v>26</v>
      </c>
      <c r="G3763" s="11">
        <v>112454</v>
      </c>
      <c r="H3763" s="12" t="s">
        <v>4446</v>
      </c>
      <c r="I3763" s="12" t="s">
        <v>27</v>
      </c>
      <c r="J3763" s="12" t="s">
        <v>33</v>
      </c>
      <c r="K3763" s="12" t="s">
        <v>34</v>
      </c>
      <c r="L3763" s="13">
        <v>36.340000000000003</v>
      </c>
      <c r="M3763" s="13">
        <v>25</v>
      </c>
      <c r="N3763" s="13">
        <f t="shared" si="1788"/>
        <v>1.4536000000000002</v>
      </c>
      <c r="O3763" s="13">
        <v>44</v>
      </c>
      <c r="P3763" s="13" t="s">
        <v>30</v>
      </c>
      <c r="Q3763" s="13">
        <v>0</v>
      </c>
      <c r="R3763" s="70">
        <f t="shared" ref="R3763:R3765" si="1813">+L3763*O3763</f>
        <v>1598.96</v>
      </c>
      <c r="S3763" s="70">
        <v>0</v>
      </c>
      <c r="T3763" s="70">
        <f>+L3763*S3763</f>
        <v>0</v>
      </c>
      <c r="U3763" s="70">
        <f>+R3763-T3763</f>
        <v>1598.96</v>
      </c>
      <c r="V3763" s="70">
        <f>+U3763*1</f>
        <v>1598.96</v>
      </c>
      <c r="W3763" s="70">
        <f>+U3763-V3763</f>
        <v>0</v>
      </c>
      <c r="X3763" s="70">
        <v>0</v>
      </c>
      <c r="Y3763" s="14">
        <f t="shared" si="1812"/>
        <v>0</v>
      </c>
      <c r="Z3763" s="11" t="s">
        <v>26</v>
      </c>
      <c r="AA3763" s="12" t="s">
        <v>31</v>
      </c>
    </row>
    <row r="3764" spans="1:27" x14ac:dyDescent="0.25">
      <c r="A3764" s="10">
        <v>45715</v>
      </c>
      <c r="B3764" s="11" t="s">
        <v>6706</v>
      </c>
      <c r="C3764" s="11" t="s">
        <v>6707</v>
      </c>
      <c r="D3764" s="11">
        <v>18322</v>
      </c>
      <c r="E3764" s="11" t="s">
        <v>2126</v>
      </c>
      <c r="F3764" s="11" t="s">
        <v>26</v>
      </c>
      <c r="G3764" s="11">
        <v>112496</v>
      </c>
      <c r="H3764" s="12" t="s">
        <v>4446</v>
      </c>
      <c r="I3764" s="12" t="s">
        <v>27</v>
      </c>
      <c r="J3764" s="12" t="s">
        <v>47</v>
      </c>
      <c r="K3764" s="12" t="s">
        <v>48</v>
      </c>
      <c r="L3764" s="13">
        <v>34.36</v>
      </c>
      <c r="M3764" s="13">
        <v>25</v>
      </c>
      <c r="N3764" s="13">
        <f t="shared" si="1788"/>
        <v>1.3744000000000001</v>
      </c>
      <c r="O3764" s="13">
        <v>44</v>
      </c>
      <c r="P3764" s="13" t="s">
        <v>30</v>
      </c>
      <c r="Q3764" s="13">
        <v>0</v>
      </c>
      <c r="R3764" s="70">
        <f t="shared" si="1813"/>
        <v>1511.84</v>
      </c>
      <c r="S3764" s="70">
        <v>0</v>
      </c>
      <c r="T3764" s="70">
        <f>+L3764*S3764</f>
        <v>0</v>
      </c>
      <c r="U3764" s="70">
        <f>+R3764-T3764</f>
        <v>1511.84</v>
      </c>
      <c r="V3764" s="70">
        <f>+U3764*1</f>
        <v>1511.84</v>
      </c>
      <c r="W3764" s="70">
        <f>+U3764-V3764</f>
        <v>0</v>
      </c>
      <c r="X3764" s="70">
        <v>0</v>
      </c>
      <c r="Y3764" s="14">
        <f t="shared" si="1812"/>
        <v>0</v>
      </c>
      <c r="Z3764" s="11" t="s">
        <v>26</v>
      </c>
      <c r="AA3764" s="12" t="s">
        <v>31</v>
      </c>
    </row>
    <row r="3765" spans="1:27" x14ac:dyDescent="0.25">
      <c r="A3765" s="10">
        <v>45715</v>
      </c>
      <c r="B3765" s="11" t="s">
        <v>5428</v>
      </c>
      <c r="C3765" s="11" t="s">
        <v>6708</v>
      </c>
      <c r="D3765" s="11">
        <v>18323</v>
      </c>
      <c r="E3765" s="11" t="s">
        <v>59</v>
      </c>
      <c r="F3765" s="11" t="s">
        <v>26</v>
      </c>
      <c r="G3765" s="11">
        <v>112490</v>
      </c>
      <c r="H3765" s="12" t="s">
        <v>4446</v>
      </c>
      <c r="I3765" s="12" t="s">
        <v>27</v>
      </c>
      <c r="J3765" s="12" t="s">
        <v>42</v>
      </c>
      <c r="K3765" s="12" t="s">
        <v>43</v>
      </c>
      <c r="L3765" s="13">
        <v>38.5</v>
      </c>
      <c r="M3765" s="13">
        <v>25</v>
      </c>
      <c r="N3765" s="13">
        <f t="shared" si="1788"/>
        <v>1.54</v>
      </c>
      <c r="O3765" s="13">
        <v>42</v>
      </c>
      <c r="P3765" s="13" t="s">
        <v>30</v>
      </c>
      <c r="Q3765" s="13">
        <v>0</v>
      </c>
      <c r="R3765" s="70">
        <f t="shared" si="1813"/>
        <v>1617</v>
      </c>
      <c r="S3765" s="70">
        <v>0</v>
      </c>
      <c r="T3765" s="70">
        <f>+L3765*S3765</f>
        <v>0</v>
      </c>
      <c r="U3765" s="70">
        <f t="shared" ref="U3765:U3766" si="1814">+R3765-T3765</f>
        <v>1617</v>
      </c>
      <c r="V3765" s="70">
        <f>+U3765*1</f>
        <v>1617</v>
      </c>
      <c r="W3765" s="70">
        <f t="shared" ref="W3765:W3766" si="1815">+U3765-V3765</f>
        <v>0</v>
      </c>
      <c r="X3765" s="70">
        <v>0</v>
      </c>
      <c r="Y3765" s="14">
        <f t="shared" si="1812"/>
        <v>0</v>
      </c>
      <c r="Z3765" s="11" t="s">
        <v>26</v>
      </c>
      <c r="AA3765" s="12" t="s">
        <v>31</v>
      </c>
    </row>
    <row r="3766" spans="1:27" x14ac:dyDescent="0.25">
      <c r="A3766" s="10">
        <v>45715</v>
      </c>
      <c r="B3766" s="11" t="s">
        <v>6709</v>
      </c>
      <c r="C3766" s="11" t="s">
        <v>6710</v>
      </c>
      <c r="D3766" s="11">
        <v>18324</v>
      </c>
      <c r="E3766" s="11" t="s">
        <v>203</v>
      </c>
      <c r="F3766" s="11" t="s">
        <v>26</v>
      </c>
      <c r="G3766" s="11" t="s">
        <v>35</v>
      </c>
      <c r="H3766" s="12" t="s">
        <v>36</v>
      </c>
      <c r="I3766" s="12" t="s">
        <v>55</v>
      </c>
      <c r="J3766" s="12" t="s">
        <v>55</v>
      </c>
      <c r="K3766" s="12" t="s">
        <v>56</v>
      </c>
      <c r="L3766" s="13">
        <v>7.18</v>
      </c>
      <c r="M3766" s="13">
        <v>5</v>
      </c>
      <c r="N3766" s="13">
        <f t="shared" si="1788"/>
        <v>1.4359999999999999</v>
      </c>
      <c r="O3766" s="13">
        <v>20</v>
      </c>
      <c r="P3766" s="13" t="s">
        <v>30</v>
      </c>
      <c r="Q3766" s="13">
        <v>0</v>
      </c>
      <c r="R3766" s="70">
        <f>(L3766*O3766)-Q3766</f>
        <v>143.6</v>
      </c>
      <c r="S3766" s="70">
        <v>0</v>
      </c>
      <c r="T3766" s="70">
        <f t="shared" ref="T3766" si="1816">+L3766*S3766</f>
        <v>0</v>
      </c>
      <c r="U3766" s="70">
        <f t="shared" si="1814"/>
        <v>143.6</v>
      </c>
      <c r="V3766" s="70">
        <f t="shared" ref="V3766" si="1817">+U3766*0</f>
        <v>0</v>
      </c>
      <c r="W3766" s="70">
        <f t="shared" si="1815"/>
        <v>143.6</v>
      </c>
      <c r="X3766" s="70">
        <v>0</v>
      </c>
      <c r="Y3766" s="14">
        <f t="shared" si="1812"/>
        <v>0</v>
      </c>
      <c r="Z3766" s="11" t="s">
        <v>26</v>
      </c>
      <c r="AA3766" s="12" t="s">
        <v>31</v>
      </c>
    </row>
    <row r="3767" spans="1:27" x14ac:dyDescent="0.25">
      <c r="A3767" s="10">
        <v>45715</v>
      </c>
      <c r="B3767" s="11" t="s">
        <v>6290</v>
      </c>
      <c r="C3767" s="11" t="s">
        <v>6711</v>
      </c>
      <c r="D3767" s="11">
        <v>18325</v>
      </c>
      <c r="E3767" s="11" t="s">
        <v>230</v>
      </c>
      <c r="F3767" s="11" t="s">
        <v>26</v>
      </c>
      <c r="G3767" s="11">
        <v>26220</v>
      </c>
      <c r="H3767" s="12" t="s">
        <v>565</v>
      </c>
      <c r="I3767" s="12" t="s">
        <v>27</v>
      </c>
      <c r="J3767" s="12" t="s">
        <v>33</v>
      </c>
      <c r="K3767" s="12" t="s">
        <v>34</v>
      </c>
      <c r="L3767" s="13">
        <v>41.7</v>
      </c>
      <c r="M3767" s="13">
        <v>28</v>
      </c>
      <c r="N3767" s="13">
        <f t="shared" si="1788"/>
        <v>1.4892857142857143</v>
      </c>
      <c r="O3767" s="13"/>
      <c r="P3767" s="13">
        <v>60</v>
      </c>
      <c r="Q3767" s="13">
        <v>0</v>
      </c>
      <c r="R3767" s="70">
        <f>M3767*P3767</f>
        <v>1680</v>
      </c>
      <c r="S3767" s="70">
        <v>0</v>
      </c>
      <c r="T3767" s="70">
        <f>M3767*S3767</f>
        <v>0</v>
      </c>
      <c r="U3767" s="70">
        <f>R3767-T3767</f>
        <v>1680</v>
      </c>
      <c r="V3767" s="70">
        <f>U3767*0</f>
        <v>0</v>
      </c>
      <c r="W3767" s="70">
        <f>+U3767-V3767</f>
        <v>1680</v>
      </c>
      <c r="X3767" s="70">
        <v>0</v>
      </c>
      <c r="Y3767" s="14">
        <f t="shared" si="1812"/>
        <v>0</v>
      </c>
      <c r="Z3767" s="11" t="s">
        <v>26</v>
      </c>
      <c r="AA3767" s="12" t="s">
        <v>31</v>
      </c>
    </row>
    <row r="3768" spans="1:27" x14ac:dyDescent="0.25">
      <c r="A3768" s="10">
        <v>45715</v>
      </c>
      <c r="B3768" s="11" t="s">
        <v>6712</v>
      </c>
      <c r="C3768" s="11" t="s">
        <v>6713</v>
      </c>
      <c r="D3768" s="11">
        <v>18326</v>
      </c>
      <c r="E3768" s="11" t="s">
        <v>552</v>
      </c>
      <c r="F3768" s="11" t="s">
        <v>26</v>
      </c>
      <c r="G3768" s="11">
        <v>44187</v>
      </c>
      <c r="H3768" s="12" t="s">
        <v>4423</v>
      </c>
      <c r="I3768" s="12" t="s">
        <v>27</v>
      </c>
      <c r="J3768" s="12" t="s">
        <v>33</v>
      </c>
      <c r="K3768" s="12" t="s">
        <v>34</v>
      </c>
      <c r="L3768" s="13">
        <v>31.7</v>
      </c>
      <c r="M3768" s="13">
        <v>25</v>
      </c>
      <c r="N3768" s="13">
        <f t="shared" si="1788"/>
        <v>1.268</v>
      </c>
      <c r="O3768" s="13">
        <v>45</v>
      </c>
      <c r="P3768" s="13" t="s">
        <v>30</v>
      </c>
      <c r="Q3768" s="13">
        <v>0</v>
      </c>
      <c r="R3768" s="70">
        <f>+L3768*O3768</f>
        <v>1426.5</v>
      </c>
      <c r="S3768" s="70">
        <v>0</v>
      </c>
      <c r="T3768" s="70">
        <f>+L3768*S3768</f>
        <v>0</v>
      </c>
      <c r="U3768" s="70">
        <f t="shared" ref="U3768:U3769" si="1818">+R3768-T3768</f>
        <v>1426.5</v>
      </c>
      <c r="V3768" s="70">
        <f>+U3768*1</f>
        <v>1426.5</v>
      </c>
      <c r="W3768" s="70">
        <f t="shared" ref="W3768:W3769" si="1819">+U3768-V3768</f>
        <v>0</v>
      </c>
      <c r="X3768" s="70">
        <v>0</v>
      </c>
      <c r="Y3768" s="14">
        <f t="shared" si="1812"/>
        <v>0</v>
      </c>
      <c r="Z3768" s="11" t="s">
        <v>26</v>
      </c>
      <c r="AA3768" s="12" t="s">
        <v>31</v>
      </c>
    </row>
    <row r="3769" spans="1:27" x14ac:dyDescent="0.25">
      <c r="A3769" s="10">
        <v>45715</v>
      </c>
      <c r="B3769" s="11" t="s">
        <v>5345</v>
      </c>
      <c r="C3769" s="11" t="s">
        <v>6714</v>
      </c>
      <c r="D3769" s="11">
        <v>18327</v>
      </c>
      <c r="E3769" s="11" t="s">
        <v>61</v>
      </c>
      <c r="F3769" s="11" t="s">
        <v>26</v>
      </c>
      <c r="G3769" s="11" t="s">
        <v>35</v>
      </c>
      <c r="H3769" s="12" t="s">
        <v>36</v>
      </c>
      <c r="I3769" s="12" t="s">
        <v>27</v>
      </c>
      <c r="J3769" s="12" t="s">
        <v>33</v>
      </c>
      <c r="K3769" s="12" t="s">
        <v>34</v>
      </c>
      <c r="L3769" s="13">
        <v>8.92</v>
      </c>
      <c r="M3769" s="13">
        <v>6</v>
      </c>
      <c r="N3769" s="13">
        <f t="shared" si="1788"/>
        <v>1.4866666666666666</v>
      </c>
      <c r="O3769" s="13">
        <v>50</v>
      </c>
      <c r="P3769" s="13" t="s">
        <v>30</v>
      </c>
      <c r="Q3769" s="13">
        <v>0</v>
      </c>
      <c r="R3769" s="70">
        <f>(L3769*O3769)-Q3769</f>
        <v>446</v>
      </c>
      <c r="S3769" s="70">
        <v>0</v>
      </c>
      <c r="T3769" s="70">
        <f t="shared" ref="T3769" si="1820">+L3769*S3769</f>
        <v>0</v>
      </c>
      <c r="U3769" s="70">
        <f t="shared" si="1818"/>
        <v>446</v>
      </c>
      <c r="V3769" s="70">
        <f t="shared" ref="V3769:V3770" si="1821">+U3769*0</f>
        <v>0</v>
      </c>
      <c r="W3769" s="70">
        <f t="shared" si="1819"/>
        <v>446</v>
      </c>
      <c r="X3769" s="70">
        <v>0</v>
      </c>
      <c r="Y3769" s="14">
        <f t="shared" si="1812"/>
        <v>0</v>
      </c>
      <c r="Z3769" s="11" t="s">
        <v>26</v>
      </c>
      <c r="AA3769" s="12" t="s">
        <v>31</v>
      </c>
    </row>
    <row r="3770" spans="1:27" x14ac:dyDescent="0.25">
      <c r="A3770" s="10">
        <v>45715</v>
      </c>
      <c r="B3770" s="11" t="s">
        <v>1668</v>
      </c>
      <c r="C3770" s="11" t="s">
        <v>6715</v>
      </c>
      <c r="D3770" s="11">
        <v>18328</v>
      </c>
      <c r="E3770" s="11" t="s">
        <v>570</v>
      </c>
      <c r="F3770" s="11" t="s">
        <v>26</v>
      </c>
      <c r="G3770" s="11">
        <v>10776</v>
      </c>
      <c r="H3770" s="12" t="s">
        <v>140</v>
      </c>
      <c r="I3770" s="12" t="s">
        <v>27</v>
      </c>
      <c r="J3770" s="12" t="s">
        <v>42</v>
      </c>
      <c r="K3770" s="12" t="s">
        <v>43</v>
      </c>
      <c r="L3770" s="13">
        <v>42.38</v>
      </c>
      <c r="M3770" s="13">
        <v>25</v>
      </c>
      <c r="N3770" s="13">
        <f t="shared" si="1788"/>
        <v>1.6952</v>
      </c>
      <c r="O3770" s="13">
        <v>35</v>
      </c>
      <c r="P3770" s="13"/>
      <c r="Q3770" s="13">
        <v>0</v>
      </c>
      <c r="R3770" s="70">
        <f>+L3770*O3770</f>
        <v>1483.3000000000002</v>
      </c>
      <c r="S3770" s="70">
        <v>0</v>
      </c>
      <c r="T3770" s="70">
        <f>+L3770*S3770</f>
        <v>0</v>
      </c>
      <c r="U3770" s="70">
        <f>+R3770-T3770</f>
        <v>1483.3000000000002</v>
      </c>
      <c r="V3770" s="70">
        <f t="shared" si="1821"/>
        <v>0</v>
      </c>
      <c r="W3770" s="70">
        <f>+U3770-V3770</f>
        <v>1483.3000000000002</v>
      </c>
      <c r="X3770" s="70">
        <v>0</v>
      </c>
      <c r="Y3770" s="14">
        <f t="shared" si="1812"/>
        <v>0</v>
      </c>
      <c r="Z3770" s="11" t="s">
        <v>26</v>
      </c>
      <c r="AA3770" s="12" t="s">
        <v>31</v>
      </c>
    </row>
    <row r="3771" spans="1:27" x14ac:dyDescent="0.25">
      <c r="A3771" s="10">
        <v>45715</v>
      </c>
      <c r="B3771" s="11" t="s">
        <v>6450</v>
      </c>
      <c r="C3771" s="11" t="s">
        <v>6716</v>
      </c>
      <c r="D3771" s="11">
        <v>18329</v>
      </c>
      <c r="E3771" s="11" t="s">
        <v>32</v>
      </c>
      <c r="F3771" s="11" t="s">
        <v>26</v>
      </c>
      <c r="G3771" s="11">
        <v>1628</v>
      </c>
      <c r="H3771" s="12" t="s">
        <v>45</v>
      </c>
      <c r="I3771" s="12" t="s">
        <v>27</v>
      </c>
      <c r="J3771" s="12" t="s">
        <v>33</v>
      </c>
      <c r="K3771" s="12" t="s">
        <v>34</v>
      </c>
      <c r="L3771" s="13">
        <v>36.92</v>
      </c>
      <c r="M3771" s="13">
        <v>25</v>
      </c>
      <c r="N3771" s="13">
        <f t="shared" si="1788"/>
        <v>1.4768000000000001</v>
      </c>
      <c r="O3771" s="13" t="s">
        <v>30</v>
      </c>
      <c r="P3771" s="13">
        <v>58</v>
      </c>
      <c r="Q3771" s="13">
        <v>0</v>
      </c>
      <c r="R3771" s="70">
        <f>M3771*P3771</f>
        <v>1450</v>
      </c>
      <c r="S3771" s="70">
        <v>0</v>
      </c>
      <c r="T3771" s="70">
        <f>M3771*S3771</f>
        <v>0</v>
      </c>
      <c r="U3771" s="70">
        <f>R3771-T3771</f>
        <v>1450</v>
      </c>
      <c r="V3771" s="70">
        <f t="shared" ref="V3771" si="1822">U3771*0</f>
        <v>0</v>
      </c>
      <c r="W3771" s="70">
        <f t="shared" ref="W3771" si="1823">U3771-V3771</f>
        <v>1450</v>
      </c>
      <c r="X3771" s="70">
        <v>0</v>
      </c>
      <c r="Y3771" s="14">
        <f t="shared" si="1812"/>
        <v>0</v>
      </c>
      <c r="Z3771" s="11" t="s">
        <v>26</v>
      </c>
      <c r="AA3771" s="12" t="s">
        <v>31</v>
      </c>
    </row>
    <row r="3772" spans="1:27" x14ac:dyDescent="0.25">
      <c r="A3772" s="10">
        <v>45715</v>
      </c>
      <c r="B3772" s="11" t="s">
        <v>130</v>
      </c>
      <c r="C3772" s="11" t="s">
        <v>6717</v>
      </c>
      <c r="D3772" s="11">
        <v>18330</v>
      </c>
      <c r="E3772" s="11" t="s">
        <v>80</v>
      </c>
      <c r="F3772" s="11" t="s">
        <v>26</v>
      </c>
      <c r="G3772" s="11">
        <v>10910</v>
      </c>
      <c r="H3772" s="12" t="s">
        <v>140</v>
      </c>
      <c r="I3772" s="12" t="s">
        <v>27</v>
      </c>
      <c r="J3772" s="12" t="s">
        <v>42</v>
      </c>
      <c r="K3772" s="12" t="s">
        <v>43</v>
      </c>
      <c r="L3772" s="13">
        <v>42.58</v>
      </c>
      <c r="M3772" s="13">
        <v>25</v>
      </c>
      <c r="N3772" s="13">
        <f t="shared" si="1788"/>
        <v>1.7031999999999998</v>
      </c>
      <c r="O3772" s="13">
        <v>35</v>
      </c>
      <c r="P3772" s="13"/>
      <c r="Q3772" s="13">
        <v>0</v>
      </c>
      <c r="R3772" s="70">
        <f>+L3772*O3772</f>
        <v>1490.3</v>
      </c>
      <c r="S3772" s="70">
        <v>0</v>
      </c>
      <c r="T3772" s="70">
        <f>+L3772*S3772</f>
        <v>0</v>
      </c>
      <c r="U3772" s="70">
        <f>+R3772-T3772</f>
        <v>1490.3</v>
      </c>
      <c r="V3772" s="70">
        <f t="shared" ref="V3772" si="1824">+U3772*0</f>
        <v>0</v>
      </c>
      <c r="W3772" s="70">
        <f>+U3772-V3772</f>
        <v>1490.3</v>
      </c>
      <c r="X3772" s="70">
        <v>0</v>
      </c>
      <c r="Y3772" s="14">
        <f t="shared" si="1812"/>
        <v>0</v>
      </c>
      <c r="Z3772" s="11" t="s">
        <v>26</v>
      </c>
      <c r="AA3772" s="12" t="s">
        <v>31</v>
      </c>
    </row>
    <row r="3773" spans="1:27" x14ac:dyDescent="0.25">
      <c r="A3773" s="10">
        <v>45715</v>
      </c>
      <c r="B3773" s="11" t="s">
        <v>1427</v>
      </c>
      <c r="C3773" s="11" t="s">
        <v>6718</v>
      </c>
      <c r="D3773" s="11">
        <v>18331</v>
      </c>
      <c r="E3773" s="11" t="s">
        <v>50</v>
      </c>
      <c r="F3773" s="11" t="s">
        <v>26</v>
      </c>
      <c r="G3773" s="11">
        <v>774</v>
      </c>
      <c r="H3773" s="12" t="s">
        <v>163</v>
      </c>
      <c r="I3773" s="12" t="s">
        <v>27</v>
      </c>
      <c r="J3773" s="12" t="s">
        <v>47</v>
      </c>
      <c r="K3773" s="12" t="s">
        <v>48</v>
      </c>
      <c r="L3773" s="13">
        <v>35.840000000000003</v>
      </c>
      <c r="M3773" s="13">
        <v>25</v>
      </c>
      <c r="N3773" s="13">
        <f t="shared" si="1788"/>
        <v>1.4336000000000002</v>
      </c>
      <c r="O3773" s="13" t="s">
        <v>30</v>
      </c>
      <c r="P3773" s="13">
        <v>60</v>
      </c>
      <c r="Q3773" s="13">
        <v>0</v>
      </c>
      <c r="R3773" s="70">
        <f>M3773*P3773</f>
        <v>1500</v>
      </c>
      <c r="S3773" s="70">
        <v>0</v>
      </c>
      <c r="T3773" s="70">
        <f>M3773*S3773</f>
        <v>0</v>
      </c>
      <c r="U3773" s="70">
        <f>R3773-T3773</f>
        <v>1500</v>
      </c>
      <c r="V3773" s="70">
        <f>U3773*0</f>
        <v>0</v>
      </c>
      <c r="W3773" s="70">
        <f>U3773-V3773</f>
        <v>1500</v>
      </c>
      <c r="X3773" s="70">
        <v>0</v>
      </c>
      <c r="Y3773" s="14">
        <f t="shared" si="1812"/>
        <v>0</v>
      </c>
      <c r="Z3773" s="11" t="s">
        <v>26</v>
      </c>
      <c r="AA3773" s="12" t="s">
        <v>31</v>
      </c>
    </row>
    <row r="3774" spans="1:27" x14ac:dyDescent="0.25">
      <c r="A3774" s="10">
        <v>45715</v>
      </c>
      <c r="B3774" s="11" t="s">
        <v>3723</v>
      </c>
      <c r="C3774" s="11" t="s">
        <v>6719</v>
      </c>
      <c r="D3774" s="11">
        <v>18332</v>
      </c>
      <c r="E3774" s="11" t="s">
        <v>224</v>
      </c>
      <c r="F3774" s="11" t="s">
        <v>26</v>
      </c>
      <c r="G3774" s="11">
        <v>3238</v>
      </c>
      <c r="H3774" s="12" t="s">
        <v>4423</v>
      </c>
      <c r="I3774" s="12" t="s">
        <v>27</v>
      </c>
      <c r="J3774" s="12" t="s">
        <v>47</v>
      </c>
      <c r="K3774" s="12" t="s">
        <v>48</v>
      </c>
      <c r="L3774" s="13">
        <v>34.94</v>
      </c>
      <c r="M3774" s="13">
        <v>25</v>
      </c>
      <c r="N3774" s="13">
        <f t="shared" si="1788"/>
        <v>1.3976</v>
      </c>
      <c r="O3774" s="13">
        <v>46</v>
      </c>
      <c r="P3774" s="13" t="s">
        <v>30</v>
      </c>
      <c r="Q3774" s="13">
        <v>0</v>
      </c>
      <c r="R3774" s="70">
        <f t="shared" ref="R3774" si="1825">+L3774*O3774</f>
        <v>1607.2399999999998</v>
      </c>
      <c r="S3774" s="70">
        <v>0</v>
      </c>
      <c r="T3774" s="70">
        <f t="shared" ref="T3774" si="1826">+L3774*S3774</f>
        <v>0</v>
      </c>
      <c r="U3774" s="70">
        <f t="shared" ref="U3774" si="1827">+R3774-T3774</f>
        <v>1607.2399999999998</v>
      </c>
      <c r="V3774" s="70">
        <f>+U3774*1</f>
        <v>1607.2399999999998</v>
      </c>
      <c r="W3774" s="70">
        <f t="shared" ref="W3774" si="1828">+U3774-V3774</f>
        <v>0</v>
      </c>
      <c r="X3774" s="70">
        <v>0</v>
      </c>
      <c r="Y3774" s="14">
        <f t="shared" si="1812"/>
        <v>0</v>
      </c>
      <c r="Z3774" s="12" t="s">
        <v>26</v>
      </c>
      <c r="AA3774" s="12" t="s">
        <v>31</v>
      </c>
    </row>
    <row r="3775" spans="1:27" x14ac:dyDescent="0.25">
      <c r="A3775" s="10">
        <v>45715</v>
      </c>
      <c r="B3775" s="11" t="s">
        <v>1642</v>
      </c>
      <c r="C3775" s="11" t="s">
        <v>6720</v>
      </c>
      <c r="D3775" s="11">
        <v>18333</v>
      </c>
      <c r="E3775" s="11" t="s">
        <v>57</v>
      </c>
      <c r="F3775" s="11" t="s">
        <v>26</v>
      </c>
      <c r="G3775" s="11">
        <v>3332</v>
      </c>
      <c r="H3775" s="12" t="s">
        <v>41</v>
      </c>
      <c r="I3775" s="12" t="s">
        <v>55</v>
      </c>
      <c r="J3775" s="12" t="s">
        <v>566</v>
      </c>
      <c r="K3775" s="12" t="s">
        <v>550</v>
      </c>
      <c r="L3775" s="13">
        <v>41.66</v>
      </c>
      <c r="M3775" s="13">
        <v>25</v>
      </c>
      <c r="N3775" s="13">
        <f t="shared" si="1788"/>
        <v>1.6663999999999999</v>
      </c>
      <c r="O3775" s="13">
        <v>25</v>
      </c>
      <c r="P3775" s="13"/>
      <c r="Q3775" s="13">
        <v>0</v>
      </c>
      <c r="R3775" s="70">
        <f>L3775*O3775</f>
        <v>1041.5</v>
      </c>
      <c r="S3775" s="70">
        <v>0</v>
      </c>
      <c r="T3775" s="70">
        <f t="shared" ref="T3775" si="1829">L3775*S3775</f>
        <v>0</v>
      </c>
      <c r="U3775" s="70">
        <f>R3775-T3775</f>
        <v>1041.5</v>
      </c>
      <c r="V3775" s="70">
        <f>U3775*0</f>
        <v>0</v>
      </c>
      <c r="W3775" s="70">
        <f>U3775-V3775</f>
        <v>1041.5</v>
      </c>
      <c r="X3775" s="70">
        <v>0</v>
      </c>
      <c r="Y3775" s="14">
        <f t="shared" si="1812"/>
        <v>0</v>
      </c>
      <c r="Z3775" s="11" t="s">
        <v>26</v>
      </c>
      <c r="AA3775" s="12" t="s">
        <v>31</v>
      </c>
    </row>
    <row r="3776" spans="1:27" x14ac:dyDescent="0.25">
      <c r="A3776" s="10">
        <v>45715</v>
      </c>
      <c r="B3776" s="11" t="s">
        <v>1164</v>
      </c>
      <c r="C3776" s="11" t="s">
        <v>6721</v>
      </c>
      <c r="D3776" s="11">
        <v>18334</v>
      </c>
      <c r="E3776" s="11" t="s">
        <v>589</v>
      </c>
      <c r="F3776" s="11" t="s">
        <v>26</v>
      </c>
      <c r="G3776" s="11">
        <v>56942</v>
      </c>
      <c r="H3776" s="12" t="s">
        <v>4423</v>
      </c>
      <c r="I3776" s="12" t="s">
        <v>27</v>
      </c>
      <c r="J3776" s="12" t="s">
        <v>33</v>
      </c>
      <c r="K3776" s="12" t="s">
        <v>34</v>
      </c>
      <c r="L3776" s="13">
        <v>33.94</v>
      </c>
      <c r="M3776" s="13">
        <v>25</v>
      </c>
      <c r="N3776" s="13">
        <f t="shared" si="1788"/>
        <v>1.3575999999999999</v>
      </c>
      <c r="O3776" s="13">
        <v>45</v>
      </c>
      <c r="P3776" s="13" t="s">
        <v>30</v>
      </c>
      <c r="Q3776" s="13">
        <v>0</v>
      </c>
      <c r="R3776" s="70">
        <f>+L3776*O3776</f>
        <v>1527.3</v>
      </c>
      <c r="S3776" s="70">
        <v>0</v>
      </c>
      <c r="T3776" s="70">
        <f>+L3776*S3776</f>
        <v>0</v>
      </c>
      <c r="U3776" s="70">
        <f t="shared" ref="U3776" si="1830">+R3776-T3776</f>
        <v>1527.3</v>
      </c>
      <c r="V3776" s="70">
        <f>+U3776*1</f>
        <v>1527.3</v>
      </c>
      <c r="W3776" s="70">
        <f t="shared" ref="W3776" si="1831">+U3776-V3776</f>
        <v>0</v>
      </c>
      <c r="X3776" s="70">
        <v>0</v>
      </c>
      <c r="Y3776" s="14">
        <f t="shared" si="1812"/>
        <v>0</v>
      </c>
      <c r="Z3776" s="11" t="s">
        <v>26</v>
      </c>
      <c r="AA3776" s="12" t="s">
        <v>31</v>
      </c>
    </row>
    <row r="3777" spans="1:27" x14ac:dyDescent="0.25">
      <c r="A3777" s="10">
        <v>45715</v>
      </c>
      <c r="B3777" s="11" t="s">
        <v>3734</v>
      </c>
      <c r="C3777" s="11" t="s">
        <v>6722</v>
      </c>
      <c r="D3777" s="11">
        <v>18335</v>
      </c>
      <c r="E3777" s="11" t="s">
        <v>6135</v>
      </c>
      <c r="F3777" s="11" t="s">
        <v>26</v>
      </c>
      <c r="G3777" s="11">
        <v>2965</v>
      </c>
      <c r="H3777" s="12" t="s">
        <v>4442</v>
      </c>
      <c r="I3777" s="12" t="s">
        <v>27</v>
      </c>
      <c r="J3777" s="12" t="s">
        <v>42</v>
      </c>
      <c r="K3777" s="12" t="s">
        <v>43</v>
      </c>
      <c r="L3777" s="13">
        <v>16.96</v>
      </c>
      <c r="M3777" s="13">
        <v>10</v>
      </c>
      <c r="N3777" s="13">
        <f t="shared" si="1788"/>
        <v>1.6960000000000002</v>
      </c>
      <c r="O3777" s="13">
        <v>41</v>
      </c>
      <c r="P3777" s="13" t="s">
        <v>30</v>
      </c>
      <c r="Q3777" s="13">
        <v>0</v>
      </c>
      <c r="R3777" s="70">
        <f>L3777*O3777</f>
        <v>695.36</v>
      </c>
      <c r="S3777" s="70">
        <v>0</v>
      </c>
      <c r="T3777" s="70">
        <f>L3777*S3777</f>
        <v>0</v>
      </c>
      <c r="U3777" s="70">
        <f>R3777-T3777</f>
        <v>695.36</v>
      </c>
      <c r="V3777" s="70">
        <f>U3777*1</f>
        <v>695.36</v>
      </c>
      <c r="W3777" s="70">
        <f>U3777-V3777</f>
        <v>0</v>
      </c>
      <c r="X3777" s="70">
        <v>0</v>
      </c>
      <c r="Y3777" s="14">
        <f t="shared" si="1812"/>
        <v>0</v>
      </c>
      <c r="Z3777" s="11" t="s">
        <v>26</v>
      </c>
      <c r="AA3777" s="12" t="s">
        <v>31</v>
      </c>
    </row>
    <row r="3778" spans="1:27" x14ac:dyDescent="0.25">
      <c r="A3778" s="10">
        <v>45715</v>
      </c>
      <c r="B3778" s="11" t="s">
        <v>6723</v>
      </c>
      <c r="C3778" s="11" t="s">
        <v>6724</v>
      </c>
      <c r="D3778" s="11">
        <v>18336</v>
      </c>
      <c r="E3778" s="11" t="s">
        <v>240</v>
      </c>
      <c r="F3778" s="11" t="s">
        <v>26</v>
      </c>
      <c r="G3778" s="11" t="s">
        <v>26</v>
      </c>
      <c r="H3778" s="12" t="s">
        <v>146</v>
      </c>
      <c r="I3778" s="12" t="s">
        <v>27</v>
      </c>
      <c r="J3778" s="12" t="s">
        <v>42</v>
      </c>
      <c r="K3778" s="12" t="s">
        <v>43</v>
      </c>
      <c r="L3778" s="13">
        <v>42.14</v>
      </c>
      <c r="M3778" s="13">
        <v>25</v>
      </c>
      <c r="N3778" s="13">
        <f t="shared" si="1788"/>
        <v>1.6856</v>
      </c>
      <c r="O3778" s="13">
        <v>91</v>
      </c>
      <c r="P3778" s="13" t="s">
        <v>30</v>
      </c>
      <c r="Q3778" s="13">
        <v>0</v>
      </c>
      <c r="R3778" s="70">
        <f>+L3778*O3778</f>
        <v>3834.7400000000002</v>
      </c>
      <c r="S3778" s="70">
        <v>40</v>
      </c>
      <c r="T3778" s="70">
        <f>L3778*S3778</f>
        <v>1685.6</v>
      </c>
      <c r="U3778" s="70">
        <f t="shared" ref="U3778" si="1832">R3778-T3778</f>
        <v>2149.1400000000003</v>
      </c>
      <c r="V3778" s="70">
        <f>U3778*1</f>
        <v>2149.1400000000003</v>
      </c>
      <c r="W3778" s="70">
        <f t="shared" ref="W3778" si="1833">U3778-V3778</f>
        <v>0</v>
      </c>
      <c r="X3778" s="70">
        <f>L3778*37</f>
        <v>1559.18</v>
      </c>
      <c r="Y3778" s="71">
        <f>+T3778-X3778</f>
        <v>126.41999999999985</v>
      </c>
      <c r="Z3778" s="12" t="s">
        <v>41</v>
      </c>
      <c r="AA3778" s="12" t="s">
        <v>79</v>
      </c>
    </row>
    <row r="3779" spans="1:27" x14ac:dyDescent="0.25">
      <c r="A3779" s="10">
        <v>45715</v>
      </c>
      <c r="B3779" s="11" t="s">
        <v>5421</v>
      </c>
      <c r="C3779" s="11" t="s">
        <v>6725</v>
      </c>
      <c r="D3779" s="11">
        <v>18337</v>
      </c>
      <c r="E3779" s="11" t="s">
        <v>520</v>
      </c>
      <c r="F3779" s="11" t="s">
        <v>26</v>
      </c>
      <c r="G3779" s="11">
        <v>10459</v>
      </c>
      <c r="H3779" s="12" t="s">
        <v>140</v>
      </c>
      <c r="I3779" s="12" t="s">
        <v>27</v>
      </c>
      <c r="J3779" s="12" t="s">
        <v>33</v>
      </c>
      <c r="K3779" s="12" t="s">
        <v>34</v>
      </c>
      <c r="L3779" s="13">
        <v>42.68</v>
      </c>
      <c r="M3779" s="13">
        <v>29</v>
      </c>
      <c r="N3779" s="13">
        <f t="shared" si="1788"/>
        <v>1.4717241379310344</v>
      </c>
      <c r="O3779" s="13">
        <v>40</v>
      </c>
      <c r="P3779" s="13"/>
      <c r="Q3779" s="13">
        <v>0</v>
      </c>
      <c r="R3779" s="70">
        <f>+L3779*O3779</f>
        <v>1707.2</v>
      </c>
      <c r="S3779" s="70">
        <v>0</v>
      </c>
      <c r="T3779" s="70">
        <f>+L3779*S3779</f>
        <v>0</v>
      </c>
      <c r="U3779" s="70">
        <f>+R3779-T3779</f>
        <v>1707.2</v>
      </c>
      <c r="V3779" s="70">
        <f t="shared" ref="V3779" si="1834">+U3779*0</f>
        <v>0</v>
      </c>
      <c r="W3779" s="70">
        <f>+U3779-V3779</f>
        <v>1707.2</v>
      </c>
      <c r="X3779" s="70">
        <v>0</v>
      </c>
      <c r="Y3779" s="14">
        <f t="shared" ref="Y3779:Y3785" si="1835">T3779-X3779</f>
        <v>0</v>
      </c>
      <c r="Z3779" s="11" t="s">
        <v>26</v>
      </c>
      <c r="AA3779" s="12" t="s">
        <v>31</v>
      </c>
    </row>
    <row r="3780" spans="1:27" x14ac:dyDescent="0.25">
      <c r="A3780" s="10">
        <v>45715</v>
      </c>
      <c r="B3780" s="11" t="s">
        <v>277</v>
      </c>
      <c r="C3780" s="11" t="s">
        <v>6726</v>
      </c>
      <c r="D3780" s="11">
        <v>18338</v>
      </c>
      <c r="E3780" s="11" t="s">
        <v>442</v>
      </c>
      <c r="F3780" s="11" t="s">
        <v>26</v>
      </c>
      <c r="G3780" s="11">
        <v>4741</v>
      </c>
      <c r="H3780" s="12" t="s">
        <v>41</v>
      </c>
      <c r="I3780" s="12" t="s">
        <v>55</v>
      </c>
      <c r="J3780" s="12" t="s">
        <v>55</v>
      </c>
      <c r="K3780" s="12" t="s">
        <v>56</v>
      </c>
      <c r="L3780" s="13">
        <v>35.46</v>
      </c>
      <c r="M3780" s="13">
        <v>21</v>
      </c>
      <c r="N3780" s="13">
        <f t="shared" si="1788"/>
        <v>1.6885714285714286</v>
      </c>
      <c r="O3780" s="13" t="s">
        <v>30</v>
      </c>
      <c r="P3780" s="13">
        <v>24</v>
      </c>
      <c r="Q3780" s="13">
        <v>0</v>
      </c>
      <c r="R3780" s="70">
        <f>+M3780*P3780</f>
        <v>504</v>
      </c>
      <c r="S3780" s="70">
        <v>0</v>
      </c>
      <c r="T3780" s="70">
        <f>+M3780*S3780</f>
        <v>0</v>
      </c>
      <c r="U3780" s="70">
        <f t="shared" ref="U3780:U3783" si="1836">+R3780-T3780</f>
        <v>504</v>
      </c>
      <c r="V3780" s="70">
        <f>+U3780*0</f>
        <v>0</v>
      </c>
      <c r="W3780" s="70">
        <f t="shared" ref="W3780:W3783" si="1837">+U3780-V3780</f>
        <v>504</v>
      </c>
      <c r="X3780" s="70">
        <v>0</v>
      </c>
      <c r="Y3780" s="14">
        <f t="shared" si="1835"/>
        <v>0</v>
      </c>
      <c r="Z3780" s="11" t="s">
        <v>26</v>
      </c>
      <c r="AA3780" s="12" t="s">
        <v>31</v>
      </c>
    </row>
    <row r="3781" spans="1:27" x14ac:dyDescent="0.25">
      <c r="A3781" s="10">
        <v>45715</v>
      </c>
      <c r="B3781" s="11" t="s">
        <v>6593</v>
      </c>
      <c r="C3781" s="11" t="s">
        <v>6727</v>
      </c>
      <c r="D3781" s="11">
        <v>18339</v>
      </c>
      <c r="E3781" s="11" t="s">
        <v>237</v>
      </c>
      <c r="F3781" s="11" t="s">
        <v>26</v>
      </c>
      <c r="G3781" s="11">
        <v>56031</v>
      </c>
      <c r="H3781" s="12" t="s">
        <v>4423</v>
      </c>
      <c r="I3781" s="12" t="s">
        <v>27</v>
      </c>
      <c r="J3781" s="12" t="s">
        <v>33</v>
      </c>
      <c r="K3781" s="12" t="s">
        <v>34</v>
      </c>
      <c r="L3781" s="13">
        <v>35.46</v>
      </c>
      <c r="M3781" s="13">
        <v>25</v>
      </c>
      <c r="N3781" s="13">
        <f t="shared" si="1788"/>
        <v>1.4184000000000001</v>
      </c>
      <c r="O3781" s="13">
        <v>45</v>
      </c>
      <c r="P3781" s="13" t="s">
        <v>30</v>
      </c>
      <c r="Q3781" s="13">
        <v>0</v>
      </c>
      <c r="R3781" s="70">
        <f>+L3781*O3781</f>
        <v>1595.7</v>
      </c>
      <c r="S3781" s="70">
        <v>0</v>
      </c>
      <c r="T3781" s="70">
        <f>+L3781*S3781</f>
        <v>0</v>
      </c>
      <c r="U3781" s="70">
        <f t="shared" si="1836"/>
        <v>1595.7</v>
      </c>
      <c r="V3781" s="70">
        <f>+U3781*1</f>
        <v>1595.7</v>
      </c>
      <c r="W3781" s="70">
        <f t="shared" si="1837"/>
        <v>0</v>
      </c>
      <c r="X3781" s="70">
        <v>0</v>
      </c>
      <c r="Y3781" s="14">
        <f t="shared" si="1835"/>
        <v>0</v>
      </c>
      <c r="Z3781" s="11" t="s">
        <v>26</v>
      </c>
      <c r="AA3781" s="12" t="s">
        <v>31</v>
      </c>
    </row>
    <row r="3782" spans="1:27" x14ac:dyDescent="0.25">
      <c r="A3782" s="10">
        <v>45715</v>
      </c>
      <c r="B3782" s="11" t="s">
        <v>5430</v>
      </c>
      <c r="C3782" s="11" t="s">
        <v>6728</v>
      </c>
      <c r="D3782" s="11">
        <v>18340</v>
      </c>
      <c r="E3782" s="11" t="s">
        <v>435</v>
      </c>
      <c r="F3782" s="11" t="s">
        <v>26</v>
      </c>
      <c r="G3782" s="11">
        <v>2799</v>
      </c>
      <c r="H3782" s="12" t="s">
        <v>41</v>
      </c>
      <c r="I3782" s="12" t="s">
        <v>55</v>
      </c>
      <c r="J3782" s="12" t="s">
        <v>55</v>
      </c>
      <c r="K3782" s="12" t="s">
        <v>56</v>
      </c>
      <c r="L3782" s="13">
        <v>39.380000000000003</v>
      </c>
      <c r="M3782" s="13">
        <v>24</v>
      </c>
      <c r="N3782" s="13">
        <f t="shared" si="1788"/>
        <v>1.6408333333333334</v>
      </c>
      <c r="O3782" s="13" t="s">
        <v>30</v>
      </c>
      <c r="P3782" s="13">
        <v>24</v>
      </c>
      <c r="Q3782" s="13">
        <v>0</v>
      </c>
      <c r="R3782" s="70">
        <f>+M3782*P3782</f>
        <v>576</v>
      </c>
      <c r="S3782" s="70">
        <v>0</v>
      </c>
      <c r="T3782" s="70">
        <f>+M3782*S3782</f>
        <v>0</v>
      </c>
      <c r="U3782" s="70">
        <f t="shared" si="1836"/>
        <v>576</v>
      </c>
      <c r="V3782" s="70">
        <f>+U3782*0</f>
        <v>0</v>
      </c>
      <c r="W3782" s="70">
        <f t="shared" si="1837"/>
        <v>576</v>
      </c>
      <c r="X3782" s="70">
        <v>0</v>
      </c>
      <c r="Y3782" s="14">
        <f t="shared" si="1835"/>
        <v>0</v>
      </c>
      <c r="Z3782" s="11" t="s">
        <v>26</v>
      </c>
      <c r="AA3782" s="12" t="s">
        <v>31</v>
      </c>
    </row>
    <row r="3783" spans="1:27" x14ac:dyDescent="0.25">
      <c r="A3783" s="10">
        <v>45715</v>
      </c>
      <c r="B3783" s="11" t="s">
        <v>630</v>
      </c>
      <c r="C3783" s="11" t="s">
        <v>6729</v>
      </c>
      <c r="D3783" s="11">
        <v>18341</v>
      </c>
      <c r="E3783" s="11" t="s">
        <v>53</v>
      </c>
      <c r="F3783" s="11" t="s">
        <v>26</v>
      </c>
      <c r="G3783" s="11">
        <v>3984</v>
      </c>
      <c r="H3783" s="12" t="s">
        <v>41</v>
      </c>
      <c r="I3783" s="12" t="s">
        <v>55</v>
      </c>
      <c r="J3783" s="12" t="s">
        <v>55</v>
      </c>
      <c r="K3783" s="12" t="s">
        <v>56</v>
      </c>
      <c r="L3783" s="13">
        <v>39.26</v>
      </c>
      <c r="M3783" s="13">
        <v>24</v>
      </c>
      <c r="N3783" s="13">
        <f t="shared" si="1788"/>
        <v>1.6358333333333333</v>
      </c>
      <c r="O3783" s="13" t="s">
        <v>30</v>
      </c>
      <c r="P3783" s="13">
        <v>24</v>
      </c>
      <c r="Q3783" s="13">
        <v>0</v>
      </c>
      <c r="R3783" s="70">
        <f>+M3783*P3783</f>
        <v>576</v>
      </c>
      <c r="S3783" s="70">
        <v>0</v>
      </c>
      <c r="T3783" s="70">
        <f>+M3783*S3783</f>
        <v>0</v>
      </c>
      <c r="U3783" s="70">
        <f t="shared" si="1836"/>
        <v>576</v>
      </c>
      <c r="V3783" s="70">
        <f>+U3783*0</f>
        <v>0</v>
      </c>
      <c r="W3783" s="70">
        <f t="shared" si="1837"/>
        <v>576</v>
      </c>
      <c r="X3783" s="70">
        <v>0</v>
      </c>
      <c r="Y3783" s="14">
        <f t="shared" si="1835"/>
        <v>0</v>
      </c>
      <c r="Z3783" s="11" t="s">
        <v>26</v>
      </c>
      <c r="AA3783" s="12" t="s">
        <v>31</v>
      </c>
    </row>
    <row r="3784" spans="1:27" x14ac:dyDescent="0.25">
      <c r="A3784" s="10">
        <v>45715</v>
      </c>
      <c r="B3784" s="11" t="s">
        <v>367</v>
      </c>
      <c r="C3784" s="11" t="s">
        <v>6730</v>
      </c>
      <c r="D3784" s="11">
        <v>18342</v>
      </c>
      <c r="E3784" s="11" t="s">
        <v>1200</v>
      </c>
      <c r="F3784" s="11" t="s">
        <v>26</v>
      </c>
      <c r="G3784" s="11">
        <v>2998</v>
      </c>
      <c r="H3784" s="12" t="s">
        <v>163</v>
      </c>
      <c r="I3784" s="12" t="s">
        <v>27</v>
      </c>
      <c r="J3784" s="12" t="s">
        <v>33</v>
      </c>
      <c r="K3784" s="12" t="s">
        <v>34</v>
      </c>
      <c r="L3784" s="13">
        <v>36.880000000000003</v>
      </c>
      <c r="M3784" s="13">
        <v>25</v>
      </c>
      <c r="N3784" s="13">
        <f t="shared" si="1788"/>
        <v>1.4752000000000001</v>
      </c>
      <c r="O3784" s="13" t="s">
        <v>30</v>
      </c>
      <c r="P3784" s="13">
        <v>60</v>
      </c>
      <c r="Q3784" s="13">
        <v>0</v>
      </c>
      <c r="R3784" s="70">
        <f>M3784*P3784</f>
        <v>1500</v>
      </c>
      <c r="S3784" s="70">
        <v>0</v>
      </c>
      <c r="T3784" s="70">
        <f>M3784*S3784</f>
        <v>0</v>
      </c>
      <c r="U3784" s="70">
        <f>R3784-T3784</f>
        <v>1500</v>
      </c>
      <c r="V3784" s="70">
        <f>U3784*0</f>
        <v>0</v>
      </c>
      <c r="W3784" s="70">
        <f>U3784-V3784</f>
        <v>1500</v>
      </c>
      <c r="X3784" s="70">
        <v>0</v>
      </c>
      <c r="Y3784" s="14">
        <f t="shared" si="1835"/>
        <v>0</v>
      </c>
      <c r="Z3784" s="11" t="s">
        <v>26</v>
      </c>
      <c r="AA3784" s="12" t="s">
        <v>31</v>
      </c>
    </row>
    <row r="3785" spans="1:27" x14ac:dyDescent="0.25">
      <c r="A3785" s="10">
        <v>45715</v>
      </c>
      <c r="B3785" s="11" t="s">
        <v>6731</v>
      </c>
      <c r="C3785" s="11" t="s">
        <v>6732</v>
      </c>
      <c r="D3785" s="11">
        <v>18343</v>
      </c>
      <c r="E3785" s="11" t="s">
        <v>77</v>
      </c>
      <c r="F3785" s="11" t="s">
        <v>26</v>
      </c>
      <c r="G3785" s="11">
        <v>112475</v>
      </c>
      <c r="H3785" s="12" t="s">
        <v>4446</v>
      </c>
      <c r="I3785" s="12" t="s">
        <v>27</v>
      </c>
      <c r="J3785" s="12" t="s">
        <v>33</v>
      </c>
      <c r="K3785" s="12" t="s">
        <v>34</v>
      </c>
      <c r="L3785" s="13">
        <v>36.32</v>
      </c>
      <c r="M3785" s="13">
        <v>25</v>
      </c>
      <c r="N3785" s="13">
        <f t="shared" si="1788"/>
        <v>1.4528000000000001</v>
      </c>
      <c r="O3785" s="13">
        <v>44</v>
      </c>
      <c r="P3785" s="13" t="s">
        <v>30</v>
      </c>
      <c r="Q3785" s="13">
        <v>0</v>
      </c>
      <c r="R3785" s="70">
        <f t="shared" ref="R3785" si="1838">+L3785*O3785</f>
        <v>1598.08</v>
      </c>
      <c r="S3785" s="70">
        <v>0</v>
      </c>
      <c r="T3785" s="70">
        <f>+L3785*S3785</f>
        <v>0</v>
      </c>
      <c r="U3785" s="70">
        <f>+R3785-T3785</f>
        <v>1598.08</v>
      </c>
      <c r="V3785" s="70">
        <f>+U3785*1</f>
        <v>1598.08</v>
      </c>
      <c r="W3785" s="70">
        <f>+U3785-V3785</f>
        <v>0</v>
      </c>
      <c r="X3785" s="70">
        <v>0</v>
      </c>
      <c r="Y3785" s="14">
        <f t="shared" si="1835"/>
        <v>0</v>
      </c>
      <c r="Z3785" s="11" t="s">
        <v>26</v>
      </c>
      <c r="AA3785" s="12" t="s">
        <v>31</v>
      </c>
    </row>
    <row r="3786" spans="1:27" x14ac:dyDescent="0.25">
      <c r="A3786" s="10">
        <v>45715</v>
      </c>
      <c r="B3786" s="11" t="s">
        <v>4186</v>
      </c>
      <c r="C3786" s="11" t="s">
        <v>6733</v>
      </c>
      <c r="D3786" s="11">
        <v>18344</v>
      </c>
      <c r="E3786" s="11" t="s">
        <v>244</v>
      </c>
      <c r="F3786" s="11" t="s">
        <v>26</v>
      </c>
      <c r="G3786" s="11">
        <v>963</v>
      </c>
      <c r="H3786" s="12" t="s">
        <v>141</v>
      </c>
      <c r="I3786" s="12" t="s">
        <v>27</v>
      </c>
      <c r="J3786" s="12" t="s">
        <v>6734</v>
      </c>
      <c r="K3786" s="12" t="s">
        <v>6735</v>
      </c>
      <c r="L3786" s="13">
        <v>41.52</v>
      </c>
      <c r="M3786" s="13">
        <v>25</v>
      </c>
      <c r="N3786" s="13">
        <f t="shared" si="1788"/>
        <v>1.6608000000000001</v>
      </c>
      <c r="O3786" s="13">
        <v>0</v>
      </c>
      <c r="P3786" s="13" t="s">
        <v>30</v>
      </c>
      <c r="Q3786" s="13"/>
      <c r="R3786" s="12"/>
      <c r="S3786" s="12"/>
      <c r="T3786" s="12"/>
      <c r="U3786" s="12"/>
      <c r="V3786" s="12"/>
      <c r="W3786" s="12"/>
      <c r="X3786" s="12"/>
      <c r="Y3786" s="12"/>
      <c r="Z3786" s="12" t="s">
        <v>26</v>
      </c>
      <c r="AA3786" s="12" t="s">
        <v>31</v>
      </c>
    </row>
    <row r="3787" spans="1:27" x14ac:dyDescent="0.25">
      <c r="A3787" s="10">
        <v>45715</v>
      </c>
      <c r="B3787" s="11" t="s">
        <v>6580</v>
      </c>
      <c r="C3787" s="11" t="s">
        <v>6736</v>
      </c>
      <c r="D3787" s="11">
        <v>18345</v>
      </c>
      <c r="E3787" s="11" t="s">
        <v>44</v>
      </c>
      <c r="F3787" s="11" t="s">
        <v>26</v>
      </c>
      <c r="G3787" s="11">
        <v>1674</v>
      </c>
      <c r="H3787" s="12" t="s">
        <v>45</v>
      </c>
      <c r="I3787" s="12" t="s">
        <v>27</v>
      </c>
      <c r="J3787" s="12" t="s">
        <v>28</v>
      </c>
      <c r="K3787" s="12" t="s">
        <v>29</v>
      </c>
      <c r="L3787" s="13">
        <v>39.24</v>
      </c>
      <c r="M3787" s="13">
        <v>25</v>
      </c>
      <c r="N3787" s="13">
        <f t="shared" si="1788"/>
        <v>1.5696000000000001</v>
      </c>
      <c r="O3787" s="13" t="s">
        <v>30</v>
      </c>
      <c r="P3787" s="13">
        <v>40</v>
      </c>
      <c r="Q3787" s="13">
        <v>0</v>
      </c>
      <c r="R3787" s="70">
        <f>M3787*P3787</f>
        <v>1000</v>
      </c>
      <c r="S3787" s="70">
        <v>0</v>
      </c>
      <c r="T3787" s="70">
        <f>M3787*S3787</f>
        <v>0</v>
      </c>
      <c r="U3787" s="70">
        <f>R3787-T3787</f>
        <v>1000</v>
      </c>
      <c r="V3787" s="70">
        <f>U3787*0</f>
        <v>0</v>
      </c>
      <c r="W3787" s="70">
        <f>U3787-V3787</f>
        <v>1000</v>
      </c>
      <c r="X3787" s="70">
        <v>0</v>
      </c>
      <c r="Y3787" s="14">
        <f t="shared" ref="Y3787:Y3790" si="1839">T3787-X3787</f>
        <v>0</v>
      </c>
      <c r="Z3787" s="11" t="s">
        <v>26</v>
      </c>
      <c r="AA3787" s="12" t="s">
        <v>31</v>
      </c>
    </row>
    <row r="3788" spans="1:27" x14ac:dyDescent="0.25">
      <c r="A3788" s="10">
        <v>45715</v>
      </c>
      <c r="B3788" s="11" t="s">
        <v>6737</v>
      </c>
      <c r="C3788" s="11" t="s">
        <v>6738</v>
      </c>
      <c r="D3788" s="11">
        <v>18346</v>
      </c>
      <c r="E3788" s="11" t="s">
        <v>593</v>
      </c>
      <c r="F3788" s="11" t="s">
        <v>26</v>
      </c>
      <c r="G3788" s="11">
        <v>56557</v>
      </c>
      <c r="H3788" s="12" t="s">
        <v>4423</v>
      </c>
      <c r="I3788" s="12" t="s">
        <v>27</v>
      </c>
      <c r="J3788" s="12" t="s">
        <v>33</v>
      </c>
      <c r="K3788" s="12" t="s">
        <v>34</v>
      </c>
      <c r="L3788" s="13">
        <v>35.28</v>
      </c>
      <c r="M3788" s="13">
        <v>25</v>
      </c>
      <c r="N3788" s="13">
        <f t="shared" si="1788"/>
        <v>1.4112</v>
      </c>
      <c r="O3788" s="13">
        <v>45</v>
      </c>
      <c r="P3788" s="13" t="s">
        <v>30</v>
      </c>
      <c r="Q3788" s="13">
        <v>0</v>
      </c>
      <c r="R3788" s="70">
        <f>+L3788*O3788</f>
        <v>1587.6000000000001</v>
      </c>
      <c r="S3788" s="70">
        <v>0</v>
      </c>
      <c r="T3788" s="70">
        <f>+L3788*S3788</f>
        <v>0</v>
      </c>
      <c r="U3788" s="70">
        <f t="shared" ref="U3788" si="1840">+R3788-T3788</f>
        <v>1587.6000000000001</v>
      </c>
      <c r="V3788" s="70">
        <f>+U3788*1</f>
        <v>1587.6000000000001</v>
      </c>
      <c r="W3788" s="70">
        <f t="shared" ref="W3788" si="1841">+U3788-V3788</f>
        <v>0</v>
      </c>
      <c r="X3788" s="70">
        <v>0</v>
      </c>
      <c r="Y3788" s="14">
        <f t="shared" si="1839"/>
        <v>0</v>
      </c>
      <c r="Z3788" s="11" t="s">
        <v>26</v>
      </c>
      <c r="AA3788" s="12" t="s">
        <v>31</v>
      </c>
    </row>
    <row r="3789" spans="1:27" x14ac:dyDescent="0.25">
      <c r="A3789" s="10">
        <v>45715</v>
      </c>
      <c r="B3789" s="11" t="s">
        <v>340</v>
      </c>
      <c r="C3789" s="11" t="s">
        <v>6739</v>
      </c>
      <c r="D3789" s="11">
        <v>18347</v>
      </c>
      <c r="E3789" s="11" t="s">
        <v>50</v>
      </c>
      <c r="F3789" s="11" t="s">
        <v>26</v>
      </c>
      <c r="G3789" s="11">
        <v>775</v>
      </c>
      <c r="H3789" s="12" t="s">
        <v>163</v>
      </c>
      <c r="I3789" s="12" t="s">
        <v>27</v>
      </c>
      <c r="J3789" s="12" t="s">
        <v>42</v>
      </c>
      <c r="K3789" s="12" t="s">
        <v>43</v>
      </c>
      <c r="L3789" s="13">
        <v>41.12</v>
      </c>
      <c r="M3789" s="13">
        <v>25</v>
      </c>
      <c r="N3789" s="13">
        <f t="shared" si="1788"/>
        <v>1.6447999999999998</v>
      </c>
      <c r="O3789" s="13" t="s">
        <v>30</v>
      </c>
      <c r="P3789" s="13">
        <v>64</v>
      </c>
      <c r="Q3789" s="13">
        <v>0</v>
      </c>
      <c r="R3789" s="70">
        <f>M3789*P3789</f>
        <v>1600</v>
      </c>
      <c r="S3789" s="70">
        <v>0</v>
      </c>
      <c r="T3789" s="70">
        <f>M3789*S3789</f>
        <v>0</v>
      </c>
      <c r="U3789" s="70">
        <f>R3789-T3789</f>
        <v>1600</v>
      </c>
      <c r="V3789" s="70">
        <f t="shared" ref="V3789" si="1842">U3789*0</f>
        <v>0</v>
      </c>
      <c r="W3789" s="70">
        <f t="shared" ref="W3789" si="1843">U3789-V3789</f>
        <v>1600</v>
      </c>
      <c r="X3789" s="70">
        <v>0</v>
      </c>
      <c r="Y3789" s="14">
        <f t="shared" si="1839"/>
        <v>0</v>
      </c>
      <c r="Z3789" s="11" t="s">
        <v>26</v>
      </c>
      <c r="AA3789" s="12" t="s">
        <v>31</v>
      </c>
    </row>
    <row r="3790" spans="1:27" x14ac:dyDescent="0.25">
      <c r="A3790" s="10">
        <v>45715</v>
      </c>
      <c r="B3790" s="11" t="s">
        <v>6182</v>
      </c>
      <c r="C3790" s="11" t="s">
        <v>6740</v>
      </c>
      <c r="D3790" s="11">
        <v>18348</v>
      </c>
      <c r="E3790" s="11" t="s">
        <v>552</v>
      </c>
      <c r="F3790" s="11" t="s">
        <v>26</v>
      </c>
      <c r="G3790" s="11">
        <v>44190</v>
      </c>
      <c r="H3790" s="12" t="s">
        <v>4423</v>
      </c>
      <c r="I3790" s="12" t="s">
        <v>27</v>
      </c>
      <c r="J3790" s="12" t="s">
        <v>47</v>
      </c>
      <c r="K3790" s="12" t="s">
        <v>48</v>
      </c>
      <c r="L3790" s="13">
        <v>35.119999999999997</v>
      </c>
      <c r="M3790" s="13">
        <v>25</v>
      </c>
      <c r="N3790" s="13">
        <f t="shared" si="1788"/>
        <v>1.4047999999999998</v>
      </c>
      <c r="O3790" s="13">
        <v>46</v>
      </c>
      <c r="P3790" s="13" t="s">
        <v>30</v>
      </c>
      <c r="Q3790" s="13">
        <v>0</v>
      </c>
      <c r="R3790" s="70">
        <f t="shared" ref="R3790" si="1844">+L3790*O3790</f>
        <v>1615.52</v>
      </c>
      <c r="S3790" s="70">
        <v>0</v>
      </c>
      <c r="T3790" s="70">
        <f t="shared" ref="T3790" si="1845">+L3790*S3790</f>
        <v>0</v>
      </c>
      <c r="U3790" s="70">
        <f t="shared" ref="U3790" si="1846">+R3790-T3790</f>
        <v>1615.52</v>
      </c>
      <c r="V3790" s="70">
        <f>+U3790*1</f>
        <v>1615.52</v>
      </c>
      <c r="W3790" s="70">
        <f t="shared" ref="W3790" si="1847">+U3790-V3790</f>
        <v>0</v>
      </c>
      <c r="X3790" s="70">
        <v>0</v>
      </c>
      <c r="Y3790" s="14">
        <f t="shared" si="1839"/>
        <v>0</v>
      </c>
      <c r="Z3790" s="12" t="s">
        <v>26</v>
      </c>
      <c r="AA3790" s="12" t="s">
        <v>31</v>
      </c>
    </row>
    <row r="3791" spans="1:27" x14ac:dyDescent="0.25">
      <c r="A3791" s="10">
        <v>45715</v>
      </c>
      <c r="B3791" s="11" t="s">
        <v>6741</v>
      </c>
      <c r="C3791" s="11" t="s">
        <v>6742</v>
      </c>
      <c r="D3791" s="11">
        <v>18349</v>
      </c>
      <c r="E3791" s="11" t="s">
        <v>570</v>
      </c>
      <c r="F3791" s="11" t="s">
        <v>26</v>
      </c>
      <c r="G3791" s="11" t="s">
        <v>26</v>
      </c>
      <c r="H3791" s="12" t="s">
        <v>4422</v>
      </c>
      <c r="I3791" s="12" t="s">
        <v>27</v>
      </c>
      <c r="J3791" s="12" t="s">
        <v>33</v>
      </c>
      <c r="K3791" s="12" t="s">
        <v>34</v>
      </c>
      <c r="L3791" s="13">
        <v>43.6</v>
      </c>
      <c r="M3791" s="13">
        <v>30</v>
      </c>
      <c r="N3791" s="13">
        <f t="shared" si="1788"/>
        <v>1.4533333333333334</v>
      </c>
      <c r="O3791" s="13">
        <v>85</v>
      </c>
      <c r="P3791" s="13" t="s">
        <v>30</v>
      </c>
      <c r="Q3791" s="13">
        <v>0</v>
      </c>
      <c r="R3791" s="70">
        <f t="shared" ref="R3791" si="1848">L3791*O3791</f>
        <v>3706</v>
      </c>
      <c r="S3791" s="70">
        <v>38</v>
      </c>
      <c r="T3791" s="70">
        <f t="shared" ref="T3791" si="1849">L3791*S3791</f>
        <v>1656.8</v>
      </c>
      <c r="U3791" s="70">
        <f t="shared" ref="U3791" si="1850">R3791-T3791</f>
        <v>2049.1999999999998</v>
      </c>
      <c r="V3791" s="70">
        <f>U3791*1</f>
        <v>2049.1999999999998</v>
      </c>
      <c r="W3791" s="70">
        <f t="shared" ref="W3791" si="1851">U3791-V3791</f>
        <v>0</v>
      </c>
      <c r="X3791" s="70">
        <f>L3791*36</f>
        <v>1569.6000000000001</v>
      </c>
      <c r="Y3791" s="71">
        <f>+T3791-X3791</f>
        <v>87.199999999999818</v>
      </c>
      <c r="Z3791" s="12" t="s">
        <v>140</v>
      </c>
      <c r="AA3791" s="12" t="s">
        <v>78</v>
      </c>
    </row>
    <row r="3792" spans="1:27" x14ac:dyDescent="0.25">
      <c r="A3792" s="10">
        <v>45715</v>
      </c>
      <c r="B3792" s="11" t="s">
        <v>6743</v>
      </c>
      <c r="C3792" s="11" t="s">
        <v>6744</v>
      </c>
      <c r="D3792" s="11">
        <v>18350</v>
      </c>
      <c r="E3792" s="11" t="s">
        <v>605</v>
      </c>
      <c r="F3792" s="11" t="s">
        <v>26</v>
      </c>
      <c r="G3792" s="11">
        <v>1075</v>
      </c>
      <c r="H3792" s="12" t="s">
        <v>141</v>
      </c>
      <c r="I3792" s="12" t="s">
        <v>27</v>
      </c>
      <c r="J3792" s="12" t="s">
        <v>6734</v>
      </c>
      <c r="K3792" s="12" t="s">
        <v>6735</v>
      </c>
      <c r="L3792" s="13">
        <v>40.82</v>
      </c>
      <c r="M3792" s="13">
        <v>25</v>
      </c>
      <c r="N3792" s="13">
        <f t="shared" si="1788"/>
        <v>1.6328</v>
      </c>
      <c r="O3792" s="13">
        <v>0</v>
      </c>
      <c r="P3792" s="13" t="s">
        <v>30</v>
      </c>
      <c r="Q3792" s="13"/>
      <c r="R3792" s="12"/>
      <c r="S3792" s="12"/>
      <c r="T3792" s="12"/>
      <c r="U3792" s="12"/>
      <c r="V3792" s="12"/>
      <c r="W3792" s="12"/>
      <c r="X3792" s="12"/>
      <c r="Y3792" s="12"/>
      <c r="Z3792" s="12" t="s">
        <v>26</v>
      </c>
      <c r="AA3792" s="12" t="s">
        <v>31</v>
      </c>
    </row>
    <row r="3793" spans="1:27" x14ac:dyDescent="0.25">
      <c r="A3793" s="10">
        <v>45715</v>
      </c>
      <c r="B3793" s="11" t="s">
        <v>742</v>
      </c>
      <c r="C3793" s="11" t="s">
        <v>6745</v>
      </c>
      <c r="D3793" s="11">
        <v>18351</v>
      </c>
      <c r="E3793" s="11" t="s">
        <v>5103</v>
      </c>
      <c r="F3793" s="11" t="s">
        <v>26</v>
      </c>
      <c r="G3793" s="11">
        <v>78108</v>
      </c>
      <c r="H3793" s="12" t="s">
        <v>4448</v>
      </c>
      <c r="I3793" s="12" t="s">
        <v>27</v>
      </c>
      <c r="J3793" s="12" t="s">
        <v>42</v>
      </c>
      <c r="K3793" s="12" t="s">
        <v>43</v>
      </c>
      <c r="L3793" s="13">
        <v>43.88</v>
      </c>
      <c r="M3793" s="13">
        <v>25</v>
      </c>
      <c r="N3793" s="13">
        <f t="shared" si="1788"/>
        <v>1.7552000000000001</v>
      </c>
      <c r="O3793" s="13">
        <v>42.5</v>
      </c>
      <c r="P3793" s="13"/>
      <c r="Q3793" s="13">
        <v>0</v>
      </c>
      <c r="R3793" s="70">
        <f>+L3793*O3793</f>
        <v>1864.9</v>
      </c>
      <c r="S3793" s="70">
        <v>0</v>
      </c>
      <c r="T3793" s="70">
        <f>+L3793*S3793</f>
        <v>0</v>
      </c>
      <c r="U3793" s="70">
        <f>+R3793-T3793</f>
        <v>1864.9</v>
      </c>
      <c r="V3793" s="70">
        <f>+U3793*0.75</f>
        <v>1398.6750000000002</v>
      </c>
      <c r="W3793" s="70">
        <f>+U3793-V3793</f>
        <v>466.22499999999991</v>
      </c>
      <c r="X3793" s="70">
        <v>0</v>
      </c>
      <c r="Y3793" s="14">
        <f t="shared" ref="Y3793" si="1852">T3793-X3793</f>
        <v>0</v>
      </c>
      <c r="Z3793" s="11" t="s">
        <v>26</v>
      </c>
      <c r="AA3793" s="12" t="s">
        <v>31</v>
      </c>
    </row>
    <row r="3794" spans="1:27" x14ac:dyDescent="0.25">
      <c r="A3794" s="10">
        <v>45715</v>
      </c>
      <c r="B3794" s="11" t="s">
        <v>398</v>
      </c>
      <c r="C3794" s="11" t="s">
        <v>6746</v>
      </c>
      <c r="D3794" s="11">
        <v>18352</v>
      </c>
      <c r="E3794" s="11" t="s">
        <v>501</v>
      </c>
      <c r="F3794" s="11" t="s">
        <v>26</v>
      </c>
      <c r="G3794" s="11" t="s">
        <v>26</v>
      </c>
      <c r="H3794" s="12" t="s">
        <v>4422</v>
      </c>
      <c r="I3794" s="12" t="s">
        <v>27</v>
      </c>
      <c r="J3794" s="12" t="s">
        <v>47</v>
      </c>
      <c r="K3794" s="12" t="s">
        <v>48</v>
      </c>
      <c r="L3794" s="13">
        <v>42.34</v>
      </c>
      <c r="M3794" s="13">
        <v>29</v>
      </c>
      <c r="N3794" s="13">
        <f t="shared" si="1788"/>
        <v>1.4600000000000002</v>
      </c>
      <c r="O3794" s="13">
        <v>87</v>
      </c>
      <c r="P3794" s="13" t="s">
        <v>30</v>
      </c>
      <c r="Q3794" s="13">
        <v>0</v>
      </c>
      <c r="R3794" s="70">
        <f t="shared" ref="R3794" si="1853">L3794*O3794</f>
        <v>3683.5800000000004</v>
      </c>
      <c r="S3794" s="70">
        <v>38</v>
      </c>
      <c r="T3794" s="70">
        <f t="shared" ref="T3794" si="1854">L3794*S3794</f>
        <v>1608.92</v>
      </c>
      <c r="U3794" s="70">
        <f t="shared" ref="U3794" si="1855">R3794-T3794</f>
        <v>2074.6600000000003</v>
      </c>
      <c r="V3794" s="70">
        <f>U3794*1</f>
        <v>2074.6600000000003</v>
      </c>
      <c r="W3794" s="70">
        <f t="shared" ref="W3794" si="1856">U3794-V3794</f>
        <v>0</v>
      </c>
      <c r="X3794" s="70">
        <f>L3794*36</f>
        <v>1524.2400000000002</v>
      </c>
      <c r="Y3794" s="71">
        <f>+T3794-X3794</f>
        <v>84.679999999999836</v>
      </c>
      <c r="Z3794" s="12" t="s">
        <v>141</v>
      </c>
      <c r="AA3794" s="12" t="s">
        <v>78</v>
      </c>
    </row>
    <row r="3795" spans="1:27" x14ac:dyDescent="0.25">
      <c r="A3795" s="10">
        <v>45715</v>
      </c>
      <c r="B3795" s="11" t="s">
        <v>6747</v>
      </c>
      <c r="C3795" s="11" t="s">
        <v>6748</v>
      </c>
      <c r="D3795" s="11">
        <v>18353</v>
      </c>
      <c r="E3795" s="11" t="s">
        <v>80</v>
      </c>
      <c r="F3795" s="11" t="s">
        <v>26</v>
      </c>
      <c r="G3795" s="11" t="s">
        <v>26</v>
      </c>
      <c r="H3795" s="12" t="s">
        <v>4422</v>
      </c>
      <c r="I3795" s="12" t="s">
        <v>27</v>
      </c>
      <c r="J3795" s="12" t="s">
        <v>42</v>
      </c>
      <c r="K3795" s="12" t="s">
        <v>43</v>
      </c>
      <c r="L3795" s="13">
        <v>42.28</v>
      </c>
      <c r="M3795" s="13">
        <v>25</v>
      </c>
      <c r="N3795" s="13">
        <f t="shared" si="1788"/>
        <v>1.6912</v>
      </c>
      <c r="O3795" s="13">
        <v>83</v>
      </c>
      <c r="P3795" s="13" t="s">
        <v>30</v>
      </c>
      <c r="Q3795" s="13">
        <v>0</v>
      </c>
      <c r="R3795" s="70">
        <f>L3795*O3795</f>
        <v>3509.2400000000002</v>
      </c>
      <c r="S3795" s="70">
        <v>38</v>
      </c>
      <c r="T3795" s="70">
        <f>L3795*S3795</f>
        <v>1606.64</v>
      </c>
      <c r="U3795" s="70">
        <f>R3795-T3795</f>
        <v>1902.6000000000001</v>
      </c>
      <c r="V3795" s="70">
        <f>U3795*1</f>
        <v>1902.6000000000001</v>
      </c>
      <c r="W3795" s="70">
        <f>U3795-V3795</f>
        <v>0</v>
      </c>
      <c r="X3795" s="70">
        <f>L3795*36</f>
        <v>1522.08</v>
      </c>
      <c r="Y3795" s="71">
        <f>+T3795-X3795</f>
        <v>84.560000000000173</v>
      </c>
      <c r="Z3795" s="12" t="s">
        <v>140</v>
      </c>
      <c r="AA3795" s="12" t="s">
        <v>78</v>
      </c>
    </row>
    <row r="3796" spans="1:27" x14ac:dyDescent="0.25">
      <c r="A3796" s="10">
        <v>45715</v>
      </c>
      <c r="B3796" s="11" t="s">
        <v>6749</v>
      </c>
      <c r="C3796" s="11" t="s">
        <v>6750</v>
      </c>
      <c r="D3796" s="11">
        <v>18354</v>
      </c>
      <c r="E3796" s="11" t="s">
        <v>84</v>
      </c>
      <c r="F3796" s="11" t="s">
        <v>26</v>
      </c>
      <c r="G3796" s="11">
        <v>60205</v>
      </c>
      <c r="H3796" s="12" t="s">
        <v>4423</v>
      </c>
      <c r="I3796" s="12" t="s">
        <v>27</v>
      </c>
      <c r="J3796" s="12" t="s">
        <v>33</v>
      </c>
      <c r="K3796" s="12" t="s">
        <v>34</v>
      </c>
      <c r="L3796" s="13">
        <v>32.86</v>
      </c>
      <c r="M3796" s="13">
        <v>25</v>
      </c>
      <c r="N3796" s="13">
        <f t="shared" si="1788"/>
        <v>1.3144</v>
      </c>
      <c r="O3796" s="13">
        <v>45</v>
      </c>
      <c r="P3796" s="13" t="s">
        <v>30</v>
      </c>
      <c r="Q3796" s="13">
        <v>0</v>
      </c>
      <c r="R3796" s="70">
        <f>+L3796*O3796</f>
        <v>1478.7</v>
      </c>
      <c r="S3796" s="70">
        <v>0</v>
      </c>
      <c r="T3796" s="70">
        <f>+L3796*S3796</f>
        <v>0</v>
      </c>
      <c r="U3796" s="70">
        <f t="shared" ref="U3796:U3798" si="1857">+R3796-T3796</f>
        <v>1478.7</v>
      </c>
      <c r="V3796" s="70">
        <f>+U3796*1</f>
        <v>1478.7</v>
      </c>
      <c r="W3796" s="70">
        <f t="shared" ref="W3796:W3798" si="1858">+U3796-V3796</f>
        <v>0</v>
      </c>
      <c r="X3796" s="70">
        <v>0</v>
      </c>
      <c r="Y3796" s="14">
        <f t="shared" ref="Y3796:Y3799" si="1859">T3796-X3796</f>
        <v>0</v>
      </c>
      <c r="Z3796" s="11" t="s">
        <v>26</v>
      </c>
      <c r="AA3796" s="12" t="s">
        <v>31</v>
      </c>
    </row>
    <row r="3797" spans="1:27" x14ac:dyDescent="0.25">
      <c r="A3797" s="10">
        <v>45715</v>
      </c>
      <c r="B3797" s="11" t="s">
        <v>6751</v>
      </c>
      <c r="C3797" s="11" t="s">
        <v>6752</v>
      </c>
      <c r="D3797" s="11">
        <v>18355</v>
      </c>
      <c r="E3797" s="11" t="s">
        <v>589</v>
      </c>
      <c r="F3797" s="11" t="s">
        <v>26</v>
      </c>
      <c r="G3797" s="11">
        <v>56943</v>
      </c>
      <c r="H3797" s="12" t="s">
        <v>4423</v>
      </c>
      <c r="I3797" s="12" t="s">
        <v>27</v>
      </c>
      <c r="J3797" s="12" t="s">
        <v>47</v>
      </c>
      <c r="K3797" s="12" t="s">
        <v>48</v>
      </c>
      <c r="L3797" s="13">
        <v>32.32</v>
      </c>
      <c r="M3797" s="13">
        <v>25</v>
      </c>
      <c r="N3797" s="13">
        <f t="shared" si="1788"/>
        <v>1.2927999999999999</v>
      </c>
      <c r="O3797" s="13">
        <v>46</v>
      </c>
      <c r="P3797" s="13" t="s">
        <v>30</v>
      </c>
      <c r="Q3797" s="13">
        <v>0</v>
      </c>
      <c r="R3797" s="70">
        <f t="shared" ref="R3797" si="1860">+L3797*O3797</f>
        <v>1486.72</v>
      </c>
      <c r="S3797" s="70">
        <v>0</v>
      </c>
      <c r="T3797" s="70">
        <f t="shared" ref="T3797:T3798" si="1861">+L3797*S3797</f>
        <v>0</v>
      </c>
      <c r="U3797" s="70">
        <f t="shared" si="1857"/>
        <v>1486.72</v>
      </c>
      <c r="V3797" s="70">
        <f>+U3797*1</f>
        <v>1486.72</v>
      </c>
      <c r="W3797" s="70">
        <f t="shared" si="1858"/>
        <v>0</v>
      </c>
      <c r="X3797" s="70">
        <v>0</v>
      </c>
      <c r="Y3797" s="14">
        <f t="shared" si="1859"/>
        <v>0</v>
      </c>
      <c r="Z3797" s="12" t="s">
        <v>26</v>
      </c>
      <c r="AA3797" s="12" t="s">
        <v>31</v>
      </c>
    </row>
    <row r="3798" spans="1:27" x14ac:dyDescent="0.25">
      <c r="A3798" s="10">
        <v>45715</v>
      </c>
      <c r="B3798" s="11" t="s">
        <v>6753</v>
      </c>
      <c r="C3798" s="11" t="s">
        <v>6754</v>
      </c>
      <c r="D3798" s="11">
        <v>18356</v>
      </c>
      <c r="E3798" s="11" t="s">
        <v>60</v>
      </c>
      <c r="F3798" s="11" t="s">
        <v>26</v>
      </c>
      <c r="G3798" s="11" t="s">
        <v>35</v>
      </c>
      <c r="H3798" s="12" t="s">
        <v>36</v>
      </c>
      <c r="I3798" s="12" t="s">
        <v>27</v>
      </c>
      <c r="J3798" s="12" t="s">
        <v>33</v>
      </c>
      <c r="K3798" s="12" t="s">
        <v>34</v>
      </c>
      <c r="L3798" s="13">
        <v>8.32</v>
      </c>
      <c r="M3798" s="13">
        <v>6</v>
      </c>
      <c r="N3798" s="13">
        <f t="shared" si="1788"/>
        <v>1.3866666666666667</v>
      </c>
      <c r="O3798" s="13">
        <v>50</v>
      </c>
      <c r="P3798" s="13" t="s">
        <v>30</v>
      </c>
      <c r="Q3798" s="13">
        <v>0</v>
      </c>
      <c r="R3798" s="70">
        <f>(L3798*O3798)-Q3798</f>
        <v>416</v>
      </c>
      <c r="S3798" s="70">
        <v>0</v>
      </c>
      <c r="T3798" s="70">
        <f t="shared" si="1861"/>
        <v>0</v>
      </c>
      <c r="U3798" s="70">
        <f t="shared" si="1857"/>
        <v>416</v>
      </c>
      <c r="V3798" s="70">
        <f t="shared" ref="V3798" si="1862">+U3798*0</f>
        <v>0</v>
      </c>
      <c r="W3798" s="70">
        <f t="shared" si="1858"/>
        <v>416</v>
      </c>
      <c r="X3798" s="70">
        <v>0</v>
      </c>
      <c r="Y3798" s="14">
        <f t="shared" si="1859"/>
        <v>0</v>
      </c>
      <c r="Z3798" s="11" t="s">
        <v>26</v>
      </c>
      <c r="AA3798" s="12" t="s">
        <v>31</v>
      </c>
    </row>
    <row r="3799" spans="1:27" x14ac:dyDescent="0.25">
      <c r="A3799" s="10">
        <v>45715</v>
      </c>
      <c r="B3799" s="11" t="s">
        <v>1779</v>
      </c>
      <c r="C3799" s="11" t="s">
        <v>6755</v>
      </c>
      <c r="D3799" s="11">
        <v>18357</v>
      </c>
      <c r="E3799" s="11" t="s">
        <v>486</v>
      </c>
      <c r="F3799" s="11" t="s">
        <v>26</v>
      </c>
      <c r="G3799" s="11">
        <v>78153</v>
      </c>
      <c r="H3799" s="12" t="s">
        <v>4448</v>
      </c>
      <c r="I3799" s="12" t="s">
        <v>27</v>
      </c>
      <c r="J3799" s="12" t="s">
        <v>42</v>
      </c>
      <c r="K3799" s="12" t="s">
        <v>43</v>
      </c>
      <c r="L3799" s="13">
        <v>42.68</v>
      </c>
      <c r="M3799" s="13">
        <v>25</v>
      </c>
      <c r="N3799" s="13">
        <f t="shared" si="1788"/>
        <v>1.7072000000000001</v>
      </c>
      <c r="O3799" s="13">
        <v>42.5</v>
      </c>
      <c r="P3799" s="13"/>
      <c r="Q3799" s="13">
        <v>0</v>
      </c>
      <c r="R3799" s="70">
        <f>+L3799*O3799</f>
        <v>1813.9</v>
      </c>
      <c r="S3799" s="70">
        <v>0</v>
      </c>
      <c r="T3799" s="70">
        <f>+L3799*S3799</f>
        <v>0</v>
      </c>
      <c r="U3799" s="70">
        <f>+R3799-T3799</f>
        <v>1813.9</v>
      </c>
      <c r="V3799" s="70">
        <f>+U3799*0.75</f>
        <v>1360.4250000000002</v>
      </c>
      <c r="W3799" s="70">
        <f>+U3799-V3799</f>
        <v>453.47499999999991</v>
      </c>
      <c r="X3799" s="70">
        <v>0</v>
      </c>
      <c r="Y3799" s="14">
        <f t="shared" si="1859"/>
        <v>0</v>
      </c>
      <c r="Z3799" s="11" t="s">
        <v>26</v>
      </c>
      <c r="AA3799" s="12" t="s">
        <v>31</v>
      </c>
    </row>
    <row r="3800" spans="1:27" x14ac:dyDescent="0.25">
      <c r="A3800" s="10">
        <v>45715</v>
      </c>
      <c r="B3800" s="11" t="s">
        <v>5985</v>
      </c>
      <c r="C3800" s="11" t="s">
        <v>6756</v>
      </c>
      <c r="D3800" s="11">
        <v>18358</v>
      </c>
      <c r="E3800" s="11" t="s">
        <v>81</v>
      </c>
      <c r="F3800" s="11" t="s">
        <v>26</v>
      </c>
      <c r="G3800" s="11" t="s">
        <v>26</v>
      </c>
      <c r="H3800" s="12" t="s">
        <v>4422</v>
      </c>
      <c r="I3800" s="12" t="s">
        <v>27</v>
      </c>
      <c r="J3800" s="12" t="s">
        <v>47</v>
      </c>
      <c r="K3800" s="12" t="s">
        <v>48</v>
      </c>
      <c r="L3800" s="13">
        <v>41.3</v>
      </c>
      <c r="M3800" s="13">
        <v>28</v>
      </c>
      <c r="N3800" s="13">
        <f t="shared" si="1788"/>
        <v>1.4749999999999999</v>
      </c>
      <c r="O3800" s="13">
        <v>87</v>
      </c>
      <c r="P3800" s="13" t="s">
        <v>30</v>
      </c>
      <c r="Q3800" s="13">
        <v>0</v>
      </c>
      <c r="R3800" s="70">
        <f t="shared" ref="R3800" si="1863">L3800*O3800</f>
        <v>3593.1</v>
      </c>
      <c r="S3800" s="70">
        <v>38</v>
      </c>
      <c r="T3800" s="70">
        <f t="shared" ref="T3800" si="1864">L3800*S3800</f>
        <v>1569.3999999999999</v>
      </c>
      <c r="U3800" s="70">
        <f t="shared" ref="U3800" si="1865">R3800-T3800</f>
        <v>2023.7</v>
      </c>
      <c r="V3800" s="70">
        <f>U3800*1</f>
        <v>2023.7</v>
      </c>
      <c r="W3800" s="70">
        <f t="shared" ref="W3800" si="1866">U3800-V3800</f>
        <v>0</v>
      </c>
      <c r="X3800" s="70">
        <f>L3800*36</f>
        <v>1486.8</v>
      </c>
      <c r="Y3800" s="71">
        <f>+T3800-X3800</f>
        <v>82.599999999999909</v>
      </c>
      <c r="Z3800" s="12" t="s">
        <v>141</v>
      </c>
      <c r="AA3800" s="12" t="s">
        <v>78</v>
      </c>
    </row>
    <row r="3801" spans="1:27" x14ac:dyDescent="0.25">
      <c r="A3801" s="10">
        <v>45715</v>
      </c>
      <c r="B3801" s="11" t="s">
        <v>5910</v>
      </c>
      <c r="C3801" s="11" t="s">
        <v>6757</v>
      </c>
      <c r="D3801" s="11">
        <v>18359</v>
      </c>
      <c r="E3801" s="11" t="s">
        <v>69</v>
      </c>
      <c r="F3801" s="11" t="s">
        <v>26</v>
      </c>
      <c r="G3801" s="11">
        <v>2138</v>
      </c>
      <c r="H3801" s="12" t="s">
        <v>70</v>
      </c>
      <c r="I3801" s="12" t="s">
        <v>27</v>
      </c>
      <c r="J3801" s="12" t="s">
        <v>42</v>
      </c>
      <c r="K3801" s="12" t="s">
        <v>43</v>
      </c>
      <c r="L3801" s="13">
        <v>43.32</v>
      </c>
      <c r="M3801" s="13">
        <v>25</v>
      </c>
      <c r="N3801" s="13">
        <f t="shared" si="1788"/>
        <v>1.7328000000000001</v>
      </c>
      <c r="O3801" s="13" t="s">
        <v>30</v>
      </c>
      <c r="P3801" s="13">
        <v>64</v>
      </c>
      <c r="Q3801" s="13">
        <v>0</v>
      </c>
      <c r="R3801" s="70">
        <f>+M3801*P3801</f>
        <v>1600</v>
      </c>
      <c r="S3801" s="70">
        <v>0</v>
      </c>
      <c r="T3801" s="70">
        <f>+M3801*S3801</f>
        <v>0</v>
      </c>
      <c r="U3801" s="70">
        <f t="shared" ref="U3801" si="1867">+R3801-T3801</f>
        <v>1600</v>
      </c>
      <c r="V3801" s="70">
        <f t="shared" ref="V3801" si="1868">+U3801*0</f>
        <v>0</v>
      </c>
      <c r="W3801" s="70">
        <f t="shared" ref="W3801" si="1869">+U3801-V3801</f>
        <v>1600</v>
      </c>
      <c r="X3801" s="70">
        <v>0</v>
      </c>
      <c r="Y3801" s="14">
        <f t="shared" ref="Y3801" si="1870">T3801-X3801</f>
        <v>0</v>
      </c>
      <c r="Z3801" s="11" t="s">
        <v>26</v>
      </c>
      <c r="AA3801" s="12" t="s">
        <v>31</v>
      </c>
    </row>
    <row r="3802" spans="1:27" x14ac:dyDescent="0.25">
      <c r="A3802" s="10">
        <v>45715</v>
      </c>
      <c r="B3802" s="11" t="s">
        <v>6758</v>
      </c>
      <c r="C3802" s="11" t="s">
        <v>6759</v>
      </c>
      <c r="D3802" s="11">
        <v>18360</v>
      </c>
      <c r="E3802" s="11" t="s">
        <v>520</v>
      </c>
      <c r="F3802" s="11" t="s">
        <v>26</v>
      </c>
      <c r="G3802" s="11" t="s">
        <v>26</v>
      </c>
      <c r="H3802" s="12" t="s">
        <v>4422</v>
      </c>
      <c r="I3802" s="12" t="s">
        <v>27</v>
      </c>
      <c r="J3802" s="12" t="s">
        <v>47</v>
      </c>
      <c r="K3802" s="12" t="s">
        <v>48</v>
      </c>
      <c r="L3802" s="13">
        <v>41.96</v>
      </c>
      <c r="M3802" s="13">
        <v>29</v>
      </c>
      <c r="N3802" s="13">
        <f t="shared" si="1788"/>
        <v>1.4468965517241379</v>
      </c>
      <c r="O3802" s="13">
        <v>87</v>
      </c>
      <c r="P3802" s="13" t="s">
        <v>30</v>
      </c>
      <c r="Q3802" s="13">
        <v>0</v>
      </c>
      <c r="R3802" s="70">
        <f t="shared" ref="R3802" si="1871">L3802*O3802</f>
        <v>3650.52</v>
      </c>
      <c r="S3802" s="70">
        <v>38</v>
      </c>
      <c r="T3802" s="70">
        <f t="shared" ref="T3802" si="1872">L3802*S3802</f>
        <v>1594.48</v>
      </c>
      <c r="U3802" s="70">
        <f t="shared" ref="U3802" si="1873">R3802-T3802</f>
        <v>2056.04</v>
      </c>
      <c r="V3802" s="70">
        <f>U3802*1</f>
        <v>2056.04</v>
      </c>
      <c r="W3802" s="70">
        <f t="shared" ref="W3802" si="1874">U3802-V3802</f>
        <v>0</v>
      </c>
      <c r="X3802" s="70">
        <f>L3802*36</f>
        <v>1510.56</v>
      </c>
      <c r="Y3802" s="71">
        <f>+T3802-X3802</f>
        <v>83.920000000000073</v>
      </c>
      <c r="Z3802" s="12" t="s">
        <v>140</v>
      </c>
      <c r="AA3802" s="12" t="s">
        <v>78</v>
      </c>
    </row>
    <row r="3803" spans="1:27" x14ac:dyDescent="0.25">
      <c r="A3803" s="10">
        <v>45715</v>
      </c>
      <c r="B3803" s="11" t="s">
        <v>6760</v>
      </c>
      <c r="C3803" s="11" t="s">
        <v>6761</v>
      </c>
      <c r="D3803" s="11">
        <v>18361</v>
      </c>
      <c r="E3803" s="11" t="s">
        <v>184</v>
      </c>
      <c r="F3803" s="11" t="s">
        <v>26</v>
      </c>
      <c r="G3803" s="11">
        <v>1031</v>
      </c>
      <c r="H3803" s="12" t="s">
        <v>141</v>
      </c>
      <c r="I3803" s="12" t="s">
        <v>27</v>
      </c>
      <c r="J3803" s="12" t="s">
        <v>33</v>
      </c>
      <c r="K3803" s="12" t="s">
        <v>34</v>
      </c>
      <c r="L3803" s="13">
        <v>37.92</v>
      </c>
      <c r="M3803" s="13">
        <v>25</v>
      </c>
      <c r="N3803" s="13">
        <f t="shared" si="1788"/>
        <v>1.5168000000000001</v>
      </c>
      <c r="O3803" s="13">
        <v>40</v>
      </c>
      <c r="P3803" s="13" t="s">
        <v>30</v>
      </c>
      <c r="Q3803" s="13">
        <v>0</v>
      </c>
      <c r="R3803" s="70">
        <f>L3803*O3803</f>
        <v>1516.8000000000002</v>
      </c>
      <c r="S3803" s="70">
        <v>0</v>
      </c>
      <c r="T3803" s="70">
        <f>L3803*S3803</f>
        <v>0</v>
      </c>
      <c r="U3803" s="70">
        <f>R3803-T3803</f>
        <v>1516.8000000000002</v>
      </c>
      <c r="V3803" s="70">
        <f>U3803*0</f>
        <v>0</v>
      </c>
      <c r="W3803" s="70">
        <f>U3803-V3803</f>
        <v>1516.8000000000002</v>
      </c>
      <c r="X3803" s="70">
        <v>0</v>
      </c>
      <c r="Y3803" s="14">
        <f t="shared" ref="Y3803:Y3804" si="1875">T3803-X3803</f>
        <v>0</v>
      </c>
      <c r="Z3803" s="11" t="s">
        <v>26</v>
      </c>
      <c r="AA3803" s="12" t="s">
        <v>31</v>
      </c>
    </row>
    <row r="3804" spans="1:27" x14ac:dyDescent="0.25">
      <c r="A3804" s="10">
        <v>45715</v>
      </c>
      <c r="B3804" s="11" t="s">
        <v>6762</v>
      </c>
      <c r="C3804" s="11" t="s">
        <v>6763</v>
      </c>
      <c r="D3804" s="11">
        <v>18362</v>
      </c>
      <c r="E3804" s="11" t="s">
        <v>1200</v>
      </c>
      <c r="F3804" s="11" t="s">
        <v>26</v>
      </c>
      <c r="G3804" s="11">
        <v>2999</v>
      </c>
      <c r="H3804" s="12" t="s">
        <v>163</v>
      </c>
      <c r="I3804" s="12" t="s">
        <v>27</v>
      </c>
      <c r="J3804" s="12" t="s">
        <v>33</v>
      </c>
      <c r="K3804" s="12" t="s">
        <v>34</v>
      </c>
      <c r="L3804" s="13">
        <v>38.58</v>
      </c>
      <c r="M3804" s="13">
        <v>25</v>
      </c>
      <c r="N3804" s="13">
        <f t="shared" si="1788"/>
        <v>1.5431999999999999</v>
      </c>
      <c r="O3804" s="13" t="s">
        <v>30</v>
      </c>
      <c r="P3804" s="13">
        <v>60</v>
      </c>
      <c r="Q3804" s="13">
        <v>0</v>
      </c>
      <c r="R3804" s="70">
        <f>M3804*P3804</f>
        <v>1500</v>
      </c>
      <c r="S3804" s="70">
        <v>0</v>
      </c>
      <c r="T3804" s="70">
        <f>M3804*S3804</f>
        <v>0</v>
      </c>
      <c r="U3804" s="70">
        <f>R3804-T3804</f>
        <v>1500</v>
      </c>
      <c r="V3804" s="70">
        <f>U3804*0</f>
        <v>0</v>
      </c>
      <c r="W3804" s="70">
        <f>U3804-V3804</f>
        <v>1500</v>
      </c>
      <c r="X3804" s="70">
        <v>0</v>
      </c>
      <c r="Y3804" s="14">
        <f t="shared" si="1875"/>
        <v>0</v>
      </c>
      <c r="Z3804" s="11" t="s">
        <v>26</v>
      </c>
      <c r="AA3804" s="12" t="s">
        <v>31</v>
      </c>
    </row>
    <row r="3805" spans="1:27" x14ac:dyDescent="0.25">
      <c r="A3805" s="10">
        <v>45715</v>
      </c>
      <c r="B3805" s="11" t="s">
        <v>1507</v>
      </c>
      <c r="C3805" s="11" t="s">
        <v>6764</v>
      </c>
      <c r="D3805" s="11">
        <v>18363</v>
      </c>
      <c r="E3805" s="11" t="s">
        <v>5032</v>
      </c>
      <c r="F3805" s="11" t="s">
        <v>26</v>
      </c>
      <c r="G3805" s="11" t="s">
        <v>26</v>
      </c>
      <c r="H3805" s="12" t="s">
        <v>4422</v>
      </c>
      <c r="I3805" s="12" t="s">
        <v>27</v>
      </c>
      <c r="J3805" s="12" t="s">
        <v>42</v>
      </c>
      <c r="K3805" s="12" t="s">
        <v>43</v>
      </c>
      <c r="L3805" s="13">
        <v>42.56</v>
      </c>
      <c r="M3805" s="13">
        <v>25</v>
      </c>
      <c r="N3805" s="13">
        <f t="shared" si="1788"/>
        <v>1.7024000000000001</v>
      </c>
      <c r="O3805" s="13">
        <v>83</v>
      </c>
      <c r="P3805" s="13" t="s">
        <v>30</v>
      </c>
      <c r="Q3805" s="13">
        <v>0</v>
      </c>
      <c r="R3805" s="70">
        <f>L3805*O3805</f>
        <v>3532.48</v>
      </c>
      <c r="S3805" s="70">
        <v>38</v>
      </c>
      <c r="T3805" s="70">
        <f>L3805*S3805</f>
        <v>1617.2800000000002</v>
      </c>
      <c r="U3805" s="70">
        <f>R3805-T3805</f>
        <v>1915.1999999999998</v>
      </c>
      <c r="V3805" s="70">
        <f>U3805*1</f>
        <v>1915.1999999999998</v>
      </c>
      <c r="W3805" s="70">
        <f>U3805-V3805</f>
        <v>0</v>
      </c>
      <c r="X3805" s="70">
        <f>L3805*36</f>
        <v>1532.16</v>
      </c>
      <c r="Y3805" s="71">
        <f>+T3805-X3805</f>
        <v>85.120000000000118</v>
      </c>
      <c r="Z3805" s="12" t="s">
        <v>140</v>
      </c>
      <c r="AA3805" s="12" t="s">
        <v>78</v>
      </c>
    </row>
    <row r="3806" spans="1:27" x14ac:dyDescent="0.25">
      <c r="A3806" s="10">
        <v>45715</v>
      </c>
      <c r="B3806" s="11" t="s">
        <v>6765</v>
      </c>
      <c r="C3806" s="11" t="s">
        <v>6766</v>
      </c>
      <c r="D3806" s="11">
        <v>18364</v>
      </c>
      <c r="E3806" s="11" t="s">
        <v>50</v>
      </c>
      <c r="F3806" s="11" t="s">
        <v>26</v>
      </c>
      <c r="G3806" s="11">
        <v>776</v>
      </c>
      <c r="H3806" s="12" t="s">
        <v>163</v>
      </c>
      <c r="I3806" s="12" t="s">
        <v>27</v>
      </c>
      <c r="J3806" s="12" t="s">
        <v>42</v>
      </c>
      <c r="K3806" s="12" t="s">
        <v>43</v>
      </c>
      <c r="L3806" s="13">
        <v>43.5</v>
      </c>
      <c r="M3806" s="13">
        <v>25</v>
      </c>
      <c r="N3806" s="13">
        <f t="shared" si="1788"/>
        <v>1.74</v>
      </c>
      <c r="O3806" s="13" t="s">
        <v>30</v>
      </c>
      <c r="P3806" s="13">
        <v>64</v>
      </c>
      <c r="Q3806" s="13">
        <v>0</v>
      </c>
      <c r="R3806" s="70">
        <f>M3806*P3806</f>
        <v>1600</v>
      </c>
      <c r="S3806" s="70">
        <v>0</v>
      </c>
      <c r="T3806" s="70">
        <f>M3806*S3806</f>
        <v>0</v>
      </c>
      <c r="U3806" s="70">
        <f>R3806-T3806</f>
        <v>1600</v>
      </c>
      <c r="V3806" s="70">
        <f t="shared" ref="V3806" si="1876">U3806*0</f>
        <v>0</v>
      </c>
      <c r="W3806" s="70">
        <f t="shared" ref="W3806" si="1877">U3806-V3806</f>
        <v>1600</v>
      </c>
      <c r="X3806" s="70">
        <v>0</v>
      </c>
      <c r="Y3806" s="14">
        <f t="shared" ref="Y3806:Y3809" si="1878">T3806-X3806</f>
        <v>0</v>
      </c>
      <c r="Z3806" s="11" t="s">
        <v>26</v>
      </c>
      <c r="AA3806" s="12" t="s">
        <v>31</v>
      </c>
    </row>
    <row r="3807" spans="1:27" x14ac:dyDescent="0.25">
      <c r="A3807" s="10">
        <v>45715</v>
      </c>
      <c r="B3807" s="11" t="s">
        <v>3019</v>
      </c>
      <c r="C3807" s="11" t="s">
        <v>6767</v>
      </c>
      <c r="D3807" s="11">
        <v>18365</v>
      </c>
      <c r="E3807" s="11" t="s">
        <v>569</v>
      </c>
      <c r="F3807" s="11" t="s">
        <v>26</v>
      </c>
      <c r="G3807" s="11">
        <v>112557</v>
      </c>
      <c r="H3807" s="12" t="s">
        <v>4446</v>
      </c>
      <c r="I3807" s="12" t="s">
        <v>27</v>
      </c>
      <c r="J3807" s="12" t="s">
        <v>42</v>
      </c>
      <c r="K3807" s="12" t="s">
        <v>43</v>
      </c>
      <c r="L3807" s="13">
        <v>41.14</v>
      </c>
      <c r="M3807" s="13">
        <v>25</v>
      </c>
      <c r="N3807" s="13">
        <f t="shared" si="1788"/>
        <v>1.6456</v>
      </c>
      <c r="O3807" s="13">
        <v>42</v>
      </c>
      <c r="P3807" s="13" t="s">
        <v>30</v>
      </c>
      <c r="Q3807" s="13">
        <v>0</v>
      </c>
      <c r="R3807" s="70">
        <f t="shared" ref="R3807" si="1879">+L3807*O3807</f>
        <v>1727.88</v>
      </c>
      <c r="S3807" s="70">
        <v>0</v>
      </c>
      <c r="T3807" s="70">
        <f>+L3807*S3807</f>
        <v>0</v>
      </c>
      <c r="U3807" s="70">
        <f t="shared" ref="U3807" si="1880">+R3807-T3807</f>
        <v>1727.88</v>
      </c>
      <c r="V3807" s="70">
        <f>+U3807*1</f>
        <v>1727.88</v>
      </c>
      <c r="W3807" s="70">
        <f t="shared" ref="W3807" si="1881">+U3807-V3807</f>
        <v>0</v>
      </c>
      <c r="X3807" s="70">
        <v>0</v>
      </c>
      <c r="Y3807" s="14">
        <f t="shared" si="1878"/>
        <v>0</v>
      </c>
      <c r="Z3807" s="11" t="s">
        <v>26</v>
      </c>
      <c r="AA3807" s="12" t="s">
        <v>31</v>
      </c>
    </row>
    <row r="3808" spans="1:27" x14ac:dyDescent="0.25">
      <c r="A3808" s="10">
        <v>45715</v>
      </c>
      <c r="B3808" s="11" t="s">
        <v>6768</v>
      </c>
      <c r="C3808" s="11" t="s">
        <v>6769</v>
      </c>
      <c r="D3808" s="11">
        <v>18366</v>
      </c>
      <c r="E3808" s="11" t="s">
        <v>230</v>
      </c>
      <c r="F3808" s="11" t="s">
        <v>26</v>
      </c>
      <c r="G3808" s="11">
        <v>26221</v>
      </c>
      <c r="H3808" s="12" t="s">
        <v>565</v>
      </c>
      <c r="I3808" s="12" t="s">
        <v>55</v>
      </c>
      <c r="J3808" s="12" t="s">
        <v>566</v>
      </c>
      <c r="K3808" s="12" t="s">
        <v>550</v>
      </c>
      <c r="L3808" s="13">
        <v>42.06</v>
      </c>
      <c r="M3808" s="13">
        <v>25</v>
      </c>
      <c r="N3808" s="13">
        <f t="shared" ref="N3808:N3813" si="1882">+L3808/M3808</f>
        <v>1.6824000000000001</v>
      </c>
      <c r="O3808" s="13">
        <v>25</v>
      </c>
      <c r="P3808" s="13" t="s">
        <v>30</v>
      </c>
      <c r="Q3808" s="13">
        <v>0</v>
      </c>
      <c r="R3808" s="70">
        <f t="shared" ref="R3808" si="1883">L3808*O3808</f>
        <v>1051.5</v>
      </c>
      <c r="S3808" s="70">
        <v>0</v>
      </c>
      <c r="T3808" s="70">
        <f t="shared" ref="T3808" si="1884">L3808*S3808</f>
        <v>0</v>
      </c>
      <c r="U3808" s="70">
        <f t="shared" ref="U3808" si="1885">R3808-T3808</f>
        <v>1051.5</v>
      </c>
      <c r="V3808" s="70">
        <f>U3808*0</f>
        <v>0</v>
      </c>
      <c r="W3808" s="70">
        <f t="shared" ref="W3808" si="1886">U3808-V3808</f>
        <v>1051.5</v>
      </c>
      <c r="X3808" s="70">
        <v>0</v>
      </c>
      <c r="Y3808" s="14">
        <f t="shared" si="1878"/>
        <v>0</v>
      </c>
      <c r="Z3808" s="11" t="s">
        <v>26</v>
      </c>
      <c r="AA3808" s="12" t="s">
        <v>31</v>
      </c>
    </row>
    <row r="3809" spans="1:27" x14ac:dyDescent="0.25">
      <c r="A3809" s="10">
        <v>45715</v>
      </c>
      <c r="B3809" s="11" t="s">
        <v>3502</v>
      </c>
      <c r="C3809" s="11" t="s">
        <v>6770</v>
      </c>
      <c r="D3809" s="11">
        <v>18367</v>
      </c>
      <c r="E3809" s="11" t="s">
        <v>54</v>
      </c>
      <c r="F3809" s="11" t="s">
        <v>26</v>
      </c>
      <c r="G3809" s="11" t="s">
        <v>35</v>
      </c>
      <c r="H3809" s="12" t="s">
        <v>36</v>
      </c>
      <c r="I3809" s="12" t="s">
        <v>55</v>
      </c>
      <c r="J3809" s="12" t="s">
        <v>55</v>
      </c>
      <c r="K3809" s="12" t="s">
        <v>56</v>
      </c>
      <c r="L3809" s="13">
        <v>39.4</v>
      </c>
      <c r="M3809" s="13">
        <v>25</v>
      </c>
      <c r="N3809" s="13">
        <f t="shared" si="1882"/>
        <v>1.5759999999999998</v>
      </c>
      <c r="O3809" s="13">
        <v>20</v>
      </c>
      <c r="P3809" s="13" t="s">
        <v>30</v>
      </c>
      <c r="Q3809" s="13">
        <v>0</v>
      </c>
      <c r="R3809" s="70">
        <f>(L3809*O3809)-Q3809</f>
        <v>788</v>
      </c>
      <c r="S3809" s="70">
        <v>0</v>
      </c>
      <c r="T3809" s="70">
        <f t="shared" ref="T3809" si="1887">+L3809*S3809</f>
        <v>0</v>
      </c>
      <c r="U3809" s="70">
        <f t="shared" ref="U3809" si="1888">+R3809-T3809</f>
        <v>788</v>
      </c>
      <c r="V3809" s="70">
        <f t="shared" ref="V3809" si="1889">+U3809*0</f>
        <v>0</v>
      </c>
      <c r="W3809" s="70">
        <f t="shared" ref="W3809" si="1890">+U3809-V3809</f>
        <v>788</v>
      </c>
      <c r="X3809" s="70">
        <v>0</v>
      </c>
      <c r="Y3809" s="14">
        <f t="shared" si="1878"/>
        <v>0</v>
      </c>
      <c r="Z3809" s="11" t="s">
        <v>26</v>
      </c>
      <c r="AA3809" s="12" t="s">
        <v>31</v>
      </c>
    </row>
    <row r="3810" spans="1:27" x14ac:dyDescent="0.25">
      <c r="A3810" s="10">
        <v>45715</v>
      </c>
      <c r="B3810" s="11" t="s">
        <v>5378</v>
      </c>
      <c r="C3810" s="11" t="s">
        <v>6771</v>
      </c>
      <c r="D3810" s="11">
        <v>18368</v>
      </c>
      <c r="E3810" s="11" t="s">
        <v>80</v>
      </c>
      <c r="F3810" s="11" t="s">
        <v>26</v>
      </c>
      <c r="G3810" s="11" t="s">
        <v>26</v>
      </c>
      <c r="H3810" s="12" t="s">
        <v>4422</v>
      </c>
      <c r="I3810" s="12" t="s">
        <v>27</v>
      </c>
      <c r="J3810" s="12" t="s">
        <v>33</v>
      </c>
      <c r="K3810" s="12" t="s">
        <v>34</v>
      </c>
      <c r="L3810" s="13">
        <v>42.76</v>
      </c>
      <c r="M3810" s="13">
        <v>29</v>
      </c>
      <c r="N3810" s="13">
        <f t="shared" si="1882"/>
        <v>1.4744827586206897</v>
      </c>
      <c r="O3810" s="13">
        <v>85</v>
      </c>
      <c r="P3810" s="13" t="s">
        <v>30</v>
      </c>
      <c r="Q3810" s="13">
        <v>0</v>
      </c>
      <c r="R3810" s="70">
        <f t="shared" ref="R3810" si="1891">L3810*O3810</f>
        <v>3634.6</v>
      </c>
      <c r="S3810" s="70">
        <v>38</v>
      </c>
      <c r="T3810" s="70">
        <f t="shared" ref="T3810" si="1892">L3810*S3810</f>
        <v>1624.8799999999999</v>
      </c>
      <c r="U3810" s="70">
        <f t="shared" ref="U3810" si="1893">R3810-T3810</f>
        <v>2009.72</v>
      </c>
      <c r="V3810" s="70">
        <f>U3810*1</f>
        <v>2009.72</v>
      </c>
      <c r="W3810" s="70">
        <f t="shared" ref="W3810" si="1894">U3810-V3810</f>
        <v>0</v>
      </c>
      <c r="X3810" s="70">
        <f>L3810*36</f>
        <v>1539.36</v>
      </c>
      <c r="Y3810" s="71">
        <f>+T3810-X3810</f>
        <v>85.519999999999982</v>
      </c>
      <c r="Z3810" s="12" t="s">
        <v>140</v>
      </c>
      <c r="AA3810" s="12" t="s">
        <v>78</v>
      </c>
    </row>
    <row r="3811" spans="1:27" x14ac:dyDescent="0.25">
      <c r="A3811" s="10">
        <v>45715</v>
      </c>
      <c r="B3811" s="11" t="s">
        <v>6772</v>
      </c>
      <c r="C3811" s="11" t="s">
        <v>6773</v>
      </c>
      <c r="D3811" s="11">
        <v>18369</v>
      </c>
      <c r="E3811" s="11" t="s">
        <v>571</v>
      </c>
      <c r="F3811" s="11" t="s">
        <v>26</v>
      </c>
      <c r="G3811" s="11">
        <v>112511</v>
      </c>
      <c r="H3811" s="12" t="s">
        <v>4446</v>
      </c>
      <c r="I3811" s="12" t="s">
        <v>27</v>
      </c>
      <c r="J3811" s="12" t="s">
        <v>42</v>
      </c>
      <c r="K3811" s="12" t="s">
        <v>43</v>
      </c>
      <c r="L3811" s="13">
        <v>41.4</v>
      </c>
      <c r="M3811" s="13">
        <v>25</v>
      </c>
      <c r="N3811" s="13">
        <f t="shared" si="1882"/>
        <v>1.6559999999999999</v>
      </c>
      <c r="O3811" s="13">
        <v>42</v>
      </c>
      <c r="P3811" s="13" t="s">
        <v>30</v>
      </c>
      <c r="Q3811" s="13">
        <v>0</v>
      </c>
      <c r="R3811" s="70">
        <f t="shared" ref="R3811" si="1895">+L3811*O3811</f>
        <v>1738.8</v>
      </c>
      <c r="S3811" s="70">
        <v>0</v>
      </c>
      <c r="T3811" s="70">
        <f>+L3811*S3811</f>
        <v>0</v>
      </c>
      <c r="U3811" s="70">
        <f t="shared" ref="U3811" si="1896">+R3811-T3811</f>
        <v>1738.8</v>
      </c>
      <c r="V3811" s="70">
        <f>+U3811*1</f>
        <v>1738.8</v>
      </c>
      <c r="W3811" s="70">
        <f t="shared" ref="W3811" si="1897">+U3811-V3811</f>
        <v>0</v>
      </c>
      <c r="X3811" s="70">
        <v>0</v>
      </c>
      <c r="Y3811" s="14">
        <f t="shared" ref="Y3811" si="1898">T3811-X3811</f>
        <v>0</v>
      </c>
      <c r="Z3811" s="11" t="s">
        <v>26</v>
      </c>
      <c r="AA3811" s="12" t="s">
        <v>31</v>
      </c>
    </row>
    <row r="3812" spans="1:27" x14ac:dyDescent="0.25">
      <c r="A3812" s="10">
        <v>45715</v>
      </c>
      <c r="B3812" s="11" t="s">
        <v>129</v>
      </c>
      <c r="C3812" s="11" t="s">
        <v>6774</v>
      </c>
      <c r="D3812" s="11">
        <v>18370</v>
      </c>
      <c r="E3812" s="11" t="s">
        <v>501</v>
      </c>
      <c r="F3812" s="11" t="s">
        <v>26</v>
      </c>
      <c r="G3812" s="11" t="s">
        <v>26</v>
      </c>
      <c r="H3812" s="12" t="s">
        <v>4423</v>
      </c>
      <c r="I3812" s="12" t="s">
        <v>27</v>
      </c>
      <c r="J3812" s="12" t="s">
        <v>33</v>
      </c>
      <c r="K3812" s="12" t="s">
        <v>34</v>
      </c>
      <c r="L3812" s="13">
        <v>42.58</v>
      </c>
      <c r="M3812" s="13">
        <v>29</v>
      </c>
      <c r="N3812" s="13">
        <f t="shared" si="1882"/>
        <v>1.4682758620689655</v>
      </c>
      <c r="O3812" s="13">
        <f>45+43</f>
        <v>88</v>
      </c>
      <c r="P3812" s="13" t="s">
        <v>30</v>
      </c>
      <c r="Q3812" s="13">
        <v>0</v>
      </c>
      <c r="R3812" s="70">
        <f>L3812*O3812</f>
        <v>3747.04</v>
      </c>
      <c r="S3812" s="70">
        <v>43</v>
      </c>
      <c r="T3812" s="70">
        <f>L3812*S3812</f>
        <v>1830.9399999999998</v>
      </c>
      <c r="U3812" s="70">
        <f>R3812-T3812</f>
        <v>1916.1000000000001</v>
      </c>
      <c r="V3812" s="70">
        <f>U3812*1</f>
        <v>1916.1000000000001</v>
      </c>
      <c r="W3812" s="70">
        <f>U3812-V3812</f>
        <v>0</v>
      </c>
      <c r="X3812" s="70">
        <f>L3812*42</f>
        <v>1788.36</v>
      </c>
      <c r="Y3812" s="14">
        <f>T3812-X3812</f>
        <v>42.579999999999927</v>
      </c>
      <c r="Z3812" s="12" t="s">
        <v>141</v>
      </c>
      <c r="AA3812" s="12" t="s">
        <v>6030</v>
      </c>
    </row>
    <row r="3813" spans="1:27" x14ac:dyDescent="0.25">
      <c r="A3813" s="10">
        <v>45715</v>
      </c>
      <c r="B3813" s="11" t="s">
        <v>4106</v>
      </c>
      <c r="C3813" s="11" t="s">
        <v>6775</v>
      </c>
      <c r="D3813" s="11">
        <v>18371</v>
      </c>
      <c r="E3813" s="11" t="s">
        <v>605</v>
      </c>
      <c r="F3813" s="11" t="s">
        <v>26</v>
      </c>
      <c r="G3813" s="11" t="s">
        <v>26</v>
      </c>
      <c r="H3813" s="12" t="s">
        <v>4423</v>
      </c>
      <c r="I3813" s="12" t="s">
        <v>27</v>
      </c>
      <c r="J3813" s="12" t="s">
        <v>33</v>
      </c>
      <c r="K3813" s="12" t="s">
        <v>34</v>
      </c>
      <c r="L3813" s="13">
        <v>40.78</v>
      </c>
      <c r="M3813" s="13">
        <v>28</v>
      </c>
      <c r="N3813" s="13">
        <f t="shared" si="1882"/>
        <v>1.4564285714285714</v>
      </c>
      <c r="O3813" s="13">
        <f>45+43</f>
        <v>88</v>
      </c>
      <c r="P3813" s="13" t="s">
        <v>30</v>
      </c>
      <c r="Q3813" s="13">
        <v>0</v>
      </c>
      <c r="R3813" s="70">
        <f>L3813*O3813</f>
        <v>3588.6400000000003</v>
      </c>
      <c r="S3813" s="70">
        <v>43</v>
      </c>
      <c r="T3813" s="70">
        <f>L3813*S3813</f>
        <v>1753.54</v>
      </c>
      <c r="U3813" s="70">
        <f>R3813-T3813</f>
        <v>1835.1000000000004</v>
      </c>
      <c r="V3813" s="70">
        <f>U3813*1</f>
        <v>1835.1000000000004</v>
      </c>
      <c r="W3813" s="70">
        <f>U3813-V3813</f>
        <v>0</v>
      </c>
      <c r="X3813" s="70">
        <f>L3813*42</f>
        <v>1712.76</v>
      </c>
      <c r="Y3813" s="14">
        <f>T3813-X3813</f>
        <v>40.779999999999973</v>
      </c>
      <c r="Z3813" s="12" t="s">
        <v>141</v>
      </c>
      <c r="AA3813" s="12" t="s">
        <v>6030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477AF-5F0E-4B79-9C41-F5F353EC67B7}">
  <sheetPr filterMode="1">
    <tabColor rgb="FF00B050"/>
  </sheetPr>
  <dimension ref="A1:G118"/>
  <sheetViews>
    <sheetView workbookViewId="0">
      <selection activeCell="B1" sqref="B1"/>
    </sheetView>
  </sheetViews>
  <sheetFormatPr baseColWidth="10" defaultRowHeight="15" x14ac:dyDescent="0.25"/>
  <cols>
    <col min="1" max="1" width="82.7109375" style="21" customWidth="1"/>
    <col min="2" max="2" width="12" bestFit="1" customWidth="1"/>
    <col min="3" max="3" width="14.42578125" bestFit="1" customWidth="1"/>
    <col min="4" max="4" width="14" bestFit="1" customWidth="1"/>
    <col min="5" max="5" width="5.5703125" bestFit="1" customWidth="1"/>
    <col min="6" max="6" width="11" bestFit="1" customWidth="1"/>
    <col min="7" max="7" width="59.7109375" customWidth="1"/>
  </cols>
  <sheetData>
    <row r="1" spans="1:7" x14ac:dyDescent="0.25">
      <c r="A1" s="25" t="s">
        <v>6</v>
      </c>
      <c r="B1" s="22" t="s">
        <v>151</v>
      </c>
      <c r="C1" s="23" t="s">
        <v>152</v>
      </c>
      <c r="D1" s="24" t="s">
        <v>153</v>
      </c>
      <c r="E1" s="24" t="s">
        <v>156</v>
      </c>
      <c r="F1" s="23" t="s">
        <v>154</v>
      </c>
      <c r="G1" s="26" t="s">
        <v>155</v>
      </c>
    </row>
    <row r="2" spans="1:7" hidden="1" x14ac:dyDescent="0.25">
      <c r="A2" s="20" t="s">
        <v>146</v>
      </c>
      <c r="B2" s="19">
        <v>30000</v>
      </c>
      <c r="C2" s="17">
        <v>45659</v>
      </c>
      <c r="D2" s="17">
        <v>45749</v>
      </c>
      <c r="E2" s="17" t="s">
        <v>157</v>
      </c>
      <c r="F2" s="18" t="s">
        <v>907</v>
      </c>
      <c r="G2" s="51" t="s">
        <v>4399</v>
      </c>
    </row>
    <row r="3" spans="1:7" hidden="1" x14ac:dyDescent="0.25">
      <c r="A3" s="20" t="s">
        <v>4446</v>
      </c>
      <c r="B3" s="19">
        <v>76388.929999999993</v>
      </c>
      <c r="C3" s="17">
        <v>45664</v>
      </c>
      <c r="D3" s="17">
        <v>45784</v>
      </c>
      <c r="E3" s="17" t="s">
        <v>157</v>
      </c>
      <c r="F3" s="18" t="s">
        <v>1013</v>
      </c>
      <c r="G3" s="51" t="s">
        <v>4400</v>
      </c>
    </row>
    <row r="4" spans="1:7" hidden="1" x14ac:dyDescent="0.25">
      <c r="A4" s="20" t="s">
        <v>140</v>
      </c>
      <c r="B4" s="19">
        <v>50000</v>
      </c>
      <c r="C4" s="17">
        <v>45659</v>
      </c>
      <c r="D4" s="17">
        <v>45659</v>
      </c>
      <c r="E4" s="17" t="s">
        <v>160</v>
      </c>
      <c r="F4" s="18" t="s">
        <v>900</v>
      </c>
      <c r="G4" s="51" t="s">
        <v>4426</v>
      </c>
    </row>
    <row r="5" spans="1:7" hidden="1" x14ac:dyDescent="0.25">
      <c r="A5" s="20" t="s">
        <v>45</v>
      </c>
      <c r="B5" s="19">
        <v>80000</v>
      </c>
      <c r="C5" s="17">
        <v>45664</v>
      </c>
      <c r="D5" s="17">
        <v>45664</v>
      </c>
      <c r="E5" s="17" t="s">
        <v>160</v>
      </c>
      <c r="F5" s="18" t="s">
        <v>900</v>
      </c>
      <c r="G5" s="51" t="s">
        <v>4427</v>
      </c>
    </row>
    <row r="6" spans="1:7" hidden="1" x14ac:dyDescent="0.25">
      <c r="A6" s="20" t="s">
        <v>565</v>
      </c>
      <c r="B6" s="19">
        <v>40000</v>
      </c>
      <c r="C6" s="17">
        <v>45664</v>
      </c>
      <c r="D6" s="17">
        <v>45664</v>
      </c>
      <c r="E6" s="17" t="s">
        <v>160</v>
      </c>
      <c r="F6" s="18" t="s">
        <v>900</v>
      </c>
      <c r="G6" s="51" t="s">
        <v>4427</v>
      </c>
    </row>
    <row r="7" spans="1:7" hidden="1" x14ac:dyDescent="0.25">
      <c r="A7" s="20" t="s">
        <v>163</v>
      </c>
      <c r="B7" s="19">
        <v>110000</v>
      </c>
      <c r="C7" s="17">
        <v>45664</v>
      </c>
      <c r="D7" s="17">
        <v>45664</v>
      </c>
      <c r="E7" s="17" t="s">
        <v>160</v>
      </c>
      <c r="F7" s="18" t="s">
        <v>900</v>
      </c>
      <c r="G7" s="51" t="s">
        <v>4427</v>
      </c>
    </row>
    <row r="8" spans="1:7" hidden="1" x14ac:dyDescent="0.25">
      <c r="A8" s="20" t="s">
        <v>4444</v>
      </c>
      <c r="B8" s="19">
        <v>30000</v>
      </c>
      <c r="C8" s="17">
        <v>45665</v>
      </c>
      <c r="D8" s="17">
        <v>45665</v>
      </c>
      <c r="E8" s="17" t="s">
        <v>160</v>
      </c>
      <c r="F8" s="18" t="s">
        <v>900</v>
      </c>
      <c r="G8" s="51" t="s">
        <v>4428</v>
      </c>
    </row>
    <row r="9" spans="1:7" hidden="1" x14ac:dyDescent="0.25">
      <c r="A9" s="20" t="s">
        <v>4445</v>
      </c>
      <c r="B9" s="19">
        <v>4910.3999999999996</v>
      </c>
      <c r="C9" s="17">
        <v>45665</v>
      </c>
      <c r="D9" s="17">
        <v>45665</v>
      </c>
      <c r="E9" s="17" t="s">
        <v>157</v>
      </c>
      <c r="F9" s="18" t="s">
        <v>907</v>
      </c>
      <c r="G9" s="51" t="s">
        <v>4401</v>
      </c>
    </row>
    <row r="10" spans="1:7" hidden="1" x14ac:dyDescent="0.25">
      <c r="A10" s="20" t="s">
        <v>4445</v>
      </c>
      <c r="B10" s="19">
        <v>1636.8</v>
      </c>
      <c r="C10" s="17">
        <v>45665</v>
      </c>
      <c r="D10" s="17">
        <v>45665</v>
      </c>
      <c r="E10" s="17" t="s">
        <v>157</v>
      </c>
      <c r="F10" s="18" t="s">
        <v>907</v>
      </c>
      <c r="G10" s="51" t="s">
        <v>4402</v>
      </c>
    </row>
    <row r="11" spans="1:7" hidden="1" x14ac:dyDescent="0.25">
      <c r="A11" s="20" t="s">
        <v>146</v>
      </c>
      <c r="B11" s="19">
        <v>50000</v>
      </c>
      <c r="C11" s="17">
        <v>45666</v>
      </c>
      <c r="D11" s="17">
        <v>45666</v>
      </c>
      <c r="E11" s="17" t="s">
        <v>157</v>
      </c>
      <c r="F11" s="18" t="s">
        <v>907</v>
      </c>
      <c r="G11" s="51" t="s">
        <v>4399</v>
      </c>
    </row>
    <row r="12" spans="1:7" hidden="1" x14ac:dyDescent="0.25">
      <c r="A12" s="20" t="s">
        <v>4448</v>
      </c>
      <c r="B12" s="19">
        <v>40000</v>
      </c>
      <c r="C12" s="17">
        <v>45666</v>
      </c>
      <c r="D12" s="17">
        <v>45666</v>
      </c>
      <c r="E12" s="17" t="s">
        <v>160</v>
      </c>
      <c r="F12" s="18" t="s">
        <v>900</v>
      </c>
      <c r="G12" s="51" t="s">
        <v>4429</v>
      </c>
    </row>
    <row r="13" spans="1:7" hidden="1" x14ac:dyDescent="0.25">
      <c r="A13" s="20" t="s">
        <v>4422</v>
      </c>
      <c r="B13" s="19">
        <v>792008.75</v>
      </c>
      <c r="C13" s="17">
        <v>45666</v>
      </c>
      <c r="D13" s="17">
        <v>45685</v>
      </c>
      <c r="E13" s="17" t="s">
        <v>157</v>
      </c>
      <c r="F13" s="18" t="s">
        <v>1013</v>
      </c>
      <c r="G13" s="51" t="s">
        <v>4403</v>
      </c>
    </row>
    <row r="14" spans="1:7" hidden="1" x14ac:dyDescent="0.25">
      <c r="A14" s="20" t="s">
        <v>41</v>
      </c>
      <c r="B14" s="19">
        <v>20000</v>
      </c>
      <c r="C14" s="17">
        <v>45666</v>
      </c>
      <c r="D14" s="17">
        <v>45666</v>
      </c>
      <c r="E14" s="17" t="s">
        <v>160</v>
      </c>
      <c r="F14" s="18" t="s">
        <v>900</v>
      </c>
      <c r="G14" s="51" t="s">
        <v>4430</v>
      </c>
    </row>
    <row r="15" spans="1:7" hidden="1" x14ac:dyDescent="0.25">
      <c r="A15" s="20" t="s">
        <v>146</v>
      </c>
      <c r="B15" s="19">
        <v>45086.38</v>
      </c>
      <c r="C15" s="17">
        <v>45667</v>
      </c>
      <c r="D15" s="17">
        <v>45667</v>
      </c>
      <c r="E15" s="17" t="s">
        <v>157</v>
      </c>
      <c r="F15" s="18" t="s">
        <v>907</v>
      </c>
      <c r="G15" s="51" t="s">
        <v>4399</v>
      </c>
    </row>
    <row r="16" spans="1:7" hidden="1" x14ac:dyDescent="0.25">
      <c r="A16" s="20" t="s">
        <v>140</v>
      </c>
      <c r="B16" s="19">
        <v>50000</v>
      </c>
      <c r="C16" s="17">
        <v>45667</v>
      </c>
      <c r="D16" s="17">
        <v>45667</v>
      </c>
      <c r="E16" s="17" t="s">
        <v>160</v>
      </c>
      <c r="F16" s="18" t="s">
        <v>900</v>
      </c>
      <c r="G16" s="51" t="s">
        <v>4431</v>
      </c>
    </row>
    <row r="17" spans="1:7" hidden="1" x14ac:dyDescent="0.25">
      <c r="A17" s="20" t="s">
        <v>4423</v>
      </c>
      <c r="B17" s="19">
        <v>191769.95</v>
      </c>
      <c r="C17" s="17">
        <v>45670</v>
      </c>
      <c r="D17" s="17">
        <v>45747</v>
      </c>
      <c r="E17" s="17" t="s">
        <v>157</v>
      </c>
      <c r="F17" s="18" t="s">
        <v>1013</v>
      </c>
      <c r="G17" s="51" t="s">
        <v>4404</v>
      </c>
    </row>
    <row r="18" spans="1:7" hidden="1" x14ac:dyDescent="0.25">
      <c r="A18" s="20" t="s">
        <v>4423</v>
      </c>
      <c r="B18" s="19">
        <v>191769.95</v>
      </c>
      <c r="C18" s="17">
        <v>45670</v>
      </c>
      <c r="D18" s="17">
        <v>45762</v>
      </c>
      <c r="E18" s="17" t="s">
        <v>157</v>
      </c>
      <c r="F18" s="18" t="s">
        <v>1013</v>
      </c>
      <c r="G18" s="51" t="s">
        <v>4405</v>
      </c>
    </row>
    <row r="19" spans="1:7" hidden="1" x14ac:dyDescent="0.25">
      <c r="A19" s="20" t="s">
        <v>66</v>
      </c>
      <c r="B19" s="19">
        <v>58619.28</v>
      </c>
      <c r="C19" s="17">
        <v>45673</v>
      </c>
      <c r="D19" s="17">
        <v>45765</v>
      </c>
      <c r="E19" s="17" t="s">
        <v>157</v>
      </c>
      <c r="F19" s="18" t="s">
        <v>1013</v>
      </c>
      <c r="G19" s="51" t="s">
        <v>4406</v>
      </c>
    </row>
    <row r="20" spans="1:7" hidden="1" x14ac:dyDescent="0.25">
      <c r="A20" s="20" t="s">
        <v>146</v>
      </c>
      <c r="B20" s="19">
        <v>60000</v>
      </c>
      <c r="C20" s="17">
        <v>45674</v>
      </c>
      <c r="D20" s="17">
        <v>45674</v>
      </c>
      <c r="E20" s="17" t="s">
        <v>157</v>
      </c>
      <c r="F20" s="18" t="s">
        <v>907</v>
      </c>
      <c r="G20" s="51" t="s">
        <v>4399</v>
      </c>
    </row>
    <row r="21" spans="1:7" hidden="1" x14ac:dyDescent="0.25">
      <c r="A21" s="20" t="s">
        <v>70</v>
      </c>
      <c r="B21" s="19">
        <v>50000</v>
      </c>
      <c r="C21" s="17">
        <v>45674</v>
      </c>
      <c r="D21" s="17">
        <v>45674</v>
      </c>
      <c r="E21" s="17" t="s">
        <v>160</v>
      </c>
      <c r="F21" s="18" t="s">
        <v>900</v>
      </c>
      <c r="G21" s="51" t="s">
        <v>4427</v>
      </c>
    </row>
    <row r="22" spans="1:7" hidden="1" x14ac:dyDescent="0.25">
      <c r="A22" s="20" t="s">
        <v>4448</v>
      </c>
      <c r="B22" s="19">
        <v>92300</v>
      </c>
      <c r="C22" s="17">
        <v>45677</v>
      </c>
      <c r="D22" s="17">
        <v>45751</v>
      </c>
      <c r="E22" s="17" t="s">
        <v>157</v>
      </c>
      <c r="F22" s="18" t="s">
        <v>1013</v>
      </c>
      <c r="G22" s="51" t="s">
        <v>4407</v>
      </c>
    </row>
    <row r="23" spans="1:7" hidden="1" x14ac:dyDescent="0.25">
      <c r="A23" s="20" t="s">
        <v>4448</v>
      </c>
      <c r="B23" s="19">
        <v>92725.37</v>
      </c>
      <c r="C23" s="17">
        <v>45677</v>
      </c>
      <c r="D23" s="17">
        <v>45772</v>
      </c>
      <c r="E23" s="17" t="s">
        <v>157</v>
      </c>
      <c r="F23" s="18" t="s">
        <v>1013</v>
      </c>
      <c r="G23" s="51" t="s">
        <v>4408</v>
      </c>
    </row>
    <row r="24" spans="1:7" hidden="1" x14ac:dyDescent="0.25">
      <c r="A24" s="20" t="s">
        <v>4448</v>
      </c>
      <c r="B24" s="19">
        <v>92300</v>
      </c>
      <c r="C24" s="17">
        <v>45677</v>
      </c>
      <c r="D24" s="17">
        <v>45768</v>
      </c>
      <c r="E24" s="17" t="s">
        <v>157</v>
      </c>
      <c r="F24" s="18" t="s">
        <v>1013</v>
      </c>
      <c r="G24" s="51" t="s">
        <v>4409</v>
      </c>
    </row>
    <row r="25" spans="1:7" hidden="1" x14ac:dyDescent="0.25">
      <c r="A25" s="20" t="s">
        <v>4448</v>
      </c>
      <c r="B25" s="19">
        <v>92300</v>
      </c>
      <c r="C25" s="17">
        <v>45677</v>
      </c>
      <c r="D25" s="17">
        <v>45763</v>
      </c>
      <c r="E25" s="17" t="s">
        <v>157</v>
      </c>
      <c r="F25" s="18" t="s">
        <v>1013</v>
      </c>
      <c r="G25" s="51" t="s">
        <v>4410</v>
      </c>
    </row>
    <row r="26" spans="1:7" hidden="1" x14ac:dyDescent="0.25">
      <c r="A26" s="20" t="s">
        <v>4448</v>
      </c>
      <c r="B26" s="19">
        <v>92300</v>
      </c>
      <c r="C26" s="17">
        <v>45677</v>
      </c>
      <c r="D26" s="17">
        <v>45757</v>
      </c>
      <c r="E26" s="17" t="s">
        <v>157</v>
      </c>
      <c r="F26" s="18" t="s">
        <v>1013</v>
      </c>
      <c r="G26" s="51" t="s">
        <v>4411</v>
      </c>
    </row>
    <row r="27" spans="1:7" hidden="1" x14ac:dyDescent="0.25">
      <c r="A27" s="20" t="s">
        <v>45</v>
      </c>
      <c r="B27" s="19">
        <v>50000</v>
      </c>
      <c r="C27" s="17">
        <v>45677</v>
      </c>
      <c r="D27" s="17">
        <v>45677</v>
      </c>
      <c r="E27" s="17" t="s">
        <v>160</v>
      </c>
      <c r="F27" s="18" t="s">
        <v>900</v>
      </c>
      <c r="G27" s="51" t="s">
        <v>4427</v>
      </c>
    </row>
    <row r="28" spans="1:7" hidden="1" x14ac:dyDescent="0.25">
      <c r="A28" s="20" t="s">
        <v>4448</v>
      </c>
      <c r="B28" s="19">
        <v>40000</v>
      </c>
      <c r="C28" s="17">
        <v>45678</v>
      </c>
      <c r="D28" s="17">
        <v>45759</v>
      </c>
      <c r="E28" s="17" t="s">
        <v>160</v>
      </c>
      <c r="F28" s="18" t="s">
        <v>1013</v>
      </c>
      <c r="G28" s="51" t="s">
        <v>4432</v>
      </c>
    </row>
    <row r="29" spans="1:7" hidden="1" x14ac:dyDescent="0.25">
      <c r="A29" s="20" t="s">
        <v>4448</v>
      </c>
      <c r="B29" s="19">
        <v>40000</v>
      </c>
      <c r="C29" s="17">
        <v>45678</v>
      </c>
      <c r="D29" s="17">
        <v>45769</v>
      </c>
      <c r="E29" s="17" t="s">
        <v>160</v>
      </c>
      <c r="F29" s="18" t="s">
        <v>1013</v>
      </c>
      <c r="G29" s="51" t="s">
        <v>4433</v>
      </c>
    </row>
    <row r="30" spans="1:7" hidden="1" x14ac:dyDescent="0.25">
      <c r="A30" s="20" t="s">
        <v>4448</v>
      </c>
      <c r="B30" s="19">
        <v>47832.19</v>
      </c>
      <c r="C30" s="17">
        <v>45678</v>
      </c>
      <c r="D30" s="17">
        <v>45777</v>
      </c>
      <c r="E30" s="17" t="s">
        <v>160</v>
      </c>
      <c r="F30" s="18" t="s">
        <v>1013</v>
      </c>
      <c r="G30" s="51" t="s">
        <v>4434</v>
      </c>
    </row>
    <row r="31" spans="1:7" hidden="1" x14ac:dyDescent="0.25">
      <c r="A31" s="20" t="s">
        <v>565</v>
      </c>
      <c r="B31" s="19">
        <v>40000</v>
      </c>
      <c r="C31" s="17">
        <v>45678</v>
      </c>
      <c r="D31" s="17">
        <v>45678</v>
      </c>
      <c r="E31" s="17" t="s">
        <v>160</v>
      </c>
      <c r="F31" s="18" t="s">
        <v>900</v>
      </c>
      <c r="G31" s="51" t="s">
        <v>4427</v>
      </c>
    </row>
    <row r="32" spans="1:7" hidden="1" x14ac:dyDescent="0.25">
      <c r="A32" s="20" t="s">
        <v>4449</v>
      </c>
      <c r="B32" s="19">
        <v>72000</v>
      </c>
      <c r="C32" s="17">
        <v>45678</v>
      </c>
      <c r="D32" s="17">
        <v>45678</v>
      </c>
      <c r="E32" s="17" t="s">
        <v>157</v>
      </c>
      <c r="F32" s="18" t="s">
        <v>907</v>
      </c>
      <c r="G32" s="51" t="s">
        <v>4412</v>
      </c>
    </row>
    <row r="33" spans="1:7" hidden="1" x14ac:dyDescent="0.25">
      <c r="A33" s="20" t="s">
        <v>4424</v>
      </c>
      <c r="B33" s="19">
        <v>12600</v>
      </c>
      <c r="C33" s="17">
        <v>45679</v>
      </c>
      <c r="D33" s="17">
        <v>45679</v>
      </c>
      <c r="E33" s="17" t="s">
        <v>160</v>
      </c>
      <c r="F33" s="18" t="s">
        <v>900</v>
      </c>
      <c r="G33" s="51" t="s">
        <v>4435</v>
      </c>
    </row>
    <row r="34" spans="1:7" hidden="1" x14ac:dyDescent="0.25">
      <c r="A34" s="20" t="s">
        <v>4424</v>
      </c>
      <c r="B34" s="19">
        <v>12600</v>
      </c>
      <c r="C34" s="17">
        <v>45679</v>
      </c>
      <c r="D34" s="17">
        <v>45679</v>
      </c>
      <c r="E34" s="17" t="s">
        <v>160</v>
      </c>
      <c r="F34" s="18" t="s">
        <v>900</v>
      </c>
      <c r="G34" s="51" t="s">
        <v>4436</v>
      </c>
    </row>
    <row r="35" spans="1:7" hidden="1" x14ac:dyDescent="0.25">
      <c r="A35" s="20" t="s">
        <v>41</v>
      </c>
      <c r="B35" s="19">
        <v>20000</v>
      </c>
      <c r="C35" s="17">
        <v>45679</v>
      </c>
      <c r="D35" s="17">
        <v>45679</v>
      </c>
      <c r="E35" s="17" t="s">
        <v>160</v>
      </c>
      <c r="F35" s="18" t="s">
        <v>900</v>
      </c>
      <c r="G35" s="51" t="s">
        <v>4427</v>
      </c>
    </row>
    <row r="36" spans="1:7" hidden="1" x14ac:dyDescent="0.25">
      <c r="A36" s="20" t="s">
        <v>163</v>
      </c>
      <c r="B36" s="19">
        <v>70000</v>
      </c>
      <c r="C36" s="17">
        <v>45681</v>
      </c>
      <c r="D36" s="17">
        <v>45681</v>
      </c>
      <c r="E36" s="17" t="s">
        <v>160</v>
      </c>
      <c r="F36" s="18" t="s">
        <v>900</v>
      </c>
      <c r="G36" s="51" t="s">
        <v>4427</v>
      </c>
    </row>
    <row r="37" spans="1:7" hidden="1" x14ac:dyDescent="0.25">
      <c r="A37" s="20" t="s">
        <v>41</v>
      </c>
      <c r="B37" s="19">
        <v>20000</v>
      </c>
      <c r="C37" s="17">
        <v>45681</v>
      </c>
      <c r="D37" s="17">
        <v>45681</v>
      </c>
      <c r="E37" s="17" t="s">
        <v>160</v>
      </c>
      <c r="F37" s="18" t="s">
        <v>900</v>
      </c>
      <c r="G37" s="51" t="s">
        <v>4427</v>
      </c>
    </row>
    <row r="38" spans="1:7" hidden="1" x14ac:dyDescent="0.25">
      <c r="A38" s="20" t="s">
        <v>140</v>
      </c>
      <c r="B38" s="19">
        <v>50000</v>
      </c>
      <c r="C38" s="17">
        <v>45680</v>
      </c>
      <c r="D38" s="17">
        <v>45680</v>
      </c>
      <c r="E38" s="17" t="s">
        <v>160</v>
      </c>
      <c r="F38" s="18" t="s">
        <v>900</v>
      </c>
      <c r="G38" s="51" t="s">
        <v>4437</v>
      </c>
    </row>
    <row r="39" spans="1:7" hidden="1" x14ac:dyDescent="0.25">
      <c r="A39" s="20" t="s">
        <v>4423</v>
      </c>
      <c r="B39" s="19">
        <v>172945.02</v>
      </c>
      <c r="C39" s="17">
        <v>45681</v>
      </c>
      <c r="D39" s="17">
        <v>45703</v>
      </c>
      <c r="E39" s="17" t="s">
        <v>157</v>
      </c>
      <c r="F39" s="18" t="s">
        <v>1013</v>
      </c>
      <c r="G39" s="51" t="s">
        <v>4413</v>
      </c>
    </row>
    <row r="40" spans="1:7" hidden="1" x14ac:dyDescent="0.25">
      <c r="A40" s="20" t="s">
        <v>4423</v>
      </c>
      <c r="B40" s="19">
        <v>106577.4</v>
      </c>
      <c r="C40" s="17">
        <v>45681</v>
      </c>
      <c r="D40" s="17">
        <v>45703</v>
      </c>
      <c r="E40" s="17" t="s">
        <v>157</v>
      </c>
      <c r="F40" s="18" t="s">
        <v>1013</v>
      </c>
      <c r="G40" s="51" t="s">
        <v>4414</v>
      </c>
    </row>
    <row r="41" spans="1:7" hidden="1" x14ac:dyDescent="0.25">
      <c r="A41" s="20" t="s">
        <v>45</v>
      </c>
      <c r="B41" s="19">
        <v>60000</v>
      </c>
      <c r="C41" s="17">
        <v>45684</v>
      </c>
      <c r="D41" s="17">
        <v>45684</v>
      </c>
      <c r="E41" s="17" t="s">
        <v>160</v>
      </c>
      <c r="F41" s="18" t="s">
        <v>900</v>
      </c>
      <c r="G41" s="51" t="s">
        <v>4427</v>
      </c>
    </row>
    <row r="42" spans="1:7" hidden="1" x14ac:dyDescent="0.25">
      <c r="A42" s="20" t="s">
        <v>4446</v>
      </c>
      <c r="B42" s="19">
        <v>69619.48</v>
      </c>
      <c r="C42" s="17">
        <v>45685</v>
      </c>
      <c r="D42" s="17">
        <v>45747</v>
      </c>
      <c r="E42" s="17" t="s">
        <v>157</v>
      </c>
      <c r="F42" s="18" t="s">
        <v>1013</v>
      </c>
      <c r="G42" s="51" t="s">
        <v>4415</v>
      </c>
    </row>
    <row r="43" spans="1:7" hidden="1" x14ac:dyDescent="0.25">
      <c r="A43" s="20" t="s">
        <v>4446</v>
      </c>
      <c r="B43" s="19">
        <v>69619.48</v>
      </c>
      <c r="C43" s="17">
        <v>45685</v>
      </c>
      <c r="D43" s="17">
        <v>45758</v>
      </c>
      <c r="E43" s="17" t="s">
        <v>157</v>
      </c>
      <c r="F43" s="18" t="s">
        <v>1013</v>
      </c>
      <c r="G43" s="51" t="s">
        <v>4416</v>
      </c>
    </row>
    <row r="44" spans="1:7" hidden="1" x14ac:dyDescent="0.25">
      <c r="A44" s="20" t="s">
        <v>4446</v>
      </c>
      <c r="B44" s="19">
        <v>69619.48</v>
      </c>
      <c r="C44" s="17">
        <v>45685</v>
      </c>
      <c r="D44" s="17">
        <v>45777</v>
      </c>
      <c r="E44" s="17" t="s">
        <v>157</v>
      </c>
      <c r="F44" s="18" t="s">
        <v>1013</v>
      </c>
      <c r="G44" s="51" t="s">
        <v>4417</v>
      </c>
    </row>
    <row r="45" spans="1:7" hidden="1" x14ac:dyDescent="0.25">
      <c r="A45" s="20" t="s">
        <v>41</v>
      </c>
      <c r="B45" s="19">
        <v>20000</v>
      </c>
      <c r="C45" s="17">
        <v>45685</v>
      </c>
      <c r="D45" s="17">
        <v>45685</v>
      </c>
      <c r="E45" s="17" t="s">
        <v>160</v>
      </c>
      <c r="F45" s="18" t="s">
        <v>900</v>
      </c>
      <c r="G45" s="51" t="s">
        <v>4427</v>
      </c>
    </row>
    <row r="46" spans="1:7" hidden="1" x14ac:dyDescent="0.25">
      <c r="A46" s="20" t="s">
        <v>146</v>
      </c>
      <c r="B46" s="19">
        <v>60000</v>
      </c>
      <c r="C46" s="17">
        <v>45685</v>
      </c>
      <c r="D46" s="17">
        <v>45685</v>
      </c>
      <c r="E46" s="17" t="s">
        <v>157</v>
      </c>
      <c r="F46" s="18" t="s">
        <v>907</v>
      </c>
      <c r="G46" s="51" t="s">
        <v>4418</v>
      </c>
    </row>
    <row r="47" spans="1:7" hidden="1" x14ac:dyDescent="0.25">
      <c r="A47" s="20" t="s">
        <v>4424</v>
      </c>
      <c r="B47" s="19">
        <v>80000</v>
      </c>
      <c r="C47" s="17">
        <v>45686</v>
      </c>
      <c r="D47" s="17">
        <v>45686</v>
      </c>
      <c r="E47" s="17" t="s">
        <v>157</v>
      </c>
      <c r="F47" s="18" t="s">
        <v>907</v>
      </c>
      <c r="G47" s="51" t="s">
        <v>4419</v>
      </c>
    </row>
    <row r="48" spans="1:7" hidden="1" x14ac:dyDescent="0.25">
      <c r="A48" s="20" t="s">
        <v>4423</v>
      </c>
      <c r="B48" s="19">
        <v>269033.57</v>
      </c>
      <c r="C48" s="17">
        <v>45687</v>
      </c>
      <c r="D48" s="17">
        <v>45777</v>
      </c>
      <c r="E48" s="17" t="s">
        <v>157</v>
      </c>
      <c r="F48" s="18" t="s">
        <v>1013</v>
      </c>
      <c r="G48" s="51" t="s">
        <v>4420</v>
      </c>
    </row>
    <row r="49" spans="1:7" hidden="1" x14ac:dyDescent="0.25">
      <c r="A49" s="20" t="s">
        <v>41</v>
      </c>
      <c r="B49" s="19">
        <v>20000</v>
      </c>
      <c r="C49" s="17">
        <v>45687</v>
      </c>
      <c r="D49" s="17">
        <v>45687</v>
      </c>
      <c r="E49" s="17" t="s">
        <v>160</v>
      </c>
      <c r="F49" s="18" t="s">
        <v>900</v>
      </c>
      <c r="G49" s="51" t="s">
        <v>4427</v>
      </c>
    </row>
    <row r="50" spans="1:7" hidden="1" x14ac:dyDescent="0.25">
      <c r="A50" s="20" t="s">
        <v>163</v>
      </c>
      <c r="B50" s="19">
        <v>20000</v>
      </c>
      <c r="C50" s="17">
        <v>45687</v>
      </c>
      <c r="D50" s="17">
        <v>45687</v>
      </c>
      <c r="E50" s="17" t="s">
        <v>160</v>
      </c>
      <c r="F50" s="18" t="s">
        <v>900</v>
      </c>
      <c r="G50" s="51" t="s">
        <v>4427</v>
      </c>
    </row>
    <row r="51" spans="1:7" hidden="1" x14ac:dyDescent="0.25">
      <c r="A51" s="20" t="s">
        <v>4442</v>
      </c>
      <c r="B51" s="19">
        <v>19776</v>
      </c>
      <c r="C51" s="17">
        <v>45687</v>
      </c>
      <c r="D51" s="17">
        <v>45687</v>
      </c>
      <c r="E51" s="17" t="s">
        <v>157</v>
      </c>
      <c r="F51" s="18" t="s">
        <v>907</v>
      </c>
      <c r="G51" s="51" t="s">
        <v>4421</v>
      </c>
    </row>
    <row r="52" spans="1:7" hidden="1" x14ac:dyDescent="0.25">
      <c r="A52" s="20" t="s">
        <v>141</v>
      </c>
      <c r="B52" s="19">
        <v>10000</v>
      </c>
      <c r="C52" s="17">
        <v>45688</v>
      </c>
      <c r="D52" s="17">
        <v>45688</v>
      </c>
      <c r="E52" s="17" t="s">
        <v>160</v>
      </c>
      <c r="F52" s="18" t="s">
        <v>900</v>
      </c>
      <c r="G52" s="51" t="s">
        <v>4427</v>
      </c>
    </row>
    <row r="53" spans="1:7" hidden="1" x14ac:dyDescent="0.25">
      <c r="A53" s="20" t="s">
        <v>41</v>
      </c>
      <c r="B53" s="19">
        <v>20000</v>
      </c>
      <c r="C53" s="17">
        <v>45689</v>
      </c>
      <c r="D53" s="17">
        <v>45688</v>
      </c>
      <c r="E53" s="17" t="s">
        <v>160</v>
      </c>
      <c r="F53" s="18" t="s">
        <v>900</v>
      </c>
      <c r="G53" s="51" t="s">
        <v>4427</v>
      </c>
    </row>
    <row r="54" spans="1:7" hidden="1" x14ac:dyDescent="0.25">
      <c r="A54" s="20" t="s">
        <v>4448</v>
      </c>
      <c r="B54" s="19">
        <v>47082</v>
      </c>
      <c r="C54" s="17">
        <v>45691</v>
      </c>
      <c r="D54" s="17">
        <v>45691</v>
      </c>
      <c r="E54" s="17" t="s">
        <v>160</v>
      </c>
      <c r="F54" s="18" t="s">
        <v>900</v>
      </c>
      <c r="G54" s="51" t="s">
        <v>4491</v>
      </c>
    </row>
    <row r="55" spans="1:7" hidden="1" x14ac:dyDescent="0.25">
      <c r="A55" s="20" t="s">
        <v>66</v>
      </c>
      <c r="B55" s="19">
        <v>40000</v>
      </c>
      <c r="C55" s="17">
        <v>45691</v>
      </c>
      <c r="D55" s="17">
        <v>45691</v>
      </c>
      <c r="E55" s="17" t="s">
        <v>157</v>
      </c>
      <c r="F55" s="18" t="s">
        <v>907</v>
      </c>
      <c r="G55" s="51" t="s">
        <v>4494</v>
      </c>
    </row>
    <row r="56" spans="1:7" hidden="1" x14ac:dyDescent="0.25">
      <c r="A56" s="20" t="s">
        <v>141</v>
      </c>
      <c r="B56" s="19">
        <v>20000</v>
      </c>
      <c r="C56" s="17">
        <v>45691</v>
      </c>
      <c r="D56" s="17">
        <v>45691</v>
      </c>
      <c r="E56" s="17" t="s">
        <v>160</v>
      </c>
      <c r="F56" s="18" t="s">
        <v>900</v>
      </c>
      <c r="G56" s="51" t="s">
        <v>4427</v>
      </c>
    </row>
    <row r="57" spans="1:7" hidden="1" x14ac:dyDescent="0.25">
      <c r="A57" s="20" t="s">
        <v>140</v>
      </c>
      <c r="B57" s="19">
        <v>50000</v>
      </c>
      <c r="C57" s="17">
        <v>45692</v>
      </c>
      <c r="D57" s="17">
        <v>45690</v>
      </c>
      <c r="E57" s="17" t="s">
        <v>160</v>
      </c>
      <c r="F57" s="18" t="s">
        <v>900</v>
      </c>
      <c r="G57" s="51" t="s">
        <v>4495</v>
      </c>
    </row>
    <row r="58" spans="1:7" hidden="1" x14ac:dyDescent="0.25">
      <c r="A58" s="20" t="s">
        <v>36</v>
      </c>
      <c r="B58" s="19">
        <v>62799.64</v>
      </c>
      <c r="C58" s="17">
        <v>45688</v>
      </c>
      <c r="D58" s="17">
        <v>45688</v>
      </c>
      <c r="E58" s="17" t="s">
        <v>160</v>
      </c>
      <c r="F58" s="18" t="s">
        <v>900</v>
      </c>
      <c r="G58" s="51" t="s">
        <v>4438</v>
      </c>
    </row>
    <row r="59" spans="1:7" hidden="1" x14ac:dyDescent="0.25">
      <c r="A59" s="20" t="s">
        <v>141</v>
      </c>
      <c r="B59" s="19">
        <v>160122.22400000005</v>
      </c>
      <c r="C59" s="17">
        <v>45688</v>
      </c>
      <c r="D59" s="17">
        <v>45688</v>
      </c>
      <c r="E59" s="17" t="s">
        <v>160</v>
      </c>
      <c r="F59" s="18" t="s">
        <v>4425</v>
      </c>
      <c r="G59" s="51" t="s">
        <v>4439</v>
      </c>
    </row>
    <row r="60" spans="1:7" hidden="1" x14ac:dyDescent="0.25">
      <c r="A60" s="20" t="s">
        <v>140</v>
      </c>
      <c r="B60" s="19">
        <v>78356.880000000019</v>
      </c>
      <c r="C60" s="17">
        <v>45688</v>
      </c>
      <c r="D60" s="17">
        <v>45688</v>
      </c>
      <c r="E60" s="17" t="s">
        <v>160</v>
      </c>
      <c r="F60" s="18" t="s">
        <v>4425</v>
      </c>
      <c r="G60" s="51" t="s">
        <v>4439</v>
      </c>
    </row>
    <row r="61" spans="1:7" hidden="1" x14ac:dyDescent="0.25">
      <c r="A61" s="20" t="s">
        <v>565</v>
      </c>
      <c r="B61" s="19">
        <v>26766.179999999997</v>
      </c>
      <c r="C61" s="17">
        <v>45688</v>
      </c>
      <c r="D61" s="17">
        <v>45688</v>
      </c>
      <c r="E61" s="17" t="s">
        <v>160</v>
      </c>
      <c r="F61" s="18" t="s">
        <v>4425</v>
      </c>
      <c r="G61" s="51" t="s">
        <v>4439</v>
      </c>
    </row>
    <row r="62" spans="1:7" hidden="1" x14ac:dyDescent="0.25">
      <c r="A62" s="20" t="s">
        <v>70</v>
      </c>
      <c r="B62" s="19">
        <v>9342.7199999999993</v>
      </c>
      <c r="C62" s="17">
        <v>45688</v>
      </c>
      <c r="D62" s="17">
        <v>45688</v>
      </c>
      <c r="E62" s="17" t="s">
        <v>160</v>
      </c>
      <c r="F62" s="18" t="s">
        <v>4425</v>
      </c>
      <c r="G62" s="51" t="s">
        <v>4439</v>
      </c>
    </row>
    <row r="63" spans="1:7" hidden="1" x14ac:dyDescent="0.25">
      <c r="A63" s="20" t="s">
        <v>6328</v>
      </c>
      <c r="B63" s="19">
        <v>13192.14</v>
      </c>
      <c r="C63" s="17">
        <v>45688</v>
      </c>
      <c r="D63" s="17">
        <v>45688</v>
      </c>
      <c r="E63" s="17" t="s">
        <v>160</v>
      </c>
      <c r="F63" s="18" t="s">
        <v>4425</v>
      </c>
      <c r="G63" s="51" t="s">
        <v>4439</v>
      </c>
    </row>
    <row r="64" spans="1:7" hidden="1" x14ac:dyDescent="0.25">
      <c r="A64" s="20" t="s">
        <v>41</v>
      </c>
      <c r="B64" s="19">
        <v>102282.90999999999</v>
      </c>
      <c r="C64" s="17">
        <v>45688</v>
      </c>
      <c r="D64" s="17">
        <v>45688</v>
      </c>
      <c r="E64" s="17" t="s">
        <v>160</v>
      </c>
      <c r="F64" s="18" t="s">
        <v>4425</v>
      </c>
      <c r="G64" s="51" t="s">
        <v>4439</v>
      </c>
    </row>
    <row r="65" spans="1:7" hidden="1" x14ac:dyDescent="0.25">
      <c r="A65" s="20" t="s">
        <v>1034</v>
      </c>
      <c r="B65" s="19">
        <v>102282.91</v>
      </c>
      <c r="C65" s="17">
        <v>45688</v>
      </c>
      <c r="D65" s="17">
        <v>45688</v>
      </c>
      <c r="E65" s="17" t="s">
        <v>160</v>
      </c>
      <c r="F65" s="18" t="s">
        <v>4425</v>
      </c>
      <c r="G65" s="51" t="s">
        <v>4439</v>
      </c>
    </row>
    <row r="66" spans="1:7" hidden="1" x14ac:dyDescent="0.25">
      <c r="A66" s="20" t="s">
        <v>45</v>
      </c>
      <c r="B66" s="19">
        <v>6135.84</v>
      </c>
      <c r="C66" s="17">
        <v>45688</v>
      </c>
      <c r="D66" s="17">
        <v>45688</v>
      </c>
      <c r="E66" s="17" t="s">
        <v>160</v>
      </c>
      <c r="F66" s="18" t="s">
        <v>4425</v>
      </c>
      <c r="G66" s="51" t="s">
        <v>4439</v>
      </c>
    </row>
    <row r="67" spans="1:7" hidden="1" x14ac:dyDescent="0.25">
      <c r="A67" s="20" t="s">
        <v>163</v>
      </c>
      <c r="B67" s="19">
        <v>50000</v>
      </c>
      <c r="C67" s="17">
        <v>45693</v>
      </c>
      <c r="D67" s="17">
        <v>45693</v>
      </c>
      <c r="E67" s="17" t="s">
        <v>160</v>
      </c>
      <c r="F67" s="18" t="s">
        <v>900</v>
      </c>
      <c r="G67" s="51" t="s">
        <v>4509</v>
      </c>
    </row>
    <row r="68" spans="1:7" hidden="1" x14ac:dyDescent="0.25">
      <c r="A68" s="20" t="s">
        <v>70</v>
      </c>
      <c r="B68" s="19">
        <v>50000</v>
      </c>
      <c r="C68" s="17">
        <v>45693</v>
      </c>
      <c r="D68" s="17">
        <v>45693</v>
      </c>
      <c r="E68" s="17" t="s">
        <v>160</v>
      </c>
      <c r="F68" s="18" t="s">
        <v>900</v>
      </c>
      <c r="G68" s="51" t="s">
        <v>4430</v>
      </c>
    </row>
    <row r="69" spans="1:7" hidden="1" x14ac:dyDescent="0.25">
      <c r="A69" s="20" t="s">
        <v>146</v>
      </c>
      <c r="B69" s="19">
        <v>50000</v>
      </c>
      <c r="C69" s="17">
        <v>45693</v>
      </c>
      <c r="D69" s="17">
        <v>45693</v>
      </c>
      <c r="E69" s="17" t="s">
        <v>157</v>
      </c>
      <c r="F69" s="18" t="s">
        <v>907</v>
      </c>
      <c r="G69" s="51" t="s">
        <v>4418</v>
      </c>
    </row>
    <row r="70" spans="1:7" hidden="1" x14ac:dyDescent="0.25">
      <c r="A70" s="20" t="s">
        <v>41</v>
      </c>
      <c r="B70" s="19">
        <v>20000</v>
      </c>
      <c r="C70" s="17">
        <v>45694</v>
      </c>
      <c r="D70" s="17">
        <v>45694</v>
      </c>
      <c r="E70" s="17" t="s">
        <v>160</v>
      </c>
      <c r="F70" s="18" t="s">
        <v>900</v>
      </c>
      <c r="G70" s="51" t="s">
        <v>4509</v>
      </c>
    </row>
    <row r="71" spans="1:7" hidden="1" x14ac:dyDescent="0.25">
      <c r="A71" s="20" t="s">
        <v>141</v>
      </c>
      <c r="B71" s="19">
        <v>20000</v>
      </c>
      <c r="C71" s="17">
        <v>45695</v>
      </c>
      <c r="D71" s="17">
        <v>45695</v>
      </c>
      <c r="E71" s="17" t="s">
        <v>160</v>
      </c>
      <c r="F71" s="18" t="s">
        <v>900</v>
      </c>
      <c r="G71" s="51" t="s">
        <v>4430</v>
      </c>
    </row>
    <row r="72" spans="1:7" x14ac:dyDescent="0.25">
      <c r="A72" s="20" t="s">
        <v>4422</v>
      </c>
      <c r="B72" s="19">
        <v>1011886.51</v>
      </c>
      <c r="C72" s="17">
        <v>45698</v>
      </c>
      <c r="D72" s="17">
        <v>45714</v>
      </c>
      <c r="E72" s="17" t="s">
        <v>157</v>
      </c>
      <c r="F72" s="18" t="s">
        <v>1013</v>
      </c>
      <c r="G72" s="51" t="s">
        <v>4511</v>
      </c>
    </row>
    <row r="73" spans="1:7" hidden="1" x14ac:dyDescent="0.25">
      <c r="A73" s="20" t="s">
        <v>66</v>
      </c>
      <c r="B73" s="19">
        <v>47895.12</v>
      </c>
      <c r="C73" s="17">
        <v>45698</v>
      </c>
      <c r="D73" s="17">
        <v>45786</v>
      </c>
      <c r="E73" s="17" t="s">
        <v>157</v>
      </c>
      <c r="F73" s="18" t="s">
        <v>1013</v>
      </c>
      <c r="G73" s="51" t="s">
        <v>4513</v>
      </c>
    </row>
    <row r="74" spans="1:7" hidden="1" x14ac:dyDescent="0.25">
      <c r="A74" s="20" t="s">
        <v>66</v>
      </c>
      <c r="B74" s="19">
        <v>60000</v>
      </c>
      <c r="C74" s="17">
        <v>45698</v>
      </c>
      <c r="D74" s="17">
        <v>45793</v>
      </c>
      <c r="E74" s="17" t="s">
        <v>157</v>
      </c>
      <c r="F74" s="18" t="s">
        <v>1013</v>
      </c>
      <c r="G74" s="51" t="s">
        <v>4514</v>
      </c>
    </row>
    <row r="75" spans="1:7" hidden="1" x14ac:dyDescent="0.25">
      <c r="A75" s="20" t="s">
        <v>4424</v>
      </c>
      <c r="B75" s="19">
        <v>16100</v>
      </c>
      <c r="C75" s="17">
        <v>45698</v>
      </c>
      <c r="D75" s="17">
        <v>45698</v>
      </c>
      <c r="E75" s="17" t="s">
        <v>160</v>
      </c>
      <c r="F75" s="18" t="s">
        <v>900</v>
      </c>
      <c r="G75" s="51" t="s">
        <v>4430</v>
      </c>
    </row>
    <row r="76" spans="1:7" hidden="1" x14ac:dyDescent="0.25">
      <c r="A76" s="20" t="s">
        <v>163</v>
      </c>
      <c r="B76" s="19">
        <v>50000</v>
      </c>
      <c r="C76" s="17">
        <v>45699</v>
      </c>
      <c r="D76" s="17">
        <v>45699</v>
      </c>
      <c r="E76" s="17" t="s">
        <v>160</v>
      </c>
      <c r="F76" s="18" t="s">
        <v>900</v>
      </c>
      <c r="G76" s="51" t="s">
        <v>4430</v>
      </c>
    </row>
    <row r="77" spans="1:7" hidden="1" x14ac:dyDescent="0.25">
      <c r="A77" s="20" t="s">
        <v>140</v>
      </c>
      <c r="B77" s="19">
        <v>50000</v>
      </c>
      <c r="C77" s="17">
        <v>45698</v>
      </c>
      <c r="D77" s="17">
        <v>45695</v>
      </c>
      <c r="E77" s="17" t="s">
        <v>160</v>
      </c>
      <c r="F77" s="18" t="s">
        <v>900</v>
      </c>
      <c r="G77" s="51" t="s">
        <v>4515</v>
      </c>
    </row>
    <row r="78" spans="1:7" hidden="1" x14ac:dyDescent="0.25">
      <c r="A78" s="20" t="s">
        <v>41</v>
      </c>
      <c r="B78" s="19">
        <v>30000</v>
      </c>
      <c r="C78" s="17">
        <v>45695</v>
      </c>
      <c r="D78" s="17">
        <v>45695</v>
      </c>
      <c r="E78" s="17" t="s">
        <v>160</v>
      </c>
      <c r="F78" s="18" t="s">
        <v>900</v>
      </c>
      <c r="G78" s="51" t="s">
        <v>4516</v>
      </c>
    </row>
    <row r="79" spans="1:7" hidden="1" x14ac:dyDescent="0.25">
      <c r="A79" s="20" t="s">
        <v>565</v>
      </c>
      <c r="B79" s="19">
        <v>50000</v>
      </c>
      <c r="C79" s="17">
        <v>45700</v>
      </c>
      <c r="D79" s="17">
        <v>45700</v>
      </c>
      <c r="E79" s="17" t="s">
        <v>160</v>
      </c>
      <c r="F79" s="18" t="s">
        <v>900</v>
      </c>
      <c r="G79" s="51" t="s">
        <v>4517</v>
      </c>
    </row>
    <row r="80" spans="1:7" hidden="1" x14ac:dyDescent="0.25">
      <c r="A80" s="20" t="s">
        <v>45</v>
      </c>
      <c r="B80" s="19">
        <v>60000</v>
      </c>
      <c r="C80" s="17">
        <v>45700</v>
      </c>
      <c r="D80" s="17">
        <v>45700</v>
      </c>
      <c r="E80" s="17" t="s">
        <v>160</v>
      </c>
      <c r="F80" s="18" t="s">
        <v>900</v>
      </c>
      <c r="G80" s="51" t="s">
        <v>4517</v>
      </c>
    </row>
    <row r="81" spans="1:7" hidden="1" x14ac:dyDescent="0.25">
      <c r="A81" s="20" t="s">
        <v>41</v>
      </c>
      <c r="B81" s="19">
        <v>20000</v>
      </c>
      <c r="C81" s="17">
        <v>45702</v>
      </c>
      <c r="D81" s="17">
        <v>45702</v>
      </c>
      <c r="E81" s="17" t="s">
        <v>160</v>
      </c>
      <c r="F81" s="18" t="s">
        <v>900</v>
      </c>
      <c r="G81" s="51" t="s">
        <v>4517</v>
      </c>
    </row>
    <row r="82" spans="1:7" hidden="1" x14ac:dyDescent="0.25">
      <c r="A82" s="20" t="s">
        <v>4448</v>
      </c>
      <c r="B82" s="19">
        <v>51829.03</v>
      </c>
      <c r="C82" s="17">
        <v>45705</v>
      </c>
      <c r="D82" s="17">
        <v>45803</v>
      </c>
      <c r="E82" s="17" t="s">
        <v>157</v>
      </c>
      <c r="F82" s="18" t="s">
        <v>1013</v>
      </c>
      <c r="G82" s="51" t="s">
        <v>4518</v>
      </c>
    </row>
    <row r="83" spans="1:7" hidden="1" x14ac:dyDescent="0.25">
      <c r="A83" s="20" t="s">
        <v>4448</v>
      </c>
      <c r="B83" s="19">
        <v>51000</v>
      </c>
      <c r="C83" s="17">
        <v>45705</v>
      </c>
      <c r="D83" s="17">
        <v>45796</v>
      </c>
      <c r="E83" s="17" t="s">
        <v>157</v>
      </c>
      <c r="F83" s="18" t="s">
        <v>1013</v>
      </c>
      <c r="G83" s="51" t="s">
        <v>4519</v>
      </c>
    </row>
    <row r="84" spans="1:7" hidden="1" x14ac:dyDescent="0.25">
      <c r="A84" s="20" t="s">
        <v>4448</v>
      </c>
      <c r="B84" s="19">
        <v>51000</v>
      </c>
      <c r="C84" s="17">
        <v>45705</v>
      </c>
      <c r="D84" s="17">
        <v>45782</v>
      </c>
      <c r="E84" s="17" t="s">
        <v>157</v>
      </c>
      <c r="F84" s="18" t="s">
        <v>1013</v>
      </c>
      <c r="G84" s="51" t="s">
        <v>4520</v>
      </c>
    </row>
    <row r="85" spans="1:7" hidden="1" x14ac:dyDescent="0.25">
      <c r="A85" s="20" t="s">
        <v>4448</v>
      </c>
      <c r="B85" s="19">
        <v>51000</v>
      </c>
      <c r="C85" s="17">
        <v>45705</v>
      </c>
      <c r="D85" s="17">
        <v>45789</v>
      </c>
      <c r="E85" s="17" t="s">
        <v>157</v>
      </c>
      <c r="F85" s="18" t="s">
        <v>1013</v>
      </c>
      <c r="G85" s="51" t="s">
        <v>4521</v>
      </c>
    </row>
    <row r="86" spans="1:7" hidden="1" x14ac:dyDescent="0.25">
      <c r="A86" s="20" t="s">
        <v>4448</v>
      </c>
      <c r="B86" s="19">
        <v>27000</v>
      </c>
      <c r="C86" s="17">
        <v>45705</v>
      </c>
      <c r="D86" s="17">
        <v>45794</v>
      </c>
      <c r="E86" s="17" t="s">
        <v>160</v>
      </c>
      <c r="F86" s="18" t="s">
        <v>1013</v>
      </c>
      <c r="G86" s="51" t="s">
        <v>4522</v>
      </c>
    </row>
    <row r="87" spans="1:7" hidden="1" x14ac:dyDescent="0.25">
      <c r="A87" s="20" t="s">
        <v>4448</v>
      </c>
      <c r="B87" s="19">
        <v>27990</v>
      </c>
      <c r="C87" s="17">
        <v>45705</v>
      </c>
      <c r="D87" s="17">
        <v>45808</v>
      </c>
      <c r="E87" s="17" t="s">
        <v>160</v>
      </c>
      <c r="F87" s="18" t="s">
        <v>1013</v>
      </c>
      <c r="G87" s="51" t="s">
        <v>4523</v>
      </c>
    </row>
    <row r="88" spans="1:7" hidden="1" x14ac:dyDescent="0.25">
      <c r="A88" s="20" t="s">
        <v>140</v>
      </c>
      <c r="B88" s="19">
        <v>50000</v>
      </c>
      <c r="C88" s="17">
        <v>45707</v>
      </c>
      <c r="D88" s="17">
        <v>45707</v>
      </c>
      <c r="E88" s="17" t="s">
        <v>160</v>
      </c>
      <c r="F88" s="18" t="s">
        <v>900</v>
      </c>
      <c r="G88" s="51" t="s">
        <v>4517</v>
      </c>
    </row>
    <row r="89" spans="1:7" hidden="1" x14ac:dyDescent="0.25">
      <c r="A89" s="20" t="s">
        <v>41</v>
      </c>
      <c r="B89" s="19">
        <v>13700</v>
      </c>
      <c r="C89" s="17">
        <v>45709</v>
      </c>
      <c r="D89" s="17">
        <v>45709</v>
      </c>
      <c r="E89" s="17" t="s">
        <v>160</v>
      </c>
      <c r="F89" s="18" t="s">
        <v>900</v>
      </c>
      <c r="G89" s="51" t="s">
        <v>4517</v>
      </c>
    </row>
    <row r="90" spans="1:7" hidden="1" x14ac:dyDescent="0.25">
      <c r="A90" s="20" t="s">
        <v>41</v>
      </c>
      <c r="B90" s="19">
        <v>6300</v>
      </c>
      <c r="C90" s="17">
        <v>45709</v>
      </c>
      <c r="D90" s="17">
        <v>45708</v>
      </c>
      <c r="E90" s="17" t="s">
        <v>160</v>
      </c>
      <c r="F90" s="18" t="s">
        <v>4486</v>
      </c>
      <c r="G90" s="51" t="s">
        <v>4525</v>
      </c>
    </row>
    <row r="91" spans="1:7" hidden="1" x14ac:dyDescent="0.25">
      <c r="A91" s="20" t="s">
        <v>146</v>
      </c>
      <c r="B91" s="19">
        <v>51330.93</v>
      </c>
      <c r="C91" s="17">
        <v>45709</v>
      </c>
      <c r="D91" s="17">
        <v>45709</v>
      </c>
      <c r="E91" s="17" t="s">
        <v>157</v>
      </c>
      <c r="F91" s="18" t="s">
        <v>907</v>
      </c>
      <c r="G91" s="51" t="s">
        <v>4418</v>
      </c>
    </row>
    <row r="92" spans="1:7" hidden="1" x14ac:dyDescent="0.25">
      <c r="A92" s="20" t="s">
        <v>163</v>
      </c>
      <c r="B92" s="19">
        <v>50000</v>
      </c>
      <c r="C92" s="17">
        <v>45712</v>
      </c>
      <c r="D92" s="17">
        <v>45712</v>
      </c>
      <c r="E92" s="17" t="s">
        <v>160</v>
      </c>
      <c r="F92" s="18" t="s">
        <v>900</v>
      </c>
      <c r="G92" s="51" t="s">
        <v>4517</v>
      </c>
    </row>
    <row r="93" spans="1:7" hidden="1" x14ac:dyDescent="0.25">
      <c r="A93" s="20" t="s">
        <v>140</v>
      </c>
      <c r="B93" s="19">
        <v>50000</v>
      </c>
      <c r="C93" s="17">
        <v>45713</v>
      </c>
      <c r="D93" s="17">
        <v>45719</v>
      </c>
      <c r="E93" s="17" t="s">
        <v>160</v>
      </c>
      <c r="F93" s="18" t="s">
        <v>4486</v>
      </c>
      <c r="G93" s="51" t="s">
        <v>6664</v>
      </c>
    </row>
    <row r="94" spans="1:7" hidden="1" x14ac:dyDescent="0.25">
      <c r="A94" s="20" t="s">
        <v>140</v>
      </c>
      <c r="B94" s="19">
        <v>50000</v>
      </c>
      <c r="C94" s="17">
        <v>45713</v>
      </c>
      <c r="D94" s="17">
        <v>45723</v>
      </c>
      <c r="E94" s="17" t="s">
        <v>160</v>
      </c>
      <c r="F94" s="18" t="s">
        <v>4486</v>
      </c>
      <c r="G94" s="51" t="s">
        <v>6665</v>
      </c>
    </row>
    <row r="95" spans="1:7" hidden="1" x14ac:dyDescent="0.25">
      <c r="A95" s="20" t="s">
        <v>141</v>
      </c>
      <c r="B95" s="19">
        <v>10000</v>
      </c>
      <c r="C95" s="17">
        <v>45713</v>
      </c>
      <c r="D95" s="17">
        <v>45713</v>
      </c>
      <c r="E95" s="17" t="s">
        <v>160</v>
      </c>
      <c r="F95" s="18" t="s">
        <v>900</v>
      </c>
      <c r="G95" s="51" t="s">
        <v>4517</v>
      </c>
    </row>
    <row r="96" spans="1:7" hidden="1" x14ac:dyDescent="0.25">
      <c r="A96" s="20" t="s">
        <v>45</v>
      </c>
      <c r="B96" s="19">
        <v>60000</v>
      </c>
      <c r="C96" s="17">
        <v>45713</v>
      </c>
      <c r="D96" s="17">
        <v>45713</v>
      </c>
      <c r="E96" s="17" t="s">
        <v>160</v>
      </c>
      <c r="F96" s="18" t="s">
        <v>900</v>
      </c>
      <c r="G96" s="51" t="s">
        <v>4517</v>
      </c>
    </row>
    <row r="97" spans="1:7" hidden="1" x14ac:dyDescent="0.25">
      <c r="A97" s="20" t="s">
        <v>70</v>
      </c>
      <c r="B97" s="19">
        <v>50000</v>
      </c>
      <c r="C97" s="17">
        <v>45714</v>
      </c>
      <c r="D97" s="17">
        <v>45714</v>
      </c>
      <c r="E97" s="17" t="s">
        <v>160</v>
      </c>
      <c r="F97" s="18" t="s">
        <v>900</v>
      </c>
      <c r="G97" s="51" t="s">
        <v>4517</v>
      </c>
    </row>
    <row r="98" spans="1:7" hidden="1" x14ac:dyDescent="0.25">
      <c r="A98" s="20" t="s">
        <v>4444</v>
      </c>
      <c r="B98" s="19">
        <v>15000</v>
      </c>
      <c r="C98" s="17">
        <v>45714</v>
      </c>
      <c r="D98" s="17">
        <v>45714</v>
      </c>
      <c r="E98" s="17" t="s">
        <v>160</v>
      </c>
      <c r="F98" s="18" t="s">
        <v>900</v>
      </c>
      <c r="G98" s="51" t="s">
        <v>4517</v>
      </c>
    </row>
    <row r="99" spans="1:7" hidden="1" x14ac:dyDescent="0.25">
      <c r="A99" s="20" t="s">
        <v>4423</v>
      </c>
      <c r="B99" s="19">
        <v>219218.01</v>
      </c>
      <c r="C99" s="17">
        <v>45714</v>
      </c>
      <c r="D99" s="17">
        <v>45808</v>
      </c>
      <c r="E99" s="17" t="s">
        <v>157</v>
      </c>
      <c r="F99" s="18" t="s">
        <v>1013</v>
      </c>
      <c r="G99" s="51" t="s">
        <v>6666</v>
      </c>
    </row>
    <row r="100" spans="1:7" hidden="1" x14ac:dyDescent="0.25">
      <c r="A100" s="20" t="s">
        <v>4423</v>
      </c>
      <c r="B100" s="19">
        <v>219218.01</v>
      </c>
      <c r="C100" s="17">
        <v>45714</v>
      </c>
      <c r="D100" s="17">
        <v>45808</v>
      </c>
      <c r="E100" s="17" t="s">
        <v>157</v>
      </c>
      <c r="F100" s="18" t="s">
        <v>1013</v>
      </c>
      <c r="G100" s="51" t="s">
        <v>6667</v>
      </c>
    </row>
    <row r="101" spans="1:7" hidden="1" x14ac:dyDescent="0.25">
      <c r="A101" s="20" t="s">
        <v>4448</v>
      </c>
      <c r="B101" s="19">
        <v>63670.52</v>
      </c>
      <c r="C101" s="17">
        <v>45714</v>
      </c>
      <c r="D101" s="17">
        <v>45714</v>
      </c>
      <c r="E101" s="17" t="s">
        <v>160</v>
      </c>
      <c r="F101" s="18" t="s">
        <v>900</v>
      </c>
      <c r="G101" s="51" t="s">
        <v>6669</v>
      </c>
    </row>
    <row r="102" spans="1:7" hidden="1" x14ac:dyDescent="0.25">
      <c r="A102" s="20" t="s">
        <v>146</v>
      </c>
      <c r="B102" s="19">
        <v>60000</v>
      </c>
      <c r="C102" s="17">
        <v>45715</v>
      </c>
      <c r="D102" s="17">
        <v>45715</v>
      </c>
      <c r="E102" s="17" t="s">
        <v>157</v>
      </c>
      <c r="F102" s="18" t="s">
        <v>907</v>
      </c>
      <c r="G102" s="51" t="s">
        <v>4418</v>
      </c>
    </row>
    <row r="103" spans="1:7" hidden="1" x14ac:dyDescent="0.25">
      <c r="A103" s="20" t="s">
        <v>141</v>
      </c>
      <c r="B103" s="19">
        <v>20000</v>
      </c>
      <c r="C103" s="17">
        <v>45715</v>
      </c>
      <c r="D103" s="17">
        <v>45715</v>
      </c>
      <c r="E103" s="17" t="s">
        <v>160</v>
      </c>
      <c r="F103" s="18" t="s">
        <v>900</v>
      </c>
      <c r="G103" s="51" t="s">
        <v>4517</v>
      </c>
    </row>
    <row r="104" spans="1:7" x14ac:dyDescent="0.25">
      <c r="A104" s="20"/>
      <c r="B104" s="19"/>
      <c r="C104" s="17"/>
      <c r="D104" s="17"/>
      <c r="E104" s="17"/>
      <c r="F104" s="18"/>
      <c r="G104" s="51"/>
    </row>
    <row r="105" spans="1:7" x14ac:dyDescent="0.25">
      <c r="A105" s="20"/>
      <c r="B105" s="19"/>
      <c r="C105" s="17"/>
      <c r="D105" s="17"/>
      <c r="E105" s="17"/>
      <c r="F105" s="18"/>
      <c r="G105" s="51"/>
    </row>
    <row r="106" spans="1:7" x14ac:dyDescent="0.25">
      <c r="A106" s="20"/>
      <c r="B106" s="19"/>
      <c r="C106" s="17"/>
      <c r="D106" s="17"/>
      <c r="E106" s="17"/>
      <c r="F106" s="18"/>
      <c r="G106" s="51"/>
    </row>
    <row r="107" spans="1:7" x14ac:dyDescent="0.25">
      <c r="A107" s="20"/>
      <c r="B107" s="19"/>
      <c r="C107" s="17"/>
      <c r="D107" s="17"/>
      <c r="E107" s="17"/>
      <c r="F107" s="18"/>
      <c r="G107" s="51"/>
    </row>
    <row r="108" spans="1:7" x14ac:dyDescent="0.25">
      <c r="A108" s="20"/>
      <c r="B108" s="19"/>
      <c r="C108" s="17"/>
      <c r="D108" s="17"/>
      <c r="E108" s="17"/>
      <c r="F108" s="18"/>
      <c r="G108" s="51"/>
    </row>
    <row r="109" spans="1:7" x14ac:dyDescent="0.25">
      <c r="A109" s="20"/>
      <c r="B109" s="19"/>
      <c r="C109" s="17"/>
      <c r="D109" s="17"/>
      <c r="E109" s="17"/>
      <c r="F109" s="18"/>
      <c r="G109" s="51"/>
    </row>
    <row r="110" spans="1:7" x14ac:dyDescent="0.25">
      <c r="A110" s="20"/>
      <c r="B110" s="19"/>
      <c r="C110" s="17"/>
      <c r="D110" s="17"/>
      <c r="E110" s="17"/>
      <c r="F110" s="18"/>
      <c r="G110" s="51"/>
    </row>
    <row r="111" spans="1:7" x14ac:dyDescent="0.25">
      <c r="A111" s="20"/>
      <c r="B111" s="19"/>
      <c r="C111" s="17"/>
      <c r="D111" s="17"/>
      <c r="E111" s="17"/>
      <c r="F111" s="18"/>
      <c r="G111" s="51"/>
    </row>
    <row r="112" spans="1:7" x14ac:dyDescent="0.25">
      <c r="A112" s="20"/>
      <c r="B112" s="19"/>
      <c r="C112" s="17"/>
      <c r="D112" s="17"/>
      <c r="E112" s="17"/>
      <c r="F112" s="18"/>
      <c r="G112" s="51"/>
    </row>
    <row r="113" spans="1:7" x14ac:dyDescent="0.25">
      <c r="A113" s="20"/>
      <c r="B113" s="19"/>
      <c r="C113" s="17"/>
      <c r="D113" s="17"/>
      <c r="E113" s="17"/>
      <c r="F113" s="18"/>
      <c r="G113" s="51"/>
    </row>
    <row r="114" spans="1:7" x14ac:dyDescent="0.25">
      <c r="A114" s="20"/>
      <c r="B114" s="19"/>
      <c r="C114" s="17"/>
      <c r="D114" s="17"/>
      <c r="E114" s="17"/>
      <c r="F114" s="18"/>
      <c r="G114" s="51"/>
    </row>
    <row r="115" spans="1:7" x14ac:dyDescent="0.25">
      <c r="A115" s="20"/>
      <c r="B115" s="19"/>
      <c r="C115" s="17"/>
      <c r="D115" s="17"/>
      <c r="E115" s="17"/>
      <c r="F115" s="18"/>
      <c r="G115" s="51"/>
    </row>
    <row r="116" spans="1:7" x14ac:dyDescent="0.25">
      <c r="A116" s="20"/>
      <c r="B116" s="19"/>
      <c r="C116" s="17"/>
      <c r="D116" s="17"/>
      <c r="E116" s="17"/>
      <c r="F116" s="18"/>
      <c r="G116" s="51"/>
    </row>
    <row r="117" spans="1:7" x14ac:dyDescent="0.25">
      <c r="A117" s="20"/>
      <c r="B117" s="19"/>
      <c r="C117" s="17"/>
      <c r="D117" s="17"/>
      <c r="E117" s="17"/>
      <c r="F117" s="18"/>
      <c r="G117" s="51"/>
    </row>
    <row r="118" spans="1:7" x14ac:dyDescent="0.25">
      <c r="A118" s="20"/>
      <c r="B118" s="19"/>
      <c r="C118" s="17"/>
      <c r="D118" s="17"/>
      <c r="E118" s="17"/>
      <c r="F118" s="18"/>
      <c r="G118" s="51"/>
    </row>
  </sheetData>
  <autoFilter ref="A1:G103" xr:uid="{C99477AF-5F0E-4B79-9C41-F5F353EC67B7}">
    <filterColumn colId="0">
      <filters>
        <filter val="STE CIMENTS DE L'ATLAS SA"/>
      </filters>
    </filterColumn>
    <filterColumn colId="2">
      <filters>
        <dateGroupItem year="2025" month="2" dateTimeGrouping="month"/>
      </filters>
    </filterColumn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7F189-D859-4457-9587-7260ACEA4D72}">
  <sheetPr>
    <tabColor rgb="FF00B050"/>
  </sheetPr>
  <dimension ref="A1:G13"/>
  <sheetViews>
    <sheetView workbookViewId="0">
      <selection activeCell="E8" sqref="E8"/>
    </sheetView>
  </sheetViews>
  <sheetFormatPr baseColWidth="10" defaultRowHeight="15" x14ac:dyDescent="0.25"/>
  <cols>
    <col min="2" max="2" width="23.7109375" bestFit="1" customWidth="1"/>
    <col min="3" max="3" width="19" bestFit="1" customWidth="1"/>
    <col min="4" max="4" width="14.140625" bestFit="1" customWidth="1"/>
    <col min="5" max="5" width="25.140625" bestFit="1" customWidth="1"/>
    <col min="6" max="6" width="21.28515625" bestFit="1" customWidth="1"/>
    <col min="7" max="7" width="20.28515625" bestFit="1" customWidth="1"/>
  </cols>
  <sheetData>
    <row r="1" spans="1:7" x14ac:dyDescent="0.25">
      <c r="A1" s="27" t="s">
        <v>0</v>
      </c>
      <c r="B1" s="27" t="s">
        <v>172</v>
      </c>
      <c r="C1" s="27" t="s">
        <v>167</v>
      </c>
      <c r="D1" s="27" t="s">
        <v>168</v>
      </c>
      <c r="E1" s="27" t="s">
        <v>169</v>
      </c>
      <c r="F1" s="27" t="s">
        <v>170</v>
      </c>
      <c r="G1" s="27" t="s">
        <v>171</v>
      </c>
    </row>
    <row r="2" spans="1:7" x14ac:dyDescent="0.25">
      <c r="A2" s="28">
        <v>45658</v>
      </c>
      <c r="B2" s="29">
        <v>4517619.87</v>
      </c>
      <c r="C2" s="29">
        <v>4785230.4297999982</v>
      </c>
      <c r="D2" s="29">
        <v>9610526.2980000004</v>
      </c>
      <c r="E2" s="29">
        <v>3120305.5279999999</v>
      </c>
      <c r="F2" s="29">
        <v>2092102.7859999998</v>
      </c>
      <c r="G2" s="35">
        <v>3030032.44</v>
      </c>
    </row>
    <row r="3" spans="1:7" x14ac:dyDescent="0.25">
      <c r="A3" s="28">
        <v>45689</v>
      </c>
      <c r="B3" s="29">
        <v>3011220.13</v>
      </c>
      <c r="C3" s="29">
        <v>2320643.275799999</v>
      </c>
      <c r="D3" s="29">
        <v>9686216.2479999997</v>
      </c>
      <c r="E3" s="29">
        <v>3120305.5279999999</v>
      </c>
      <c r="F3" s="29">
        <v>2092102.7859999998</v>
      </c>
      <c r="G3" s="35">
        <v>1449839.71</v>
      </c>
    </row>
    <row r="4" spans="1:7" x14ac:dyDescent="0.25">
      <c r="A4" s="28">
        <v>45717</v>
      </c>
      <c r="B4" s="29"/>
      <c r="C4" s="29"/>
      <c r="D4" s="29"/>
      <c r="E4" s="29"/>
      <c r="F4" s="29"/>
      <c r="G4" s="35"/>
    </row>
    <row r="5" spans="1:7" x14ac:dyDescent="0.25">
      <c r="A5" s="28">
        <v>45748</v>
      </c>
      <c r="B5" s="29"/>
      <c r="C5" s="29"/>
      <c r="D5" s="29"/>
      <c r="E5" s="29"/>
      <c r="F5" s="29"/>
      <c r="G5" s="29"/>
    </row>
    <row r="6" spans="1:7" x14ac:dyDescent="0.25">
      <c r="A6" s="28">
        <v>45778</v>
      </c>
      <c r="B6" s="29"/>
      <c r="C6" s="29"/>
      <c r="D6" s="29"/>
      <c r="E6" s="29"/>
      <c r="F6" s="29"/>
      <c r="G6" s="29"/>
    </row>
    <row r="7" spans="1:7" x14ac:dyDescent="0.25">
      <c r="A7" s="28">
        <v>45809</v>
      </c>
      <c r="B7" s="29"/>
      <c r="C7" s="29"/>
      <c r="D7" s="29"/>
      <c r="E7" s="29"/>
      <c r="F7" s="29"/>
      <c r="G7" s="29"/>
    </row>
    <row r="8" spans="1:7" x14ac:dyDescent="0.25">
      <c r="A8" s="28">
        <v>45839</v>
      </c>
      <c r="B8" s="29"/>
      <c r="C8" s="29"/>
      <c r="D8" s="29"/>
      <c r="E8" s="29"/>
      <c r="F8" s="29"/>
      <c r="G8" s="29"/>
    </row>
    <row r="9" spans="1:7" x14ac:dyDescent="0.25">
      <c r="A9" s="28">
        <v>45870</v>
      </c>
      <c r="B9" s="29"/>
      <c r="C9" s="29"/>
      <c r="D9" s="29"/>
      <c r="E9" s="29"/>
      <c r="F9" s="29"/>
      <c r="G9" s="29"/>
    </row>
    <row r="10" spans="1:7" x14ac:dyDescent="0.25">
      <c r="A10" s="28">
        <v>45901</v>
      </c>
      <c r="B10" s="35"/>
      <c r="C10" s="35"/>
      <c r="D10" s="35"/>
      <c r="E10" s="35"/>
      <c r="F10" s="35"/>
      <c r="G10" s="35"/>
    </row>
    <row r="11" spans="1:7" x14ac:dyDescent="0.25">
      <c r="A11" s="28">
        <v>45931</v>
      </c>
      <c r="B11" s="29"/>
      <c r="C11" s="29"/>
      <c r="D11" s="29"/>
      <c r="E11" s="29"/>
      <c r="F11" s="29"/>
      <c r="G11" s="29"/>
    </row>
    <row r="12" spans="1:7" x14ac:dyDescent="0.25">
      <c r="A12" s="28">
        <v>45962</v>
      </c>
      <c r="B12" s="29"/>
      <c r="C12" s="29"/>
      <c r="D12" s="29"/>
      <c r="E12" s="29"/>
      <c r="F12" s="29"/>
      <c r="G12" s="29"/>
    </row>
    <row r="13" spans="1:7" x14ac:dyDescent="0.25">
      <c r="A13" s="28">
        <v>45992</v>
      </c>
      <c r="B13" s="29"/>
      <c r="C13" s="29"/>
      <c r="D13" s="29"/>
      <c r="E13" s="29"/>
      <c r="F13" s="29"/>
      <c r="G13" s="2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47A9B-E928-4940-9CEF-BBAC3F8C42EE}">
  <sheetPr>
    <tabColor rgb="FF00B050"/>
  </sheetPr>
  <dimension ref="A1:D13"/>
  <sheetViews>
    <sheetView workbookViewId="0">
      <selection activeCell="C3" sqref="C3"/>
    </sheetView>
  </sheetViews>
  <sheetFormatPr baseColWidth="10" defaultRowHeight="15" x14ac:dyDescent="0.25"/>
  <cols>
    <col min="1" max="1" width="21.42578125" bestFit="1" customWidth="1"/>
    <col min="2" max="2" width="26" bestFit="1" customWidth="1"/>
    <col min="3" max="3" width="23.28515625" bestFit="1" customWidth="1"/>
    <col min="4" max="4" width="15.42578125" bestFit="1" customWidth="1"/>
    <col min="5" max="13288" width="8.140625" bestFit="1" customWidth="1"/>
    <col min="13289" max="13289" width="12.5703125" bestFit="1" customWidth="1"/>
  </cols>
  <sheetData>
    <row r="1" spans="1:4" x14ac:dyDescent="0.25">
      <c r="A1" s="27" t="s">
        <v>0</v>
      </c>
      <c r="B1" s="27" t="s">
        <v>164</v>
      </c>
      <c r="C1" s="27" t="s">
        <v>165</v>
      </c>
      <c r="D1" s="27" t="s">
        <v>166</v>
      </c>
    </row>
    <row r="2" spans="1:4" x14ac:dyDescent="0.25">
      <c r="A2" s="28">
        <v>45658</v>
      </c>
      <c r="B2" s="13">
        <v>323</v>
      </c>
      <c r="C2" s="13">
        <v>323</v>
      </c>
      <c r="D2" s="13">
        <f>B2-C2</f>
        <v>0</v>
      </c>
    </row>
    <row r="3" spans="1:4" x14ac:dyDescent="0.25">
      <c r="A3" s="28">
        <v>45689</v>
      </c>
      <c r="B3" s="13">
        <f>154+8</f>
        <v>162</v>
      </c>
      <c r="C3" s="13">
        <v>162</v>
      </c>
      <c r="D3" s="13">
        <f>B3-C3</f>
        <v>0</v>
      </c>
    </row>
    <row r="4" spans="1:4" x14ac:dyDescent="0.25">
      <c r="A4" s="28">
        <v>45717</v>
      </c>
      <c r="B4" s="13"/>
      <c r="C4" s="13"/>
      <c r="D4" s="13"/>
    </row>
    <row r="5" spans="1:4" x14ac:dyDescent="0.25">
      <c r="A5" s="28">
        <v>45748</v>
      </c>
      <c r="B5" s="13"/>
      <c r="C5" s="13"/>
      <c r="D5" s="13"/>
    </row>
    <row r="6" spans="1:4" x14ac:dyDescent="0.25">
      <c r="A6" s="28">
        <v>45778</v>
      </c>
      <c r="B6" s="13"/>
      <c r="C6" s="13"/>
      <c r="D6" s="13"/>
    </row>
    <row r="7" spans="1:4" x14ac:dyDescent="0.25">
      <c r="A7" s="28">
        <v>45809</v>
      </c>
      <c r="B7" s="13"/>
      <c r="C7" s="13"/>
      <c r="D7" s="13"/>
    </row>
    <row r="8" spans="1:4" x14ac:dyDescent="0.25">
      <c r="A8" s="28">
        <v>45839</v>
      </c>
      <c r="B8" s="13"/>
      <c r="C8" s="13"/>
      <c r="D8" s="13"/>
    </row>
    <row r="9" spans="1:4" x14ac:dyDescent="0.25">
      <c r="A9" s="28">
        <v>45870</v>
      </c>
      <c r="B9" s="13"/>
      <c r="C9" s="13"/>
      <c r="D9" s="13"/>
    </row>
    <row r="10" spans="1:4" x14ac:dyDescent="0.25">
      <c r="A10" s="28">
        <v>45901</v>
      </c>
      <c r="B10" s="13"/>
      <c r="C10" s="13"/>
      <c r="D10" s="13"/>
    </row>
    <row r="11" spans="1:4" x14ac:dyDescent="0.25">
      <c r="A11" s="28">
        <v>45931</v>
      </c>
      <c r="B11" s="13"/>
      <c r="C11" s="13"/>
      <c r="D11" s="13"/>
    </row>
    <row r="12" spans="1:4" x14ac:dyDescent="0.25">
      <c r="A12" s="28">
        <v>45962</v>
      </c>
      <c r="B12" s="13"/>
      <c r="C12" s="13"/>
      <c r="D12" s="13"/>
    </row>
    <row r="13" spans="1:4" x14ac:dyDescent="0.25">
      <c r="A13" s="28">
        <v>45992</v>
      </c>
      <c r="B13" s="13"/>
      <c r="C13" s="13"/>
      <c r="D13" s="1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38A0F-28B5-44C4-AFFB-42E546173753}">
  <sheetPr>
    <tabColor rgb="FF0070C0"/>
  </sheetPr>
  <dimension ref="A1:P2"/>
  <sheetViews>
    <sheetView workbookViewId="0">
      <selection activeCell="F12" sqref="F12"/>
    </sheetView>
  </sheetViews>
  <sheetFormatPr baseColWidth="10" defaultColWidth="11.42578125" defaultRowHeight="12" x14ac:dyDescent="0.2"/>
  <cols>
    <col min="1" max="1" width="12.140625" style="32" bestFit="1" customWidth="1"/>
    <col min="2" max="2" width="16.5703125" style="32" customWidth="1"/>
    <col min="3" max="3" width="29" style="32" customWidth="1"/>
    <col min="4" max="4" width="22" style="32" bestFit="1" customWidth="1"/>
    <col min="5" max="5" width="15.85546875" style="32" bestFit="1" customWidth="1"/>
    <col min="6" max="6" width="25.28515625" style="32" bestFit="1" customWidth="1"/>
    <col min="7" max="7" width="16.140625" style="32" bestFit="1" customWidth="1"/>
    <col min="8" max="8" width="29.42578125" style="32" bestFit="1" customWidth="1"/>
    <col min="9" max="9" width="25.7109375" style="32" bestFit="1" customWidth="1"/>
    <col min="10" max="10" width="20.140625" style="32" bestFit="1" customWidth="1"/>
    <col min="11" max="11" width="15.42578125" style="32" bestFit="1" customWidth="1"/>
    <col min="12" max="13" width="15.5703125" style="32" bestFit="1" customWidth="1"/>
    <col min="14" max="14" width="19" style="32" bestFit="1" customWidth="1"/>
    <col min="15" max="15" width="17.85546875" style="32" bestFit="1" customWidth="1"/>
    <col min="16" max="16" width="18.5703125" style="32" bestFit="1" customWidth="1"/>
    <col min="17" max="16384" width="11.42578125" style="32"/>
  </cols>
  <sheetData>
    <row r="1" spans="1:16" s="31" customFormat="1" ht="24" customHeight="1" x14ac:dyDescent="0.25">
      <c r="A1" s="30" t="s">
        <v>208</v>
      </c>
      <c r="B1" s="30" t="s">
        <v>209</v>
      </c>
      <c r="C1" s="30" t="s">
        <v>210</v>
      </c>
      <c r="D1" s="30" t="s">
        <v>211</v>
      </c>
      <c r="E1" s="30" t="s">
        <v>212</v>
      </c>
      <c r="F1" s="30" t="s">
        <v>213</v>
      </c>
      <c r="G1" s="30" t="s">
        <v>214</v>
      </c>
      <c r="H1" s="30" t="s">
        <v>215</v>
      </c>
      <c r="I1" s="30" t="s">
        <v>216</v>
      </c>
      <c r="J1" s="30" t="s">
        <v>217</v>
      </c>
      <c r="K1" s="30" t="s">
        <v>219</v>
      </c>
      <c r="L1" s="30" t="s">
        <v>218</v>
      </c>
      <c r="M1" s="30" t="s">
        <v>220</v>
      </c>
      <c r="N1" s="30" t="s">
        <v>221</v>
      </c>
      <c r="O1" s="30" t="s">
        <v>223</v>
      </c>
      <c r="P1" s="30" t="s">
        <v>222</v>
      </c>
    </row>
    <row r="2" spans="1:16" s="34" customFormat="1" x14ac:dyDescent="0.2">
      <c r="A2" s="33">
        <v>26000000</v>
      </c>
      <c r="B2" s="33">
        <v>20000000</v>
      </c>
      <c r="C2" s="33">
        <v>5000000</v>
      </c>
      <c r="D2" s="33">
        <v>500000</v>
      </c>
      <c r="E2" s="33">
        <v>38.909999999999997</v>
      </c>
      <c r="F2" s="33">
        <v>1500000</v>
      </c>
      <c r="G2" s="33">
        <v>5700000</v>
      </c>
      <c r="H2" s="33">
        <v>0</v>
      </c>
      <c r="I2" s="33">
        <v>200000</v>
      </c>
      <c r="J2" s="33">
        <f>+I2+H2+G2+F2</f>
        <v>7400000</v>
      </c>
      <c r="K2" s="33">
        <v>44.25</v>
      </c>
      <c r="L2" s="33">
        <v>33.25</v>
      </c>
      <c r="M2" s="33">
        <v>15</v>
      </c>
      <c r="N2" s="33">
        <v>35000000</v>
      </c>
      <c r="O2" s="33">
        <v>31000000</v>
      </c>
      <c r="P2" s="33">
        <v>8000000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62C25-465E-48E1-9C19-318ADF02DA57}">
  <sheetPr>
    <tabColor rgb="FF00B050"/>
  </sheetPr>
  <dimension ref="A1:N614"/>
  <sheetViews>
    <sheetView tabSelected="1" topLeftCell="B1" workbookViewId="0">
      <selection activeCell="D242" sqref="D242"/>
    </sheetView>
  </sheetViews>
  <sheetFormatPr baseColWidth="10" defaultColWidth="11.42578125" defaultRowHeight="15" x14ac:dyDescent="0.25"/>
  <cols>
    <col min="1" max="1" width="16.140625" style="59" bestFit="1" customWidth="1"/>
    <col min="2" max="2" width="60" style="59" bestFit="1" customWidth="1"/>
    <col min="3" max="3" width="19" style="59" bestFit="1" customWidth="1"/>
    <col min="4" max="4" width="9.42578125" style="59" bestFit="1" customWidth="1"/>
    <col min="5" max="5" width="8.85546875" style="59" bestFit="1" customWidth="1"/>
    <col min="6" max="6" width="18.7109375" style="59" bestFit="1" customWidth="1"/>
    <col min="7" max="7" width="20.42578125" style="59" customWidth="1"/>
    <col min="8" max="8" width="5.42578125" style="59" bestFit="1" customWidth="1"/>
    <col min="9" max="9" width="37" style="59" bestFit="1" customWidth="1"/>
    <col min="10" max="12" width="18.140625" style="59" bestFit="1" customWidth="1"/>
    <col min="13" max="13" width="11.42578125" style="59"/>
    <col min="14" max="14" width="13.140625" style="59" bestFit="1" customWidth="1"/>
    <col min="15" max="16384" width="11.42578125" style="59"/>
  </cols>
  <sheetData>
    <row r="1" spans="1:14" ht="15.75" thickBot="1" x14ac:dyDescent="0.3">
      <c r="A1" s="52" t="s">
        <v>0</v>
      </c>
      <c r="B1" s="53" t="s">
        <v>6</v>
      </c>
      <c r="C1" s="54" t="s">
        <v>4469</v>
      </c>
      <c r="D1" s="55" t="s">
        <v>4470</v>
      </c>
      <c r="E1" s="55" t="s">
        <v>4471</v>
      </c>
      <c r="F1" s="56" t="s">
        <v>4472</v>
      </c>
      <c r="G1" s="56" t="s">
        <v>4526</v>
      </c>
      <c r="H1" s="52" t="s">
        <v>4473</v>
      </c>
      <c r="I1" s="56" t="s">
        <v>155</v>
      </c>
      <c r="J1" s="56" t="s">
        <v>4474</v>
      </c>
      <c r="K1" s="57" t="s">
        <v>4475</v>
      </c>
      <c r="L1" s="58" t="s">
        <v>4476</v>
      </c>
    </row>
    <row r="2" spans="1:14" x14ac:dyDescent="0.25">
      <c r="A2" s="88">
        <v>45657</v>
      </c>
      <c r="B2" s="60" t="s">
        <v>146</v>
      </c>
      <c r="C2" s="61" t="s">
        <v>4477</v>
      </c>
      <c r="D2" s="61" t="s">
        <v>26</v>
      </c>
      <c r="E2" s="61" t="s">
        <v>26</v>
      </c>
      <c r="F2" s="88">
        <v>45747</v>
      </c>
      <c r="G2" s="61" t="s">
        <v>6330</v>
      </c>
      <c r="H2" s="61" t="s">
        <v>157</v>
      </c>
      <c r="I2" s="60" t="s">
        <v>4477</v>
      </c>
      <c r="J2" s="62">
        <v>558857.1679999996</v>
      </c>
      <c r="K2" s="62">
        <v>0</v>
      </c>
      <c r="L2" s="63">
        <v>558857.1679999996</v>
      </c>
      <c r="N2" s="92"/>
    </row>
    <row r="3" spans="1:14" x14ac:dyDescent="0.25">
      <c r="A3" s="89">
        <v>45291</v>
      </c>
      <c r="B3" s="60" t="s">
        <v>4450</v>
      </c>
      <c r="C3" s="61" t="s">
        <v>4477</v>
      </c>
      <c r="D3" s="61" t="s">
        <v>26</v>
      </c>
      <c r="E3" s="61" t="s">
        <v>26</v>
      </c>
      <c r="F3" s="88">
        <v>45381</v>
      </c>
      <c r="G3" s="61" t="s">
        <v>6331</v>
      </c>
      <c r="H3" s="64" t="s">
        <v>157</v>
      </c>
      <c r="I3" s="60" t="s">
        <v>4477</v>
      </c>
      <c r="J3" s="62">
        <v>150973.6</v>
      </c>
      <c r="K3" s="62">
        <v>0</v>
      </c>
      <c r="L3" s="63">
        <v>150973.6</v>
      </c>
    </row>
    <row r="4" spans="1:14" x14ac:dyDescent="0.25">
      <c r="A4" s="89">
        <v>45291</v>
      </c>
      <c r="B4" s="65" t="s">
        <v>908</v>
      </c>
      <c r="C4" s="61" t="s">
        <v>4477</v>
      </c>
      <c r="D4" s="61" t="s">
        <v>26</v>
      </c>
      <c r="E4" s="61" t="s">
        <v>26</v>
      </c>
      <c r="F4" s="88">
        <v>45381</v>
      </c>
      <c r="G4" s="61" t="s">
        <v>6331</v>
      </c>
      <c r="H4" s="64" t="s">
        <v>157</v>
      </c>
      <c r="I4" s="60" t="s">
        <v>4477</v>
      </c>
      <c r="J4" s="62">
        <v>7794.976000000318</v>
      </c>
      <c r="K4" s="62">
        <v>0</v>
      </c>
      <c r="L4" s="63">
        <v>7794.976000000318</v>
      </c>
    </row>
    <row r="5" spans="1:14" x14ac:dyDescent="0.25">
      <c r="A5" s="89">
        <v>45291</v>
      </c>
      <c r="B5" s="65" t="s">
        <v>139</v>
      </c>
      <c r="C5" s="61" t="s">
        <v>4477</v>
      </c>
      <c r="D5" s="61" t="s">
        <v>26</v>
      </c>
      <c r="E5" s="61" t="s">
        <v>26</v>
      </c>
      <c r="F5" s="88">
        <v>45381</v>
      </c>
      <c r="G5" s="61" t="s">
        <v>6331</v>
      </c>
      <c r="H5" s="64" t="s">
        <v>157</v>
      </c>
      <c r="I5" s="60" t="s">
        <v>4477</v>
      </c>
      <c r="J5" s="62">
        <v>159476.37399999998</v>
      </c>
      <c r="K5" s="62">
        <v>0</v>
      </c>
      <c r="L5" s="63">
        <v>159476.37399999998</v>
      </c>
    </row>
    <row r="6" spans="1:14" x14ac:dyDescent="0.25">
      <c r="A6" s="89">
        <v>45291</v>
      </c>
      <c r="B6" s="65" t="s">
        <v>909</v>
      </c>
      <c r="C6" s="61" t="s">
        <v>4477</v>
      </c>
      <c r="D6" s="61" t="s">
        <v>26</v>
      </c>
      <c r="E6" s="61" t="s">
        <v>26</v>
      </c>
      <c r="F6" s="88">
        <v>45351</v>
      </c>
      <c r="G6" s="61" t="s">
        <v>6331</v>
      </c>
      <c r="H6" s="64" t="s">
        <v>157</v>
      </c>
      <c r="I6" s="60" t="s">
        <v>4477</v>
      </c>
      <c r="J6" s="62">
        <v>2250</v>
      </c>
      <c r="K6" s="62">
        <v>0</v>
      </c>
      <c r="L6" s="63">
        <v>2250</v>
      </c>
    </row>
    <row r="7" spans="1:14" x14ac:dyDescent="0.25">
      <c r="A7" s="89">
        <v>45291</v>
      </c>
      <c r="B7" s="65" t="s">
        <v>161</v>
      </c>
      <c r="C7" s="61" t="s">
        <v>4477</v>
      </c>
      <c r="D7" s="61" t="s">
        <v>26</v>
      </c>
      <c r="E7" s="61" t="s">
        <v>26</v>
      </c>
      <c r="F7" s="88">
        <v>45381</v>
      </c>
      <c r="G7" s="61" t="s">
        <v>6331</v>
      </c>
      <c r="H7" s="64" t="s">
        <v>157</v>
      </c>
      <c r="I7" s="60" t="s">
        <v>4477</v>
      </c>
      <c r="J7" s="62">
        <v>266920.00199999998</v>
      </c>
      <c r="K7" s="62">
        <v>0</v>
      </c>
      <c r="L7" s="63">
        <v>266920.00199999998</v>
      </c>
    </row>
    <row r="8" spans="1:14" x14ac:dyDescent="0.25">
      <c r="A8" s="89">
        <v>45657</v>
      </c>
      <c r="B8" s="65" t="s">
        <v>4423</v>
      </c>
      <c r="C8" s="61" t="s">
        <v>4477</v>
      </c>
      <c r="D8" s="61" t="s">
        <v>26</v>
      </c>
      <c r="E8" s="61" t="s">
        <v>26</v>
      </c>
      <c r="F8" s="88">
        <v>45777</v>
      </c>
      <c r="G8" s="61" t="s">
        <v>6330</v>
      </c>
      <c r="H8" s="64" t="s">
        <v>157</v>
      </c>
      <c r="I8" s="60" t="s">
        <v>4477</v>
      </c>
      <c r="J8" s="62">
        <v>761286.82700000098</v>
      </c>
      <c r="K8" s="62">
        <v>0</v>
      </c>
      <c r="L8" s="63">
        <v>761286.82700000098</v>
      </c>
    </row>
    <row r="9" spans="1:14" x14ac:dyDescent="0.25">
      <c r="A9" s="89">
        <v>45657</v>
      </c>
      <c r="B9" s="65" t="s">
        <v>4447</v>
      </c>
      <c r="C9" s="61" t="s">
        <v>4477</v>
      </c>
      <c r="D9" s="61" t="s">
        <v>26</v>
      </c>
      <c r="E9" s="61" t="s">
        <v>26</v>
      </c>
      <c r="F9" s="88">
        <v>45657</v>
      </c>
      <c r="G9" s="61" t="s">
        <v>6331</v>
      </c>
      <c r="H9" s="64" t="s">
        <v>157</v>
      </c>
      <c r="I9" s="60" t="s">
        <v>4477</v>
      </c>
      <c r="J9" s="62">
        <v>0</v>
      </c>
      <c r="K9" s="62">
        <v>0</v>
      </c>
      <c r="L9" s="63">
        <v>0</v>
      </c>
    </row>
    <row r="10" spans="1:14" x14ac:dyDescent="0.25">
      <c r="A10" s="89">
        <v>45291</v>
      </c>
      <c r="B10" s="66" t="s">
        <v>4451</v>
      </c>
      <c r="C10" s="61" t="s">
        <v>4477</v>
      </c>
      <c r="D10" s="61" t="s">
        <v>26</v>
      </c>
      <c r="E10" s="61" t="s">
        <v>26</v>
      </c>
      <c r="F10" s="88">
        <v>45351</v>
      </c>
      <c r="G10" s="61" t="s">
        <v>6331</v>
      </c>
      <c r="H10" s="64" t="s">
        <v>157</v>
      </c>
      <c r="I10" s="60" t="s">
        <v>4477</v>
      </c>
      <c r="J10" s="62">
        <v>21900</v>
      </c>
      <c r="K10" s="62">
        <v>0</v>
      </c>
      <c r="L10" s="63">
        <v>21900</v>
      </c>
    </row>
    <row r="11" spans="1:14" x14ac:dyDescent="0.25">
      <c r="A11" s="89">
        <v>45291</v>
      </c>
      <c r="B11" s="65" t="s">
        <v>148</v>
      </c>
      <c r="C11" s="61" t="s">
        <v>4477</v>
      </c>
      <c r="D11" s="61" t="s">
        <v>26</v>
      </c>
      <c r="E11" s="61" t="s">
        <v>26</v>
      </c>
      <c r="F11" s="88">
        <v>45381</v>
      </c>
      <c r="G11" s="61" t="s">
        <v>6331</v>
      </c>
      <c r="H11" s="64" t="s">
        <v>157</v>
      </c>
      <c r="I11" s="60" t="s">
        <v>4477</v>
      </c>
      <c r="J11" s="62">
        <v>3082322.17</v>
      </c>
      <c r="K11" s="62">
        <v>0</v>
      </c>
      <c r="L11" s="63">
        <v>3082322.17</v>
      </c>
    </row>
    <row r="12" spans="1:14" x14ac:dyDescent="0.25">
      <c r="A12" s="89">
        <v>45291</v>
      </c>
      <c r="B12" s="65" t="s">
        <v>162</v>
      </c>
      <c r="C12" s="61" t="s">
        <v>4477</v>
      </c>
      <c r="D12" s="61" t="s">
        <v>26</v>
      </c>
      <c r="E12" s="61" t="s">
        <v>26</v>
      </c>
      <c r="F12" s="88">
        <v>45381</v>
      </c>
      <c r="G12" s="61" t="s">
        <v>6331</v>
      </c>
      <c r="H12" s="64" t="s">
        <v>157</v>
      </c>
      <c r="I12" s="60" t="s">
        <v>4477</v>
      </c>
      <c r="J12" s="62">
        <v>1625316</v>
      </c>
      <c r="K12" s="62">
        <v>0</v>
      </c>
      <c r="L12" s="63">
        <v>1625316</v>
      </c>
    </row>
    <row r="13" spans="1:14" x14ac:dyDescent="0.25">
      <c r="A13" s="89">
        <v>45291</v>
      </c>
      <c r="B13" s="65" t="s">
        <v>1034</v>
      </c>
      <c r="C13" s="61" t="s">
        <v>4477</v>
      </c>
      <c r="D13" s="61" t="s">
        <v>26</v>
      </c>
      <c r="E13" s="61" t="s">
        <v>26</v>
      </c>
      <c r="F13" s="88">
        <v>45381</v>
      </c>
      <c r="G13" s="61" t="s">
        <v>6331</v>
      </c>
      <c r="H13" s="64" t="s">
        <v>157</v>
      </c>
      <c r="I13" s="60" t="s">
        <v>4477</v>
      </c>
      <c r="J13" s="62">
        <v>408310.38959999965</v>
      </c>
      <c r="K13" s="62">
        <v>0</v>
      </c>
      <c r="L13" s="63">
        <v>408310.38959999965</v>
      </c>
    </row>
    <row r="14" spans="1:14" x14ac:dyDescent="0.25">
      <c r="A14" s="89">
        <v>45291</v>
      </c>
      <c r="B14" s="65" t="s">
        <v>149</v>
      </c>
      <c r="C14" s="61" t="s">
        <v>4477</v>
      </c>
      <c r="D14" s="61" t="s">
        <v>26</v>
      </c>
      <c r="E14" s="61" t="s">
        <v>26</v>
      </c>
      <c r="F14" s="88">
        <v>45381</v>
      </c>
      <c r="G14" s="61" t="s">
        <v>6331</v>
      </c>
      <c r="H14" s="64" t="s">
        <v>157</v>
      </c>
      <c r="I14" s="60" t="s">
        <v>4477</v>
      </c>
      <c r="J14" s="62">
        <v>123911.84400000019</v>
      </c>
      <c r="K14" s="62">
        <v>0</v>
      </c>
      <c r="L14" s="63">
        <v>123911.84400000019</v>
      </c>
    </row>
    <row r="15" spans="1:14" x14ac:dyDescent="0.25">
      <c r="A15" s="89">
        <v>45291</v>
      </c>
      <c r="B15" s="65" t="s">
        <v>4452</v>
      </c>
      <c r="C15" s="61" t="s">
        <v>4477</v>
      </c>
      <c r="D15" s="61" t="s">
        <v>26</v>
      </c>
      <c r="E15" s="61" t="s">
        <v>26</v>
      </c>
      <c r="F15" s="88">
        <v>45381</v>
      </c>
      <c r="G15" s="61" t="s">
        <v>6331</v>
      </c>
      <c r="H15" s="64" t="s">
        <v>157</v>
      </c>
      <c r="I15" s="60" t="s">
        <v>4477</v>
      </c>
      <c r="J15" s="62">
        <v>386395.59000000008</v>
      </c>
      <c r="K15" s="62">
        <v>0</v>
      </c>
      <c r="L15" s="63">
        <v>386395.59000000008</v>
      </c>
    </row>
    <row r="16" spans="1:14" x14ac:dyDescent="0.25">
      <c r="A16" s="89">
        <v>45291</v>
      </c>
      <c r="B16" s="65" t="s">
        <v>4453</v>
      </c>
      <c r="C16" s="61" t="s">
        <v>4477</v>
      </c>
      <c r="D16" s="61" t="s">
        <v>26</v>
      </c>
      <c r="E16" s="61" t="s">
        <v>26</v>
      </c>
      <c r="F16" s="88">
        <v>45351</v>
      </c>
      <c r="G16" s="61" t="s">
        <v>6331</v>
      </c>
      <c r="H16" s="64" t="s">
        <v>157</v>
      </c>
      <c r="I16" s="60" t="s">
        <v>4477</v>
      </c>
      <c r="J16" s="62">
        <v>162783.98800000007</v>
      </c>
      <c r="K16" s="62">
        <v>0</v>
      </c>
      <c r="L16" s="63">
        <v>162783.98800000007</v>
      </c>
    </row>
    <row r="17" spans="1:12" x14ac:dyDescent="0.25">
      <c r="A17" s="89">
        <v>45291</v>
      </c>
      <c r="B17" s="65" t="s">
        <v>910</v>
      </c>
      <c r="C17" s="61" t="s">
        <v>4477</v>
      </c>
      <c r="D17" s="61" t="s">
        <v>26</v>
      </c>
      <c r="E17" s="61" t="s">
        <v>26</v>
      </c>
      <c r="F17" s="88">
        <v>45351</v>
      </c>
      <c r="G17" s="61" t="s">
        <v>6331</v>
      </c>
      <c r="H17" s="64" t="s">
        <v>157</v>
      </c>
      <c r="I17" s="60" t="s">
        <v>4477</v>
      </c>
      <c r="J17" s="62">
        <v>24685.415999999997</v>
      </c>
      <c r="K17" s="62">
        <v>0</v>
      </c>
      <c r="L17" s="63">
        <v>24685.415999999997</v>
      </c>
    </row>
    <row r="18" spans="1:12" x14ac:dyDescent="0.25">
      <c r="A18" s="89">
        <v>45291</v>
      </c>
      <c r="B18" s="65" t="s">
        <v>911</v>
      </c>
      <c r="C18" s="61" t="s">
        <v>4477</v>
      </c>
      <c r="D18" s="61" t="s">
        <v>26</v>
      </c>
      <c r="E18" s="61" t="s">
        <v>26</v>
      </c>
      <c r="F18" s="88">
        <v>45381</v>
      </c>
      <c r="G18" s="61" t="s">
        <v>6331</v>
      </c>
      <c r="H18" s="64" t="s">
        <v>157</v>
      </c>
      <c r="I18" s="60" t="s">
        <v>4477</v>
      </c>
      <c r="J18" s="62">
        <v>2411812.6999999997</v>
      </c>
      <c r="K18" s="62">
        <v>0</v>
      </c>
      <c r="L18" s="63">
        <v>2411812.6999999997</v>
      </c>
    </row>
    <row r="19" spans="1:12" x14ac:dyDescent="0.25">
      <c r="A19" s="89">
        <v>45291</v>
      </c>
      <c r="B19" s="65" t="s">
        <v>4454</v>
      </c>
      <c r="C19" s="61" t="s">
        <v>4477</v>
      </c>
      <c r="D19" s="61" t="s">
        <v>26</v>
      </c>
      <c r="E19" s="61" t="s">
        <v>26</v>
      </c>
      <c r="F19" s="88">
        <v>45381</v>
      </c>
      <c r="G19" s="61" t="s">
        <v>6331</v>
      </c>
      <c r="H19" s="64" t="s">
        <v>157</v>
      </c>
      <c r="I19" s="60" t="s">
        <v>4477</v>
      </c>
      <c r="J19" s="62">
        <v>89044.893999999971</v>
      </c>
      <c r="K19" s="62">
        <v>0</v>
      </c>
      <c r="L19" s="63">
        <v>89044.893999999971</v>
      </c>
    </row>
    <row r="20" spans="1:12" x14ac:dyDescent="0.25">
      <c r="A20" s="89">
        <v>45291</v>
      </c>
      <c r="B20" s="65" t="s">
        <v>4455</v>
      </c>
      <c r="C20" s="64" t="s">
        <v>4477</v>
      </c>
      <c r="D20" s="61" t="s">
        <v>26</v>
      </c>
      <c r="E20" s="61" t="s">
        <v>26</v>
      </c>
      <c r="F20" s="88">
        <v>45381</v>
      </c>
      <c r="G20" s="61" t="s">
        <v>6331</v>
      </c>
      <c r="H20" s="64" t="s">
        <v>157</v>
      </c>
      <c r="I20" s="60" t="s">
        <v>4477</v>
      </c>
      <c r="J20" s="62">
        <v>3007.3439999999978</v>
      </c>
      <c r="K20" s="62">
        <v>0</v>
      </c>
      <c r="L20" s="63">
        <v>3007.3439999999978</v>
      </c>
    </row>
    <row r="21" spans="1:12" x14ac:dyDescent="0.25">
      <c r="A21" s="89">
        <v>45657</v>
      </c>
      <c r="B21" s="65" t="s">
        <v>4422</v>
      </c>
      <c r="C21" s="64" t="s">
        <v>4477</v>
      </c>
      <c r="D21" s="61" t="s">
        <v>26</v>
      </c>
      <c r="E21" s="61" t="s">
        <v>26</v>
      </c>
      <c r="F21" s="88">
        <v>45717</v>
      </c>
      <c r="G21" s="61" t="s">
        <v>6330</v>
      </c>
      <c r="H21" s="64" t="s">
        <v>157</v>
      </c>
      <c r="I21" s="60" t="s">
        <v>4477</v>
      </c>
      <c r="J21" s="62">
        <v>1808360.0219999999</v>
      </c>
      <c r="K21" s="62">
        <v>0</v>
      </c>
      <c r="L21" s="63">
        <v>1808360.0219999999</v>
      </c>
    </row>
    <row r="22" spans="1:12" x14ac:dyDescent="0.25">
      <c r="A22" s="89">
        <v>45291</v>
      </c>
      <c r="B22" s="12" t="s">
        <v>4456</v>
      </c>
      <c r="C22" s="64" t="s">
        <v>4477</v>
      </c>
      <c r="D22" s="61" t="s">
        <v>26</v>
      </c>
      <c r="E22" s="61" t="s">
        <v>26</v>
      </c>
      <c r="F22" s="88">
        <v>45351</v>
      </c>
      <c r="G22" s="61" t="s">
        <v>6331</v>
      </c>
      <c r="H22" s="64" t="s">
        <v>157</v>
      </c>
      <c r="I22" s="60" t="s">
        <v>4477</v>
      </c>
      <c r="J22" s="62">
        <v>2463.7439999999997</v>
      </c>
      <c r="K22" s="62">
        <v>0</v>
      </c>
      <c r="L22" s="63">
        <v>2463.7439999999997</v>
      </c>
    </row>
    <row r="23" spans="1:12" x14ac:dyDescent="0.25">
      <c r="A23" s="89">
        <v>45657</v>
      </c>
      <c r="B23" s="65" t="s">
        <v>4448</v>
      </c>
      <c r="C23" s="64" t="s">
        <v>4477</v>
      </c>
      <c r="D23" s="61" t="s">
        <v>26</v>
      </c>
      <c r="E23" s="61" t="s">
        <v>26</v>
      </c>
      <c r="F23" s="88">
        <v>45747</v>
      </c>
      <c r="G23" s="61" t="s">
        <v>6330</v>
      </c>
      <c r="H23" s="64" t="s">
        <v>157</v>
      </c>
      <c r="I23" s="60" t="s">
        <v>4477</v>
      </c>
      <c r="J23" s="62">
        <v>461926.35519999964</v>
      </c>
      <c r="K23" s="62">
        <v>0</v>
      </c>
      <c r="L23" s="63">
        <v>461926.35519999964</v>
      </c>
    </row>
    <row r="24" spans="1:12" x14ac:dyDescent="0.25">
      <c r="A24" s="89">
        <v>45291</v>
      </c>
      <c r="B24" s="65" t="s">
        <v>4457</v>
      </c>
      <c r="C24" s="64" t="s">
        <v>4477</v>
      </c>
      <c r="D24" s="61" t="s">
        <v>26</v>
      </c>
      <c r="E24" s="61" t="s">
        <v>26</v>
      </c>
      <c r="F24" s="88">
        <v>45291</v>
      </c>
      <c r="G24" s="61" t="s">
        <v>6331</v>
      </c>
      <c r="H24" s="64" t="s">
        <v>157</v>
      </c>
      <c r="I24" s="60" t="s">
        <v>4477</v>
      </c>
      <c r="J24" s="62">
        <v>-9839.6680000000633</v>
      </c>
      <c r="K24" s="62">
        <v>0</v>
      </c>
      <c r="L24" s="63">
        <v>-9839.6680000000633</v>
      </c>
    </row>
    <row r="25" spans="1:12" x14ac:dyDescent="0.25">
      <c r="A25" s="89">
        <v>45657</v>
      </c>
      <c r="B25" s="65" t="s">
        <v>66</v>
      </c>
      <c r="C25" s="64" t="s">
        <v>4477</v>
      </c>
      <c r="D25" s="61" t="s">
        <v>26</v>
      </c>
      <c r="E25" s="61" t="s">
        <v>26</v>
      </c>
      <c r="F25" s="88">
        <v>45747</v>
      </c>
      <c r="G25" s="61" t="s">
        <v>6330</v>
      </c>
      <c r="H25" s="64" t="s">
        <v>157</v>
      </c>
      <c r="I25" s="60" t="s">
        <v>4477</v>
      </c>
      <c r="J25" s="62">
        <v>118649.28000000003</v>
      </c>
      <c r="K25" s="62">
        <v>0</v>
      </c>
      <c r="L25" s="63">
        <v>118649.28000000003</v>
      </c>
    </row>
    <row r="26" spans="1:12" x14ac:dyDescent="0.25">
      <c r="A26" s="89">
        <v>45291</v>
      </c>
      <c r="B26" s="65" t="s">
        <v>4458</v>
      </c>
      <c r="C26" s="64" t="s">
        <v>4477</v>
      </c>
      <c r="D26" s="61" t="s">
        <v>26</v>
      </c>
      <c r="E26" s="61" t="s">
        <v>26</v>
      </c>
      <c r="F26" s="88">
        <v>45381</v>
      </c>
      <c r="G26" s="61" t="s">
        <v>6331</v>
      </c>
      <c r="H26" s="64" t="s">
        <v>157</v>
      </c>
      <c r="I26" s="60" t="s">
        <v>4477</v>
      </c>
      <c r="J26" s="62">
        <v>690873</v>
      </c>
      <c r="K26" s="62">
        <v>0</v>
      </c>
      <c r="L26" s="63">
        <v>690873</v>
      </c>
    </row>
    <row r="27" spans="1:12" x14ac:dyDescent="0.25">
      <c r="A27" s="89">
        <v>45291</v>
      </c>
      <c r="B27" s="65" t="s">
        <v>4459</v>
      </c>
      <c r="C27" s="64" t="s">
        <v>4477</v>
      </c>
      <c r="D27" s="61" t="s">
        <v>26</v>
      </c>
      <c r="E27" s="61" t="s">
        <v>26</v>
      </c>
      <c r="F27" s="88">
        <v>45381</v>
      </c>
      <c r="G27" s="61" t="s">
        <v>6331</v>
      </c>
      <c r="H27" s="64" t="s">
        <v>157</v>
      </c>
      <c r="I27" s="60" t="s">
        <v>4477</v>
      </c>
      <c r="J27" s="62">
        <v>27345.599999999991</v>
      </c>
      <c r="K27" s="62">
        <v>0</v>
      </c>
      <c r="L27" s="63">
        <v>27345.599999999991</v>
      </c>
    </row>
    <row r="28" spans="1:12" x14ac:dyDescent="0.25">
      <c r="A28" s="89">
        <v>45291</v>
      </c>
      <c r="B28" s="65" t="s">
        <v>150</v>
      </c>
      <c r="C28" s="64" t="s">
        <v>4477</v>
      </c>
      <c r="D28" s="61" t="s">
        <v>26</v>
      </c>
      <c r="E28" s="61" t="s">
        <v>26</v>
      </c>
      <c r="F28" s="88">
        <v>45381</v>
      </c>
      <c r="G28" s="61" t="s">
        <v>6331</v>
      </c>
      <c r="H28" s="64" t="s">
        <v>157</v>
      </c>
      <c r="I28" s="60" t="s">
        <v>4477</v>
      </c>
      <c r="J28" s="62">
        <v>906180.2</v>
      </c>
      <c r="K28" s="62">
        <v>0</v>
      </c>
      <c r="L28" s="63">
        <v>906180.2</v>
      </c>
    </row>
    <row r="29" spans="1:12" x14ac:dyDescent="0.25">
      <c r="A29" s="89">
        <v>45291</v>
      </c>
      <c r="B29" s="65" t="s">
        <v>912</v>
      </c>
      <c r="C29" s="64" t="s">
        <v>4477</v>
      </c>
      <c r="D29" s="61" t="s">
        <v>26</v>
      </c>
      <c r="E29" s="61" t="s">
        <v>26</v>
      </c>
      <c r="F29" s="88">
        <v>45291</v>
      </c>
      <c r="G29" s="61" t="s">
        <v>6331</v>
      </c>
      <c r="H29" s="64" t="s">
        <v>157</v>
      </c>
      <c r="I29" s="60" t="s">
        <v>4477</v>
      </c>
      <c r="J29" s="62">
        <v>5397.0959999999977</v>
      </c>
      <c r="K29" s="62">
        <v>0</v>
      </c>
      <c r="L29" s="63">
        <v>5397.0959999999977</v>
      </c>
    </row>
    <row r="30" spans="1:12" x14ac:dyDescent="0.25">
      <c r="A30" s="89">
        <v>45412</v>
      </c>
      <c r="B30" s="65" t="s">
        <v>51</v>
      </c>
      <c r="C30" s="64" t="s">
        <v>4477</v>
      </c>
      <c r="D30" s="61" t="s">
        <v>26</v>
      </c>
      <c r="E30" s="61" t="s">
        <v>26</v>
      </c>
      <c r="F30" s="88">
        <v>45502</v>
      </c>
      <c r="G30" s="61" t="s">
        <v>6331</v>
      </c>
      <c r="H30" s="64" t="s">
        <v>157</v>
      </c>
      <c r="I30" s="60" t="s">
        <v>4477</v>
      </c>
      <c r="J30" s="62">
        <v>553197.69999999995</v>
      </c>
      <c r="K30" s="62">
        <v>0</v>
      </c>
      <c r="L30" s="63">
        <v>553197.69999999995</v>
      </c>
    </row>
    <row r="31" spans="1:12" x14ac:dyDescent="0.25">
      <c r="A31" s="89">
        <v>45657</v>
      </c>
      <c r="B31" s="65" t="s">
        <v>4445</v>
      </c>
      <c r="C31" s="64" t="s">
        <v>4477</v>
      </c>
      <c r="D31" s="61" t="s">
        <v>26</v>
      </c>
      <c r="E31" s="61" t="s">
        <v>26</v>
      </c>
      <c r="F31" s="88">
        <v>45657</v>
      </c>
      <c r="G31" s="61" t="s">
        <v>6331</v>
      </c>
      <c r="H31" s="64" t="s">
        <v>157</v>
      </c>
      <c r="I31" s="60" t="s">
        <v>4477</v>
      </c>
      <c r="J31" s="62">
        <v>0</v>
      </c>
      <c r="K31" s="62">
        <v>0</v>
      </c>
      <c r="L31" s="63">
        <v>0</v>
      </c>
    </row>
    <row r="32" spans="1:12" x14ac:dyDescent="0.25">
      <c r="A32" s="89">
        <v>45657</v>
      </c>
      <c r="B32" s="65" t="s">
        <v>4460</v>
      </c>
      <c r="C32" s="64" t="s">
        <v>4477</v>
      </c>
      <c r="D32" s="61" t="s">
        <v>26</v>
      </c>
      <c r="E32" s="61" t="s">
        <v>26</v>
      </c>
      <c r="F32" s="88">
        <v>45657</v>
      </c>
      <c r="G32" s="61" t="s">
        <v>6331</v>
      </c>
      <c r="H32" s="64" t="s">
        <v>157</v>
      </c>
      <c r="I32" s="60" t="s">
        <v>4477</v>
      </c>
      <c r="J32" s="62">
        <v>-802.22</v>
      </c>
      <c r="K32" s="62">
        <v>0</v>
      </c>
      <c r="L32" s="63">
        <v>-802.22</v>
      </c>
    </row>
    <row r="33" spans="1:12" x14ac:dyDescent="0.25">
      <c r="A33" s="89">
        <v>45657</v>
      </c>
      <c r="B33" s="65" t="s">
        <v>914</v>
      </c>
      <c r="C33" s="64" t="s">
        <v>4477</v>
      </c>
      <c r="D33" s="61" t="s">
        <v>26</v>
      </c>
      <c r="E33" s="61" t="s">
        <v>26</v>
      </c>
      <c r="F33" s="88">
        <v>45657</v>
      </c>
      <c r="G33" s="61" t="s">
        <v>6331</v>
      </c>
      <c r="H33" s="64" t="s">
        <v>157</v>
      </c>
      <c r="I33" s="60" t="s">
        <v>4477</v>
      </c>
      <c r="J33" s="62">
        <v>20669.471999999994</v>
      </c>
      <c r="K33" s="62">
        <v>0</v>
      </c>
      <c r="L33" s="63">
        <v>20669.471999999994</v>
      </c>
    </row>
    <row r="34" spans="1:12" x14ac:dyDescent="0.25">
      <c r="A34" s="89">
        <v>45565</v>
      </c>
      <c r="B34" s="65" t="s">
        <v>4461</v>
      </c>
      <c r="C34" s="64" t="s">
        <v>4477</v>
      </c>
      <c r="D34" s="61" t="s">
        <v>26</v>
      </c>
      <c r="E34" s="61" t="s">
        <v>26</v>
      </c>
      <c r="F34" s="88">
        <v>45655</v>
      </c>
      <c r="G34" s="61" t="s">
        <v>6331</v>
      </c>
      <c r="H34" s="64" t="s">
        <v>157</v>
      </c>
      <c r="I34" s="60" t="s">
        <v>4477</v>
      </c>
      <c r="J34" s="62">
        <v>508660.2128000001</v>
      </c>
      <c r="K34" s="62">
        <v>0</v>
      </c>
      <c r="L34" s="63">
        <v>508660.2128000001</v>
      </c>
    </row>
    <row r="35" spans="1:12" x14ac:dyDescent="0.25">
      <c r="A35" s="89">
        <v>45677</v>
      </c>
      <c r="B35" s="65" t="s">
        <v>4461</v>
      </c>
      <c r="C35" s="64" t="s">
        <v>4478</v>
      </c>
      <c r="D35" s="61" t="s">
        <v>26</v>
      </c>
      <c r="E35" s="61" t="s">
        <v>26</v>
      </c>
      <c r="F35" s="88">
        <v>45677</v>
      </c>
      <c r="G35" s="61" t="s">
        <v>26</v>
      </c>
      <c r="H35" s="64" t="s">
        <v>157</v>
      </c>
      <c r="I35" s="60" t="s">
        <v>4479</v>
      </c>
      <c r="J35" s="62">
        <v>60850.51</v>
      </c>
      <c r="K35" s="62">
        <v>0</v>
      </c>
      <c r="L35" s="63">
        <v>60850.51</v>
      </c>
    </row>
    <row r="36" spans="1:12" x14ac:dyDescent="0.25">
      <c r="A36" s="89">
        <v>45657</v>
      </c>
      <c r="B36" s="65" t="s">
        <v>4446</v>
      </c>
      <c r="C36" s="64" t="s">
        <v>4477</v>
      </c>
      <c r="D36" s="61" t="s">
        <v>26</v>
      </c>
      <c r="E36" s="61" t="s">
        <v>26</v>
      </c>
      <c r="F36" s="88">
        <v>45777</v>
      </c>
      <c r="G36" s="61" t="s">
        <v>6330</v>
      </c>
      <c r="H36" s="64" t="s">
        <v>157</v>
      </c>
      <c r="I36" s="60" t="s">
        <v>4477</v>
      </c>
      <c r="J36" s="62">
        <v>285247.36599999998</v>
      </c>
      <c r="K36" s="62">
        <v>0</v>
      </c>
      <c r="L36" s="63">
        <v>285247.36599999998</v>
      </c>
    </row>
    <row r="37" spans="1:12" x14ac:dyDescent="0.25">
      <c r="A37" s="89">
        <v>44926</v>
      </c>
      <c r="B37" s="65" t="s">
        <v>4462</v>
      </c>
      <c r="C37" s="64" t="s">
        <v>4477</v>
      </c>
      <c r="D37" s="61" t="s">
        <v>26</v>
      </c>
      <c r="E37" s="61" t="s">
        <v>26</v>
      </c>
      <c r="F37" s="88">
        <v>45016</v>
      </c>
      <c r="G37" s="61" t="s">
        <v>6331</v>
      </c>
      <c r="H37" s="64" t="s">
        <v>157</v>
      </c>
      <c r="I37" s="60" t="s">
        <v>4477</v>
      </c>
      <c r="J37" s="62">
        <v>107800.00000000001</v>
      </c>
      <c r="K37" s="62">
        <v>0</v>
      </c>
      <c r="L37" s="63">
        <v>107800.00000000001</v>
      </c>
    </row>
    <row r="38" spans="1:12" x14ac:dyDescent="0.25">
      <c r="A38" s="89">
        <v>44957</v>
      </c>
      <c r="B38" s="65" t="s">
        <v>4463</v>
      </c>
      <c r="C38" s="64" t="s">
        <v>4477</v>
      </c>
      <c r="D38" s="61" t="s">
        <v>26</v>
      </c>
      <c r="E38" s="61" t="s">
        <v>26</v>
      </c>
      <c r="F38" s="88">
        <v>45047</v>
      </c>
      <c r="G38" s="61" t="s">
        <v>6331</v>
      </c>
      <c r="H38" s="64" t="s">
        <v>157</v>
      </c>
      <c r="I38" s="60" t="s">
        <v>4477</v>
      </c>
      <c r="J38" s="62">
        <v>623610</v>
      </c>
      <c r="K38" s="62">
        <v>0</v>
      </c>
      <c r="L38" s="63">
        <v>623610</v>
      </c>
    </row>
    <row r="39" spans="1:12" x14ac:dyDescent="0.25">
      <c r="A39" s="89">
        <v>44561</v>
      </c>
      <c r="B39" s="65" t="s">
        <v>915</v>
      </c>
      <c r="C39" s="64" t="s">
        <v>4477</v>
      </c>
      <c r="D39" s="61" t="s">
        <v>26</v>
      </c>
      <c r="E39" s="61" t="s">
        <v>26</v>
      </c>
      <c r="F39" s="88">
        <v>44651</v>
      </c>
      <c r="G39" s="61" t="s">
        <v>6331</v>
      </c>
      <c r="H39" s="64" t="s">
        <v>157</v>
      </c>
      <c r="I39" s="60" t="s">
        <v>4477</v>
      </c>
      <c r="J39" s="62">
        <v>191611.31</v>
      </c>
      <c r="K39" s="62">
        <v>0</v>
      </c>
      <c r="L39" s="63">
        <v>191611.31</v>
      </c>
    </row>
    <row r="40" spans="1:12" x14ac:dyDescent="0.25">
      <c r="A40" s="89">
        <v>44561</v>
      </c>
      <c r="B40" s="65" t="s">
        <v>916</v>
      </c>
      <c r="C40" s="64" t="s">
        <v>4477</v>
      </c>
      <c r="D40" s="61" t="s">
        <v>26</v>
      </c>
      <c r="E40" s="61" t="s">
        <v>26</v>
      </c>
      <c r="F40" s="88">
        <v>44651</v>
      </c>
      <c r="G40" s="61" t="s">
        <v>6331</v>
      </c>
      <c r="H40" s="64" t="s">
        <v>157</v>
      </c>
      <c r="I40" s="60" t="s">
        <v>4477</v>
      </c>
      <c r="J40" s="62">
        <v>22800</v>
      </c>
      <c r="K40" s="62">
        <v>0</v>
      </c>
      <c r="L40" s="63">
        <v>22800</v>
      </c>
    </row>
    <row r="41" spans="1:12" x14ac:dyDescent="0.25">
      <c r="A41" s="89">
        <v>45657</v>
      </c>
      <c r="B41" s="65" t="s">
        <v>4424</v>
      </c>
      <c r="C41" s="64" t="s">
        <v>4477</v>
      </c>
      <c r="D41" s="61" t="s">
        <v>26</v>
      </c>
      <c r="E41" s="61" t="s">
        <v>26</v>
      </c>
      <c r="F41" s="88">
        <v>45717</v>
      </c>
      <c r="G41" s="61" t="s">
        <v>6330</v>
      </c>
      <c r="H41" s="64" t="s">
        <v>157</v>
      </c>
      <c r="I41" s="60" t="s">
        <v>4477</v>
      </c>
      <c r="J41" s="62">
        <v>117553.728</v>
      </c>
      <c r="K41" s="62">
        <v>0</v>
      </c>
      <c r="L41" s="63">
        <v>117553.728</v>
      </c>
    </row>
    <row r="42" spans="1:12" x14ac:dyDescent="0.25">
      <c r="A42" s="89">
        <v>44926</v>
      </c>
      <c r="B42" s="65" t="s">
        <v>4464</v>
      </c>
      <c r="C42" s="64" t="s">
        <v>4477</v>
      </c>
      <c r="D42" s="61" t="s">
        <v>26</v>
      </c>
      <c r="E42" s="61" t="s">
        <v>26</v>
      </c>
      <c r="F42" s="88">
        <v>45016</v>
      </c>
      <c r="G42" s="61" t="s">
        <v>6331</v>
      </c>
      <c r="H42" s="64" t="s">
        <v>157</v>
      </c>
      <c r="I42" s="60" t="s">
        <v>4477</v>
      </c>
      <c r="J42" s="62">
        <v>12000</v>
      </c>
      <c r="K42" s="62">
        <v>0</v>
      </c>
      <c r="L42" s="63">
        <v>12000</v>
      </c>
    </row>
    <row r="43" spans="1:12" x14ac:dyDescent="0.25">
      <c r="A43" s="89">
        <v>44865</v>
      </c>
      <c r="B43" s="65" t="s">
        <v>4465</v>
      </c>
      <c r="C43" s="64" t="s">
        <v>4477</v>
      </c>
      <c r="D43" s="61" t="s">
        <v>26</v>
      </c>
      <c r="E43" s="61" t="s">
        <v>26</v>
      </c>
      <c r="F43" s="88">
        <v>44955</v>
      </c>
      <c r="G43" s="61" t="s">
        <v>6331</v>
      </c>
      <c r="H43" s="64" t="s">
        <v>157</v>
      </c>
      <c r="I43" s="60" t="s">
        <v>4477</v>
      </c>
      <c r="J43" s="62">
        <v>72875</v>
      </c>
      <c r="K43" s="62">
        <v>0</v>
      </c>
      <c r="L43" s="63">
        <v>72875</v>
      </c>
    </row>
    <row r="44" spans="1:12" x14ac:dyDescent="0.25">
      <c r="A44" s="89">
        <v>45473</v>
      </c>
      <c r="B44" s="65" t="s">
        <v>4466</v>
      </c>
      <c r="C44" s="64" t="s">
        <v>4477</v>
      </c>
      <c r="D44" s="61" t="s">
        <v>26</v>
      </c>
      <c r="E44" s="61" t="s">
        <v>26</v>
      </c>
      <c r="F44" s="88">
        <v>45593</v>
      </c>
      <c r="G44" s="61" t="s">
        <v>6331</v>
      </c>
      <c r="H44" s="64" t="s">
        <v>157</v>
      </c>
      <c r="I44" s="60" t="s">
        <v>4477</v>
      </c>
      <c r="J44" s="62">
        <v>74379.600000000093</v>
      </c>
      <c r="K44" s="62">
        <v>0</v>
      </c>
      <c r="L44" s="63">
        <v>74379.600000000093</v>
      </c>
    </row>
    <row r="45" spans="1:12" x14ac:dyDescent="0.25">
      <c r="A45" s="90">
        <v>45659</v>
      </c>
      <c r="B45" s="60" t="s">
        <v>146</v>
      </c>
      <c r="C45" s="11" t="s">
        <v>4480</v>
      </c>
      <c r="D45" s="11" t="s">
        <v>4481</v>
      </c>
      <c r="E45" s="11" t="s">
        <v>907</v>
      </c>
      <c r="F45" s="88">
        <v>45749</v>
      </c>
      <c r="G45" s="80" t="s">
        <v>26</v>
      </c>
      <c r="H45" s="11" t="s">
        <v>157</v>
      </c>
      <c r="I45" s="67" t="s">
        <v>4399</v>
      </c>
      <c r="J45" s="76">
        <v>0</v>
      </c>
      <c r="K45" s="76">
        <v>30000</v>
      </c>
      <c r="L45" s="81">
        <v>-30000</v>
      </c>
    </row>
    <row r="46" spans="1:12" x14ac:dyDescent="0.25">
      <c r="A46" s="90">
        <v>45664</v>
      </c>
      <c r="B46" s="65" t="s">
        <v>4446</v>
      </c>
      <c r="C46" s="11" t="s">
        <v>4480</v>
      </c>
      <c r="D46" s="11" t="s">
        <v>4481</v>
      </c>
      <c r="E46" s="11" t="s">
        <v>1013</v>
      </c>
      <c r="F46" s="88">
        <v>45784</v>
      </c>
      <c r="G46" s="80" t="s">
        <v>26</v>
      </c>
      <c r="H46" s="11" t="s">
        <v>157</v>
      </c>
      <c r="I46" s="67" t="s">
        <v>4400</v>
      </c>
      <c r="J46" s="76"/>
      <c r="K46" s="76">
        <v>76388.929999999993</v>
      </c>
      <c r="L46" s="81">
        <v>-76388.929999999993</v>
      </c>
    </row>
    <row r="47" spans="1:12" x14ac:dyDescent="0.25">
      <c r="A47" s="89">
        <v>45657</v>
      </c>
      <c r="B47" s="65" t="s">
        <v>4447</v>
      </c>
      <c r="C47" s="64" t="s">
        <v>4477</v>
      </c>
      <c r="D47" s="61" t="s">
        <v>26</v>
      </c>
      <c r="E47" s="61" t="s">
        <v>26</v>
      </c>
      <c r="F47" s="88">
        <v>45657</v>
      </c>
      <c r="G47" s="61" t="s">
        <v>26</v>
      </c>
      <c r="H47" s="64" t="s">
        <v>160</v>
      </c>
      <c r="I47" s="65" t="s">
        <v>4477</v>
      </c>
      <c r="J47" s="62">
        <v>-38869.699999999997</v>
      </c>
      <c r="K47" s="62">
        <v>0</v>
      </c>
      <c r="L47" s="63">
        <v>-38869.699999999997</v>
      </c>
    </row>
    <row r="48" spans="1:12" x14ac:dyDescent="0.25">
      <c r="A48" s="89">
        <v>45291</v>
      </c>
      <c r="B48" s="65" t="s">
        <v>161</v>
      </c>
      <c r="C48" s="64" t="s">
        <v>4477</v>
      </c>
      <c r="D48" s="61" t="s">
        <v>26</v>
      </c>
      <c r="E48" s="61" t="s">
        <v>26</v>
      </c>
      <c r="F48" s="88">
        <v>45381</v>
      </c>
      <c r="G48" s="61" t="s">
        <v>6331</v>
      </c>
      <c r="H48" s="64" t="s">
        <v>160</v>
      </c>
      <c r="I48" s="65" t="s">
        <v>4477</v>
      </c>
      <c r="J48" s="62">
        <v>20604.689999999988</v>
      </c>
      <c r="K48" s="62">
        <v>0</v>
      </c>
      <c r="L48" s="63">
        <v>20604.689999999988</v>
      </c>
    </row>
    <row r="49" spans="1:12" x14ac:dyDescent="0.25">
      <c r="A49" s="89">
        <v>45291</v>
      </c>
      <c r="B49" s="65" t="s">
        <v>147</v>
      </c>
      <c r="C49" s="64" t="s">
        <v>4477</v>
      </c>
      <c r="D49" s="61" t="s">
        <v>26</v>
      </c>
      <c r="E49" s="61" t="s">
        <v>26</v>
      </c>
      <c r="F49" s="88">
        <v>45351</v>
      </c>
      <c r="G49" s="61" t="s">
        <v>6331</v>
      </c>
      <c r="H49" s="64" t="s">
        <v>160</v>
      </c>
      <c r="I49" s="65" t="s">
        <v>4477</v>
      </c>
      <c r="J49" s="62">
        <v>1200</v>
      </c>
      <c r="K49" s="62">
        <v>0</v>
      </c>
      <c r="L49" s="63">
        <v>1200</v>
      </c>
    </row>
    <row r="50" spans="1:12" x14ac:dyDescent="0.25">
      <c r="A50" s="89">
        <v>45291</v>
      </c>
      <c r="B50" s="65" t="s">
        <v>1035</v>
      </c>
      <c r="C50" s="64" t="s">
        <v>4477</v>
      </c>
      <c r="D50" s="61" t="s">
        <v>26</v>
      </c>
      <c r="E50" s="61" t="s">
        <v>26</v>
      </c>
      <c r="F50" s="88">
        <v>45291</v>
      </c>
      <c r="G50" s="61" t="s">
        <v>6331</v>
      </c>
      <c r="H50" s="64" t="s">
        <v>160</v>
      </c>
      <c r="I50" s="65" t="s">
        <v>4477</v>
      </c>
      <c r="J50" s="62">
        <v>6375</v>
      </c>
      <c r="K50" s="62">
        <v>0</v>
      </c>
      <c r="L50" s="63">
        <v>6375</v>
      </c>
    </row>
    <row r="51" spans="1:12" x14ac:dyDescent="0.25">
      <c r="A51" s="89">
        <v>45291</v>
      </c>
      <c r="B51" s="65" t="s">
        <v>149</v>
      </c>
      <c r="C51" s="64" t="s">
        <v>4477</v>
      </c>
      <c r="D51" s="61" t="s">
        <v>26</v>
      </c>
      <c r="E51" s="61" t="s">
        <v>26</v>
      </c>
      <c r="F51" s="88">
        <v>45381</v>
      </c>
      <c r="G51" s="61" t="s">
        <v>6331</v>
      </c>
      <c r="H51" s="64" t="s">
        <v>160</v>
      </c>
      <c r="I51" s="65" t="s">
        <v>4477</v>
      </c>
      <c r="J51" s="62">
        <v>13908.970000000001</v>
      </c>
      <c r="K51" s="62">
        <v>0</v>
      </c>
      <c r="L51" s="63">
        <v>13908.970000000001</v>
      </c>
    </row>
    <row r="52" spans="1:12" x14ac:dyDescent="0.25">
      <c r="A52" s="89">
        <v>45291</v>
      </c>
      <c r="B52" s="65" t="s">
        <v>4452</v>
      </c>
      <c r="C52" s="64" t="s">
        <v>4477</v>
      </c>
      <c r="D52" s="61" t="s">
        <v>26</v>
      </c>
      <c r="E52" s="61" t="s">
        <v>26</v>
      </c>
      <c r="F52" s="88">
        <v>45381</v>
      </c>
      <c r="G52" s="61" t="s">
        <v>6331</v>
      </c>
      <c r="H52" s="64" t="s">
        <v>160</v>
      </c>
      <c r="I52" s="65" t="s">
        <v>4477</v>
      </c>
      <c r="J52" s="62">
        <v>17795.939999999944</v>
      </c>
      <c r="K52" s="62">
        <v>0</v>
      </c>
      <c r="L52" s="63">
        <v>17795.939999999944</v>
      </c>
    </row>
    <row r="53" spans="1:12" x14ac:dyDescent="0.25">
      <c r="A53" s="89">
        <v>45291</v>
      </c>
      <c r="B53" s="65" t="s">
        <v>4482</v>
      </c>
      <c r="C53" s="64" t="s">
        <v>4477</v>
      </c>
      <c r="D53" s="61" t="s">
        <v>26</v>
      </c>
      <c r="E53" s="61" t="s">
        <v>26</v>
      </c>
      <c r="F53" s="88">
        <v>45291</v>
      </c>
      <c r="G53" s="61" t="s">
        <v>6331</v>
      </c>
      <c r="H53" s="64" t="s">
        <v>160</v>
      </c>
      <c r="I53" s="65" t="s">
        <v>4477</v>
      </c>
      <c r="J53" s="62">
        <v>1637.54</v>
      </c>
      <c r="K53" s="62">
        <v>0</v>
      </c>
      <c r="L53" s="63">
        <v>1637.54</v>
      </c>
    </row>
    <row r="54" spans="1:12" x14ac:dyDescent="0.25">
      <c r="A54" s="89">
        <v>45657</v>
      </c>
      <c r="B54" s="65" t="s">
        <v>4448</v>
      </c>
      <c r="C54" s="64" t="s">
        <v>4477</v>
      </c>
      <c r="D54" s="61" t="s">
        <v>26</v>
      </c>
      <c r="E54" s="61" t="s">
        <v>26</v>
      </c>
      <c r="F54" s="88">
        <v>45747</v>
      </c>
      <c r="G54" s="61" t="s">
        <v>6330</v>
      </c>
      <c r="H54" s="64" t="s">
        <v>160</v>
      </c>
      <c r="I54" s="65" t="s">
        <v>4477</v>
      </c>
      <c r="J54" s="62">
        <v>127831.79619999998</v>
      </c>
      <c r="K54" s="62">
        <v>0</v>
      </c>
      <c r="L54" s="63">
        <v>127831.79619999998</v>
      </c>
    </row>
    <row r="55" spans="1:12" x14ac:dyDescent="0.25">
      <c r="A55" s="89">
        <v>45291</v>
      </c>
      <c r="B55" s="65" t="s">
        <v>4483</v>
      </c>
      <c r="C55" s="64" t="s">
        <v>4477</v>
      </c>
      <c r="D55" s="61" t="s">
        <v>26</v>
      </c>
      <c r="E55" s="61" t="s">
        <v>26</v>
      </c>
      <c r="F55" s="88">
        <v>45291</v>
      </c>
      <c r="G55" s="61" t="s">
        <v>6331</v>
      </c>
      <c r="H55" s="64" t="s">
        <v>160</v>
      </c>
      <c r="I55" s="65" t="s">
        <v>4477</v>
      </c>
      <c r="J55" s="62">
        <v>0</v>
      </c>
      <c r="K55" s="62">
        <v>0</v>
      </c>
      <c r="L55" s="63">
        <v>0</v>
      </c>
    </row>
    <row r="56" spans="1:12" x14ac:dyDescent="0.25">
      <c r="A56" s="89">
        <v>45291</v>
      </c>
      <c r="B56" s="65" t="s">
        <v>148</v>
      </c>
      <c r="C56" s="64" t="s">
        <v>4477</v>
      </c>
      <c r="D56" s="61" t="s">
        <v>26</v>
      </c>
      <c r="E56" s="61" t="s">
        <v>26</v>
      </c>
      <c r="F56" s="88">
        <v>45381</v>
      </c>
      <c r="G56" s="61" t="s">
        <v>6331</v>
      </c>
      <c r="H56" s="64" t="s">
        <v>160</v>
      </c>
      <c r="I56" s="65" t="s">
        <v>4477</v>
      </c>
      <c r="J56" s="62">
        <v>703807.9299999997</v>
      </c>
      <c r="K56" s="62">
        <v>0</v>
      </c>
      <c r="L56" s="63">
        <v>703807.9299999997</v>
      </c>
    </row>
    <row r="57" spans="1:12" x14ac:dyDescent="0.25">
      <c r="A57" s="89">
        <v>45291</v>
      </c>
      <c r="B57" s="66" t="s">
        <v>4451</v>
      </c>
      <c r="C57" s="64" t="s">
        <v>4477</v>
      </c>
      <c r="D57" s="61" t="s">
        <v>26</v>
      </c>
      <c r="E57" s="61" t="s">
        <v>26</v>
      </c>
      <c r="F57" s="88">
        <v>45351</v>
      </c>
      <c r="G57" s="61" t="s">
        <v>6331</v>
      </c>
      <c r="H57" s="64" t="s">
        <v>160</v>
      </c>
      <c r="I57" s="65" t="s">
        <v>4477</v>
      </c>
      <c r="J57" s="62">
        <v>-1447</v>
      </c>
      <c r="K57" s="62">
        <v>0</v>
      </c>
      <c r="L57" s="63">
        <v>-1447</v>
      </c>
    </row>
    <row r="58" spans="1:12" x14ac:dyDescent="0.25">
      <c r="A58" s="89">
        <v>45657</v>
      </c>
      <c r="B58" s="65" t="s">
        <v>1034</v>
      </c>
      <c r="C58" s="64" t="s">
        <v>4477</v>
      </c>
      <c r="D58" s="61" t="s">
        <v>26</v>
      </c>
      <c r="E58" s="61" t="s">
        <v>26</v>
      </c>
      <c r="F58" s="88">
        <v>45747</v>
      </c>
      <c r="G58" s="61" t="s">
        <v>6330</v>
      </c>
      <c r="H58" s="64" t="s">
        <v>160</v>
      </c>
      <c r="I58" s="65" t="s">
        <v>4477</v>
      </c>
      <c r="J58" s="62">
        <v>126421.15499999997</v>
      </c>
      <c r="K58" s="62">
        <v>0</v>
      </c>
      <c r="L58" s="63">
        <v>126421.15499999997</v>
      </c>
    </row>
    <row r="59" spans="1:12" x14ac:dyDescent="0.25">
      <c r="A59" s="89">
        <v>45657</v>
      </c>
      <c r="B59" s="65" t="s">
        <v>41</v>
      </c>
      <c r="C59" s="64" t="s">
        <v>4477</v>
      </c>
      <c r="D59" s="61" t="s">
        <v>26</v>
      </c>
      <c r="E59" s="61" t="s">
        <v>26</v>
      </c>
      <c r="F59" s="88">
        <v>45657</v>
      </c>
      <c r="G59" s="61" t="s">
        <v>26</v>
      </c>
      <c r="H59" s="64" t="s">
        <v>160</v>
      </c>
      <c r="I59" s="65" t="s">
        <v>4477</v>
      </c>
      <c r="J59" s="62">
        <v>-31356.479999999981</v>
      </c>
      <c r="K59" s="62">
        <v>0</v>
      </c>
      <c r="L59" s="63">
        <v>-31356.479999999981</v>
      </c>
    </row>
    <row r="60" spans="1:12" x14ac:dyDescent="0.25">
      <c r="A60" s="89">
        <v>45291</v>
      </c>
      <c r="B60" s="65" t="s">
        <v>909</v>
      </c>
      <c r="C60" s="64" t="s">
        <v>4477</v>
      </c>
      <c r="D60" s="61" t="s">
        <v>26</v>
      </c>
      <c r="E60" s="61" t="s">
        <v>26</v>
      </c>
      <c r="F60" s="88">
        <v>45351</v>
      </c>
      <c r="G60" s="61" t="s">
        <v>6331</v>
      </c>
      <c r="H60" s="64" t="s">
        <v>160</v>
      </c>
      <c r="I60" s="65" t="s">
        <v>4477</v>
      </c>
      <c r="J60" s="62">
        <v>47469.399999999994</v>
      </c>
      <c r="K60" s="62">
        <v>0</v>
      </c>
      <c r="L60" s="63">
        <v>47469.399999999994</v>
      </c>
    </row>
    <row r="61" spans="1:12" x14ac:dyDescent="0.25">
      <c r="A61" s="89">
        <v>45322</v>
      </c>
      <c r="B61" s="65" t="s">
        <v>162</v>
      </c>
      <c r="C61" s="64" t="s">
        <v>4477</v>
      </c>
      <c r="D61" s="61" t="s">
        <v>26</v>
      </c>
      <c r="E61" s="61" t="s">
        <v>26</v>
      </c>
      <c r="F61" s="88">
        <v>45412</v>
      </c>
      <c r="G61" s="61" t="s">
        <v>6331</v>
      </c>
      <c r="H61" s="64" t="s">
        <v>160</v>
      </c>
      <c r="I61" s="65" t="s">
        <v>4477</v>
      </c>
      <c r="J61" s="62">
        <v>31175.079999999725</v>
      </c>
      <c r="K61" s="62">
        <v>0</v>
      </c>
      <c r="L61" s="63">
        <v>31175.079999999725</v>
      </c>
    </row>
    <row r="62" spans="1:12" x14ac:dyDescent="0.25">
      <c r="A62" s="89">
        <v>45657</v>
      </c>
      <c r="B62" s="65" t="s">
        <v>163</v>
      </c>
      <c r="C62" s="64" t="s">
        <v>4477</v>
      </c>
      <c r="D62" s="61" t="s">
        <v>26</v>
      </c>
      <c r="E62" s="61" t="s">
        <v>26</v>
      </c>
      <c r="F62" s="88">
        <v>45657</v>
      </c>
      <c r="G62" s="61" t="s">
        <v>26</v>
      </c>
      <c r="H62" s="64" t="s">
        <v>160</v>
      </c>
      <c r="I62" s="65" t="s">
        <v>4477</v>
      </c>
      <c r="J62" s="62">
        <v>-9285.859999999986</v>
      </c>
      <c r="K62" s="62">
        <v>0</v>
      </c>
      <c r="L62" s="63">
        <v>-9285.859999999986</v>
      </c>
    </row>
    <row r="63" spans="1:12" x14ac:dyDescent="0.25">
      <c r="A63" s="89">
        <v>45291</v>
      </c>
      <c r="B63" s="65" t="s">
        <v>4484</v>
      </c>
      <c r="C63" s="64" t="s">
        <v>4477</v>
      </c>
      <c r="D63" s="61" t="s">
        <v>26</v>
      </c>
      <c r="E63" s="61" t="s">
        <v>26</v>
      </c>
      <c r="F63" s="88">
        <v>45291</v>
      </c>
      <c r="G63" s="61" t="s">
        <v>6331</v>
      </c>
      <c r="H63" s="64" t="s">
        <v>160</v>
      </c>
      <c r="I63" s="65" t="s">
        <v>4477</v>
      </c>
      <c r="J63" s="62">
        <v>108872.23999999999</v>
      </c>
      <c r="K63" s="62">
        <v>0</v>
      </c>
      <c r="L63" s="63">
        <v>108872.23999999999</v>
      </c>
    </row>
    <row r="64" spans="1:12" x14ac:dyDescent="0.25">
      <c r="A64" s="89">
        <v>45291</v>
      </c>
      <c r="B64" s="65" t="s">
        <v>910</v>
      </c>
      <c r="C64" s="64" t="s">
        <v>4477</v>
      </c>
      <c r="D64" s="61" t="s">
        <v>26</v>
      </c>
      <c r="E64" s="61" t="s">
        <v>26</v>
      </c>
      <c r="F64" s="88">
        <v>45351</v>
      </c>
      <c r="G64" s="61" t="s">
        <v>6331</v>
      </c>
      <c r="H64" s="64" t="s">
        <v>160</v>
      </c>
      <c r="I64" s="65" t="s">
        <v>4477</v>
      </c>
      <c r="J64" s="62">
        <v>14288.14</v>
      </c>
      <c r="K64" s="62">
        <v>0</v>
      </c>
      <c r="L64" s="63">
        <v>14288.14</v>
      </c>
    </row>
    <row r="65" spans="1:12" x14ac:dyDescent="0.25">
      <c r="A65" s="89">
        <v>45291</v>
      </c>
      <c r="B65" s="65" t="s">
        <v>911</v>
      </c>
      <c r="C65" s="64" t="s">
        <v>4477</v>
      </c>
      <c r="D65" s="61" t="s">
        <v>26</v>
      </c>
      <c r="E65" s="61" t="s">
        <v>26</v>
      </c>
      <c r="F65" s="88">
        <v>45381</v>
      </c>
      <c r="G65" s="61" t="s">
        <v>6331</v>
      </c>
      <c r="H65" s="64" t="s">
        <v>160</v>
      </c>
      <c r="I65" s="65" t="s">
        <v>4477</v>
      </c>
      <c r="J65" s="62">
        <v>0</v>
      </c>
      <c r="K65" s="62">
        <v>0</v>
      </c>
      <c r="L65" s="63">
        <v>0</v>
      </c>
    </row>
    <row r="66" spans="1:12" x14ac:dyDescent="0.25">
      <c r="A66" s="89">
        <v>45657</v>
      </c>
      <c r="B66" s="65" t="s">
        <v>204</v>
      </c>
      <c r="C66" s="64" t="s">
        <v>4477</v>
      </c>
      <c r="D66" s="61" t="s">
        <v>26</v>
      </c>
      <c r="E66" s="61" t="s">
        <v>26</v>
      </c>
      <c r="F66" s="88">
        <v>45657</v>
      </c>
      <c r="G66" s="61" t="s">
        <v>26</v>
      </c>
      <c r="H66" s="64" t="s">
        <v>160</v>
      </c>
      <c r="I66" s="65" t="s">
        <v>4477</v>
      </c>
      <c r="J66" s="62">
        <v>-26159.520000000019</v>
      </c>
      <c r="K66" s="62">
        <v>0</v>
      </c>
      <c r="L66" s="63">
        <v>-26159.520000000019</v>
      </c>
    </row>
    <row r="67" spans="1:12" x14ac:dyDescent="0.25">
      <c r="A67" s="89">
        <v>45291</v>
      </c>
      <c r="B67" s="65" t="s">
        <v>139</v>
      </c>
      <c r="C67" s="64" t="s">
        <v>4477</v>
      </c>
      <c r="D67" s="61" t="s">
        <v>26</v>
      </c>
      <c r="E67" s="61" t="s">
        <v>26</v>
      </c>
      <c r="F67" s="88">
        <v>45381</v>
      </c>
      <c r="G67" s="61" t="s">
        <v>6331</v>
      </c>
      <c r="H67" s="64" t="s">
        <v>160</v>
      </c>
      <c r="I67" s="65" t="s">
        <v>4477</v>
      </c>
      <c r="J67" s="62">
        <v>67747.100000000035</v>
      </c>
      <c r="K67" s="62">
        <v>0</v>
      </c>
      <c r="L67" s="63">
        <v>67747.100000000035</v>
      </c>
    </row>
    <row r="68" spans="1:12" x14ac:dyDescent="0.25">
      <c r="A68" s="89">
        <v>45291</v>
      </c>
      <c r="B68" s="65" t="s">
        <v>4454</v>
      </c>
      <c r="C68" s="64" t="s">
        <v>4477</v>
      </c>
      <c r="D68" s="61" t="s">
        <v>26</v>
      </c>
      <c r="E68" s="61" t="s">
        <v>26</v>
      </c>
      <c r="F68" s="88">
        <v>45381</v>
      </c>
      <c r="G68" s="61" t="s">
        <v>6331</v>
      </c>
      <c r="H68" s="64" t="s">
        <v>160</v>
      </c>
      <c r="I68" s="65" t="s">
        <v>4477</v>
      </c>
      <c r="J68" s="62">
        <v>-13135.499999999985</v>
      </c>
      <c r="K68" s="62">
        <v>0</v>
      </c>
      <c r="L68" s="63">
        <v>-13135.499999999985</v>
      </c>
    </row>
    <row r="69" spans="1:12" x14ac:dyDescent="0.25">
      <c r="A69" s="89">
        <v>45657</v>
      </c>
      <c r="B69" s="65" t="s">
        <v>70</v>
      </c>
      <c r="C69" s="64" t="s">
        <v>4477</v>
      </c>
      <c r="D69" s="61" t="s">
        <v>26</v>
      </c>
      <c r="E69" s="61" t="s">
        <v>26</v>
      </c>
      <c r="F69" s="88">
        <v>45657</v>
      </c>
      <c r="G69" s="61" t="s">
        <v>26</v>
      </c>
      <c r="H69" s="64" t="s">
        <v>160</v>
      </c>
      <c r="I69" s="65" t="s">
        <v>4477</v>
      </c>
      <c r="J69" s="62">
        <v>-32116.499999999942</v>
      </c>
      <c r="K69" s="62">
        <v>0</v>
      </c>
      <c r="L69" s="63">
        <v>-32116.499999999942</v>
      </c>
    </row>
    <row r="70" spans="1:12" x14ac:dyDescent="0.25">
      <c r="A70" s="89">
        <v>45657</v>
      </c>
      <c r="B70" s="65" t="s">
        <v>45</v>
      </c>
      <c r="C70" s="64" t="s">
        <v>4477</v>
      </c>
      <c r="D70" s="61" t="s">
        <v>26</v>
      </c>
      <c r="E70" s="61" t="s">
        <v>26</v>
      </c>
      <c r="F70" s="88">
        <v>45657</v>
      </c>
      <c r="G70" s="61" t="s">
        <v>26</v>
      </c>
      <c r="H70" s="64" t="s">
        <v>160</v>
      </c>
      <c r="I70" s="65" t="s">
        <v>4477</v>
      </c>
      <c r="J70" s="62">
        <v>-7704.3400000003166</v>
      </c>
      <c r="K70" s="62">
        <v>0</v>
      </c>
      <c r="L70" s="63">
        <v>-7704.3400000003166</v>
      </c>
    </row>
    <row r="71" spans="1:12" x14ac:dyDescent="0.25">
      <c r="A71" s="89">
        <v>45657</v>
      </c>
      <c r="B71" s="65" t="s">
        <v>71</v>
      </c>
      <c r="C71" s="64" t="s">
        <v>4477</v>
      </c>
      <c r="D71" s="61" t="s">
        <v>26</v>
      </c>
      <c r="E71" s="61" t="s">
        <v>26</v>
      </c>
      <c r="F71" s="88">
        <v>45657</v>
      </c>
      <c r="G71" s="61" t="s">
        <v>26</v>
      </c>
      <c r="H71" s="64" t="s">
        <v>160</v>
      </c>
      <c r="I71" s="65" t="s">
        <v>4477</v>
      </c>
      <c r="J71" s="62">
        <v>0</v>
      </c>
      <c r="K71" s="62">
        <v>0</v>
      </c>
      <c r="L71" s="63">
        <v>0</v>
      </c>
    </row>
    <row r="72" spans="1:12" x14ac:dyDescent="0.25">
      <c r="A72" s="89">
        <v>45657</v>
      </c>
      <c r="B72" s="65" t="s">
        <v>140</v>
      </c>
      <c r="C72" s="64" t="s">
        <v>4477</v>
      </c>
      <c r="D72" s="61" t="s">
        <v>26</v>
      </c>
      <c r="E72" s="61" t="s">
        <v>26</v>
      </c>
      <c r="F72" s="88">
        <v>45657</v>
      </c>
      <c r="G72" s="61" t="s">
        <v>26</v>
      </c>
      <c r="H72" s="64" t="s">
        <v>160</v>
      </c>
      <c r="I72" s="65" t="s">
        <v>4477</v>
      </c>
      <c r="J72" s="62">
        <v>-25939.820000000065</v>
      </c>
      <c r="K72" s="62">
        <v>0</v>
      </c>
      <c r="L72" s="63">
        <v>-25939.820000000065</v>
      </c>
    </row>
    <row r="73" spans="1:12" x14ac:dyDescent="0.25">
      <c r="A73" s="89">
        <v>45657</v>
      </c>
      <c r="B73" s="65" t="s">
        <v>6328</v>
      </c>
      <c r="C73" s="64" t="s">
        <v>4477</v>
      </c>
      <c r="D73" s="61" t="s">
        <v>26</v>
      </c>
      <c r="E73" s="61" t="s">
        <v>26</v>
      </c>
      <c r="F73" s="88">
        <v>45657</v>
      </c>
      <c r="G73" s="61" t="s">
        <v>26</v>
      </c>
      <c r="H73" s="64" t="s">
        <v>160</v>
      </c>
      <c r="I73" s="65" t="s">
        <v>4477</v>
      </c>
      <c r="J73" s="62">
        <v>-67638.41</v>
      </c>
      <c r="K73" s="62">
        <v>0</v>
      </c>
      <c r="L73" s="63">
        <v>-67638.41</v>
      </c>
    </row>
    <row r="74" spans="1:12" x14ac:dyDescent="0.25">
      <c r="A74" s="89">
        <v>45657</v>
      </c>
      <c r="B74" s="65" t="s">
        <v>913</v>
      </c>
      <c r="C74" s="64" t="s">
        <v>4477</v>
      </c>
      <c r="D74" s="61" t="s">
        <v>26</v>
      </c>
      <c r="E74" s="61" t="s">
        <v>26</v>
      </c>
      <c r="F74" s="88">
        <v>45747</v>
      </c>
      <c r="G74" s="61" t="s">
        <v>26</v>
      </c>
      <c r="H74" s="64" t="s">
        <v>160</v>
      </c>
      <c r="I74" s="65" t="s">
        <v>4477</v>
      </c>
      <c r="J74" s="62">
        <v>955.34</v>
      </c>
      <c r="K74" s="62">
        <v>0</v>
      </c>
      <c r="L74" s="63">
        <v>955.34</v>
      </c>
    </row>
    <row r="75" spans="1:12" x14ac:dyDescent="0.25">
      <c r="A75" s="89">
        <v>45657</v>
      </c>
      <c r="B75" s="65" t="s">
        <v>4468</v>
      </c>
      <c r="C75" s="64" t="s">
        <v>4477</v>
      </c>
      <c r="D75" s="61" t="s">
        <v>26</v>
      </c>
      <c r="E75" s="61" t="s">
        <v>26</v>
      </c>
      <c r="F75" s="88">
        <v>45657</v>
      </c>
      <c r="G75" s="61" t="s">
        <v>26</v>
      </c>
      <c r="H75" s="64" t="s">
        <v>160</v>
      </c>
      <c r="I75" s="65" t="s">
        <v>4477</v>
      </c>
      <c r="J75" s="62">
        <v>1018.7999999999302</v>
      </c>
      <c r="K75" s="62">
        <v>0</v>
      </c>
      <c r="L75" s="63">
        <v>1018.7999999999302</v>
      </c>
    </row>
    <row r="76" spans="1:12" x14ac:dyDescent="0.25">
      <c r="A76" s="89">
        <v>45657</v>
      </c>
      <c r="B76" s="65" t="s">
        <v>565</v>
      </c>
      <c r="C76" s="64" t="s">
        <v>4477</v>
      </c>
      <c r="D76" s="61" t="s">
        <v>26</v>
      </c>
      <c r="E76" s="61" t="s">
        <v>26</v>
      </c>
      <c r="F76" s="88">
        <v>45657</v>
      </c>
      <c r="G76" s="61" t="s">
        <v>26</v>
      </c>
      <c r="H76" s="64" t="s">
        <v>160</v>
      </c>
      <c r="I76" s="65" t="s">
        <v>4477</v>
      </c>
      <c r="J76" s="62">
        <v>-3373.9199999999837</v>
      </c>
      <c r="K76" s="62">
        <v>0</v>
      </c>
      <c r="L76" s="63">
        <v>-3373.9199999999837</v>
      </c>
    </row>
    <row r="77" spans="1:12" x14ac:dyDescent="0.25">
      <c r="A77" s="89">
        <v>45657</v>
      </c>
      <c r="B77" s="65" t="s">
        <v>141</v>
      </c>
      <c r="C77" s="64" t="s">
        <v>4477</v>
      </c>
      <c r="D77" s="61" t="s">
        <v>26</v>
      </c>
      <c r="E77" s="61" t="s">
        <v>26</v>
      </c>
      <c r="F77" s="88">
        <v>45657</v>
      </c>
      <c r="G77" s="61" t="s">
        <v>26</v>
      </c>
      <c r="H77" s="64" t="s">
        <v>160</v>
      </c>
      <c r="I77" s="65" t="s">
        <v>4477</v>
      </c>
      <c r="J77" s="62">
        <v>-87051.379999999888</v>
      </c>
      <c r="K77" s="62">
        <v>0</v>
      </c>
      <c r="L77" s="63">
        <v>-87051.379999999888</v>
      </c>
    </row>
    <row r="78" spans="1:12" x14ac:dyDescent="0.25">
      <c r="A78" s="89">
        <v>45657</v>
      </c>
      <c r="B78" s="65" t="s">
        <v>4444</v>
      </c>
      <c r="C78" s="64" t="s">
        <v>4477</v>
      </c>
      <c r="D78" s="61" t="s">
        <v>26</v>
      </c>
      <c r="E78" s="61" t="s">
        <v>26</v>
      </c>
      <c r="F78" s="88">
        <v>45657</v>
      </c>
      <c r="G78" s="61" t="s">
        <v>26</v>
      </c>
      <c r="H78" s="64" t="s">
        <v>160</v>
      </c>
      <c r="I78" s="65" t="s">
        <v>4477</v>
      </c>
      <c r="J78" s="62">
        <v>-2395.8000000000029</v>
      </c>
      <c r="K78" s="62">
        <v>0</v>
      </c>
      <c r="L78" s="63">
        <v>-2395.8000000000029</v>
      </c>
    </row>
    <row r="79" spans="1:12" x14ac:dyDescent="0.25">
      <c r="A79" s="89">
        <v>45659</v>
      </c>
      <c r="B79" s="65" t="s">
        <v>140</v>
      </c>
      <c r="C79" s="64" t="s">
        <v>4485</v>
      </c>
      <c r="D79" s="61" t="s">
        <v>26</v>
      </c>
      <c r="E79" s="61" t="s">
        <v>4486</v>
      </c>
      <c r="F79" s="88">
        <v>45659</v>
      </c>
      <c r="G79" s="61" t="s">
        <v>26</v>
      </c>
      <c r="H79" s="64" t="s">
        <v>160</v>
      </c>
      <c r="I79" s="65" t="s">
        <v>758</v>
      </c>
      <c r="J79" s="62">
        <v>50000</v>
      </c>
      <c r="K79" s="62"/>
      <c r="L79" s="63">
        <v>50000</v>
      </c>
    </row>
    <row r="80" spans="1:12" x14ac:dyDescent="0.25">
      <c r="A80" s="89">
        <v>45659</v>
      </c>
      <c r="B80" s="65" t="s">
        <v>140</v>
      </c>
      <c r="C80" s="64" t="s">
        <v>4480</v>
      </c>
      <c r="D80" s="61" t="s">
        <v>4430</v>
      </c>
      <c r="E80" s="61" t="s">
        <v>900</v>
      </c>
      <c r="F80" s="88">
        <v>45659</v>
      </c>
      <c r="G80" s="61" t="s">
        <v>26</v>
      </c>
      <c r="H80" s="64" t="s">
        <v>160</v>
      </c>
      <c r="I80" s="65" t="s">
        <v>4426</v>
      </c>
      <c r="J80" s="62"/>
      <c r="K80" s="62">
        <v>50000</v>
      </c>
      <c r="L80" s="63">
        <v>-50000</v>
      </c>
    </row>
    <row r="81" spans="1:13" x14ac:dyDescent="0.25">
      <c r="A81" s="90">
        <v>45664</v>
      </c>
      <c r="B81" s="67" t="s">
        <v>45</v>
      </c>
      <c r="C81" s="11" t="s">
        <v>4480</v>
      </c>
      <c r="D81" s="61" t="s">
        <v>4430</v>
      </c>
      <c r="E81" s="11" t="s">
        <v>900</v>
      </c>
      <c r="F81" s="88">
        <v>45664</v>
      </c>
      <c r="G81" s="80" t="s">
        <v>26</v>
      </c>
      <c r="H81" s="11" t="s">
        <v>160</v>
      </c>
      <c r="I81" s="67" t="s">
        <v>4427</v>
      </c>
      <c r="J81" s="76"/>
      <c r="K81" s="76">
        <v>80000</v>
      </c>
      <c r="L81" s="81">
        <v>-80000</v>
      </c>
    </row>
    <row r="82" spans="1:13" x14ac:dyDescent="0.25">
      <c r="A82" s="90">
        <v>45664</v>
      </c>
      <c r="B82" s="65" t="s">
        <v>565</v>
      </c>
      <c r="C82" s="11" t="s">
        <v>4480</v>
      </c>
      <c r="D82" s="61" t="s">
        <v>4430</v>
      </c>
      <c r="E82" s="11" t="s">
        <v>900</v>
      </c>
      <c r="F82" s="88">
        <v>45664</v>
      </c>
      <c r="G82" s="80" t="s">
        <v>26</v>
      </c>
      <c r="H82" s="11" t="s">
        <v>160</v>
      </c>
      <c r="I82" s="67" t="s">
        <v>4427</v>
      </c>
      <c r="J82" s="76"/>
      <c r="K82" s="76">
        <v>40000</v>
      </c>
      <c r="L82" s="81">
        <v>-40000</v>
      </c>
    </row>
    <row r="83" spans="1:13" x14ac:dyDescent="0.25">
      <c r="A83" s="90">
        <v>45664</v>
      </c>
      <c r="B83" s="65" t="s">
        <v>163</v>
      </c>
      <c r="C83" s="11" t="s">
        <v>4480</v>
      </c>
      <c r="D83" s="61" t="s">
        <v>4430</v>
      </c>
      <c r="E83" s="11" t="s">
        <v>900</v>
      </c>
      <c r="F83" s="88">
        <v>45664</v>
      </c>
      <c r="G83" s="80" t="s">
        <v>26</v>
      </c>
      <c r="H83" s="11" t="s">
        <v>160</v>
      </c>
      <c r="I83" s="67" t="s">
        <v>4427</v>
      </c>
      <c r="J83" s="76"/>
      <c r="K83" s="76">
        <v>110000</v>
      </c>
      <c r="L83" s="81">
        <v>-110000</v>
      </c>
    </row>
    <row r="84" spans="1:13" x14ac:dyDescent="0.25">
      <c r="A84" s="90">
        <v>45665</v>
      </c>
      <c r="B84" s="65" t="s">
        <v>4444</v>
      </c>
      <c r="C84" s="11" t="s">
        <v>4480</v>
      </c>
      <c r="D84" s="61" t="s">
        <v>4430</v>
      </c>
      <c r="E84" s="80" t="s">
        <v>900</v>
      </c>
      <c r="F84" s="88">
        <v>45665</v>
      </c>
      <c r="G84" s="80" t="s">
        <v>26</v>
      </c>
      <c r="H84" s="11" t="s">
        <v>160</v>
      </c>
      <c r="I84" s="67" t="s">
        <v>4428</v>
      </c>
      <c r="J84" s="76"/>
      <c r="K84" s="76">
        <v>30000</v>
      </c>
      <c r="L84" s="81">
        <v>-30000</v>
      </c>
    </row>
    <row r="85" spans="1:13" x14ac:dyDescent="0.25">
      <c r="A85" s="90">
        <v>45665</v>
      </c>
      <c r="B85" s="65" t="s">
        <v>4445</v>
      </c>
      <c r="C85" s="11" t="s">
        <v>4480</v>
      </c>
      <c r="D85" s="80" t="s">
        <v>4430</v>
      </c>
      <c r="E85" s="80" t="s">
        <v>907</v>
      </c>
      <c r="F85" s="88">
        <v>45665</v>
      </c>
      <c r="G85" s="80" t="s">
        <v>26</v>
      </c>
      <c r="H85" s="11" t="s">
        <v>157</v>
      </c>
      <c r="I85" s="67" t="s">
        <v>4401</v>
      </c>
      <c r="J85" s="76"/>
      <c r="K85" s="76">
        <v>4910.3999999999996</v>
      </c>
      <c r="L85" s="81">
        <v>-4910.3999999999996</v>
      </c>
    </row>
    <row r="86" spans="1:13" x14ac:dyDescent="0.25">
      <c r="A86" s="90">
        <v>45665</v>
      </c>
      <c r="B86" s="65" t="s">
        <v>4445</v>
      </c>
      <c r="C86" s="11" t="s">
        <v>4480</v>
      </c>
      <c r="D86" s="80" t="s">
        <v>4430</v>
      </c>
      <c r="E86" s="80" t="s">
        <v>907</v>
      </c>
      <c r="F86" s="88">
        <v>45665</v>
      </c>
      <c r="G86" s="80" t="s">
        <v>26</v>
      </c>
      <c r="H86" s="11" t="s">
        <v>157</v>
      </c>
      <c r="I86" s="67" t="s">
        <v>4402</v>
      </c>
      <c r="J86" s="76"/>
      <c r="K86" s="76">
        <v>1636.8</v>
      </c>
      <c r="L86" s="81">
        <v>-1636.8</v>
      </c>
    </row>
    <row r="87" spans="1:13" x14ac:dyDescent="0.25">
      <c r="A87" s="90">
        <v>45666</v>
      </c>
      <c r="B87" s="60" t="s">
        <v>146</v>
      </c>
      <c r="C87" s="11" t="s">
        <v>4480</v>
      </c>
      <c r="D87" s="11" t="s">
        <v>4481</v>
      </c>
      <c r="E87" s="80" t="s">
        <v>907</v>
      </c>
      <c r="F87" s="91">
        <v>45666</v>
      </c>
      <c r="G87" s="80" t="s">
        <v>26</v>
      </c>
      <c r="H87" s="11" t="s">
        <v>157</v>
      </c>
      <c r="I87" s="67" t="s">
        <v>4399</v>
      </c>
      <c r="J87" s="76"/>
      <c r="K87" s="76">
        <v>50000</v>
      </c>
      <c r="L87" s="81">
        <v>-50000</v>
      </c>
    </row>
    <row r="88" spans="1:13" x14ac:dyDescent="0.25">
      <c r="A88" s="90">
        <v>45666</v>
      </c>
      <c r="B88" s="65" t="s">
        <v>4448</v>
      </c>
      <c r="C88" s="64" t="s">
        <v>4485</v>
      </c>
      <c r="D88" s="61" t="s">
        <v>26</v>
      </c>
      <c r="E88" s="80" t="s">
        <v>1013</v>
      </c>
      <c r="F88" s="91">
        <v>45647</v>
      </c>
      <c r="G88" s="80" t="s">
        <v>26</v>
      </c>
      <c r="H88" s="11" t="s">
        <v>160</v>
      </c>
      <c r="I88" s="67" t="s">
        <v>158</v>
      </c>
      <c r="J88" s="76">
        <v>40000</v>
      </c>
      <c r="K88" s="76">
        <v>0</v>
      </c>
      <c r="L88" s="81">
        <v>40000</v>
      </c>
    </row>
    <row r="89" spans="1:13" x14ac:dyDescent="0.25">
      <c r="A89" s="90">
        <v>45666</v>
      </c>
      <c r="B89" s="65" t="s">
        <v>4448</v>
      </c>
      <c r="C89" s="11" t="s">
        <v>4480</v>
      </c>
      <c r="D89" s="80" t="s">
        <v>4481</v>
      </c>
      <c r="E89" s="80" t="s">
        <v>900</v>
      </c>
      <c r="F89" s="91">
        <v>45666</v>
      </c>
      <c r="G89" s="80" t="s">
        <v>26</v>
      </c>
      <c r="H89" s="11" t="s">
        <v>160</v>
      </c>
      <c r="I89" s="67" t="s">
        <v>4429</v>
      </c>
      <c r="J89" s="76"/>
      <c r="K89" s="76">
        <v>40000</v>
      </c>
      <c r="L89" s="81">
        <v>-40000</v>
      </c>
      <c r="M89" s="59">
        <f t="shared" ref="M89" si="0">F89-A89</f>
        <v>0</v>
      </c>
    </row>
    <row r="90" spans="1:13" x14ac:dyDescent="0.25">
      <c r="A90" s="90">
        <v>45666</v>
      </c>
      <c r="B90" s="65" t="s">
        <v>4422</v>
      </c>
      <c r="C90" s="11" t="s">
        <v>4480</v>
      </c>
      <c r="D90" s="11" t="s">
        <v>4481</v>
      </c>
      <c r="E90" s="80" t="s">
        <v>1013</v>
      </c>
      <c r="F90" s="91">
        <v>45685</v>
      </c>
      <c r="G90" s="80" t="s">
        <v>26</v>
      </c>
      <c r="H90" s="11" t="s">
        <v>157</v>
      </c>
      <c r="I90" s="67" t="s">
        <v>4403</v>
      </c>
      <c r="J90" s="76"/>
      <c r="K90" s="76">
        <v>792008.75</v>
      </c>
      <c r="L90" s="81">
        <v>-792008.75</v>
      </c>
    </row>
    <row r="91" spans="1:13" x14ac:dyDescent="0.25">
      <c r="A91" s="90">
        <v>45666</v>
      </c>
      <c r="B91" s="65" t="s">
        <v>41</v>
      </c>
      <c r="C91" s="11" t="s">
        <v>4480</v>
      </c>
      <c r="D91" s="61" t="s">
        <v>4430</v>
      </c>
      <c r="E91" s="80" t="s">
        <v>900</v>
      </c>
      <c r="F91" s="91">
        <v>45666</v>
      </c>
      <c r="G91" s="80" t="s">
        <v>26</v>
      </c>
      <c r="H91" s="11" t="s">
        <v>160</v>
      </c>
      <c r="I91" s="67" t="s">
        <v>4430</v>
      </c>
      <c r="J91" s="76"/>
      <c r="K91" s="76">
        <v>20000</v>
      </c>
      <c r="L91" s="81">
        <v>-20000</v>
      </c>
    </row>
    <row r="92" spans="1:13" x14ac:dyDescent="0.25">
      <c r="A92" s="90">
        <v>45667</v>
      </c>
      <c r="B92" s="67" t="s">
        <v>140</v>
      </c>
      <c r="C92" s="64" t="s">
        <v>4485</v>
      </c>
      <c r="D92" s="61" t="s">
        <v>4430</v>
      </c>
      <c r="E92" s="80" t="s">
        <v>4486</v>
      </c>
      <c r="F92" s="91">
        <v>45667</v>
      </c>
      <c r="G92" s="80" t="s">
        <v>26</v>
      </c>
      <c r="H92" s="11" t="s">
        <v>160</v>
      </c>
      <c r="I92" s="67" t="s">
        <v>4487</v>
      </c>
      <c r="J92" s="77"/>
      <c r="K92" s="77">
        <v>50000</v>
      </c>
      <c r="L92" s="81">
        <v>-50000</v>
      </c>
    </row>
    <row r="93" spans="1:13" x14ac:dyDescent="0.25">
      <c r="A93" s="90">
        <v>45667</v>
      </c>
      <c r="B93" s="60" t="s">
        <v>146</v>
      </c>
      <c r="C93" s="11" t="s">
        <v>4480</v>
      </c>
      <c r="D93" s="11" t="s">
        <v>4481</v>
      </c>
      <c r="E93" s="80" t="s">
        <v>907</v>
      </c>
      <c r="F93" s="91">
        <v>45667</v>
      </c>
      <c r="G93" s="80" t="s">
        <v>26</v>
      </c>
      <c r="H93" s="11" t="s">
        <v>157</v>
      </c>
      <c r="I93" s="67" t="s">
        <v>4399</v>
      </c>
      <c r="J93" s="76"/>
      <c r="K93" s="76">
        <v>45086.38</v>
      </c>
      <c r="L93" s="81">
        <v>-45086.38</v>
      </c>
    </row>
    <row r="94" spans="1:13" x14ac:dyDescent="0.25">
      <c r="A94" s="90">
        <v>45667</v>
      </c>
      <c r="B94" s="67" t="s">
        <v>140</v>
      </c>
      <c r="C94" s="64" t="s">
        <v>4485</v>
      </c>
      <c r="D94" s="61" t="s">
        <v>4430</v>
      </c>
      <c r="E94" s="80" t="s">
        <v>4486</v>
      </c>
      <c r="F94" s="91">
        <v>45667</v>
      </c>
      <c r="G94" s="80" t="s">
        <v>26</v>
      </c>
      <c r="H94" s="11" t="s">
        <v>160</v>
      </c>
      <c r="I94" s="67" t="s">
        <v>4487</v>
      </c>
      <c r="J94" s="77">
        <v>50000</v>
      </c>
      <c r="K94" s="77">
        <v>0</v>
      </c>
      <c r="L94" s="81">
        <v>50000</v>
      </c>
    </row>
    <row r="95" spans="1:13" x14ac:dyDescent="0.25">
      <c r="A95" s="90">
        <v>45667</v>
      </c>
      <c r="B95" s="67" t="s">
        <v>140</v>
      </c>
      <c r="C95" s="11" t="s">
        <v>4480</v>
      </c>
      <c r="D95" s="61" t="s">
        <v>4430</v>
      </c>
      <c r="E95" s="80" t="s">
        <v>900</v>
      </c>
      <c r="F95" s="91">
        <v>45667</v>
      </c>
      <c r="G95" s="80" t="s">
        <v>26</v>
      </c>
      <c r="H95" s="11" t="s">
        <v>160</v>
      </c>
      <c r="I95" s="67" t="s">
        <v>4431</v>
      </c>
      <c r="J95" s="77"/>
      <c r="K95" s="77">
        <v>50000</v>
      </c>
      <c r="L95" s="81">
        <v>-50000</v>
      </c>
    </row>
    <row r="96" spans="1:13" x14ac:dyDescent="0.25">
      <c r="A96" s="90">
        <v>45670</v>
      </c>
      <c r="B96" s="65" t="s">
        <v>4423</v>
      </c>
      <c r="C96" s="11" t="s">
        <v>4480</v>
      </c>
      <c r="D96" s="11" t="s">
        <v>4481</v>
      </c>
      <c r="E96" s="80" t="s">
        <v>1013</v>
      </c>
      <c r="F96" s="91">
        <v>45747</v>
      </c>
      <c r="G96" s="80" t="s">
        <v>26</v>
      </c>
      <c r="H96" s="11" t="s">
        <v>157</v>
      </c>
      <c r="I96" s="67" t="s">
        <v>4404</v>
      </c>
      <c r="J96" s="76"/>
      <c r="K96" s="76">
        <v>191769.95</v>
      </c>
      <c r="L96" s="81">
        <v>-191769.95</v>
      </c>
    </row>
    <row r="97" spans="1:13" x14ac:dyDescent="0.25">
      <c r="A97" s="90">
        <v>45670</v>
      </c>
      <c r="B97" s="65" t="s">
        <v>4423</v>
      </c>
      <c r="C97" s="11" t="s">
        <v>4480</v>
      </c>
      <c r="D97" s="11" t="s">
        <v>4481</v>
      </c>
      <c r="E97" s="80" t="s">
        <v>1013</v>
      </c>
      <c r="F97" s="91">
        <v>45762</v>
      </c>
      <c r="G97" s="80" t="s">
        <v>26</v>
      </c>
      <c r="H97" s="11" t="s">
        <v>157</v>
      </c>
      <c r="I97" s="67" t="s">
        <v>4405</v>
      </c>
      <c r="J97" s="76"/>
      <c r="K97" s="76">
        <v>191769.95</v>
      </c>
      <c r="L97" s="81">
        <v>-191769.95</v>
      </c>
    </row>
    <row r="98" spans="1:13" x14ac:dyDescent="0.25">
      <c r="A98" s="90">
        <v>45673</v>
      </c>
      <c r="B98" s="67" t="s">
        <v>66</v>
      </c>
      <c r="C98" s="11" t="s">
        <v>4478</v>
      </c>
      <c r="D98" s="61" t="s">
        <v>26</v>
      </c>
      <c r="E98" s="80" t="s">
        <v>1013</v>
      </c>
      <c r="F98" s="91">
        <v>45673</v>
      </c>
      <c r="G98" s="80" t="s">
        <v>26</v>
      </c>
      <c r="H98" s="11" t="s">
        <v>157</v>
      </c>
      <c r="I98" s="67" t="s">
        <v>143</v>
      </c>
      <c r="J98" s="76">
        <v>76110</v>
      </c>
      <c r="K98" s="76">
        <v>0</v>
      </c>
      <c r="L98" s="81">
        <v>76110</v>
      </c>
    </row>
    <row r="99" spans="1:13" x14ac:dyDescent="0.25">
      <c r="A99" s="90">
        <v>45673</v>
      </c>
      <c r="B99" s="67" t="s">
        <v>66</v>
      </c>
      <c r="C99" s="11" t="s">
        <v>4480</v>
      </c>
      <c r="D99" s="11" t="s">
        <v>4481</v>
      </c>
      <c r="E99" s="80" t="s">
        <v>1013</v>
      </c>
      <c r="F99" s="91">
        <v>45765</v>
      </c>
      <c r="G99" s="80" t="s">
        <v>26</v>
      </c>
      <c r="H99" s="11" t="s">
        <v>157</v>
      </c>
      <c r="I99" s="67" t="s">
        <v>4406</v>
      </c>
      <c r="J99" s="76"/>
      <c r="K99" s="76">
        <v>58619.28</v>
      </c>
      <c r="L99" s="81">
        <v>-58619.28</v>
      </c>
    </row>
    <row r="100" spans="1:13" x14ac:dyDescent="0.25">
      <c r="A100" s="90">
        <v>45674</v>
      </c>
      <c r="B100" s="67" t="s">
        <v>149</v>
      </c>
      <c r="C100" s="11" t="s">
        <v>4478</v>
      </c>
      <c r="D100" s="61" t="s">
        <v>26</v>
      </c>
      <c r="E100" s="80" t="s">
        <v>1013</v>
      </c>
      <c r="F100" s="91">
        <v>45672</v>
      </c>
      <c r="G100" s="80" t="s">
        <v>26</v>
      </c>
      <c r="H100" s="11" t="s">
        <v>157</v>
      </c>
      <c r="I100" s="67" t="s">
        <v>4488</v>
      </c>
      <c r="J100" s="76">
        <v>59376.1</v>
      </c>
      <c r="K100" s="76">
        <v>0</v>
      </c>
      <c r="L100" s="81">
        <v>59376.1</v>
      </c>
    </row>
    <row r="101" spans="1:13" x14ac:dyDescent="0.25">
      <c r="A101" s="90">
        <v>45674</v>
      </c>
      <c r="B101" s="60" t="s">
        <v>146</v>
      </c>
      <c r="C101" s="11" t="s">
        <v>4480</v>
      </c>
      <c r="D101" s="11" t="s">
        <v>4481</v>
      </c>
      <c r="E101" s="80" t="s">
        <v>907</v>
      </c>
      <c r="F101" s="91">
        <v>45674</v>
      </c>
      <c r="G101" s="80" t="s">
        <v>26</v>
      </c>
      <c r="H101" s="11" t="s">
        <v>157</v>
      </c>
      <c r="I101" s="67" t="s">
        <v>4399</v>
      </c>
      <c r="J101" s="76"/>
      <c r="K101" s="76">
        <v>60000</v>
      </c>
      <c r="L101" s="81">
        <v>-60000</v>
      </c>
    </row>
    <row r="102" spans="1:13" x14ac:dyDescent="0.25">
      <c r="A102" s="90">
        <v>45674</v>
      </c>
      <c r="B102" s="65" t="s">
        <v>70</v>
      </c>
      <c r="C102" s="11" t="s">
        <v>4480</v>
      </c>
      <c r="D102" s="61" t="s">
        <v>4430</v>
      </c>
      <c r="E102" s="80" t="s">
        <v>900</v>
      </c>
      <c r="F102" s="91">
        <v>45674</v>
      </c>
      <c r="G102" s="80" t="s">
        <v>26</v>
      </c>
      <c r="H102" s="11" t="s">
        <v>160</v>
      </c>
      <c r="I102" s="67" t="s">
        <v>4427</v>
      </c>
      <c r="J102" s="76"/>
      <c r="K102" s="76">
        <v>50000</v>
      </c>
      <c r="L102" s="81">
        <v>-50000</v>
      </c>
    </row>
    <row r="103" spans="1:13" x14ac:dyDescent="0.25">
      <c r="A103" s="90">
        <v>45677</v>
      </c>
      <c r="B103" s="65" t="s">
        <v>4448</v>
      </c>
      <c r="C103" s="11" t="s">
        <v>4480</v>
      </c>
      <c r="D103" s="11" t="s">
        <v>4481</v>
      </c>
      <c r="E103" s="80" t="s">
        <v>1013</v>
      </c>
      <c r="F103" s="91">
        <v>45751</v>
      </c>
      <c r="G103" s="80" t="s">
        <v>26</v>
      </c>
      <c r="H103" s="11" t="s">
        <v>157</v>
      </c>
      <c r="I103" s="67" t="s">
        <v>4407</v>
      </c>
      <c r="J103" s="76"/>
      <c r="K103" s="76">
        <v>92300</v>
      </c>
      <c r="L103" s="81">
        <v>-92300</v>
      </c>
      <c r="M103" s="59">
        <f>F103-A103</f>
        <v>74</v>
      </c>
    </row>
    <row r="104" spans="1:13" x14ac:dyDescent="0.25">
      <c r="A104" s="90">
        <v>45677</v>
      </c>
      <c r="B104" s="65" t="s">
        <v>4448</v>
      </c>
      <c r="C104" s="11" t="s">
        <v>4480</v>
      </c>
      <c r="D104" s="11" t="s">
        <v>4481</v>
      </c>
      <c r="E104" s="80" t="s">
        <v>1013</v>
      </c>
      <c r="F104" s="91">
        <v>45772</v>
      </c>
      <c r="G104" s="80" t="s">
        <v>26</v>
      </c>
      <c r="H104" s="11" t="s">
        <v>157</v>
      </c>
      <c r="I104" s="67" t="s">
        <v>4408</v>
      </c>
      <c r="J104" s="76"/>
      <c r="K104" s="76">
        <v>92725.37</v>
      </c>
      <c r="L104" s="81">
        <v>-92725.37</v>
      </c>
      <c r="M104" s="59">
        <f t="shared" ref="M104:M111" si="1">F104-A104</f>
        <v>95</v>
      </c>
    </row>
    <row r="105" spans="1:13" x14ac:dyDescent="0.25">
      <c r="A105" s="90">
        <v>45677</v>
      </c>
      <c r="B105" s="65" t="s">
        <v>4448</v>
      </c>
      <c r="C105" s="11" t="s">
        <v>4480</v>
      </c>
      <c r="D105" s="11" t="s">
        <v>4481</v>
      </c>
      <c r="E105" s="80" t="s">
        <v>1013</v>
      </c>
      <c r="F105" s="91">
        <v>45768</v>
      </c>
      <c r="G105" s="80" t="s">
        <v>26</v>
      </c>
      <c r="H105" s="11" t="s">
        <v>157</v>
      </c>
      <c r="I105" s="67" t="s">
        <v>4409</v>
      </c>
      <c r="J105" s="76"/>
      <c r="K105" s="76">
        <v>92300</v>
      </c>
      <c r="L105" s="81">
        <v>-92300</v>
      </c>
      <c r="M105" s="59">
        <f t="shared" si="1"/>
        <v>91</v>
      </c>
    </row>
    <row r="106" spans="1:13" x14ac:dyDescent="0.25">
      <c r="A106" s="90">
        <v>45677</v>
      </c>
      <c r="B106" s="65" t="s">
        <v>4448</v>
      </c>
      <c r="C106" s="11" t="s">
        <v>4480</v>
      </c>
      <c r="D106" s="11" t="s">
        <v>4481</v>
      </c>
      <c r="E106" s="80" t="s">
        <v>1013</v>
      </c>
      <c r="F106" s="91">
        <v>45763</v>
      </c>
      <c r="G106" s="80" t="s">
        <v>26</v>
      </c>
      <c r="H106" s="11" t="s">
        <v>157</v>
      </c>
      <c r="I106" s="67" t="s">
        <v>4410</v>
      </c>
      <c r="J106" s="76"/>
      <c r="K106" s="76">
        <v>92300</v>
      </c>
      <c r="L106" s="81">
        <v>-92300</v>
      </c>
      <c r="M106" s="59">
        <f t="shared" si="1"/>
        <v>86</v>
      </c>
    </row>
    <row r="107" spans="1:13" x14ac:dyDescent="0.25">
      <c r="A107" s="90">
        <v>45677</v>
      </c>
      <c r="B107" s="65" t="s">
        <v>4448</v>
      </c>
      <c r="C107" s="11" t="s">
        <v>4480</v>
      </c>
      <c r="D107" s="11" t="s">
        <v>4481</v>
      </c>
      <c r="E107" s="80" t="s">
        <v>1013</v>
      </c>
      <c r="F107" s="91">
        <v>45757</v>
      </c>
      <c r="G107" s="80" t="s">
        <v>26</v>
      </c>
      <c r="H107" s="11" t="s">
        <v>157</v>
      </c>
      <c r="I107" s="67" t="s">
        <v>4411</v>
      </c>
      <c r="J107" s="76"/>
      <c r="K107" s="76">
        <v>92300</v>
      </c>
      <c r="L107" s="81">
        <v>-92300</v>
      </c>
      <c r="M107" s="59">
        <f t="shared" si="1"/>
        <v>80</v>
      </c>
    </row>
    <row r="108" spans="1:13" x14ac:dyDescent="0.25">
      <c r="A108" s="90">
        <v>45677</v>
      </c>
      <c r="B108" s="67" t="s">
        <v>45</v>
      </c>
      <c r="C108" s="11" t="s">
        <v>4480</v>
      </c>
      <c r="D108" s="61" t="s">
        <v>4430</v>
      </c>
      <c r="E108" s="80" t="s">
        <v>900</v>
      </c>
      <c r="F108" s="91">
        <v>45677</v>
      </c>
      <c r="G108" s="80" t="s">
        <v>26</v>
      </c>
      <c r="H108" s="11" t="s">
        <v>160</v>
      </c>
      <c r="I108" s="67" t="s">
        <v>4427</v>
      </c>
      <c r="J108" s="76"/>
      <c r="K108" s="76">
        <v>50000</v>
      </c>
      <c r="L108" s="81">
        <v>-50000</v>
      </c>
    </row>
    <row r="109" spans="1:13" x14ac:dyDescent="0.25">
      <c r="A109" s="90">
        <v>45678</v>
      </c>
      <c r="B109" s="65" t="s">
        <v>4448</v>
      </c>
      <c r="C109" s="11" t="s">
        <v>4480</v>
      </c>
      <c r="D109" s="80" t="s">
        <v>4481</v>
      </c>
      <c r="E109" s="80" t="s">
        <v>1013</v>
      </c>
      <c r="F109" s="91">
        <v>45759</v>
      </c>
      <c r="G109" s="80" t="s">
        <v>26</v>
      </c>
      <c r="H109" s="11" t="s">
        <v>160</v>
      </c>
      <c r="I109" s="67" t="s">
        <v>4432</v>
      </c>
      <c r="J109" s="76"/>
      <c r="K109" s="76">
        <v>40000</v>
      </c>
      <c r="L109" s="81">
        <v>-40000</v>
      </c>
      <c r="M109" s="59">
        <f t="shared" si="1"/>
        <v>81</v>
      </c>
    </row>
    <row r="110" spans="1:13" x14ac:dyDescent="0.25">
      <c r="A110" s="90">
        <v>45678</v>
      </c>
      <c r="B110" s="65" t="s">
        <v>4448</v>
      </c>
      <c r="C110" s="11" t="s">
        <v>4480</v>
      </c>
      <c r="D110" s="80" t="s">
        <v>4481</v>
      </c>
      <c r="E110" s="80" t="s">
        <v>1013</v>
      </c>
      <c r="F110" s="91">
        <v>45769</v>
      </c>
      <c r="G110" s="80" t="s">
        <v>26</v>
      </c>
      <c r="H110" s="11" t="s">
        <v>160</v>
      </c>
      <c r="I110" s="67" t="s">
        <v>4433</v>
      </c>
      <c r="J110" s="76"/>
      <c r="K110" s="76">
        <v>40000</v>
      </c>
      <c r="L110" s="81">
        <v>-40000</v>
      </c>
      <c r="M110" s="59">
        <f t="shared" si="1"/>
        <v>91</v>
      </c>
    </row>
    <row r="111" spans="1:13" x14ac:dyDescent="0.25">
      <c r="A111" s="90">
        <v>45678</v>
      </c>
      <c r="B111" s="65" t="s">
        <v>4448</v>
      </c>
      <c r="C111" s="11" t="s">
        <v>4480</v>
      </c>
      <c r="D111" s="80" t="s">
        <v>4481</v>
      </c>
      <c r="E111" s="80" t="s">
        <v>1013</v>
      </c>
      <c r="F111" s="91">
        <v>45777</v>
      </c>
      <c r="G111" s="80" t="s">
        <v>26</v>
      </c>
      <c r="H111" s="11" t="s">
        <v>160</v>
      </c>
      <c r="I111" s="67" t="s">
        <v>4434</v>
      </c>
      <c r="J111" s="76"/>
      <c r="K111" s="76">
        <v>47832.19</v>
      </c>
      <c r="L111" s="81">
        <v>-47832.19</v>
      </c>
      <c r="M111" s="59">
        <f t="shared" si="1"/>
        <v>99</v>
      </c>
    </row>
    <row r="112" spans="1:13" x14ac:dyDescent="0.25">
      <c r="A112" s="90">
        <v>45678</v>
      </c>
      <c r="B112" s="65" t="s">
        <v>565</v>
      </c>
      <c r="C112" s="11" t="s">
        <v>4480</v>
      </c>
      <c r="D112" s="61" t="s">
        <v>4430</v>
      </c>
      <c r="E112" s="80" t="s">
        <v>900</v>
      </c>
      <c r="F112" s="91">
        <v>45678</v>
      </c>
      <c r="G112" s="80" t="s">
        <v>26</v>
      </c>
      <c r="H112" s="11" t="s">
        <v>160</v>
      </c>
      <c r="I112" s="67" t="s">
        <v>4427</v>
      </c>
      <c r="J112" s="76"/>
      <c r="K112" s="76">
        <v>40000</v>
      </c>
      <c r="L112" s="81">
        <v>-40000</v>
      </c>
    </row>
    <row r="113" spans="1:12" x14ac:dyDescent="0.25">
      <c r="A113" s="90">
        <v>45678</v>
      </c>
      <c r="B113" s="67" t="s">
        <v>4449</v>
      </c>
      <c r="C113" s="11" t="s">
        <v>4480</v>
      </c>
      <c r="D113" s="80" t="s">
        <v>4430</v>
      </c>
      <c r="E113" s="80" t="s">
        <v>907</v>
      </c>
      <c r="F113" s="91">
        <v>45678</v>
      </c>
      <c r="G113" s="80" t="s">
        <v>26</v>
      </c>
      <c r="H113" s="11" t="s">
        <v>157</v>
      </c>
      <c r="I113" s="67" t="s">
        <v>4412</v>
      </c>
      <c r="J113" s="76"/>
      <c r="K113" s="76">
        <v>72000</v>
      </c>
      <c r="L113" s="81">
        <v>-72000</v>
      </c>
    </row>
    <row r="114" spans="1:12" x14ac:dyDescent="0.25">
      <c r="A114" s="90">
        <v>45679</v>
      </c>
      <c r="B114" s="65" t="s">
        <v>4424</v>
      </c>
      <c r="C114" s="11" t="s">
        <v>4480</v>
      </c>
      <c r="D114" s="61" t="s">
        <v>4430</v>
      </c>
      <c r="E114" s="80" t="s">
        <v>900</v>
      </c>
      <c r="F114" s="91">
        <v>45679</v>
      </c>
      <c r="G114" s="80" t="s">
        <v>26</v>
      </c>
      <c r="H114" s="11" t="s">
        <v>160</v>
      </c>
      <c r="I114" s="67" t="s">
        <v>4435</v>
      </c>
      <c r="J114" s="76"/>
      <c r="K114" s="76">
        <v>12600</v>
      </c>
      <c r="L114" s="81">
        <v>-12600</v>
      </c>
    </row>
    <row r="115" spans="1:12" x14ac:dyDescent="0.25">
      <c r="A115" s="90">
        <v>45679</v>
      </c>
      <c r="B115" s="65" t="s">
        <v>4424</v>
      </c>
      <c r="C115" s="11" t="s">
        <v>4480</v>
      </c>
      <c r="D115" s="61" t="s">
        <v>4430</v>
      </c>
      <c r="E115" s="80" t="s">
        <v>900</v>
      </c>
      <c r="F115" s="91">
        <v>45679</v>
      </c>
      <c r="G115" s="80" t="s">
        <v>26</v>
      </c>
      <c r="H115" s="11" t="s">
        <v>160</v>
      </c>
      <c r="I115" s="67" t="s">
        <v>4436</v>
      </c>
      <c r="J115" s="76"/>
      <c r="K115" s="76">
        <v>12600</v>
      </c>
      <c r="L115" s="81">
        <v>-12600</v>
      </c>
    </row>
    <row r="116" spans="1:12" x14ac:dyDescent="0.25">
      <c r="A116" s="90">
        <v>45679</v>
      </c>
      <c r="B116" s="65" t="s">
        <v>41</v>
      </c>
      <c r="C116" s="11" t="s">
        <v>4480</v>
      </c>
      <c r="D116" s="61" t="s">
        <v>4430</v>
      </c>
      <c r="E116" s="80" t="s">
        <v>900</v>
      </c>
      <c r="F116" s="91">
        <v>45679</v>
      </c>
      <c r="G116" s="80" t="s">
        <v>26</v>
      </c>
      <c r="H116" s="11" t="s">
        <v>160</v>
      </c>
      <c r="I116" s="67" t="s">
        <v>4427</v>
      </c>
      <c r="J116" s="76"/>
      <c r="K116" s="76">
        <v>20000</v>
      </c>
      <c r="L116" s="81">
        <v>-20000</v>
      </c>
    </row>
    <row r="117" spans="1:12" x14ac:dyDescent="0.25">
      <c r="A117" s="90">
        <v>45680</v>
      </c>
      <c r="B117" s="67" t="s">
        <v>140</v>
      </c>
      <c r="C117" s="64" t="s">
        <v>4485</v>
      </c>
      <c r="D117" s="61" t="s">
        <v>4430</v>
      </c>
      <c r="E117" s="80" t="s">
        <v>4486</v>
      </c>
      <c r="F117" s="91">
        <v>45680</v>
      </c>
      <c r="G117" s="80" t="s">
        <v>26</v>
      </c>
      <c r="H117" s="11" t="s">
        <v>160</v>
      </c>
      <c r="I117" s="67" t="s">
        <v>4489</v>
      </c>
      <c r="J117" s="77"/>
      <c r="K117" s="77">
        <v>50000</v>
      </c>
      <c r="L117" s="81">
        <v>-50000</v>
      </c>
    </row>
    <row r="118" spans="1:12" x14ac:dyDescent="0.25">
      <c r="A118" s="90">
        <v>45680</v>
      </c>
      <c r="B118" s="67" t="s">
        <v>140</v>
      </c>
      <c r="C118" s="11" t="s">
        <v>4485</v>
      </c>
      <c r="D118" s="61" t="s">
        <v>4430</v>
      </c>
      <c r="E118" s="80" t="s">
        <v>4486</v>
      </c>
      <c r="F118" s="91">
        <v>45690</v>
      </c>
      <c r="G118" s="80" t="s">
        <v>26</v>
      </c>
      <c r="H118" s="11" t="s">
        <v>160</v>
      </c>
      <c r="I118" s="67" t="s">
        <v>4490</v>
      </c>
      <c r="J118" s="77"/>
      <c r="K118" s="77">
        <v>50000</v>
      </c>
      <c r="L118" s="81">
        <v>-50000</v>
      </c>
    </row>
    <row r="119" spans="1:12" x14ac:dyDescent="0.25">
      <c r="A119" s="90">
        <v>45681</v>
      </c>
      <c r="B119" s="65" t="s">
        <v>163</v>
      </c>
      <c r="C119" s="11" t="s">
        <v>4480</v>
      </c>
      <c r="D119" s="61" t="s">
        <v>4430</v>
      </c>
      <c r="E119" s="80" t="s">
        <v>900</v>
      </c>
      <c r="F119" s="91">
        <v>45681</v>
      </c>
      <c r="G119" s="80" t="s">
        <v>26</v>
      </c>
      <c r="H119" s="11" t="s">
        <v>160</v>
      </c>
      <c r="I119" s="67" t="s">
        <v>4427</v>
      </c>
      <c r="J119" s="76"/>
      <c r="K119" s="76">
        <v>70000</v>
      </c>
      <c r="L119" s="81">
        <v>-70000</v>
      </c>
    </row>
    <row r="120" spans="1:12" x14ac:dyDescent="0.25">
      <c r="A120" s="90">
        <v>45681</v>
      </c>
      <c r="B120" s="65" t="s">
        <v>41</v>
      </c>
      <c r="C120" s="11" t="s">
        <v>4480</v>
      </c>
      <c r="D120" s="61" t="s">
        <v>4430</v>
      </c>
      <c r="E120" s="80" t="s">
        <v>900</v>
      </c>
      <c r="F120" s="91">
        <v>45681</v>
      </c>
      <c r="G120" s="80" t="s">
        <v>26</v>
      </c>
      <c r="H120" s="11" t="s">
        <v>160</v>
      </c>
      <c r="I120" s="67" t="s">
        <v>4427</v>
      </c>
      <c r="J120" s="76"/>
      <c r="K120" s="76">
        <v>20000</v>
      </c>
      <c r="L120" s="81">
        <v>-20000</v>
      </c>
    </row>
    <row r="121" spans="1:12" x14ac:dyDescent="0.25">
      <c r="A121" s="90">
        <v>45680</v>
      </c>
      <c r="B121" s="67" t="s">
        <v>140</v>
      </c>
      <c r="C121" s="64" t="s">
        <v>4485</v>
      </c>
      <c r="D121" s="61" t="s">
        <v>4430</v>
      </c>
      <c r="E121" s="80" t="s">
        <v>4486</v>
      </c>
      <c r="F121" s="91">
        <v>45680</v>
      </c>
      <c r="G121" s="80" t="s">
        <v>26</v>
      </c>
      <c r="H121" s="11" t="s">
        <v>160</v>
      </c>
      <c r="I121" s="67" t="s">
        <v>4489</v>
      </c>
      <c r="J121" s="77">
        <v>50000</v>
      </c>
      <c r="K121" s="77"/>
      <c r="L121" s="81">
        <v>50000</v>
      </c>
    </row>
    <row r="122" spans="1:12" x14ac:dyDescent="0.25">
      <c r="A122" s="90">
        <v>45680</v>
      </c>
      <c r="B122" s="67" t="s">
        <v>140</v>
      </c>
      <c r="C122" s="11" t="s">
        <v>4480</v>
      </c>
      <c r="D122" s="61" t="s">
        <v>4430</v>
      </c>
      <c r="E122" s="80" t="s">
        <v>900</v>
      </c>
      <c r="F122" s="91">
        <v>45680</v>
      </c>
      <c r="G122" s="80" t="s">
        <v>26</v>
      </c>
      <c r="H122" s="11" t="s">
        <v>160</v>
      </c>
      <c r="I122" s="67" t="s">
        <v>4437</v>
      </c>
      <c r="J122" s="77"/>
      <c r="K122" s="77">
        <v>50000</v>
      </c>
      <c r="L122" s="81">
        <v>-50000</v>
      </c>
    </row>
    <row r="123" spans="1:12" x14ac:dyDescent="0.25">
      <c r="A123" s="90">
        <v>45681</v>
      </c>
      <c r="B123" s="65" t="s">
        <v>4423</v>
      </c>
      <c r="C123" s="64" t="s">
        <v>4485</v>
      </c>
      <c r="D123" s="61" t="s">
        <v>26</v>
      </c>
      <c r="E123" s="80" t="s">
        <v>1013</v>
      </c>
      <c r="F123" s="91">
        <v>45688</v>
      </c>
      <c r="G123" s="80" t="s">
        <v>26</v>
      </c>
      <c r="H123" s="11" t="s">
        <v>157</v>
      </c>
      <c r="I123" s="67" t="s">
        <v>142</v>
      </c>
      <c r="J123" s="76">
        <v>172945.02</v>
      </c>
      <c r="K123" s="76">
        <v>0</v>
      </c>
      <c r="L123" s="81">
        <v>172945.02</v>
      </c>
    </row>
    <row r="124" spans="1:12" x14ac:dyDescent="0.25">
      <c r="A124" s="90">
        <v>45681</v>
      </c>
      <c r="B124" s="65" t="s">
        <v>4423</v>
      </c>
      <c r="C124" s="11" t="s">
        <v>4480</v>
      </c>
      <c r="D124" s="11" t="s">
        <v>4481</v>
      </c>
      <c r="E124" s="80" t="s">
        <v>1013</v>
      </c>
      <c r="F124" s="91">
        <v>45703</v>
      </c>
      <c r="G124" s="80" t="s">
        <v>26</v>
      </c>
      <c r="H124" s="11" t="s">
        <v>157</v>
      </c>
      <c r="I124" s="67" t="s">
        <v>4413</v>
      </c>
      <c r="J124" s="76"/>
      <c r="K124" s="76">
        <v>172945.02</v>
      </c>
      <c r="L124" s="81">
        <v>-172945.02</v>
      </c>
    </row>
    <row r="125" spans="1:12" x14ac:dyDescent="0.25">
      <c r="A125" s="90">
        <v>45681</v>
      </c>
      <c r="B125" s="65" t="s">
        <v>4423</v>
      </c>
      <c r="C125" s="11" t="s">
        <v>4480</v>
      </c>
      <c r="D125" s="11" t="s">
        <v>4481</v>
      </c>
      <c r="E125" s="80" t="s">
        <v>1013</v>
      </c>
      <c r="F125" s="91">
        <v>45703</v>
      </c>
      <c r="G125" s="80" t="s">
        <v>26</v>
      </c>
      <c r="H125" s="11" t="s">
        <v>157</v>
      </c>
      <c r="I125" s="67" t="s">
        <v>4414</v>
      </c>
      <c r="J125" s="76"/>
      <c r="K125" s="76">
        <v>106577.4</v>
      </c>
      <c r="L125" s="81">
        <v>-106577.4</v>
      </c>
    </row>
    <row r="126" spans="1:12" x14ac:dyDescent="0.25">
      <c r="A126" s="90">
        <v>45684</v>
      </c>
      <c r="B126" s="67" t="s">
        <v>45</v>
      </c>
      <c r="C126" s="11" t="s">
        <v>4480</v>
      </c>
      <c r="D126" s="61" t="s">
        <v>4430</v>
      </c>
      <c r="E126" s="80" t="s">
        <v>900</v>
      </c>
      <c r="F126" s="91">
        <v>45684</v>
      </c>
      <c r="G126" s="80" t="s">
        <v>26</v>
      </c>
      <c r="H126" s="11" t="s">
        <v>160</v>
      </c>
      <c r="I126" s="67" t="s">
        <v>4427</v>
      </c>
      <c r="J126" s="76"/>
      <c r="K126" s="76">
        <v>60000</v>
      </c>
      <c r="L126" s="81">
        <v>-60000</v>
      </c>
    </row>
    <row r="127" spans="1:12" x14ac:dyDescent="0.25">
      <c r="A127" s="90">
        <v>45685</v>
      </c>
      <c r="B127" s="65" t="s">
        <v>4446</v>
      </c>
      <c r="C127" s="11" t="s">
        <v>4480</v>
      </c>
      <c r="D127" s="11" t="s">
        <v>4481</v>
      </c>
      <c r="E127" s="80" t="s">
        <v>1013</v>
      </c>
      <c r="F127" s="91">
        <v>45747</v>
      </c>
      <c r="G127" s="80" t="s">
        <v>26</v>
      </c>
      <c r="H127" s="11" t="s">
        <v>157</v>
      </c>
      <c r="I127" s="67" t="s">
        <v>4415</v>
      </c>
      <c r="J127" s="76"/>
      <c r="K127" s="76">
        <v>69619.48</v>
      </c>
      <c r="L127" s="81">
        <v>-69619.48</v>
      </c>
    </row>
    <row r="128" spans="1:12" x14ac:dyDescent="0.25">
      <c r="A128" s="90">
        <v>45685</v>
      </c>
      <c r="B128" s="65" t="s">
        <v>4446</v>
      </c>
      <c r="C128" s="11" t="s">
        <v>4480</v>
      </c>
      <c r="D128" s="11" t="s">
        <v>4481</v>
      </c>
      <c r="E128" s="80" t="s">
        <v>1013</v>
      </c>
      <c r="F128" s="91">
        <v>45758</v>
      </c>
      <c r="G128" s="80" t="s">
        <v>26</v>
      </c>
      <c r="H128" s="11" t="s">
        <v>157</v>
      </c>
      <c r="I128" s="67" t="s">
        <v>4416</v>
      </c>
      <c r="J128" s="76"/>
      <c r="K128" s="76">
        <v>69619.48</v>
      </c>
      <c r="L128" s="81">
        <v>-69619.48</v>
      </c>
    </row>
    <row r="129" spans="1:12" x14ac:dyDescent="0.25">
      <c r="A129" s="90">
        <v>45685</v>
      </c>
      <c r="B129" s="65" t="s">
        <v>4446</v>
      </c>
      <c r="C129" s="11" t="s">
        <v>4480</v>
      </c>
      <c r="D129" s="11" t="s">
        <v>4481</v>
      </c>
      <c r="E129" s="80" t="s">
        <v>1013</v>
      </c>
      <c r="F129" s="91">
        <v>45777</v>
      </c>
      <c r="G129" s="80" t="s">
        <v>26</v>
      </c>
      <c r="H129" s="11" t="s">
        <v>157</v>
      </c>
      <c r="I129" s="67" t="s">
        <v>4417</v>
      </c>
      <c r="J129" s="76"/>
      <c r="K129" s="76">
        <v>69619.48</v>
      </c>
      <c r="L129" s="81">
        <v>-69619.48</v>
      </c>
    </row>
    <row r="130" spans="1:12" x14ac:dyDescent="0.25">
      <c r="A130" s="90">
        <v>45685</v>
      </c>
      <c r="B130" s="65" t="s">
        <v>41</v>
      </c>
      <c r="C130" s="11" t="s">
        <v>4480</v>
      </c>
      <c r="D130" s="61" t="s">
        <v>4430</v>
      </c>
      <c r="E130" s="80" t="s">
        <v>900</v>
      </c>
      <c r="F130" s="91">
        <v>45685</v>
      </c>
      <c r="G130" s="80" t="s">
        <v>26</v>
      </c>
      <c r="H130" s="11" t="s">
        <v>160</v>
      </c>
      <c r="I130" s="67" t="s">
        <v>4427</v>
      </c>
      <c r="J130" s="76"/>
      <c r="K130" s="76">
        <v>20000</v>
      </c>
      <c r="L130" s="81">
        <v>-20000</v>
      </c>
    </row>
    <row r="131" spans="1:12" x14ac:dyDescent="0.25">
      <c r="A131" s="90">
        <v>45685</v>
      </c>
      <c r="B131" s="60" t="s">
        <v>146</v>
      </c>
      <c r="C131" s="11" t="s">
        <v>4480</v>
      </c>
      <c r="D131" s="11" t="s">
        <v>4481</v>
      </c>
      <c r="E131" s="80" t="s">
        <v>907</v>
      </c>
      <c r="F131" s="91">
        <v>45685</v>
      </c>
      <c r="G131" s="80" t="s">
        <v>26</v>
      </c>
      <c r="H131" s="11" t="s">
        <v>157</v>
      </c>
      <c r="I131" s="67" t="s">
        <v>4418</v>
      </c>
      <c r="J131" s="76"/>
      <c r="K131" s="76">
        <v>60000</v>
      </c>
      <c r="L131" s="81">
        <v>-60000</v>
      </c>
    </row>
    <row r="132" spans="1:12" x14ac:dyDescent="0.25">
      <c r="A132" s="90">
        <v>45686</v>
      </c>
      <c r="B132" s="65" t="s">
        <v>4424</v>
      </c>
      <c r="C132" s="11" t="s">
        <v>4480</v>
      </c>
      <c r="D132" s="80" t="s">
        <v>4481</v>
      </c>
      <c r="E132" s="80" t="s">
        <v>907</v>
      </c>
      <c r="F132" s="91">
        <v>45686</v>
      </c>
      <c r="G132" s="80" t="s">
        <v>26</v>
      </c>
      <c r="H132" s="11" t="s">
        <v>157</v>
      </c>
      <c r="I132" s="67" t="s">
        <v>4419</v>
      </c>
      <c r="J132" s="76"/>
      <c r="K132" s="76">
        <v>80000</v>
      </c>
      <c r="L132" s="81">
        <v>-80000</v>
      </c>
    </row>
    <row r="133" spans="1:12" x14ac:dyDescent="0.25">
      <c r="A133" s="90">
        <v>45687</v>
      </c>
      <c r="B133" s="65" t="s">
        <v>4423</v>
      </c>
      <c r="C133" s="11" t="s">
        <v>4480</v>
      </c>
      <c r="D133" s="80" t="s">
        <v>4481</v>
      </c>
      <c r="E133" s="80" t="s">
        <v>1013</v>
      </c>
      <c r="F133" s="91">
        <v>45777</v>
      </c>
      <c r="G133" s="80" t="s">
        <v>26</v>
      </c>
      <c r="H133" s="11" t="s">
        <v>157</v>
      </c>
      <c r="I133" s="67" t="s">
        <v>4420</v>
      </c>
      <c r="J133" s="76"/>
      <c r="K133" s="76">
        <v>269033.57</v>
      </c>
      <c r="L133" s="81">
        <v>-269033.57</v>
      </c>
    </row>
    <row r="134" spans="1:12" x14ac:dyDescent="0.25">
      <c r="A134" s="90">
        <v>45687</v>
      </c>
      <c r="B134" s="65" t="s">
        <v>41</v>
      </c>
      <c r="C134" s="11" t="s">
        <v>4480</v>
      </c>
      <c r="D134" s="80" t="s">
        <v>4430</v>
      </c>
      <c r="E134" s="80" t="s">
        <v>900</v>
      </c>
      <c r="F134" s="91">
        <v>45687</v>
      </c>
      <c r="G134" s="80" t="s">
        <v>26</v>
      </c>
      <c r="H134" s="11" t="s">
        <v>160</v>
      </c>
      <c r="I134" s="67" t="s">
        <v>4427</v>
      </c>
      <c r="J134" s="76"/>
      <c r="K134" s="76">
        <v>20000</v>
      </c>
      <c r="L134" s="81">
        <v>-20000</v>
      </c>
    </row>
    <row r="135" spans="1:12" x14ac:dyDescent="0.25">
      <c r="A135" s="90">
        <v>45687</v>
      </c>
      <c r="B135" s="65" t="s">
        <v>163</v>
      </c>
      <c r="C135" s="11" t="s">
        <v>4480</v>
      </c>
      <c r="D135" s="80" t="s">
        <v>4430</v>
      </c>
      <c r="E135" s="80" t="s">
        <v>900</v>
      </c>
      <c r="F135" s="91">
        <v>45687</v>
      </c>
      <c r="G135" s="80" t="s">
        <v>26</v>
      </c>
      <c r="H135" s="11" t="s">
        <v>160</v>
      </c>
      <c r="I135" s="67" t="s">
        <v>4427</v>
      </c>
      <c r="J135" s="76"/>
      <c r="K135" s="76">
        <v>20000</v>
      </c>
      <c r="L135" s="81">
        <v>-20000</v>
      </c>
    </row>
    <row r="136" spans="1:12" x14ac:dyDescent="0.25">
      <c r="A136" s="90">
        <v>45687</v>
      </c>
      <c r="B136" s="67" t="s">
        <v>4442</v>
      </c>
      <c r="C136" s="11" t="s">
        <v>4480</v>
      </c>
      <c r="D136" s="80" t="s">
        <v>4430</v>
      </c>
      <c r="E136" s="80" t="s">
        <v>907</v>
      </c>
      <c r="F136" s="91">
        <v>45687</v>
      </c>
      <c r="G136" s="80" t="s">
        <v>26</v>
      </c>
      <c r="H136" s="11" t="s">
        <v>157</v>
      </c>
      <c r="I136" s="67" t="s">
        <v>4421</v>
      </c>
      <c r="J136" s="76"/>
      <c r="K136" s="76">
        <v>19776</v>
      </c>
      <c r="L136" s="81">
        <v>-19776</v>
      </c>
    </row>
    <row r="137" spans="1:12" x14ac:dyDescent="0.25">
      <c r="A137" s="90">
        <v>45688</v>
      </c>
      <c r="B137" s="65" t="s">
        <v>141</v>
      </c>
      <c r="C137" s="11" t="s">
        <v>4480</v>
      </c>
      <c r="D137" s="80" t="s">
        <v>4430</v>
      </c>
      <c r="E137" s="80" t="s">
        <v>900</v>
      </c>
      <c r="F137" s="91">
        <v>45688</v>
      </c>
      <c r="G137" s="80" t="s">
        <v>26</v>
      </c>
      <c r="H137" s="11" t="s">
        <v>160</v>
      </c>
      <c r="I137" s="67" t="s">
        <v>4427</v>
      </c>
      <c r="J137" s="76"/>
      <c r="K137" s="76">
        <v>10000</v>
      </c>
      <c r="L137" s="81">
        <v>-10000</v>
      </c>
    </row>
    <row r="138" spans="1:12" x14ac:dyDescent="0.25">
      <c r="A138" s="90">
        <v>45689</v>
      </c>
      <c r="B138" s="65" t="s">
        <v>41</v>
      </c>
      <c r="C138" s="11" t="s">
        <v>4480</v>
      </c>
      <c r="D138" s="80" t="s">
        <v>4430</v>
      </c>
      <c r="E138" s="80" t="s">
        <v>900</v>
      </c>
      <c r="F138" s="91">
        <v>45688</v>
      </c>
      <c r="G138" s="80" t="s">
        <v>26</v>
      </c>
      <c r="H138" s="11" t="s">
        <v>160</v>
      </c>
      <c r="I138" s="67" t="s">
        <v>4427</v>
      </c>
      <c r="J138" s="76"/>
      <c r="K138" s="76">
        <v>20000</v>
      </c>
      <c r="L138" s="81">
        <v>-20000</v>
      </c>
    </row>
    <row r="139" spans="1:12" x14ac:dyDescent="0.25">
      <c r="A139" s="90">
        <v>45691</v>
      </c>
      <c r="B139" s="65" t="s">
        <v>4448</v>
      </c>
      <c r="C139" s="11" t="s">
        <v>4485</v>
      </c>
      <c r="D139" s="80" t="s">
        <v>4481</v>
      </c>
      <c r="E139" s="80" t="s">
        <v>1013</v>
      </c>
      <c r="F139" s="91">
        <v>45656</v>
      </c>
      <c r="G139" s="80" t="s">
        <v>26</v>
      </c>
      <c r="H139" s="11" t="s">
        <v>160</v>
      </c>
      <c r="I139" s="67" t="s">
        <v>159</v>
      </c>
      <c r="J139" s="76">
        <v>47082</v>
      </c>
      <c r="K139" s="76">
        <v>0</v>
      </c>
      <c r="L139" s="81">
        <v>47082</v>
      </c>
    </row>
    <row r="140" spans="1:12" x14ac:dyDescent="0.25">
      <c r="A140" s="90">
        <v>45691</v>
      </c>
      <c r="B140" s="65" t="s">
        <v>4448</v>
      </c>
      <c r="C140" s="11" t="s">
        <v>4480</v>
      </c>
      <c r="D140" s="80" t="s">
        <v>4481</v>
      </c>
      <c r="E140" s="80" t="s">
        <v>900</v>
      </c>
      <c r="F140" s="91">
        <v>45691</v>
      </c>
      <c r="G140" s="80" t="s">
        <v>26</v>
      </c>
      <c r="H140" s="11" t="s">
        <v>160</v>
      </c>
      <c r="I140" s="67" t="s">
        <v>4491</v>
      </c>
      <c r="J140" s="76"/>
      <c r="K140" s="76">
        <v>47082</v>
      </c>
      <c r="L140" s="81">
        <v>-47082</v>
      </c>
    </row>
    <row r="141" spans="1:12" x14ac:dyDescent="0.25">
      <c r="A141" s="90">
        <v>45691</v>
      </c>
      <c r="B141" s="65" t="s">
        <v>4461</v>
      </c>
      <c r="C141" s="11" t="s">
        <v>4478</v>
      </c>
      <c r="D141" s="80" t="s">
        <v>4481</v>
      </c>
      <c r="E141" s="80" t="s">
        <v>1013</v>
      </c>
      <c r="F141" s="91">
        <v>45687</v>
      </c>
      <c r="G141" s="80" t="s">
        <v>26</v>
      </c>
      <c r="H141" s="11" t="s">
        <v>157</v>
      </c>
      <c r="I141" s="67" t="s">
        <v>4492</v>
      </c>
      <c r="J141" s="76">
        <v>60850.51</v>
      </c>
      <c r="K141" s="76">
        <v>0</v>
      </c>
      <c r="L141" s="81">
        <v>60850.51</v>
      </c>
    </row>
    <row r="142" spans="1:12" x14ac:dyDescent="0.25">
      <c r="A142" s="90">
        <v>45691</v>
      </c>
      <c r="B142" s="65" t="s">
        <v>4423</v>
      </c>
      <c r="C142" s="11" t="s">
        <v>4478</v>
      </c>
      <c r="D142" s="80" t="s">
        <v>4481</v>
      </c>
      <c r="E142" s="80" t="s">
        <v>1013</v>
      </c>
      <c r="F142" s="91">
        <v>45687</v>
      </c>
      <c r="G142" s="80" t="s">
        <v>26</v>
      </c>
      <c r="H142" s="11" t="s">
        <v>157</v>
      </c>
      <c r="I142" s="67" t="s">
        <v>4493</v>
      </c>
      <c r="J142" s="76">
        <v>172945.02</v>
      </c>
      <c r="K142" s="76">
        <v>0</v>
      </c>
      <c r="L142" s="81">
        <v>172945.02</v>
      </c>
    </row>
    <row r="143" spans="1:12" x14ac:dyDescent="0.25">
      <c r="A143" s="90">
        <v>45691</v>
      </c>
      <c r="B143" s="67" t="s">
        <v>66</v>
      </c>
      <c r="C143" s="11" t="s">
        <v>4480</v>
      </c>
      <c r="D143" s="80" t="s">
        <v>4481</v>
      </c>
      <c r="E143" s="80" t="s">
        <v>907</v>
      </c>
      <c r="F143" s="91">
        <v>45691</v>
      </c>
      <c r="G143" s="80" t="s">
        <v>26</v>
      </c>
      <c r="H143" s="11" t="s">
        <v>157</v>
      </c>
      <c r="I143" s="67" t="s">
        <v>4494</v>
      </c>
      <c r="J143" s="76"/>
      <c r="K143" s="76">
        <v>40000</v>
      </c>
      <c r="L143" s="81">
        <v>-40000</v>
      </c>
    </row>
    <row r="144" spans="1:12" x14ac:dyDescent="0.25">
      <c r="A144" s="90">
        <v>45691</v>
      </c>
      <c r="B144" s="65" t="s">
        <v>141</v>
      </c>
      <c r="C144" s="11" t="s">
        <v>4480</v>
      </c>
      <c r="D144" s="80" t="s">
        <v>4430</v>
      </c>
      <c r="E144" s="80" t="s">
        <v>900</v>
      </c>
      <c r="F144" s="91">
        <v>45691</v>
      </c>
      <c r="G144" s="80"/>
      <c r="H144" s="11" t="s">
        <v>160</v>
      </c>
      <c r="I144" s="67" t="s">
        <v>4427</v>
      </c>
      <c r="J144" s="76"/>
      <c r="K144" s="76">
        <v>20000</v>
      </c>
      <c r="L144" s="81">
        <v>-20000</v>
      </c>
    </row>
    <row r="145" spans="1:12" x14ac:dyDescent="0.25">
      <c r="A145" s="90">
        <v>45692</v>
      </c>
      <c r="B145" s="67" t="s">
        <v>140</v>
      </c>
      <c r="C145" s="11" t="s">
        <v>4485</v>
      </c>
      <c r="D145" s="61" t="s">
        <v>4430</v>
      </c>
      <c r="E145" s="80" t="s">
        <v>4486</v>
      </c>
      <c r="F145" s="91">
        <v>45690</v>
      </c>
      <c r="G145" s="80" t="s">
        <v>26</v>
      </c>
      <c r="H145" s="11" t="s">
        <v>160</v>
      </c>
      <c r="I145" s="67" t="s">
        <v>4490</v>
      </c>
      <c r="J145" s="77">
        <v>50000</v>
      </c>
      <c r="K145" s="77"/>
      <c r="L145" s="81">
        <v>50000</v>
      </c>
    </row>
    <row r="146" spans="1:12" x14ac:dyDescent="0.25">
      <c r="A146" s="90">
        <v>45692</v>
      </c>
      <c r="B146" s="67" t="s">
        <v>140</v>
      </c>
      <c r="C146" s="11" t="s">
        <v>4480</v>
      </c>
      <c r="D146" s="80" t="s">
        <v>4430</v>
      </c>
      <c r="E146" s="80" t="s">
        <v>900</v>
      </c>
      <c r="F146" s="91">
        <v>45690</v>
      </c>
      <c r="G146" s="80" t="s">
        <v>26</v>
      </c>
      <c r="H146" s="11" t="s">
        <v>160</v>
      </c>
      <c r="I146" s="67" t="s">
        <v>4495</v>
      </c>
      <c r="J146" s="76"/>
      <c r="K146" s="76">
        <v>50000</v>
      </c>
      <c r="L146" s="81">
        <v>-50000</v>
      </c>
    </row>
    <row r="147" spans="1:12" x14ac:dyDescent="0.25">
      <c r="A147" s="90">
        <v>45688</v>
      </c>
      <c r="B147" s="65" t="s">
        <v>4445</v>
      </c>
      <c r="C147" s="11" t="s">
        <v>4496</v>
      </c>
      <c r="D147" s="80" t="s">
        <v>4430</v>
      </c>
      <c r="E147" s="80" t="s">
        <v>26</v>
      </c>
      <c r="F147" s="91">
        <v>45688</v>
      </c>
      <c r="G147" s="80" t="s">
        <v>6331</v>
      </c>
      <c r="H147" s="11" t="s">
        <v>157</v>
      </c>
      <c r="I147" s="67" t="s">
        <v>4497</v>
      </c>
      <c r="J147" s="76">
        <v>4910.3999999999996</v>
      </c>
      <c r="K147" s="76">
        <v>0</v>
      </c>
      <c r="L147" s="81">
        <v>4910.3999999999996</v>
      </c>
    </row>
    <row r="148" spans="1:12" x14ac:dyDescent="0.25">
      <c r="A148" s="90">
        <v>45688</v>
      </c>
      <c r="B148" s="65" t="s">
        <v>4445</v>
      </c>
      <c r="C148" s="11" t="s">
        <v>4496</v>
      </c>
      <c r="D148" s="80" t="s">
        <v>4430</v>
      </c>
      <c r="E148" s="80" t="s">
        <v>26</v>
      </c>
      <c r="F148" s="91">
        <v>45688</v>
      </c>
      <c r="G148" s="80" t="s">
        <v>6331</v>
      </c>
      <c r="H148" s="11" t="s">
        <v>157</v>
      </c>
      <c r="I148" s="67" t="s">
        <v>4498</v>
      </c>
      <c r="J148" s="76">
        <v>1488</v>
      </c>
      <c r="K148" s="76">
        <v>0</v>
      </c>
      <c r="L148" s="81">
        <v>1488</v>
      </c>
    </row>
    <row r="149" spans="1:12" x14ac:dyDescent="0.25">
      <c r="A149" s="90">
        <v>45688</v>
      </c>
      <c r="B149" s="60" t="s">
        <v>146</v>
      </c>
      <c r="C149" s="11" t="s">
        <v>4496</v>
      </c>
      <c r="D149" s="80" t="s">
        <v>4481</v>
      </c>
      <c r="E149" s="80" t="s">
        <v>26</v>
      </c>
      <c r="F149" s="91">
        <v>45778</v>
      </c>
      <c r="G149" s="80" t="s">
        <v>6330</v>
      </c>
      <c r="H149" s="11" t="s">
        <v>157</v>
      </c>
      <c r="I149" s="67" t="s">
        <v>4499</v>
      </c>
      <c r="J149" s="76">
        <v>180245.52</v>
      </c>
      <c r="K149" s="76">
        <v>0</v>
      </c>
      <c r="L149" s="81">
        <v>180245.52</v>
      </c>
    </row>
    <row r="150" spans="1:12" x14ac:dyDescent="0.25">
      <c r="A150" s="90">
        <v>45688</v>
      </c>
      <c r="B150" s="67" t="s">
        <v>66</v>
      </c>
      <c r="C150" s="11" t="s">
        <v>4496</v>
      </c>
      <c r="D150" s="80" t="s">
        <v>4481</v>
      </c>
      <c r="E150" s="80" t="s">
        <v>26</v>
      </c>
      <c r="F150" s="91">
        <v>45778</v>
      </c>
      <c r="G150" s="80" t="s">
        <v>6330</v>
      </c>
      <c r="H150" s="11" t="s">
        <v>157</v>
      </c>
      <c r="I150" s="67" t="s">
        <v>4500</v>
      </c>
      <c r="J150" s="76">
        <v>107895.12000000001</v>
      </c>
      <c r="K150" s="76">
        <v>0</v>
      </c>
      <c r="L150" s="81">
        <v>107895.12000000001</v>
      </c>
    </row>
    <row r="151" spans="1:12" x14ac:dyDescent="0.25">
      <c r="A151" s="90">
        <v>45688</v>
      </c>
      <c r="B151" s="67" t="s">
        <v>4449</v>
      </c>
      <c r="C151" s="11" t="s">
        <v>4496</v>
      </c>
      <c r="D151" s="80" t="s">
        <v>4430</v>
      </c>
      <c r="E151" s="80" t="s">
        <v>26</v>
      </c>
      <c r="F151" s="91">
        <v>45688</v>
      </c>
      <c r="G151" s="80" t="s">
        <v>6331</v>
      </c>
      <c r="H151" s="11" t="s">
        <v>157</v>
      </c>
      <c r="I151" s="67" t="s">
        <v>4501</v>
      </c>
      <c r="J151" s="76">
        <v>32359.559999999998</v>
      </c>
      <c r="K151" s="76">
        <v>0</v>
      </c>
      <c r="L151" s="81">
        <v>32359.559999999998</v>
      </c>
    </row>
    <row r="152" spans="1:12" x14ac:dyDescent="0.25">
      <c r="A152" s="90">
        <v>45688</v>
      </c>
      <c r="B152" s="65" t="s">
        <v>4448</v>
      </c>
      <c r="C152" s="11" t="s">
        <v>4496</v>
      </c>
      <c r="D152" s="80" t="s">
        <v>4481</v>
      </c>
      <c r="E152" s="80" t="s">
        <v>26</v>
      </c>
      <c r="F152" s="91">
        <v>45778</v>
      </c>
      <c r="G152" s="80" t="s">
        <v>6330</v>
      </c>
      <c r="H152" s="11" t="s">
        <v>157</v>
      </c>
      <c r="I152" s="67" t="s">
        <v>4501</v>
      </c>
      <c r="J152" s="76">
        <v>204829.03199999998</v>
      </c>
      <c r="K152" s="76">
        <v>0</v>
      </c>
      <c r="L152" s="81">
        <v>204829.03199999998</v>
      </c>
    </row>
    <row r="153" spans="1:12" x14ac:dyDescent="0.25">
      <c r="A153" s="90">
        <v>45688</v>
      </c>
      <c r="B153" s="65" t="s">
        <v>4423</v>
      </c>
      <c r="C153" s="11" t="s">
        <v>4496</v>
      </c>
      <c r="D153" s="80" t="s">
        <v>4481</v>
      </c>
      <c r="E153" s="80" t="s">
        <v>26</v>
      </c>
      <c r="F153" s="91">
        <v>45808</v>
      </c>
      <c r="G153" s="80" t="s">
        <v>6330</v>
      </c>
      <c r="H153" s="11" t="s">
        <v>157</v>
      </c>
      <c r="I153" s="67" t="s">
        <v>4502</v>
      </c>
      <c r="J153" s="76">
        <v>438436.17599999998</v>
      </c>
      <c r="K153" s="76">
        <v>0</v>
      </c>
      <c r="L153" s="81">
        <v>438436.17599999998</v>
      </c>
    </row>
    <row r="154" spans="1:12" x14ac:dyDescent="0.25">
      <c r="A154" s="90">
        <v>45688</v>
      </c>
      <c r="B154" s="67" t="s">
        <v>4442</v>
      </c>
      <c r="C154" s="11" t="s">
        <v>4496</v>
      </c>
      <c r="D154" s="80" t="s">
        <v>4430</v>
      </c>
      <c r="E154" s="80" t="s">
        <v>26</v>
      </c>
      <c r="F154" s="91">
        <v>45688</v>
      </c>
      <c r="G154" s="80" t="s">
        <v>6331</v>
      </c>
      <c r="H154" s="11" t="s">
        <v>157</v>
      </c>
      <c r="I154" s="67" t="s">
        <v>4503</v>
      </c>
      <c r="J154" s="76">
        <v>3991.5839999999998</v>
      </c>
      <c r="K154" s="76">
        <v>0</v>
      </c>
      <c r="L154" s="81">
        <v>3991.5839999999998</v>
      </c>
    </row>
    <row r="155" spans="1:12" x14ac:dyDescent="0.25">
      <c r="A155" s="90">
        <v>45688</v>
      </c>
      <c r="B155" s="65" t="s">
        <v>4446</v>
      </c>
      <c r="C155" s="11" t="s">
        <v>4496</v>
      </c>
      <c r="D155" s="80" t="s">
        <v>4481</v>
      </c>
      <c r="E155" s="80" t="s">
        <v>26</v>
      </c>
      <c r="F155" s="91">
        <v>45808</v>
      </c>
      <c r="G155" s="80" t="s">
        <v>6330</v>
      </c>
      <c r="H155" s="11" t="s">
        <v>157</v>
      </c>
      <c r="I155" s="67" t="s">
        <v>4504</v>
      </c>
      <c r="J155" s="76">
        <v>259063.34399999998</v>
      </c>
      <c r="K155" s="76">
        <v>0</v>
      </c>
      <c r="L155" s="81">
        <v>259063.34399999998</v>
      </c>
    </row>
    <row r="156" spans="1:12" x14ac:dyDescent="0.25">
      <c r="A156" s="90">
        <v>45688</v>
      </c>
      <c r="B156" s="65" t="s">
        <v>4424</v>
      </c>
      <c r="C156" s="11" t="s">
        <v>4496</v>
      </c>
      <c r="D156" s="80" t="s">
        <v>4481</v>
      </c>
      <c r="E156" s="80" t="s">
        <v>26</v>
      </c>
      <c r="F156" s="91">
        <v>45748</v>
      </c>
      <c r="G156" s="80" t="s">
        <v>6330</v>
      </c>
      <c r="H156" s="11" t="s">
        <v>157</v>
      </c>
      <c r="I156" s="67" t="s">
        <v>4505</v>
      </c>
      <c r="J156" s="76">
        <v>3755.14</v>
      </c>
      <c r="K156" s="76">
        <v>0</v>
      </c>
      <c r="L156" s="81">
        <v>3755.14</v>
      </c>
    </row>
    <row r="157" spans="1:12" x14ac:dyDescent="0.25">
      <c r="A157" s="90">
        <v>45688</v>
      </c>
      <c r="B157" s="65" t="s">
        <v>4422</v>
      </c>
      <c r="C157" s="11" t="s">
        <v>4496</v>
      </c>
      <c r="D157" s="80" t="s">
        <v>4481</v>
      </c>
      <c r="E157" s="80" t="s">
        <v>26</v>
      </c>
      <c r="F157" s="91">
        <v>45748</v>
      </c>
      <c r="G157" s="80" t="s">
        <v>6330</v>
      </c>
      <c r="H157" s="11" t="s">
        <v>157</v>
      </c>
      <c r="I157" s="67" t="s">
        <v>4506</v>
      </c>
      <c r="J157" s="76">
        <v>1169003.4720000001</v>
      </c>
      <c r="K157" s="76">
        <v>0</v>
      </c>
      <c r="L157" s="81">
        <v>1169003.4720000001</v>
      </c>
    </row>
    <row r="158" spans="1:12" x14ac:dyDescent="0.25">
      <c r="A158" s="90">
        <v>45688</v>
      </c>
      <c r="B158" s="65" t="s">
        <v>4424</v>
      </c>
      <c r="C158" s="11" t="s">
        <v>4507</v>
      </c>
      <c r="D158" s="80" t="s">
        <v>4430</v>
      </c>
      <c r="E158" s="80" t="s">
        <v>26</v>
      </c>
      <c r="F158" s="91">
        <v>45688</v>
      </c>
      <c r="G158" s="80" t="s">
        <v>6331</v>
      </c>
      <c r="H158" s="11" t="s">
        <v>160</v>
      </c>
      <c r="I158" s="67" t="s">
        <v>4508</v>
      </c>
      <c r="J158" s="76">
        <v>32387.4</v>
      </c>
      <c r="K158" s="76">
        <v>0</v>
      </c>
      <c r="L158" s="81">
        <v>32387.4</v>
      </c>
    </row>
    <row r="159" spans="1:12" x14ac:dyDescent="0.25">
      <c r="A159" s="90">
        <v>45688</v>
      </c>
      <c r="B159" s="65" t="s">
        <v>4444</v>
      </c>
      <c r="C159" s="11" t="s">
        <v>4507</v>
      </c>
      <c r="D159" s="80" t="s">
        <v>4430</v>
      </c>
      <c r="E159" s="80" t="s">
        <v>26</v>
      </c>
      <c r="F159" s="91">
        <v>45688</v>
      </c>
      <c r="G159" s="80" t="s">
        <v>6331</v>
      </c>
      <c r="H159" s="11" t="s">
        <v>160</v>
      </c>
      <c r="I159" s="67" t="s">
        <v>4508</v>
      </c>
      <c r="J159" s="76">
        <v>12476.4</v>
      </c>
      <c r="K159" s="76">
        <v>0</v>
      </c>
      <c r="L159" s="81">
        <v>12476.4</v>
      </c>
    </row>
    <row r="160" spans="1:12" x14ac:dyDescent="0.25">
      <c r="A160" s="90">
        <v>45688</v>
      </c>
      <c r="B160" s="65" t="s">
        <v>141</v>
      </c>
      <c r="C160" s="11" t="s">
        <v>4507</v>
      </c>
      <c r="D160" s="80" t="s">
        <v>4430</v>
      </c>
      <c r="E160" s="80" t="s">
        <v>26</v>
      </c>
      <c r="F160" s="91">
        <v>45688</v>
      </c>
      <c r="G160" s="80" t="s">
        <v>6331</v>
      </c>
      <c r="H160" s="11" t="s">
        <v>160</v>
      </c>
      <c r="I160" s="67" t="s">
        <v>4508</v>
      </c>
      <c r="J160" s="76">
        <v>250935.5</v>
      </c>
      <c r="K160" s="76">
        <v>0</v>
      </c>
      <c r="L160" s="81">
        <v>250935.5</v>
      </c>
    </row>
    <row r="161" spans="1:12" x14ac:dyDescent="0.25">
      <c r="A161" s="90">
        <v>45688</v>
      </c>
      <c r="B161" s="67" t="s">
        <v>140</v>
      </c>
      <c r="C161" s="11" t="s">
        <v>4507</v>
      </c>
      <c r="D161" s="80" t="s">
        <v>4430</v>
      </c>
      <c r="E161" s="80" t="s">
        <v>26</v>
      </c>
      <c r="F161" s="91">
        <v>45688</v>
      </c>
      <c r="G161" s="80" t="s">
        <v>6331</v>
      </c>
      <c r="H161" s="11" t="s">
        <v>160</v>
      </c>
      <c r="I161" s="67" t="s">
        <v>4508</v>
      </c>
      <c r="J161" s="76">
        <v>232090.9</v>
      </c>
      <c r="K161" s="76">
        <v>0</v>
      </c>
      <c r="L161" s="81">
        <v>232090.9</v>
      </c>
    </row>
    <row r="162" spans="1:12" x14ac:dyDescent="0.25">
      <c r="A162" s="90">
        <v>45688</v>
      </c>
      <c r="B162" s="65" t="s">
        <v>565</v>
      </c>
      <c r="C162" s="11" t="s">
        <v>4507</v>
      </c>
      <c r="D162" s="80" t="s">
        <v>4430</v>
      </c>
      <c r="E162" s="80" t="s">
        <v>26</v>
      </c>
      <c r="F162" s="91">
        <v>45688</v>
      </c>
      <c r="G162" s="80" t="s">
        <v>6331</v>
      </c>
      <c r="H162" s="11" t="s">
        <v>160</v>
      </c>
      <c r="I162" s="67" t="s">
        <v>4508</v>
      </c>
      <c r="J162" s="76">
        <v>91557.5</v>
      </c>
      <c r="K162" s="76">
        <v>0</v>
      </c>
      <c r="L162" s="81">
        <v>91557.5</v>
      </c>
    </row>
    <row r="163" spans="1:12" x14ac:dyDescent="0.25">
      <c r="A163" s="90">
        <v>45688</v>
      </c>
      <c r="B163" s="65" t="s">
        <v>163</v>
      </c>
      <c r="C163" s="11" t="s">
        <v>4507</v>
      </c>
      <c r="D163" s="80" t="s">
        <v>4430</v>
      </c>
      <c r="E163" s="80" t="s">
        <v>26</v>
      </c>
      <c r="F163" s="91">
        <v>45688</v>
      </c>
      <c r="G163" s="80" t="s">
        <v>6331</v>
      </c>
      <c r="H163" s="11" t="s">
        <v>160</v>
      </c>
      <c r="I163" s="67" t="s">
        <v>4508</v>
      </c>
      <c r="J163" s="76">
        <v>214630</v>
      </c>
      <c r="K163" s="76">
        <v>0</v>
      </c>
      <c r="L163" s="81">
        <v>214630</v>
      </c>
    </row>
    <row r="164" spans="1:12" x14ac:dyDescent="0.25">
      <c r="A164" s="90">
        <v>45688</v>
      </c>
      <c r="B164" s="67" t="s">
        <v>36</v>
      </c>
      <c r="C164" s="11" t="s">
        <v>4507</v>
      </c>
      <c r="D164" s="80" t="s">
        <v>4430</v>
      </c>
      <c r="E164" s="80" t="s">
        <v>26</v>
      </c>
      <c r="F164" s="91">
        <v>45688</v>
      </c>
      <c r="G164" s="80" t="s">
        <v>6331</v>
      </c>
      <c r="H164" s="11" t="s">
        <v>160</v>
      </c>
      <c r="I164" s="67" t="s">
        <v>4508</v>
      </c>
      <c r="J164" s="76">
        <v>62799.64</v>
      </c>
      <c r="K164" s="76">
        <v>0</v>
      </c>
      <c r="L164" s="81">
        <v>62799.64</v>
      </c>
    </row>
    <row r="165" spans="1:12" x14ac:dyDescent="0.25">
      <c r="A165" s="90">
        <v>45688</v>
      </c>
      <c r="B165" s="65" t="s">
        <v>70</v>
      </c>
      <c r="C165" s="11" t="s">
        <v>4507</v>
      </c>
      <c r="D165" s="80" t="s">
        <v>4430</v>
      </c>
      <c r="E165" s="80" t="s">
        <v>26</v>
      </c>
      <c r="F165" s="91">
        <v>45688</v>
      </c>
      <c r="G165" s="80" t="s">
        <v>6331</v>
      </c>
      <c r="H165" s="11" t="s">
        <v>160</v>
      </c>
      <c r="I165" s="67" t="s">
        <v>4508</v>
      </c>
      <c r="J165" s="76">
        <v>80500</v>
      </c>
      <c r="K165" s="76">
        <v>0</v>
      </c>
      <c r="L165" s="81">
        <v>80500</v>
      </c>
    </row>
    <row r="166" spans="1:12" x14ac:dyDescent="0.25">
      <c r="A166" s="90">
        <v>45688</v>
      </c>
      <c r="B166" s="65" t="s">
        <v>4447</v>
      </c>
      <c r="C166" s="11" t="s">
        <v>4507</v>
      </c>
      <c r="D166" s="80" t="s">
        <v>4430</v>
      </c>
      <c r="E166" s="80" t="s">
        <v>26</v>
      </c>
      <c r="F166" s="91">
        <v>45688</v>
      </c>
      <c r="G166" s="80" t="s">
        <v>6331</v>
      </c>
      <c r="H166" s="11" t="s">
        <v>160</v>
      </c>
      <c r="I166" s="67" t="s">
        <v>4508</v>
      </c>
      <c r="J166" s="76">
        <v>8817.2000000000007</v>
      </c>
      <c r="K166" s="76">
        <v>0</v>
      </c>
      <c r="L166" s="81">
        <v>8817.2000000000007</v>
      </c>
    </row>
    <row r="167" spans="1:12" x14ac:dyDescent="0.25">
      <c r="A167" s="90">
        <v>45688</v>
      </c>
      <c r="B167" s="65" t="s">
        <v>6328</v>
      </c>
      <c r="C167" s="11" t="s">
        <v>4507</v>
      </c>
      <c r="D167" s="80" t="s">
        <v>4430</v>
      </c>
      <c r="E167" s="80" t="s">
        <v>26</v>
      </c>
      <c r="F167" s="91">
        <v>45688</v>
      </c>
      <c r="G167" s="80" t="s">
        <v>6331</v>
      </c>
      <c r="H167" s="11" t="s">
        <v>160</v>
      </c>
      <c r="I167" s="67" t="s">
        <v>4508</v>
      </c>
      <c r="J167" s="76">
        <v>25826.799999999999</v>
      </c>
      <c r="K167" s="76">
        <v>0</v>
      </c>
      <c r="L167" s="81">
        <v>25826.799999999999</v>
      </c>
    </row>
    <row r="168" spans="1:12" x14ac:dyDescent="0.25">
      <c r="A168" s="90">
        <v>45688</v>
      </c>
      <c r="B168" s="65" t="s">
        <v>4448</v>
      </c>
      <c r="C168" s="11" t="s">
        <v>4507</v>
      </c>
      <c r="D168" s="80" t="s">
        <v>4481</v>
      </c>
      <c r="E168" s="80" t="s">
        <v>26</v>
      </c>
      <c r="F168" s="91">
        <v>45778</v>
      </c>
      <c r="G168" s="80" t="s">
        <v>6330</v>
      </c>
      <c r="H168" s="11" t="s">
        <v>160</v>
      </c>
      <c r="I168" s="67" t="s">
        <v>4508</v>
      </c>
      <c r="J168" s="76">
        <v>54991.05</v>
      </c>
      <c r="K168" s="76">
        <v>0</v>
      </c>
      <c r="L168" s="81">
        <v>54991.05</v>
      </c>
    </row>
    <row r="169" spans="1:12" x14ac:dyDescent="0.25">
      <c r="A169" s="90">
        <v>45688</v>
      </c>
      <c r="B169" s="65" t="s">
        <v>41</v>
      </c>
      <c r="C169" s="11" t="s">
        <v>4507</v>
      </c>
      <c r="D169" s="80" t="s">
        <v>4430</v>
      </c>
      <c r="E169" s="80" t="s">
        <v>26</v>
      </c>
      <c r="F169" s="91">
        <v>45688</v>
      </c>
      <c r="G169" s="80" t="s">
        <v>6331</v>
      </c>
      <c r="H169" s="11" t="s">
        <v>160</v>
      </c>
      <c r="I169" s="67" t="s">
        <v>4508</v>
      </c>
      <c r="J169" s="76">
        <v>248391.1</v>
      </c>
      <c r="K169" s="76">
        <v>0</v>
      </c>
      <c r="L169" s="81">
        <v>248391.1</v>
      </c>
    </row>
    <row r="170" spans="1:12" x14ac:dyDescent="0.25">
      <c r="A170" s="90">
        <v>45688</v>
      </c>
      <c r="B170" s="67" t="s">
        <v>45</v>
      </c>
      <c r="C170" s="11" t="s">
        <v>4507</v>
      </c>
      <c r="D170" s="80" t="s">
        <v>4430</v>
      </c>
      <c r="E170" s="80" t="s">
        <v>26</v>
      </c>
      <c r="F170" s="91">
        <v>45688</v>
      </c>
      <c r="G170" s="80" t="s">
        <v>6331</v>
      </c>
      <c r="H170" s="11" t="s">
        <v>160</v>
      </c>
      <c r="I170" s="67" t="s">
        <v>4508</v>
      </c>
      <c r="J170" s="76">
        <v>164866</v>
      </c>
      <c r="K170" s="76">
        <v>0</v>
      </c>
      <c r="L170" s="81">
        <v>164866</v>
      </c>
    </row>
    <row r="171" spans="1:12" x14ac:dyDescent="0.25">
      <c r="A171" s="90">
        <v>45688</v>
      </c>
      <c r="B171" s="67" t="s">
        <v>36</v>
      </c>
      <c r="C171" s="11" t="s">
        <v>4480</v>
      </c>
      <c r="D171" s="80" t="s">
        <v>4430</v>
      </c>
      <c r="E171" s="80" t="s">
        <v>900</v>
      </c>
      <c r="F171" s="91">
        <v>45688</v>
      </c>
      <c r="G171" s="80" t="s">
        <v>26</v>
      </c>
      <c r="H171" s="11" t="s">
        <v>160</v>
      </c>
      <c r="I171" s="67" t="s">
        <v>4438</v>
      </c>
      <c r="J171" s="76"/>
      <c r="K171" s="76">
        <v>62799.64</v>
      </c>
      <c r="L171" s="81">
        <v>-62799.64</v>
      </c>
    </row>
    <row r="172" spans="1:12" x14ac:dyDescent="0.25">
      <c r="A172" s="90">
        <v>45688</v>
      </c>
      <c r="B172" s="65" t="s">
        <v>141</v>
      </c>
      <c r="C172" s="11" t="s">
        <v>4480</v>
      </c>
      <c r="D172" s="80" t="s">
        <v>4430</v>
      </c>
      <c r="E172" s="80" t="s">
        <v>4425</v>
      </c>
      <c r="F172" s="91">
        <v>45688</v>
      </c>
      <c r="G172" s="80" t="s">
        <v>26</v>
      </c>
      <c r="H172" s="11" t="s">
        <v>160</v>
      </c>
      <c r="I172" s="67" t="s">
        <v>4439</v>
      </c>
      <c r="J172" s="76"/>
      <c r="K172" s="76">
        <v>160122.22400000005</v>
      </c>
      <c r="L172" s="81">
        <v>-160122.22400000005</v>
      </c>
    </row>
    <row r="173" spans="1:12" x14ac:dyDescent="0.25">
      <c r="A173" s="90">
        <v>45688</v>
      </c>
      <c r="B173" s="67" t="s">
        <v>140</v>
      </c>
      <c r="C173" s="11" t="s">
        <v>4480</v>
      </c>
      <c r="D173" s="80" t="s">
        <v>4430</v>
      </c>
      <c r="E173" s="80" t="s">
        <v>4425</v>
      </c>
      <c r="F173" s="91">
        <v>45688</v>
      </c>
      <c r="G173" s="80" t="s">
        <v>26</v>
      </c>
      <c r="H173" s="11" t="s">
        <v>160</v>
      </c>
      <c r="I173" s="67" t="s">
        <v>4439</v>
      </c>
      <c r="J173" s="76"/>
      <c r="K173" s="76">
        <v>78356.880000000019</v>
      </c>
      <c r="L173" s="81">
        <v>-78356.880000000019</v>
      </c>
    </row>
    <row r="174" spans="1:12" x14ac:dyDescent="0.25">
      <c r="A174" s="90">
        <v>45688</v>
      </c>
      <c r="B174" s="65" t="s">
        <v>565</v>
      </c>
      <c r="C174" s="11" t="s">
        <v>4480</v>
      </c>
      <c r="D174" s="80" t="s">
        <v>4430</v>
      </c>
      <c r="E174" s="80" t="s">
        <v>4425</v>
      </c>
      <c r="F174" s="91">
        <v>45688</v>
      </c>
      <c r="G174" s="80" t="s">
        <v>26</v>
      </c>
      <c r="H174" s="11" t="s">
        <v>160</v>
      </c>
      <c r="I174" s="67" t="s">
        <v>4439</v>
      </c>
      <c r="J174" s="76"/>
      <c r="K174" s="76">
        <v>26766.179999999997</v>
      </c>
      <c r="L174" s="81">
        <v>-26766.179999999997</v>
      </c>
    </row>
    <row r="175" spans="1:12" x14ac:dyDescent="0.25">
      <c r="A175" s="90">
        <v>45688</v>
      </c>
      <c r="B175" s="65" t="s">
        <v>70</v>
      </c>
      <c r="C175" s="11" t="s">
        <v>4480</v>
      </c>
      <c r="D175" s="80" t="s">
        <v>4430</v>
      </c>
      <c r="E175" s="80" t="s">
        <v>4425</v>
      </c>
      <c r="F175" s="91">
        <v>45688</v>
      </c>
      <c r="G175" s="80" t="s">
        <v>26</v>
      </c>
      <c r="H175" s="11" t="s">
        <v>160</v>
      </c>
      <c r="I175" s="67" t="s">
        <v>4439</v>
      </c>
      <c r="J175" s="76"/>
      <c r="K175" s="76">
        <v>9342.7199999999993</v>
      </c>
      <c r="L175" s="81">
        <v>-9342.7199999999993</v>
      </c>
    </row>
    <row r="176" spans="1:12" x14ac:dyDescent="0.25">
      <c r="A176" s="90">
        <v>45688</v>
      </c>
      <c r="B176" s="65" t="s">
        <v>6328</v>
      </c>
      <c r="C176" s="11" t="s">
        <v>4480</v>
      </c>
      <c r="D176" s="80" t="s">
        <v>4430</v>
      </c>
      <c r="E176" s="80" t="s">
        <v>4425</v>
      </c>
      <c r="F176" s="91">
        <v>45688</v>
      </c>
      <c r="G176" s="80" t="s">
        <v>26</v>
      </c>
      <c r="H176" s="11" t="s">
        <v>160</v>
      </c>
      <c r="I176" s="67" t="s">
        <v>4439</v>
      </c>
      <c r="J176" s="76"/>
      <c r="K176" s="76">
        <v>13192.14</v>
      </c>
      <c r="L176" s="81">
        <v>-13192.14</v>
      </c>
    </row>
    <row r="177" spans="1:12" x14ac:dyDescent="0.25">
      <c r="A177" s="90">
        <v>45688</v>
      </c>
      <c r="B177" s="65" t="s">
        <v>41</v>
      </c>
      <c r="C177" s="11" t="s">
        <v>4480</v>
      </c>
      <c r="D177" s="80" t="s">
        <v>4430</v>
      </c>
      <c r="E177" s="80" t="s">
        <v>4425</v>
      </c>
      <c r="F177" s="91">
        <v>45688</v>
      </c>
      <c r="G177" s="80" t="s">
        <v>26</v>
      </c>
      <c r="H177" s="11" t="s">
        <v>160</v>
      </c>
      <c r="I177" s="67" t="s">
        <v>4439</v>
      </c>
      <c r="J177" s="76"/>
      <c r="K177" s="76">
        <v>102282.90999999999</v>
      </c>
      <c r="L177" s="81">
        <v>-102282.90999999999</v>
      </c>
    </row>
    <row r="178" spans="1:12" x14ac:dyDescent="0.25">
      <c r="A178" s="90">
        <v>45688</v>
      </c>
      <c r="B178" s="65" t="s">
        <v>1034</v>
      </c>
      <c r="C178" s="11" t="s">
        <v>4480</v>
      </c>
      <c r="D178" s="80" t="s">
        <v>4481</v>
      </c>
      <c r="E178" s="80" t="s">
        <v>4425</v>
      </c>
      <c r="F178" s="91">
        <v>45688</v>
      </c>
      <c r="G178" s="80" t="s">
        <v>26</v>
      </c>
      <c r="H178" s="11" t="s">
        <v>160</v>
      </c>
      <c r="I178" s="67" t="s">
        <v>4439</v>
      </c>
      <c r="J178" s="76"/>
      <c r="K178" s="76">
        <v>102282.91</v>
      </c>
      <c r="L178" s="81">
        <v>-102282.91</v>
      </c>
    </row>
    <row r="179" spans="1:12" x14ac:dyDescent="0.25">
      <c r="A179" s="90">
        <v>45688</v>
      </c>
      <c r="B179" s="67" t="s">
        <v>45</v>
      </c>
      <c r="C179" s="11" t="s">
        <v>4480</v>
      </c>
      <c r="D179" s="80" t="s">
        <v>4430</v>
      </c>
      <c r="E179" s="80" t="s">
        <v>4425</v>
      </c>
      <c r="F179" s="91">
        <v>45688</v>
      </c>
      <c r="G179" s="80" t="s">
        <v>26</v>
      </c>
      <c r="H179" s="11" t="s">
        <v>160</v>
      </c>
      <c r="I179" s="67" t="s">
        <v>4439</v>
      </c>
      <c r="J179" s="76"/>
      <c r="K179" s="76">
        <v>6135.84</v>
      </c>
      <c r="L179" s="81">
        <v>-6135.84</v>
      </c>
    </row>
    <row r="180" spans="1:12" x14ac:dyDescent="0.25">
      <c r="A180" s="90">
        <v>45693</v>
      </c>
      <c r="B180" s="65" t="s">
        <v>163</v>
      </c>
      <c r="C180" s="11" t="s">
        <v>4480</v>
      </c>
      <c r="D180" s="80" t="s">
        <v>4430</v>
      </c>
      <c r="E180" s="80" t="s">
        <v>900</v>
      </c>
      <c r="F180" s="91">
        <v>45693</v>
      </c>
      <c r="G180" s="80" t="s">
        <v>26</v>
      </c>
      <c r="H180" s="11" t="s">
        <v>160</v>
      </c>
      <c r="I180" s="67" t="s">
        <v>4509</v>
      </c>
      <c r="J180" s="76"/>
      <c r="K180" s="76">
        <v>50000</v>
      </c>
      <c r="L180" s="81">
        <v>-50000</v>
      </c>
    </row>
    <row r="181" spans="1:12" x14ac:dyDescent="0.25">
      <c r="A181" s="90">
        <v>45693</v>
      </c>
      <c r="B181" s="65" t="s">
        <v>70</v>
      </c>
      <c r="C181" s="11" t="s">
        <v>4480</v>
      </c>
      <c r="D181" s="80" t="s">
        <v>4430</v>
      </c>
      <c r="E181" s="80" t="s">
        <v>900</v>
      </c>
      <c r="F181" s="91">
        <v>45693</v>
      </c>
      <c r="G181" s="80" t="s">
        <v>26</v>
      </c>
      <c r="H181" s="11" t="s">
        <v>160</v>
      </c>
      <c r="I181" s="67" t="s">
        <v>4430</v>
      </c>
      <c r="J181" s="76"/>
      <c r="K181" s="76">
        <v>50000</v>
      </c>
      <c r="L181" s="81">
        <v>-50000</v>
      </c>
    </row>
    <row r="182" spans="1:12" x14ac:dyDescent="0.25">
      <c r="A182" s="90">
        <v>45693</v>
      </c>
      <c r="B182" s="60" t="s">
        <v>146</v>
      </c>
      <c r="C182" s="11" t="s">
        <v>4480</v>
      </c>
      <c r="D182" s="80" t="s">
        <v>4481</v>
      </c>
      <c r="E182" s="80" t="s">
        <v>907</v>
      </c>
      <c r="F182" s="91">
        <v>45693</v>
      </c>
      <c r="G182" s="80" t="s">
        <v>26</v>
      </c>
      <c r="H182" s="11" t="s">
        <v>157</v>
      </c>
      <c r="I182" s="67" t="s">
        <v>4418</v>
      </c>
      <c r="J182" s="76"/>
      <c r="K182" s="76">
        <v>50000</v>
      </c>
      <c r="L182" s="81">
        <v>-50000</v>
      </c>
    </row>
    <row r="183" spans="1:12" x14ac:dyDescent="0.25">
      <c r="A183" s="90">
        <v>45694</v>
      </c>
      <c r="B183" s="65" t="s">
        <v>41</v>
      </c>
      <c r="C183" s="11" t="s">
        <v>4480</v>
      </c>
      <c r="D183" s="80" t="s">
        <v>4430</v>
      </c>
      <c r="E183" s="80" t="s">
        <v>900</v>
      </c>
      <c r="F183" s="91">
        <v>45694</v>
      </c>
      <c r="G183" s="80" t="s">
        <v>26</v>
      </c>
      <c r="H183" s="11" t="s">
        <v>160</v>
      </c>
      <c r="I183" s="67" t="s">
        <v>4509</v>
      </c>
      <c r="J183" s="76"/>
      <c r="K183" s="76">
        <v>20000</v>
      </c>
      <c r="L183" s="81">
        <v>-20000</v>
      </c>
    </row>
    <row r="184" spans="1:12" x14ac:dyDescent="0.25">
      <c r="A184" s="90">
        <v>45695</v>
      </c>
      <c r="B184" s="65" t="s">
        <v>141</v>
      </c>
      <c r="C184" s="11" t="s">
        <v>4480</v>
      </c>
      <c r="D184" s="80" t="s">
        <v>4430</v>
      </c>
      <c r="E184" s="80" t="s">
        <v>900</v>
      </c>
      <c r="F184" s="91">
        <v>45695</v>
      </c>
      <c r="G184" s="80" t="s">
        <v>26</v>
      </c>
      <c r="H184" s="11" t="s">
        <v>160</v>
      </c>
      <c r="I184" s="67" t="s">
        <v>4430</v>
      </c>
      <c r="J184" s="76"/>
      <c r="K184" s="76">
        <v>20000</v>
      </c>
      <c r="L184" s="81">
        <v>-20000</v>
      </c>
    </row>
    <row r="185" spans="1:12" x14ac:dyDescent="0.25">
      <c r="A185" s="90">
        <v>45695</v>
      </c>
      <c r="B185" s="65" t="s">
        <v>41</v>
      </c>
      <c r="C185" s="11" t="s">
        <v>4485</v>
      </c>
      <c r="D185" s="80" t="s">
        <v>4430</v>
      </c>
      <c r="E185" s="80" t="s">
        <v>4486</v>
      </c>
      <c r="F185" s="91">
        <v>45695</v>
      </c>
      <c r="G185" s="80" t="s">
        <v>26</v>
      </c>
      <c r="H185" s="11" t="s">
        <v>160</v>
      </c>
      <c r="I185" s="67" t="s">
        <v>4510</v>
      </c>
      <c r="J185" s="76"/>
      <c r="K185" s="76">
        <v>30000</v>
      </c>
      <c r="L185" s="81">
        <v>-30000</v>
      </c>
    </row>
    <row r="186" spans="1:12" x14ac:dyDescent="0.25">
      <c r="A186" s="90">
        <v>45698</v>
      </c>
      <c r="B186" s="65" t="s">
        <v>4422</v>
      </c>
      <c r="C186" s="11" t="s">
        <v>4480</v>
      </c>
      <c r="D186" s="80" t="s">
        <v>4481</v>
      </c>
      <c r="E186" s="80" t="s">
        <v>1013</v>
      </c>
      <c r="F186" s="91">
        <v>45714</v>
      </c>
      <c r="G186" s="80" t="s">
        <v>26</v>
      </c>
      <c r="H186" s="11" t="s">
        <v>157</v>
      </c>
      <c r="I186" s="67" t="s">
        <v>4511</v>
      </c>
      <c r="J186" s="76"/>
      <c r="K186" s="76">
        <v>1011886.51</v>
      </c>
      <c r="L186" s="81">
        <v>-1011886.51</v>
      </c>
    </row>
    <row r="187" spans="1:12" x14ac:dyDescent="0.25">
      <c r="A187" s="90">
        <v>45698</v>
      </c>
      <c r="B187" s="67" t="s">
        <v>140</v>
      </c>
      <c r="C187" s="11" t="s">
        <v>4485</v>
      </c>
      <c r="D187" s="80" t="s">
        <v>4430</v>
      </c>
      <c r="E187" s="80" t="s">
        <v>4486</v>
      </c>
      <c r="F187" s="91">
        <v>45695</v>
      </c>
      <c r="G187" s="80" t="s">
        <v>26</v>
      </c>
      <c r="H187" s="11" t="s">
        <v>160</v>
      </c>
      <c r="I187" s="67" t="s">
        <v>4512</v>
      </c>
      <c r="J187" s="76"/>
      <c r="K187" s="76">
        <v>50000</v>
      </c>
      <c r="L187" s="81">
        <v>-50000</v>
      </c>
    </row>
    <row r="188" spans="1:12" x14ac:dyDescent="0.25">
      <c r="A188" s="90">
        <v>45698</v>
      </c>
      <c r="B188" s="67" t="s">
        <v>66</v>
      </c>
      <c r="C188" s="11" t="s">
        <v>4480</v>
      </c>
      <c r="D188" s="80" t="s">
        <v>4481</v>
      </c>
      <c r="E188" s="80" t="s">
        <v>1013</v>
      </c>
      <c r="F188" s="91">
        <v>45786</v>
      </c>
      <c r="G188" s="80" t="s">
        <v>26</v>
      </c>
      <c r="H188" s="11" t="s">
        <v>157</v>
      </c>
      <c r="I188" s="67" t="s">
        <v>4513</v>
      </c>
      <c r="J188" s="76"/>
      <c r="K188" s="76">
        <v>47895.12</v>
      </c>
      <c r="L188" s="81">
        <v>-47895.12</v>
      </c>
    </row>
    <row r="189" spans="1:12" x14ac:dyDescent="0.25">
      <c r="A189" s="90">
        <v>45698</v>
      </c>
      <c r="B189" s="67" t="s">
        <v>66</v>
      </c>
      <c r="C189" s="11" t="s">
        <v>4480</v>
      </c>
      <c r="D189" s="80" t="s">
        <v>4481</v>
      </c>
      <c r="E189" s="80" t="s">
        <v>1013</v>
      </c>
      <c r="F189" s="91">
        <v>45793</v>
      </c>
      <c r="G189" s="80" t="s">
        <v>26</v>
      </c>
      <c r="H189" s="11" t="s">
        <v>157</v>
      </c>
      <c r="I189" s="67" t="s">
        <v>4514</v>
      </c>
      <c r="J189" s="76"/>
      <c r="K189" s="76">
        <v>60000</v>
      </c>
      <c r="L189" s="81">
        <v>-60000</v>
      </c>
    </row>
    <row r="190" spans="1:12" x14ac:dyDescent="0.25">
      <c r="A190" s="90">
        <v>45698</v>
      </c>
      <c r="B190" s="65" t="s">
        <v>4424</v>
      </c>
      <c r="C190" s="11" t="s">
        <v>4480</v>
      </c>
      <c r="D190" s="80" t="s">
        <v>4430</v>
      </c>
      <c r="E190" s="80" t="s">
        <v>900</v>
      </c>
      <c r="F190" s="91">
        <v>45698</v>
      </c>
      <c r="G190" s="80" t="s">
        <v>26</v>
      </c>
      <c r="H190" s="11" t="s">
        <v>160</v>
      </c>
      <c r="I190" s="67" t="s">
        <v>4430</v>
      </c>
      <c r="J190" s="76"/>
      <c r="K190" s="76">
        <v>16100</v>
      </c>
      <c r="L190" s="81">
        <v>-16100</v>
      </c>
    </row>
    <row r="191" spans="1:12" x14ac:dyDescent="0.25">
      <c r="A191" s="90">
        <v>45699</v>
      </c>
      <c r="B191" s="65" t="s">
        <v>163</v>
      </c>
      <c r="C191" s="11" t="s">
        <v>4480</v>
      </c>
      <c r="D191" s="80" t="s">
        <v>4430</v>
      </c>
      <c r="E191" s="80" t="s">
        <v>900</v>
      </c>
      <c r="F191" s="91">
        <v>45699</v>
      </c>
      <c r="G191" s="80" t="s">
        <v>26</v>
      </c>
      <c r="H191" s="11" t="s">
        <v>160</v>
      </c>
      <c r="I191" s="67" t="s">
        <v>4430</v>
      </c>
      <c r="J191" s="76"/>
      <c r="K191" s="76">
        <v>50000</v>
      </c>
      <c r="L191" s="81">
        <v>-50000</v>
      </c>
    </row>
    <row r="192" spans="1:12" x14ac:dyDescent="0.25">
      <c r="A192" s="90">
        <v>45698</v>
      </c>
      <c r="B192" s="67" t="s">
        <v>140</v>
      </c>
      <c r="C192" s="11" t="s">
        <v>4485</v>
      </c>
      <c r="D192" s="80" t="s">
        <v>4430</v>
      </c>
      <c r="E192" s="80" t="s">
        <v>4486</v>
      </c>
      <c r="F192" s="91">
        <v>45695</v>
      </c>
      <c r="G192" s="80" t="s">
        <v>26</v>
      </c>
      <c r="H192" s="11" t="s">
        <v>160</v>
      </c>
      <c r="I192" s="67" t="s">
        <v>4512</v>
      </c>
      <c r="J192" s="76">
        <v>50000</v>
      </c>
      <c r="K192" s="76"/>
      <c r="L192" s="81">
        <v>50000</v>
      </c>
    </row>
    <row r="193" spans="1:12" x14ac:dyDescent="0.25">
      <c r="A193" s="90">
        <v>45698</v>
      </c>
      <c r="B193" s="67" t="s">
        <v>140</v>
      </c>
      <c r="C193" s="11" t="s">
        <v>4480</v>
      </c>
      <c r="D193" s="80" t="s">
        <v>4430</v>
      </c>
      <c r="E193" s="80" t="s">
        <v>900</v>
      </c>
      <c r="F193" s="91">
        <v>45695</v>
      </c>
      <c r="G193" s="80" t="s">
        <v>26</v>
      </c>
      <c r="H193" s="11" t="s">
        <v>160</v>
      </c>
      <c r="I193" s="67" t="s">
        <v>4515</v>
      </c>
      <c r="J193" s="76"/>
      <c r="K193" s="76">
        <v>50000</v>
      </c>
      <c r="L193" s="81">
        <v>-50000</v>
      </c>
    </row>
    <row r="194" spans="1:12" x14ac:dyDescent="0.25">
      <c r="A194" s="90">
        <v>45695</v>
      </c>
      <c r="B194" s="65" t="s">
        <v>41</v>
      </c>
      <c r="C194" s="11" t="s">
        <v>4485</v>
      </c>
      <c r="D194" s="80" t="s">
        <v>4430</v>
      </c>
      <c r="E194" s="80" t="s">
        <v>4486</v>
      </c>
      <c r="F194" s="91">
        <v>45695</v>
      </c>
      <c r="G194" s="80" t="s">
        <v>26</v>
      </c>
      <c r="H194" s="11" t="s">
        <v>160</v>
      </c>
      <c r="I194" s="67" t="s">
        <v>4510</v>
      </c>
      <c r="J194" s="76">
        <v>30000</v>
      </c>
      <c r="K194" s="76"/>
      <c r="L194" s="81">
        <v>30000</v>
      </c>
    </row>
    <row r="195" spans="1:12" x14ac:dyDescent="0.25">
      <c r="A195" s="90">
        <v>45695</v>
      </c>
      <c r="B195" s="65" t="s">
        <v>41</v>
      </c>
      <c r="C195" s="11" t="s">
        <v>4480</v>
      </c>
      <c r="D195" s="80" t="s">
        <v>4430</v>
      </c>
      <c r="E195" s="80" t="s">
        <v>900</v>
      </c>
      <c r="F195" s="91">
        <v>45695</v>
      </c>
      <c r="G195" s="80" t="s">
        <v>26</v>
      </c>
      <c r="H195" s="11" t="s">
        <v>160</v>
      </c>
      <c r="I195" s="67" t="s">
        <v>4516</v>
      </c>
      <c r="J195" s="76"/>
      <c r="K195" s="76">
        <v>30000</v>
      </c>
      <c r="L195" s="81">
        <v>-30000</v>
      </c>
    </row>
    <row r="196" spans="1:12" x14ac:dyDescent="0.25">
      <c r="A196" s="90">
        <v>45700</v>
      </c>
      <c r="B196" s="65" t="s">
        <v>565</v>
      </c>
      <c r="C196" s="11" t="s">
        <v>4480</v>
      </c>
      <c r="D196" s="80" t="s">
        <v>4430</v>
      </c>
      <c r="E196" s="80" t="s">
        <v>900</v>
      </c>
      <c r="F196" s="91">
        <v>45700</v>
      </c>
      <c r="G196" s="80" t="s">
        <v>26</v>
      </c>
      <c r="H196" s="11" t="s">
        <v>160</v>
      </c>
      <c r="I196" s="67" t="s">
        <v>4517</v>
      </c>
      <c r="J196" s="76"/>
      <c r="K196" s="76">
        <v>50000</v>
      </c>
      <c r="L196" s="81">
        <v>-50000</v>
      </c>
    </row>
    <row r="197" spans="1:12" x14ac:dyDescent="0.25">
      <c r="A197" s="90">
        <v>45700</v>
      </c>
      <c r="B197" s="67" t="s">
        <v>45</v>
      </c>
      <c r="C197" s="11" t="s">
        <v>4480</v>
      </c>
      <c r="D197" s="80" t="s">
        <v>4430</v>
      </c>
      <c r="E197" s="80" t="s">
        <v>900</v>
      </c>
      <c r="F197" s="91">
        <v>45700</v>
      </c>
      <c r="G197" s="80" t="s">
        <v>26</v>
      </c>
      <c r="H197" s="11" t="s">
        <v>160</v>
      </c>
      <c r="I197" s="67" t="s">
        <v>4517</v>
      </c>
      <c r="J197" s="76"/>
      <c r="K197" s="76">
        <v>60000</v>
      </c>
      <c r="L197" s="81">
        <v>-60000</v>
      </c>
    </row>
    <row r="198" spans="1:12" x14ac:dyDescent="0.25">
      <c r="A198" s="90">
        <v>45702</v>
      </c>
      <c r="B198" s="65" t="s">
        <v>41</v>
      </c>
      <c r="C198" s="11" t="s">
        <v>4480</v>
      </c>
      <c r="D198" s="80" t="s">
        <v>4430</v>
      </c>
      <c r="E198" s="80" t="s">
        <v>900</v>
      </c>
      <c r="F198" s="91">
        <v>45702</v>
      </c>
      <c r="G198" s="80" t="s">
        <v>26</v>
      </c>
      <c r="H198" s="11" t="s">
        <v>160</v>
      </c>
      <c r="I198" s="67" t="s">
        <v>4517</v>
      </c>
      <c r="J198" s="76"/>
      <c r="K198" s="76">
        <v>20000</v>
      </c>
      <c r="L198" s="81">
        <v>-20000</v>
      </c>
    </row>
    <row r="199" spans="1:12" x14ac:dyDescent="0.25">
      <c r="A199" s="90">
        <v>45705</v>
      </c>
      <c r="B199" s="65" t="s">
        <v>4448</v>
      </c>
      <c r="C199" s="11" t="s">
        <v>4480</v>
      </c>
      <c r="D199" s="80" t="s">
        <v>4481</v>
      </c>
      <c r="E199" s="80" t="s">
        <v>1013</v>
      </c>
      <c r="F199" s="91">
        <v>45803</v>
      </c>
      <c r="G199" s="80" t="s">
        <v>26</v>
      </c>
      <c r="H199" s="11" t="s">
        <v>157</v>
      </c>
      <c r="I199" s="67" t="s">
        <v>4518</v>
      </c>
      <c r="J199" s="76"/>
      <c r="K199" s="76">
        <v>51829.03</v>
      </c>
      <c r="L199" s="81">
        <v>-51829.03</v>
      </c>
    </row>
    <row r="200" spans="1:12" x14ac:dyDescent="0.25">
      <c r="A200" s="90">
        <v>45705</v>
      </c>
      <c r="B200" s="65" t="s">
        <v>4448</v>
      </c>
      <c r="C200" s="11" t="s">
        <v>4480</v>
      </c>
      <c r="D200" s="80" t="s">
        <v>4481</v>
      </c>
      <c r="E200" s="80" t="s">
        <v>1013</v>
      </c>
      <c r="F200" s="91">
        <v>45796</v>
      </c>
      <c r="G200" s="80" t="s">
        <v>26</v>
      </c>
      <c r="H200" s="11" t="s">
        <v>157</v>
      </c>
      <c r="I200" s="67" t="s">
        <v>4519</v>
      </c>
      <c r="J200" s="76"/>
      <c r="K200" s="76">
        <v>51000</v>
      </c>
      <c r="L200" s="81">
        <v>-51000</v>
      </c>
    </row>
    <row r="201" spans="1:12" x14ac:dyDescent="0.25">
      <c r="A201" s="90">
        <v>45705</v>
      </c>
      <c r="B201" s="65" t="s">
        <v>4448</v>
      </c>
      <c r="C201" s="11" t="s">
        <v>4480</v>
      </c>
      <c r="D201" s="80" t="s">
        <v>4481</v>
      </c>
      <c r="E201" s="80" t="s">
        <v>1013</v>
      </c>
      <c r="F201" s="91">
        <v>45782</v>
      </c>
      <c r="G201" s="80" t="s">
        <v>26</v>
      </c>
      <c r="H201" s="11" t="s">
        <v>157</v>
      </c>
      <c r="I201" s="67" t="s">
        <v>4520</v>
      </c>
      <c r="J201" s="76"/>
      <c r="K201" s="76">
        <v>51000</v>
      </c>
      <c r="L201" s="81">
        <v>-51000</v>
      </c>
    </row>
    <row r="202" spans="1:12" x14ac:dyDescent="0.25">
      <c r="A202" s="90">
        <v>45705</v>
      </c>
      <c r="B202" s="65" t="s">
        <v>4448</v>
      </c>
      <c r="C202" s="11" t="s">
        <v>4480</v>
      </c>
      <c r="D202" s="80" t="s">
        <v>4481</v>
      </c>
      <c r="E202" s="80" t="s">
        <v>1013</v>
      </c>
      <c r="F202" s="91">
        <v>45789</v>
      </c>
      <c r="G202" s="80" t="s">
        <v>26</v>
      </c>
      <c r="H202" s="11" t="s">
        <v>157</v>
      </c>
      <c r="I202" s="67" t="s">
        <v>4521</v>
      </c>
      <c r="J202" s="76"/>
      <c r="K202" s="76">
        <v>51000</v>
      </c>
      <c r="L202" s="81">
        <v>-51000</v>
      </c>
    </row>
    <row r="203" spans="1:12" x14ac:dyDescent="0.25">
      <c r="A203" s="90">
        <v>45705</v>
      </c>
      <c r="B203" s="65" t="s">
        <v>4448</v>
      </c>
      <c r="C203" s="11" t="s">
        <v>4480</v>
      </c>
      <c r="D203" s="80" t="s">
        <v>4481</v>
      </c>
      <c r="E203" s="80" t="s">
        <v>1013</v>
      </c>
      <c r="F203" s="91">
        <v>45794</v>
      </c>
      <c r="G203" s="80" t="s">
        <v>26</v>
      </c>
      <c r="H203" s="11" t="s">
        <v>160</v>
      </c>
      <c r="I203" s="67" t="s">
        <v>4522</v>
      </c>
      <c r="J203" s="76"/>
      <c r="K203" s="76">
        <v>27000</v>
      </c>
      <c r="L203" s="81">
        <v>-27000</v>
      </c>
    </row>
    <row r="204" spans="1:12" x14ac:dyDescent="0.25">
      <c r="A204" s="90">
        <v>45705</v>
      </c>
      <c r="B204" s="65" t="s">
        <v>4448</v>
      </c>
      <c r="C204" s="11" t="s">
        <v>4480</v>
      </c>
      <c r="D204" s="80" t="s">
        <v>4481</v>
      </c>
      <c r="E204" s="80" t="s">
        <v>1013</v>
      </c>
      <c r="F204" s="91">
        <v>45808</v>
      </c>
      <c r="G204" s="80" t="s">
        <v>26</v>
      </c>
      <c r="H204" s="11" t="s">
        <v>160</v>
      </c>
      <c r="I204" s="67" t="s">
        <v>4523</v>
      </c>
      <c r="J204" s="76"/>
      <c r="K204" s="76">
        <v>27990</v>
      </c>
      <c r="L204" s="81">
        <v>-27990</v>
      </c>
    </row>
    <row r="205" spans="1:12" x14ac:dyDescent="0.25">
      <c r="A205" s="90">
        <v>45705</v>
      </c>
      <c r="B205" s="65" t="s">
        <v>4461</v>
      </c>
      <c r="C205" s="11" t="s">
        <v>4478</v>
      </c>
      <c r="D205" s="80" t="s">
        <v>4481</v>
      </c>
      <c r="E205" s="80" t="s">
        <v>1013</v>
      </c>
      <c r="F205" s="91">
        <v>45698</v>
      </c>
      <c r="G205" s="80" t="s">
        <v>26</v>
      </c>
      <c r="H205" s="11" t="s">
        <v>157</v>
      </c>
      <c r="I205" s="67" t="s">
        <v>145</v>
      </c>
      <c r="J205" s="76">
        <v>60850.51</v>
      </c>
      <c r="K205" s="76"/>
      <c r="L205" s="81">
        <v>60850.51</v>
      </c>
    </row>
    <row r="206" spans="1:12" x14ac:dyDescent="0.25">
      <c r="A206" s="90">
        <v>45705</v>
      </c>
      <c r="B206" s="67" t="s">
        <v>66</v>
      </c>
      <c r="C206" s="11" t="s">
        <v>4478</v>
      </c>
      <c r="D206" s="80" t="s">
        <v>4481</v>
      </c>
      <c r="E206" s="80" t="s">
        <v>1013</v>
      </c>
      <c r="F206" s="91">
        <v>45700</v>
      </c>
      <c r="G206" s="80" t="s">
        <v>26</v>
      </c>
      <c r="H206" s="11" t="s">
        <v>157</v>
      </c>
      <c r="I206" s="67" t="s">
        <v>144</v>
      </c>
      <c r="J206" s="76">
        <v>75450</v>
      </c>
      <c r="K206" s="76"/>
      <c r="L206" s="81">
        <v>75450</v>
      </c>
    </row>
    <row r="207" spans="1:12" x14ac:dyDescent="0.25">
      <c r="A207" s="90">
        <v>45705</v>
      </c>
      <c r="B207" s="67" t="s">
        <v>149</v>
      </c>
      <c r="C207" s="11" t="s">
        <v>4478</v>
      </c>
      <c r="D207" s="80" t="s">
        <v>4481</v>
      </c>
      <c r="E207" s="80" t="s">
        <v>1013</v>
      </c>
      <c r="F207" s="91">
        <v>45701</v>
      </c>
      <c r="G207" s="80" t="s">
        <v>26</v>
      </c>
      <c r="H207" s="11" t="s">
        <v>157</v>
      </c>
      <c r="I207" s="67" t="s">
        <v>4524</v>
      </c>
      <c r="J207" s="76">
        <v>37500</v>
      </c>
      <c r="K207" s="76"/>
      <c r="L207" s="81">
        <v>37500</v>
      </c>
    </row>
    <row r="208" spans="1:12" x14ac:dyDescent="0.25">
      <c r="A208" s="90">
        <v>45707</v>
      </c>
      <c r="B208" s="67" t="s">
        <v>140</v>
      </c>
      <c r="C208" s="11" t="s">
        <v>4480</v>
      </c>
      <c r="D208" s="80" t="s">
        <v>4430</v>
      </c>
      <c r="E208" s="80" t="s">
        <v>900</v>
      </c>
      <c r="F208" s="91">
        <v>45707</v>
      </c>
      <c r="G208" s="80" t="s">
        <v>26</v>
      </c>
      <c r="H208" s="11" t="s">
        <v>160</v>
      </c>
      <c r="I208" s="67" t="s">
        <v>4517</v>
      </c>
      <c r="J208" s="76"/>
      <c r="K208" s="76">
        <v>50000</v>
      </c>
      <c r="L208" s="81">
        <v>-50000</v>
      </c>
    </row>
    <row r="209" spans="1:13" x14ac:dyDescent="0.25">
      <c r="A209" s="90">
        <v>45709</v>
      </c>
      <c r="B209" s="65" t="s">
        <v>41</v>
      </c>
      <c r="C209" s="11" t="s">
        <v>4480</v>
      </c>
      <c r="D209" s="80" t="s">
        <v>4430</v>
      </c>
      <c r="E209" s="80" t="s">
        <v>900</v>
      </c>
      <c r="F209" s="91">
        <v>45709</v>
      </c>
      <c r="G209" s="80" t="s">
        <v>26</v>
      </c>
      <c r="H209" s="11" t="s">
        <v>160</v>
      </c>
      <c r="I209" s="67" t="s">
        <v>4517</v>
      </c>
      <c r="J209" s="76"/>
      <c r="K209" s="76">
        <v>13700</v>
      </c>
      <c r="L209" s="81">
        <v>-13700</v>
      </c>
    </row>
    <row r="210" spans="1:13" x14ac:dyDescent="0.25">
      <c r="A210" s="90">
        <v>45709</v>
      </c>
      <c r="B210" s="65" t="s">
        <v>41</v>
      </c>
      <c r="C210" s="11" t="s">
        <v>4480</v>
      </c>
      <c r="D210" s="80" t="s">
        <v>4430</v>
      </c>
      <c r="E210" s="80" t="s">
        <v>4486</v>
      </c>
      <c r="F210" s="91">
        <v>45708</v>
      </c>
      <c r="G210" s="80" t="s">
        <v>26</v>
      </c>
      <c r="H210" s="11" t="s">
        <v>160</v>
      </c>
      <c r="I210" s="67" t="s">
        <v>4525</v>
      </c>
      <c r="J210" s="76"/>
      <c r="K210" s="76">
        <v>6300</v>
      </c>
      <c r="L210" s="81">
        <v>-6300</v>
      </c>
    </row>
    <row r="211" spans="1:13" x14ac:dyDescent="0.25">
      <c r="A211" s="90">
        <v>45709</v>
      </c>
      <c r="B211" s="67" t="s">
        <v>149</v>
      </c>
      <c r="C211" s="11" t="s">
        <v>4478</v>
      </c>
      <c r="D211" s="80" t="s">
        <v>4481</v>
      </c>
      <c r="E211" s="80" t="s">
        <v>1013</v>
      </c>
      <c r="F211" s="91">
        <v>45707</v>
      </c>
      <c r="G211" s="80" t="s">
        <v>26</v>
      </c>
      <c r="H211" s="11" t="s">
        <v>157</v>
      </c>
      <c r="I211" s="67" t="s">
        <v>6329</v>
      </c>
      <c r="J211" s="76">
        <v>38189.949999999997</v>
      </c>
      <c r="K211" s="76"/>
      <c r="L211" s="81">
        <v>38189.949999999997</v>
      </c>
    </row>
    <row r="212" spans="1:13" x14ac:dyDescent="0.25">
      <c r="A212" s="90">
        <v>45709</v>
      </c>
      <c r="B212" s="67" t="s">
        <v>146</v>
      </c>
      <c r="C212" s="11" t="s">
        <v>4480</v>
      </c>
      <c r="D212" s="80" t="s">
        <v>4481</v>
      </c>
      <c r="E212" s="80" t="s">
        <v>907</v>
      </c>
      <c r="F212" s="91">
        <v>45709</v>
      </c>
      <c r="G212" s="80" t="s">
        <v>26</v>
      </c>
      <c r="H212" s="11" t="s">
        <v>157</v>
      </c>
      <c r="I212" s="67" t="s">
        <v>4418</v>
      </c>
      <c r="J212" s="76"/>
      <c r="K212" s="76">
        <v>51330.93</v>
      </c>
      <c r="L212" s="81">
        <v>-51330.93</v>
      </c>
    </row>
    <row r="213" spans="1:13" x14ac:dyDescent="0.25">
      <c r="A213" s="90">
        <v>45712</v>
      </c>
      <c r="B213" s="67" t="s">
        <v>163</v>
      </c>
      <c r="C213" s="11" t="s">
        <v>4480</v>
      </c>
      <c r="D213" s="80" t="s">
        <v>4430</v>
      </c>
      <c r="E213" s="80" t="s">
        <v>900</v>
      </c>
      <c r="F213" s="91">
        <v>45712</v>
      </c>
      <c r="G213" s="80" t="s">
        <v>26</v>
      </c>
      <c r="H213" s="11" t="s">
        <v>160</v>
      </c>
      <c r="I213" s="67" t="s">
        <v>4517</v>
      </c>
      <c r="J213" s="76"/>
      <c r="K213" s="76">
        <v>50000</v>
      </c>
      <c r="L213" s="81">
        <v>-50000</v>
      </c>
    </row>
    <row r="214" spans="1:13" x14ac:dyDescent="0.25">
      <c r="A214" s="90">
        <v>45713</v>
      </c>
      <c r="B214" s="67" t="s">
        <v>140</v>
      </c>
      <c r="C214" s="11" t="s">
        <v>4485</v>
      </c>
      <c r="D214" s="80" t="s">
        <v>4430</v>
      </c>
      <c r="E214" s="80" t="s">
        <v>4486</v>
      </c>
      <c r="F214" s="91">
        <v>45719</v>
      </c>
      <c r="G214" s="80" t="s">
        <v>26</v>
      </c>
      <c r="H214" s="11" t="s">
        <v>160</v>
      </c>
      <c r="I214" s="67" t="s">
        <v>6664</v>
      </c>
      <c r="J214" s="76"/>
      <c r="K214" s="76">
        <v>50000</v>
      </c>
      <c r="L214" s="81">
        <v>-50000</v>
      </c>
    </row>
    <row r="215" spans="1:13" x14ac:dyDescent="0.25">
      <c r="A215" s="90">
        <v>45713</v>
      </c>
      <c r="B215" s="67" t="s">
        <v>140</v>
      </c>
      <c r="C215" s="11" t="s">
        <v>4485</v>
      </c>
      <c r="D215" s="80" t="s">
        <v>4430</v>
      </c>
      <c r="E215" s="80" t="s">
        <v>4486</v>
      </c>
      <c r="F215" s="91">
        <v>45723</v>
      </c>
      <c r="G215" s="80" t="s">
        <v>26</v>
      </c>
      <c r="H215" s="11" t="s">
        <v>160</v>
      </c>
      <c r="I215" s="67" t="s">
        <v>6665</v>
      </c>
      <c r="J215" s="76"/>
      <c r="K215" s="76">
        <v>50000</v>
      </c>
      <c r="L215" s="81">
        <v>-50000</v>
      </c>
    </row>
    <row r="216" spans="1:13" x14ac:dyDescent="0.25">
      <c r="A216" s="90">
        <v>45713</v>
      </c>
      <c r="B216" s="67" t="s">
        <v>141</v>
      </c>
      <c r="C216" s="11" t="s">
        <v>4480</v>
      </c>
      <c r="D216" s="80" t="s">
        <v>4430</v>
      </c>
      <c r="E216" s="80" t="s">
        <v>900</v>
      </c>
      <c r="F216" s="91">
        <v>45713</v>
      </c>
      <c r="G216" s="80" t="s">
        <v>26</v>
      </c>
      <c r="H216" s="11" t="s">
        <v>160</v>
      </c>
      <c r="I216" s="67" t="s">
        <v>4517</v>
      </c>
      <c r="J216" s="76"/>
      <c r="K216" s="76">
        <v>10000</v>
      </c>
      <c r="L216" s="81">
        <v>-10000</v>
      </c>
    </row>
    <row r="217" spans="1:13" x14ac:dyDescent="0.25">
      <c r="A217" s="90">
        <v>45713</v>
      </c>
      <c r="B217" s="67" t="s">
        <v>45</v>
      </c>
      <c r="C217" s="11" t="s">
        <v>4480</v>
      </c>
      <c r="D217" s="80" t="s">
        <v>4430</v>
      </c>
      <c r="E217" s="80" t="s">
        <v>900</v>
      </c>
      <c r="F217" s="91">
        <v>45713</v>
      </c>
      <c r="G217" s="80" t="s">
        <v>26</v>
      </c>
      <c r="H217" s="11" t="s">
        <v>160</v>
      </c>
      <c r="I217" s="67" t="s">
        <v>4517</v>
      </c>
      <c r="J217" s="76"/>
      <c r="K217" s="76">
        <v>60000</v>
      </c>
      <c r="L217" s="81">
        <v>-60000</v>
      </c>
    </row>
    <row r="218" spans="1:13" x14ac:dyDescent="0.25">
      <c r="A218" s="90">
        <v>45714</v>
      </c>
      <c r="B218" s="67" t="s">
        <v>70</v>
      </c>
      <c r="C218" s="11" t="s">
        <v>4480</v>
      </c>
      <c r="D218" s="80" t="s">
        <v>4430</v>
      </c>
      <c r="E218" s="80" t="s">
        <v>900</v>
      </c>
      <c r="F218" s="91">
        <v>45714</v>
      </c>
      <c r="G218" s="80" t="s">
        <v>26</v>
      </c>
      <c r="H218" s="11" t="s">
        <v>160</v>
      </c>
      <c r="I218" s="67" t="s">
        <v>4517</v>
      </c>
      <c r="J218" s="76"/>
      <c r="K218" s="76">
        <v>50000</v>
      </c>
      <c r="L218" s="81">
        <v>-50000</v>
      </c>
    </row>
    <row r="219" spans="1:13" x14ac:dyDescent="0.25">
      <c r="A219" s="90">
        <v>45714</v>
      </c>
      <c r="B219" s="67" t="s">
        <v>4444</v>
      </c>
      <c r="C219" s="11" t="s">
        <v>4480</v>
      </c>
      <c r="D219" s="80" t="s">
        <v>4430</v>
      </c>
      <c r="E219" s="80" t="s">
        <v>900</v>
      </c>
      <c r="F219" s="91">
        <v>45714</v>
      </c>
      <c r="G219" s="80" t="s">
        <v>26</v>
      </c>
      <c r="H219" s="11" t="s">
        <v>160</v>
      </c>
      <c r="I219" s="67" t="s">
        <v>4517</v>
      </c>
      <c r="J219" s="76"/>
      <c r="K219" s="76">
        <v>15000</v>
      </c>
      <c r="L219" s="81">
        <v>-15000</v>
      </c>
    </row>
    <row r="220" spans="1:13" x14ac:dyDescent="0.25">
      <c r="A220" s="90">
        <v>45714</v>
      </c>
      <c r="B220" s="67" t="s">
        <v>4423</v>
      </c>
      <c r="C220" s="11" t="s">
        <v>4480</v>
      </c>
      <c r="D220" s="80" t="s">
        <v>4481</v>
      </c>
      <c r="E220" s="80" t="s">
        <v>1013</v>
      </c>
      <c r="F220" s="91">
        <v>45808</v>
      </c>
      <c r="G220" s="80" t="s">
        <v>26</v>
      </c>
      <c r="H220" s="11" t="s">
        <v>157</v>
      </c>
      <c r="I220" s="67" t="s">
        <v>6666</v>
      </c>
      <c r="J220" s="76"/>
      <c r="K220" s="76">
        <v>219218.01</v>
      </c>
      <c r="L220" s="81">
        <v>-219218.01</v>
      </c>
      <c r="M220" s="59">
        <f>F220-A220</f>
        <v>94</v>
      </c>
    </row>
    <row r="221" spans="1:13" x14ac:dyDescent="0.25">
      <c r="A221" s="90">
        <v>45714</v>
      </c>
      <c r="B221" s="67" t="s">
        <v>4423</v>
      </c>
      <c r="C221" s="11" t="s">
        <v>4480</v>
      </c>
      <c r="D221" s="80" t="s">
        <v>4481</v>
      </c>
      <c r="E221" s="80" t="s">
        <v>1013</v>
      </c>
      <c r="F221" s="91">
        <v>45808</v>
      </c>
      <c r="G221" s="80" t="s">
        <v>26</v>
      </c>
      <c r="H221" s="11" t="s">
        <v>157</v>
      </c>
      <c r="I221" s="67" t="s">
        <v>6667</v>
      </c>
      <c r="J221" s="76"/>
      <c r="K221" s="76">
        <v>219218.01</v>
      </c>
      <c r="L221" s="81">
        <v>-219218.01</v>
      </c>
      <c r="M221" s="59">
        <f>F221-A221</f>
        <v>94</v>
      </c>
    </row>
    <row r="222" spans="1:13" x14ac:dyDescent="0.25">
      <c r="A222" s="90">
        <v>45714</v>
      </c>
      <c r="B222" s="67" t="s">
        <v>4448</v>
      </c>
      <c r="C222" s="11" t="s">
        <v>4485</v>
      </c>
      <c r="D222" s="80" t="s">
        <v>4481</v>
      </c>
      <c r="E222" s="80" t="s">
        <v>1013</v>
      </c>
      <c r="F222" s="91">
        <v>45688</v>
      </c>
      <c r="G222" s="80" t="s">
        <v>26</v>
      </c>
      <c r="H222" s="11" t="s">
        <v>160</v>
      </c>
      <c r="I222" s="67" t="s">
        <v>6668</v>
      </c>
      <c r="J222" s="76">
        <v>63670.52</v>
      </c>
      <c r="K222" s="76"/>
      <c r="L222" s="81">
        <v>63670.52</v>
      </c>
    </row>
    <row r="223" spans="1:13" x14ac:dyDescent="0.25">
      <c r="A223" s="90">
        <v>45714</v>
      </c>
      <c r="B223" s="67" t="s">
        <v>4448</v>
      </c>
      <c r="C223" s="11" t="s">
        <v>4480</v>
      </c>
      <c r="D223" s="80" t="s">
        <v>4481</v>
      </c>
      <c r="E223" s="80" t="s">
        <v>900</v>
      </c>
      <c r="F223" s="91">
        <v>45714</v>
      </c>
      <c r="G223" s="80" t="s">
        <v>26</v>
      </c>
      <c r="H223" s="11" t="s">
        <v>160</v>
      </c>
      <c r="I223" s="67" t="s">
        <v>6669</v>
      </c>
      <c r="J223" s="76"/>
      <c r="K223" s="76">
        <v>63670.52</v>
      </c>
      <c r="L223" s="81">
        <v>-63670.52</v>
      </c>
    </row>
    <row r="224" spans="1:13" x14ac:dyDescent="0.25">
      <c r="A224" s="90">
        <v>45715</v>
      </c>
      <c r="B224" s="67" t="s">
        <v>146</v>
      </c>
      <c r="C224" s="11" t="s">
        <v>4480</v>
      </c>
      <c r="D224" s="80" t="s">
        <v>4481</v>
      </c>
      <c r="E224" s="80" t="s">
        <v>907</v>
      </c>
      <c r="F224" s="91">
        <v>45715</v>
      </c>
      <c r="G224" s="80" t="s">
        <v>26</v>
      </c>
      <c r="H224" s="11" t="s">
        <v>157</v>
      </c>
      <c r="I224" s="67" t="s">
        <v>4418</v>
      </c>
      <c r="J224" s="76"/>
      <c r="K224" s="76">
        <v>60000</v>
      </c>
      <c r="L224" s="81">
        <v>-60000</v>
      </c>
    </row>
    <row r="225" spans="1:12" x14ac:dyDescent="0.25">
      <c r="A225" s="90">
        <v>45715</v>
      </c>
      <c r="B225" s="67" t="s">
        <v>141</v>
      </c>
      <c r="C225" s="11" t="s">
        <v>4480</v>
      </c>
      <c r="D225" s="80" t="s">
        <v>4430</v>
      </c>
      <c r="E225" s="80" t="s">
        <v>900</v>
      </c>
      <c r="F225" s="91">
        <v>45715</v>
      </c>
      <c r="G225" s="80" t="s">
        <v>26</v>
      </c>
      <c r="H225" s="11" t="s">
        <v>160</v>
      </c>
      <c r="I225" s="67" t="s">
        <v>4517</v>
      </c>
      <c r="J225" s="76"/>
      <c r="K225" s="76">
        <v>20000</v>
      </c>
      <c r="L225" s="81">
        <v>-20000</v>
      </c>
    </row>
    <row r="226" spans="1:12" x14ac:dyDescent="0.25">
      <c r="A226" s="79"/>
      <c r="B226" s="67"/>
      <c r="C226" s="11"/>
      <c r="D226" s="80"/>
      <c r="E226" s="80"/>
      <c r="F226" s="82"/>
      <c r="G226" s="80"/>
      <c r="H226" s="11"/>
      <c r="I226" s="67"/>
      <c r="J226" s="76"/>
      <c r="K226" s="76"/>
      <c r="L226" s="81"/>
    </row>
    <row r="227" spans="1:12" x14ac:dyDescent="0.25">
      <c r="A227" s="79"/>
      <c r="B227" s="67"/>
      <c r="C227" s="11"/>
      <c r="D227" s="80"/>
      <c r="E227" s="80"/>
      <c r="F227" s="82"/>
      <c r="G227" s="80"/>
      <c r="H227" s="11"/>
      <c r="I227" s="67"/>
      <c r="J227" s="76"/>
      <c r="K227" s="76"/>
      <c r="L227" s="81"/>
    </row>
    <row r="228" spans="1:12" x14ac:dyDescent="0.25">
      <c r="A228" s="79"/>
      <c r="B228" s="67"/>
      <c r="C228" s="11"/>
      <c r="D228" s="80"/>
      <c r="E228" s="80"/>
      <c r="F228" s="82"/>
      <c r="G228" s="80"/>
      <c r="H228" s="11"/>
      <c r="I228" s="67"/>
      <c r="J228" s="76"/>
      <c r="K228" s="76"/>
      <c r="L228" s="81"/>
    </row>
    <row r="229" spans="1:12" x14ac:dyDescent="0.25">
      <c r="A229" s="79"/>
      <c r="B229" s="67"/>
      <c r="C229" s="11"/>
      <c r="D229" s="80"/>
      <c r="E229" s="80"/>
      <c r="F229" s="82"/>
      <c r="G229" s="80"/>
      <c r="H229" s="11"/>
      <c r="I229" s="67"/>
      <c r="J229" s="76"/>
      <c r="K229" s="76"/>
      <c r="L229" s="81"/>
    </row>
    <row r="230" spans="1:12" x14ac:dyDescent="0.25">
      <c r="A230" s="79"/>
      <c r="B230" s="67"/>
      <c r="C230" s="11"/>
      <c r="D230" s="80"/>
      <c r="E230" s="80"/>
      <c r="F230" s="82"/>
      <c r="G230" s="80"/>
      <c r="H230" s="11"/>
      <c r="I230" s="67"/>
      <c r="J230" s="76"/>
      <c r="K230" s="76"/>
      <c r="L230" s="81"/>
    </row>
    <row r="231" spans="1:12" x14ac:dyDescent="0.25">
      <c r="A231" s="79"/>
      <c r="B231" s="67"/>
      <c r="C231" s="11"/>
      <c r="D231" s="80"/>
      <c r="E231" s="80"/>
      <c r="F231" s="82"/>
      <c r="G231" s="80"/>
      <c r="H231" s="11"/>
      <c r="I231" s="67"/>
      <c r="J231" s="76"/>
      <c r="K231" s="76"/>
      <c r="L231" s="81"/>
    </row>
    <row r="232" spans="1:12" x14ac:dyDescent="0.25">
      <c r="A232" s="79"/>
      <c r="B232" s="67"/>
      <c r="C232" s="11"/>
      <c r="D232" s="80"/>
      <c r="E232" s="80"/>
      <c r="F232" s="82"/>
      <c r="G232" s="80"/>
      <c r="H232" s="11"/>
      <c r="I232" s="67"/>
      <c r="J232" s="76"/>
      <c r="K232" s="76"/>
      <c r="L232" s="81"/>
    </row>
    <row r="233" spans="1:12" x14ac:dyDescent="0.25">
      <c r="A233" s="79"/>
      <c r="B233" s="67"/>
      <c r="C233" s="11"/>
      <c r="D233" s="80"/>
      <c r="E233" s="80"/>
      <c r="F233" s="82"/>
      <c r="G233" s="80"/>
      <c r="H233" s="11"/>
      <c r="I233" s="67"/>
      <c r="J233" s="76"/>
      <c r="K233" s="76"/>
      <c r="L233" s="81"/>
    </row>
    <row r="234" spans="1:12" x14ac:dyDescent="0.25">
      <c r="A234" s="79"/>
      <c r="B234" s="67"/>
      <c r="C234" s="11"/>
      <c r="D234" s="80"/>
      <c r="E234" s="80"/>
      <c r="F234" s="82"/>
      <c r="G234" s="80"/>
      <c r="H234" s="11"/>
      <c r="I234" s="67"/>
      <c r="J234" s="76"/>
      <c r="K234" s="76"/>
      <c r="L234" s="81"/>
    </row>
    <row r="235" spans="1:12" x14ac:dyDescent="0.25">
      <c r="A235" s="79"/>
      <c r="B235" s="67"/>
      <c r="C235" s="11"/>
      <c r="D235" s="80"/>
      <c r="E235" s="80"/>
      <c r="F235" s="82"/>
      <c r="G235" s="80"/>
      <c r="H235" s="11"/>
      <c r="I235" s="67"/>
      <c r="J235" s="76"/>
      <c r="K235" s="76"/>
      <c r="L235" s="81"/>
    </row>
    <row r="236" spans="1:12" x14ac:dyDescent="0.25">
      <c r="A236" s="79"/>
      <c r="B236" s="67"/>
      <c r="C236" s="11"/>
      <c r="D236" s="80"/>
      <c r="E236" s="80"/>
      <c r="F236" s="82"/>
      <c r="G236" s="80"/>
      <c r="H236" s="11"/>
      <c r="I236" s="67"/>
      <c r="J236" s="76"/>
      <c r="K236" s="76"/>
      <c r="L236" s="81"/>
    </row>
    <row r="237" spans="1:12" x14ac:dyDescent="0.25">
      <c r="A237" s="79"/>
      <c r="B237" s="67"/>
      <c r="C237" s="11"/>
      <c r="D237" s="80"/>
      <c r="E237" s="80"/>
      <c r="F237" s="82"/>
      <c r="G237" s="80"/>
      <c r="H237" s="11"/>
      <c r="I237" s="67"/>
      <c r="J237" s="76"/>
      <c r="K237" s="76"/>
      <c r="L237" s="81"/>
    </row>
    <row r="238" spans="1:12" x14ac:dyDescent="0.25">
      <c r="A238" s="79"/>
      <c r="B238" s="67"/>
      <c r="C238" s="11"/>
      <c r="D238" s="80"/>
      <c r="E238" s="80"/>
      <c r="F238" s="82"/>
      <c r="G238" s="80"/>
      <c r="H238" s="11"/>
      <c r="I238" s="67"/>
      <c r="J238" s="76"/>
      <c r="K238" s="76"/>
      <c r="L238" s="81"/>
    </row>
    <row r="239" spans="1:12" x14ac:dyDescent="0.25">
      <c r="A239" s="79"/>
      <c r="B239" s="67"/>
      <c r="C239" s="11"/>
      <c r="D239" s="80"/>
      <c r="E239" s="80"/>
      <c r="F239" s="82"/>
      <c r="G239" s="80"/>
      <c r="H239" s="11"/>
      <c r="I239" s="67"/>
      <c r="J239" s="76"/>
      <c r="K239" s="76"/>
      <c r="L239" s="81"/>
    </row>
    <row r="240" spans="1:12" x14ac:dyDescent="0.25">
      <c r="A240" s="79"/>
      <c r="B240" s="67"/>
      <c r="C240" s="11"/>
      <c r="D240" s="80"/>
      <c r="E240" s="80"/>
      <c r="F240" s="82"/>
      <c r="G240" s="80"/>
      <c r="H240" s="11"/>
      <c r="I240" s="67"/>
      <c r="J240" s="76"/>
      <c r="K240" s="76"/>
      <c r="L240" s="81"/>
    </row>
    <row r="241" spans="1:12" x14ac:dyDescent="0.25">
      <c r="A241" s="79"/>
      <c r="B241" s="67"/>
      <c r="C241" s="11"/>
      <c r="D241" s="80"/>
      <c r="E241" s="80"/>
      <c r="F241" s="82"/>
      <c r="G241" s="80"/>
      <c r="H241" s="11"/>
      <c r="I241" s="67"/>
      <c r="J241" s="76"/>
      <c r="K241" s="76"/>
      <c r="L241" s="81"/>
    </row>
    <row r="242" spans="1:12" x14ac:dyDescent="0.25">
      <c r="A242" s="79"/>
      <c r="B242" s="67"/>
      <c r="C242" s="11"/>
      <c r="D242" s="80"/>
      <c r="E242" s="80"/>
      <c r="F242" s="82"/>
      <c r="G242" s="80"/>
      <c r="H242" s="11"/>
      <c r="I242" s="67"/>
      <c r="J242" s="76"/>
      <c r="K242" s="76"/>
      <c r="L242" s="81"/>
    </row>
    <row r="243" spans="1:12" x14ac:dyDescent="0.25">
      <c r="A243" s="79"/>
      <c r="B243" s="67"/>
      <c r="C243" s="11"/>
      <c r="D243" s="80"/>
      <c r="E243" s="80"/>
      <c r="F243" s="82"/>
      <c r="G243" s="80"/>
      <c r="H243" s="11"/>
      <c r="I243" s="67"/>
      <c r="J243" s="76"/>
      <c r="K243" s="76"/>
      <c r="L243" s="81"/>
    </row>
    <row r="244" spans="1:12" x14ac:dyDescent="0.25">
      <c r="A244" s="79"/>
      <c r="B244" s="67"/>
      <c r="C244" s="11"/>
      <c r="D244" s="80"/>
      <c r="E244" s="80"/>
      <c r="F244" s="82"/>
      <c r="G244" s="80"/>
      <c r="H244" s="11"/>
      <c r="I244" s="67"/>
      <c r="J244" s="76"/>
      <c r="K244" s="76"/>
      <c r="L244" s="81"/>
    </row>
    <row r="245" spans="1:12" x14ac:dyDescent="0.25">
      <c r="A245" s="79"/>
      <c r="B245" s="67"/>
      <c r="C245" s="11"/>
      <c r="D245" s="80"/>
      <c r="E245" s="80"/>
      <c r="F245" s="82"/>
      <c r="G245" s="80"/>
      <c r="H245" s="11"/>
      <c r="I245" s="67"/>
      <c r="J245" s="76"/>
      <c r="K245" s="76"/>
      <c r="L245" s="81"/>
    </row>
    <row r="246" spans="1:12" x14ac:dyDescent="0.25">
      <c r="A246" s="79"/>
      <c r="B246" s="67"/>
      <c r="C246" s="11"/>
      <c r="D246" s="80"/>
      <c r="E246" s="80"/>
      <c r="F246" s="82"/>
      <c r="G246" s="80"/>
      <c r="H246" s="11"/>
      <c r="I246" s="67"/>
      <c r="J246" s="76"/>
      <c r="K246" s="76"/>
      <c r="L246" s="81"/>
    </row>
    <row r="247" spans="1:12" x14ac:dyDescent="0.25">
      <c r="A247" s="79"/>
      <c r="B247" s="67"/>
      <c r="C247" s="11"/>
      <c r="D247" s="80"/>
      <c r="E247" s="80"/>
      <c r="F247" s="82"/>
      <c r="G247" s="80"/>
      <c r="H247" s="11"/>
      <c r="I247" s="67"/>
      <c r="J247" s="76"/>
      <c r="K247" s="76"/>
      <c r="L247" s="81"/>
    </row>
    <row r="248" spans="1:12" x14ac:dyDescent="0.25">
      <c r="A248" s="79"/>
      <c r="B248" s="67"/>
      <c r="C248" s="11"/>
      <c r="D248" s="80"/>
      <c r="E248" s="80"/>
      <c r="F248" s="82"/>
      <c r="G248" s="80"/>
      <c r="H248" s="11"/>
      <c r="I248" s="67"/>
      <c r="J248" s="76"/>
      <c r="K248" s="76"/>
      <c r="L248" s="81"/>
    </row>
    <row r="249" spans="1:12" x14ac:dyDescent="0.25">
      <c r="A249" s="79"/>
      <c r="B249" s="67"/>
      <c r="C249" s="11"/>
      <c r="D249" s="80"/>
      <c r="E249" s="80"/>
      <c r="F249" s="82"/>
      <c r="G249" s="80"/>
      <c r="H249" s="11"/>
      <c r="I249" s="67"/>
      <c r="J249" s="76"/>
      <c r="K249" s="76"/>
      <c r="L249" s="81"/>
    </row>
    <row r="250" spans="1:12" x14ac:dyDescent="0.25">
      <c r="A250" s="79"/>
      <c r="B250" s="67"/>
      <c r="C250" s="11"/>
      <c r="D250" s="80"/>
      <c r="E250" s="80"/>
      <c r="F250" s="82"/>
      <c r="G250" s="80"/>
      <c r="H250" s="11"/>
      <c r="I250" s="67"/>
      <c r="J250" s="76"/>
      <c r="K250" s="76"/>
      <c r="L250" s="81"/>
    </row>
    <row r="251" spans="1:12" x14ac:dyDescent="0.25">
      <c r="A251" s="79"/>
      <c r="B251" s="67"/>
      <c r="C251" s="11"/>
      <c r="D251" s="80"/>
      <c r="E251" s="80"/>
      <c r="F251" s="82"/>
      <c r="G251" s="80"/>
      <c r="H251" s="11"/>
      <c r="I251" s="67"/>
      <c r="J251" s="76"/>
      <c r="K251" s="76"/>
      <c r="L251" s="81"/>
    </row>
    <row r="252" spans="1:12" x14ac:dyDescent="0.25">
      <c r="A252" s="79"/>
      <c r="B252" s="67"/>
      <c r="C252" s="11"/>
      <c r="D252" s="80"/>
      <c r="E252" s="80"/>
      <c r="F252" s="82"/>
      <c r="G252" s="80"/>
      <c r="H252" s="11"/>
      <c r="I252" s="67"/>
      <c r="J252" s="76"/>
      <c r="K252" s="76"/>
      <c r="L252" s="81"/>
    </row>
    <row r="253" spans="1:12" x14ac:dyDescent="0.25">
      <c r="A253" s="79"/>
      <c r="B253" s="67"/>
      <c r="C253" s="11"/>
      <c r="D253" s="80"/>
      <c r="E253" s="80"/>
      <c r="F253" s="82"/>
      <c r="G253" s="80"/>
      <c r="H253" s="11"/>
      <c r="I253" s="67"/>
      <c r="J253" s="76"/>
      <c r="K253" s="76"/>
      <c r="L253" s="81"/>
    </row>
    <row r="254" spans="1:12" x14ac:dyDescent="0.25">
      <c r="A254" s="79"/>
      <c r="B254" s="67"/>
      <c r="C254" s="11"/>
      <c r="D254" s="80"/>
      <c r="E254" s="80"/>
      <c r="F254" s="82"/>
      <c r="G254" s="80"/>
      <c r="H254" s="11"/>
      <c r="I254" s="67"/>
      <c r="J254" s="76"/>
      <c r="K254" s="76"/>
      <c r="L254" s="81"/>
    </row>
    <row r="255" spans="1:12" x14ac:dyDescent="0.25">
      <c r="A255" s="79"/>
      <c r="B255" s="67"/>
      <c r="C255" s="11"/>
      <c r="D255" s="80"/>
      <c r="E255" s="80"/>
      <c r="F255" s="82"/>
      <c r="G255" s="80"/>
      <c r="H255" s="11"/>
      <c r="I255" s="67"/>
      <c r="J255" s="76"/>
      <c r="K255" s="76"/>
      <c r="L255" s="81"/>
    </row>
    <row r="256" spans="1:12" x14ac:dyDescent="0.25">
      <c r="A256" s="79"/>
      <c r="B256" s="67"/>
      <c r="C256" s="11"/>
      <c r="D256" s="80"/>
      <c r="E256" s="80"/>
      <c r="F256" s="82"/>
      <c r="G256" s="80"/>
      <c r="H256" s="11"/>
      <c r="I256" s="67"/>
      <c r="J256" s="76"/>
      <c r="K256" s="76"/>
      <c r="L256" s="81"/>
    </row>
    <row r="257" spans="1:12" x14ac:dyDescent="0.25">
      <c r="A257" s="79"/>
      <c r="B257" s="67"/>
      <c r="C257" s="11"/>
      <c r="D257" s="80"/>
      <c r="E257" s="80"/>
      <c r="F257" s="82"/>
      <c r="G257" s="80"/>
      <c r="H257" s="11"/>
      <c r="I257" s="67"/>
      <c r="J257" s="76"/>
      <c r="K257" s="76"/>
      <c r="L257" s="81"/>
    </row>
    <row r="258" spans="1:12" x14ac:dyDescent="0.25">
      <c r="A258" s="79"/>
      <c r="B258" s="67"/>
      <c r="C258" s="11"/>
      <c r="D258" s="80"/>
      <c r="E258" s="80"/>
      <c r="F258" s="82"/>
      <c r="G258" s="80"/>
      <c r="H258" s="11"/>
      <c r="I258" s="67"/>
      <c r="J258" s="76"/>
      <c r="K258" s="76"/>
      <c r="L258" s="81"/>
    </row>
    <row r="259" spans="1:12" x14ac:dyDescent="0.25">
      <c r="A259" s="79"/>
      <c r="B259" s="67"/>
      <c r="C259" s="11"/>
      <c r="D259" s="80"/>
      <c r="E259" s="80"/>
      <c r="F259" s="82"/>
      <c r="G259" s="80"/>
      <c r="H259" s="11"/>
      <c r="I259" s="67"/>
      <c r="J259" s="76"/>
      <c r="K259" s="76"/>
      <c r="L259" s="81"/>
    </row>
    <row r="260" spans="1:12" x14ac:dyDescent="0.25">
      <c r="A260" s="79"/>
      <c r="B260" s="67"/>
      <c r="C260" s="11"/>
      <c r="D260" s="80"/>
      <c r="E260" s="80"/>
      <c r="F260" s="82"/>
      <c r="G260" s="80"/>
      <c r="H260" s="11"/>
      <c r="I260" s="67"/>
      <c r="J260" s="76"/>
      <c r="K260" s="76"/>
      <c r="L260" s="81"/>
    </row>
    <row r="261" spans="1:12" x14ac:dyDescent="0.25">
      <c r="A261" s="79"/>
      <c r="B261" s="67"/>
      <c r="C261" s="11"/>
      <c r="D261" s="80"/>
      <c r="E261" s="80"/>
      <c r="F261" s="82"/>
      <c r="G261" s="80"/>
      <c r="H261" s="11"/>
      <c r="I261" s="67"/>
      <c r="J261" s="76"/>
      <c r="K261" s="76"/>
      <c r="L261" s="81"/>
    </row>
    <row r="262" spans="1:12" x14ac:dyDescent="0.25">
      <c r="A262" s="79"/>
      <c r="B262" s="67"/>
      <c r="C262" s="11"/>
      <c r="D262" s="80"/>
      <c r="E262" s="80"/>
      <c r="F262" s="82"/>
      <c r="G262" s="80"/>
      <c r="H262" s="11"/>
      <c r="I262" s="67"/>
      <c r="J262" s="76"/>
      <c r="K262" s="76"/>
      <c r="L262" s="81"/>
    </row>
    <row r="263" spans="1:12" x14ac:dyDescent="0.25">
      <c r="A263" s="79"/>
      <c r="B263" s="67"/>
      <c r="C263" s="11"/>
      <c r="D263" s="80"/>
      <c r="E263" s="80"/>
      <c r="F263" s="82"/>
      <c r="G263" s="80"/>
      <c r="H263" s="11"/>
      <c r="I263" s="67"/>
      <c r="J263" s="76"/>
      <c r="K263" s="76"/>
      <c r="L263" s="81"/>
    </row>
    <row r="264" spans="1:12" x14ac:dyDescent="0.25">
      <c r="A264" s="79"/>
      <c r="B264" s="67"/>
      <c r="C264" s="11"/>
      <c r="D264" s="80"/>
      <c r="E264" s="80"/>
      <c r="F264" s="82"/>
      <c r="G264" s="80"/>
      <c r="H264" s="11"/>
      <c r="I264" s="67"/>
      <c r="J264" s="76"/>
      <c r="K264" s="76"/>
      <c r="L264" s="81"/>
    </row>
    <row r="265" spans="1:12" x14ac:dyDescent="0.25">
      <c r="A265" s="79"/>
      <c r="B265" s="67"/>
      <c r="C265" s="11"/>
      <c r="D265" s="80"/>
      <c r="E265" s="80"/>
      <c r="F265" s="82"/>
      <c r="G265" s="80"/>
      <c r="H265" s="11"/>
      <c r="I265" s="67"/>
      <c r="J265" s="76"/>
      <c r="K265" s="76"/>
      <c r="L265" s="81"/>
    </row>
    <row r="266" spans="1:12" x14ac:dyDescent="0.25">
      <c r="A266" s="79"/>
      <c r="B266" s="67"/>
      <c r="C266" s="11"/>
      <c r="D266" s="80"/>
      <c r="E266" s="80"/>
      <c r="F266" s="82"/>
      <c r="G266" s="80"/>
      <c r="H266" s="11"/>
      <c r="I266" s="67"/>
      <c r="J266" s="76"/>
      <c r="K266" s="76"/>
      <c r="L266" s="81"/>
    </row>
    <row r="267" spans="1:12" x14ac:dyDescent="0.25">
      <c r="A267" s="79"/>
      <c r="B267" s="67"/>
      <c r="C267" s="11"/>
      <c r="D267" s="80"/>
      <c r="E267" s="80"/>
      <c r="F267" s="82"/>
      <c r="G267" s="80"/>
      <c r="H267" s="11"/>
      <c r="I267" s="67"/>
      <c r="J267" s="76"/>
      <c r="K267" s="76"/>
      <c r="L267" s="81"/>
    </row>
    <row r="268" spans="1:12" x14ac:dyDescent="0.25">
      <c r="A268" s="79"/>
      <c r="B268" s="67"/>
      <c r="C268" s="11"/>
      <c r="D268" s="80"/>
      <c r="E268" s="80"/>
      <c r="F268" s="82"/>
      <c r="G268" s="80"/>
      <c r="H268" s="11"/>
      <c r="I268" s="67"/>
      <c r="J268" s="76"/>
      <c r="K268" s="76"/>
      <c r="L268" s="81"/>
    </row>
    <row r="269" spans="1:12" x14ac:dyDescent="0.25">
      <c r="A269" s="79"/>
      <c r="B269" s="67"/>
      <c r="C269" s="11"/>
      <c r="D269" s="80"/>
      <c r="E269" s="80"/>
      <c r="F269" s="82"/>
      <c r="G269" s="80"/>
      <c r="H269" s="11"/>
      <c r="I269" s="67"/>
      <c r="J269" s="76"/>
      <c r="K269" s="76"/>
      <c r="L269" s="81"/>
    </row>
    <row r="270" spans="1:12" x14ac:dyDescent="0.25">
      <c r="A270" s="79"/>
      <c r="B270" s="67"/>
      <c r="C270" s="11"/>
      <c r="D270" s="80"/>
      <c r="E270" s="80"/>
      <c r="F270" s="82"/>
      <c r="G270" s="80"/>
      <c r="H270" s="11"/>
      <c r="I270" s="67"/>
      <c r="J270" s="76"/>
      <c r="K270" s="76"/>
      <c r="L270" s="81"/>
    </row>
    <row r="271" spans="1:12" x14ac:dyDescent="0.25">
      <c r="A271" s="79"/>
      <c r="B271" s="67"/>
      <c r="C271" s="11"/>
      <c r="D271" s="80"/>
      <c r="E271" s="80"/>
      <c r="F271" s="82"/>
      <c r="G271" s="80"/>
      <c r="H271" s="11"/>
      <c r="I271" s="67"/>
      <c r="J271" s="76"/>
      <c r="K271" s="76"/>
      <c r="L271" s="81"/>
    </row>
    <row r="272" spans="1:12" x14ac:dyDescent="0.25">
      <c r="A272" s="79"/>
      <c r="B272" s="67"/>
      <c r="C272" s="11"/>
      <c r="D272" s="80"/>
      <c r="E272" s="80"/>
      <c r="F272" s="82"/>
      <c r="G272" s="80"/>
      <c r="H272" s="11"/>
      <c r="I272" s="67"/>
      <c r="J272" s="76"/>
      <c r="K272" s="76"/>
      <c r="L272" s="81"/>
    </row>
    <row r="273" spans="1:12" x14ac:dyDescent="0.25">
      <c r="A273" s="79"/>
      <c r="B273" s="67"/>
      <c r="C273" s="11"/>
      <c r="D273" s="80"/>
      <c r="E273" s="80"/>
      <c r="F273" s="82"/>
      <c r="G273" s="80"/>
      <c r="H273" s="11"/>
      <c r="I273" s="67"/>
      <c r="J273" s="76"/>
      <c r="K273" s="76"/>
      <c r="L273" s="81"/>
    </row>
    <row r="274" spans="1:12" x14ac:dyDescent="0.25">
      <c r="A274" s="79"/>
      <c r="B274" s="67"/>
      <c r="C274" s="11"/>
      <c r="D274" s="80"/>
      <c r="E274" s="80"/>
      <c r="F274" s="82"/>
      <c r="G274" s="80"/>
      <c r="H274" s="11"/>
      <c r="I274" s="67"/>
      <c r="J274" s="76"/>
      <c r="K274" s="76"/>
      <c r="L274" s="81"/>
    </row>
    <row r="275" spans="1:12" x14ac:dyDescent="0.25">
      <c r="A275" s="79"/>
      <c r="B275" s="67"/>
      <c r="C275" s="11"/>
      <c r="D275" s="80"/>
      <c r="E275" s="80"/>
      <c r="F275" s="82"/>
      <c r="G275" s="80"/>
      <c r="H275" s="11"/>
      <c r="I275" s="67"/>
      <c r="J275" s="76"/>
      <c r="K275" s="76"/>
      <c r="L275" s="81"/>
    </row>
    <row r="276" spans="1:12" x14ac:dyDescent="0.25">
      <c r="A276" s="79"/>
      <c r="B276" s="67"/>
      <c r="C276" s="11"/>
      <c r="D276" s="80"/>
      <c r="E276" s="80"/>
      <c r="F276" s="82"/>
      <c r="G276" s="80"/>
      <c r="H276" s="11"/>
      <c r="I276" s="67"/>
      <c r="J276" s="76"/>
      <c r="K276" s="76"/>
      <c r="L276" s="81"/>
    </row>
    <row r="277" spans="1:12" x14ac:dyDescent="0.25">
      <c r="A277" s="79"/>
      <c r="B277" s="67"/>
      <c r="C277" s="11"/>
      <c r="D277" s="80"/>
      <c r="E277" s="80"/>
      <c r="F277" s="82"/>
      <c r="G277" s="80"/>
      <c r="H277" s="11"/>
      <c r="I277" s="67"/>
      <c r="J277" s="76"/>
      <c r="K277" s="76"/>
      <c r="L277" s="81"/>
    </row>
    <row r="278" spans="1:12" x14ac:dyDescent="0.25">
      <c r="A278" s="79"/>
      <c r="B278" s="67"/>
      <c r="C278" s="11"/>
      <c r="D278" s="80"/>
      <c r="E278" s="80"/>
      <c r="F278" s="82"/>
      <c r="G278" s="80"/>
      <c r="H278" s="11"/>
      <c r="I278" s="67"/>
      <c r="J278" s="76"/>
      <c r="K278" s="76"/>
      <c r="L278" s="81"/>
    </row>
    <row r="279" spans="1:12" x14ac:dyDescent="0.25">
      <c r="A279" s="79"/>
      <c r="B279" s="67"/>
      <c r="C279" s="11"/>
      <c r="D279" s="80"/>
      <c r="E279" s="80"/>
      <c r="F279" s="82"/>
      <c r="G279" s="80"/>
      <c r="H279" s="11"/>
      <c r="I279" s="67"/>
      <c r="J279" s="76"/>
      <c r="K279" s="76"/>
      <c r="L279" s="81"/>
    </row>
    <row r="280" spans="1:12" x14ac:dyDescent="0.25">
      <c r="A280" s="79"/>
      <c r="B280" s="67"/>
      <c r="C280" s="11"/>
      <c r="D280" s="80"/>
      <c r="E280" s="80"/>
      <c r="F280" s="82"/>
      <c r="G280" s="80"/>
      <c r="H280" s="11"/>
      <c r="I280" s="67"/>
      <c r="J280" s="76"/>
      <c r="K280" s="76"/>
      <c r="L280" s="81"/>
    </row>
    <row r="281" spans="1:12" x14ac:dyDescent="0.25">
      <c r="A281" s="79"/>
      <c r="B281" s="67"/>
      <c r="C281" s="11"/>
      <c r="D281" s="80"/>
      <c r="E281" s="80"/>
      <c r="F281" s="82"/>
      <c r="G281" s="80"/>
      <c r="H281" s="11"/>
      <c r="I281" s="67"/>
      <c r="J281" s="76"/>
      <c r="K281" s="76"/>
      <c r="L281" s="81"/>
    </row>
    <row r="282" spans="1:12" x14ac:dyDescent="0.25">
      <c r="A282" s="79"/>
      <c r="B282" s="67"/>
      <c r="C282" s="11"/>
      <c r="D282" s="80"/>
      <c r="E282" s="80"/>
      <c r="F282" s="82"/>
      <c r="G282" s="80"/>
      <c r="H282" s="11"/>
      <c r="I282" s="67"/>
      <c r="J282" s="76"/>
      <c r="K282" s="76"/>
      <c r="L282" s="81"/>
    </row>
    <row r="283" spans="1:12" x14ac:dyDescent="0.25">
      <c r="A283" s="79"/>
      <c r="B283" s="67"/>
      <c r="C283" s="11"/>
      <c r="D283" s="80"/>
      <c r="E283" s="80"/>
      <c r="F283" s="82"/>
      <c r="G283" s="80"/>
      <c r="H283" s="11"/>
      <c r="I283" s="67"/>
      <c r="J283" s="76"/>
      <c r="K283" s="76"/>
      <c r="L283" s="81"/>
    </row>
    <row r="284" spans="1:12" x14ac:dyDescent="0.25">
      <c r="A284" s="79"/>
      <c r="B284" s="67"/>
      <c r="C284" s="11"/>
      <c r="D284" s="80"/>
      <c r="E284" s="80"/>
      <c r="F284" s="82"/>
      <c r="G284" s="80"/>
      <c r="H284" s="11"/>
      <c r="I284" s="67"/>
      <c r="J284" s="76"/>
      <c r="K284" s="76"/>
      <c r="L284" s="81"/>
    </row>
    <row r="285" spans="1:12" x14ac:dyDescent="0.25">
      <c r="A285" s="79"/>
      <c r="B285" s="67"/>
      <c r="C285" s="11"/>
      <c r="D285" s="80"/>
      <c r="E285" s="80"/>
      <c r="F285" s="82"/>
      <c r="G285" s="80"/>
      <c r="H285" s="11"/>
      <c r="I285" s="67"/>
      <c r="J285" s="76"/>
      <c r="K285" s="76"/>
      <c r="L285" s="81"/>
    </row>
    <row r="286" spans="1:12" x14ac:dyDescent="0.25">
      <c r="A286" s="79"/>
      <c r="B286" s="67"/>
      <c r="C286" s="11"/>
      <c r="D286" s="80"/>
      <c r="E286" s="80"/>
      <c r="F286" s="82"/>
      <c r="G286" s="80"/>
      <c r="H286" s="11"/>
      <c r="I286" s="67"/>
      <c r="J286" s="76"/>
      <c r="K286" s="76"/>
      <c r="L286" s="81"/>
    </row>
    <row r="287" spans="1:12" x14ac:dyDescent="0.25">
      <c r="A287" s="79"/>
      <c r="B287" s="67"/>
      <c r="C287" s="11"/>
      <c r="D287" s="80"/>
      <c r="E287" s="80"/>
      <c r="F287" s="82"/>
      <c r="G287" s="80"/>
      <c r="H287" s="11"/>
      <c r="I287" s="67"/>
      <c r="J287" s="76"/>
      <c r="K287" s="76"/>
      <c r="L287" s="81"/>
    </row>
    <row r="288" spans="1:12" x14ac:dyDescent="0.25">
      <c r="A288" s="79"/>
      <c r="B288" s="67"/>
      <c r="C288" s="11"/>
      <c r="D288" s="80"/>
      <c r="E288" s="80"/>
      <c r="F288" s="82"/>
      <c r="G288" s="80"/>
      <c r="H288" s="11"/>
      <c r="I288" s="67"/>
      <c r="J288" s="76"/>
      <c r="K288" s="76"/>
      <c r="L288" s="81"/>
    </row>
    <row r="289" spans="1:12" x14ac:dyDescent="0.25">
      <c r="A289" s="79"/>
      <c r="B289" s="67"/>
      <c r="C289" s="11"/>
      <c r="D289" s="80"/>
      <c r="E289" s="80"/>
      <c r="F289" s="82"/>
      <c r="G289" s="80"/>
      <c r="H289" s="11"/>
      <c r="I289" s="67"/>
      <c r="J289" s="76"/>
      <c r="K289" s="76"/>
      <c r="L289" s="81"/>
    </row>
    <row r="290" spans="1:12" x14ac:dyDescent="0.25">
      <c r="A290" s="79"/>
      <c r="B290" s="67"/>
      <c r="C290" s="11"/>
      <c r="D290" s="80"/>
      <c r="E290" s="80"/>
      <c r="F290" s="82"/>
      <c r="G290" s="80"/>
      <c r="H290" s="11"/>
      <c r="I290" s="67"/>
      <c r="J290" s="76"/>
      <c r="K290" s="76"/>
      <c r="L290" s="81"/>
    </row>
    <row r="291" spans="1:12" x14ac:dyDescent="0.25">
      <c r="A291" s="79"/>
      <c r="B291" s="67"/>
      <c r="C291" s="11"/>
      <c r="D291" s="80"/>
      <c r="E291" s="80"/>
      <c r="F291" s="82"/>
      <c r="G291" s="80"/>
      <c r="H291" s="11"/>
      <c r="I291" s="67"/>
      <c r="J291" s="76"/>
      <c r="K291" s="76"/>
      <c r="L291" s="81"/>
    </row>
    <row r="292" spans="1:12" x14ac:dyDescent="0.25">
      <c r="A292" s="79"/>
      <c r="B292" s="67"/>
      <c r="C292" s="11"/>
      <c r="D292" s="80"/>
      <c r="E292" s="80"/>
      <c r="F292" s="82"/>
      <c r="G292" s="80"/>
      <c r="H292" s="11"/>
      <c r="I292" s="67"/>
      <c r="J292" s="76"/>
      <c r="K292" s="76"/>
      <c r="L292" s="81"/>
    </row>
    <row r="293" spans="1:12" x14ac:dyDescent="0.25">
      <c r="A293" s="79"/>
      <c r="B293" s="67"/>
      <c r="C293" s="11"/>
      <c r="D293" s="80"/>
      <c r="E293" s="80"/>
      <c r="F293" s="82"/>
      <c r="G293" s="80"/>
      <c r="H293" s="11"/>
      <c r="I293" s="67"/>
      <c r="J293" s="76"/>
      <c r="K293" s="76"/>
      <c r="L293" s="81"/>
    </row>
    <row r="294" spans="1:12" x14ac:dyDescent="0.25">
      <c r="A294" s="79"/>
      <c r="B294" s="67"/>
      <c r="C294" s="11"/>
      <c r="D294" s="80"/>
      <c r="E294" s="80"/>
      <c r="F294" s="82"/>
      <c r="G294" s="80"/>
      <c r="H294" s="11"/>
      <c r="I294" s="67"/>
      <c r="J294" s="76"/>
      <c r="K294" s="76"/>
      <c r="L294" s="81"/>
    </row>
    <row r="295" spans="1:12" x14ac:dyDescent="0.25">
      <c r="A295" s="79"/>
      <c r="B295" s="67"/>
      <c r="C295" s="11"/>
      <c r="D295" s="80"/>
      <c r="E295" s="80"/>
      <c r="F295" s="82"/>
      <c r="G295" s="80"/>
      <c r="H295" s="11"/>
      <c r="I295" s="67"/>
      <c r="J295" s="76"/>
      <c r="K295" s="76"/>
      <c r="L295" s="81"/>
    </row>
    <row r="296" spans="1:12" x14ac:dyDescent="0.25">
      <c r="A296" s="79"/>
      <c r="B296" s="67"/>
      <c r="C296" s="11"/>
      <c r="D296" s="80"/>
      <c r="E296" s="80"/>
      <c r="F296" s="82"/>
      <c r="G296" s="80"/>
      <c r="H296" s="11"/>
      <c r="I296" s="67"/>
      <c r="J296" s="76"/>
      <c r="K296" s="76"/>
      <c r="L296" s="81"/>
    </row>
    <row r="297" spans="1:12" x14ac:dyDescent="0.25">
      <c r="A297" s="79"/>
      <c r="B297" s="67"/>
      <c r="C297" s="11"/>
      <c r="D297" s="80"/>
      <c r="E297" s="80"/>
      <c r="F297" s="82"/>
      <c r="G297" s="80"/>
      <c r="H297" s="11"/>
      <c r="I297" s="67"/>
      <c r="J297" s="76"/>
      <c r="K297" s="76"/>
      <c r="L297" s="81"/>
    </row>
    <row r="298" spans="1:12" x14ac:dyDescent="0.25">
      <c r="A298" s="79"/>
      <c r="B298" s="67"/>
      <c r="C298" s="11"/>
      <c r="D298" s="80"/>
      <c r="E298" s="80"/>
      <c r="F298" s="82"/>
      <c r="G298" s="80"/>
      <c r="H298" s="11"/>
      <c r="I298" s="67"/>
      <c r="J298" s="76"/>
      <c r="K298" s="76"/>
      <c r="L298" s="81"/>
    </row>
    <row r="299" spans="1:12" x14ac:dyDescent="0.25">
      <c r="A299" s="79"/>
      <c r="B299" s="67"/>
      <c r="C299" s="11"/>
      <c r="D299" s="80"/>
      <c r="E299" s="80"/>
      <c r="F299" s="82"/>
      <c r="G299" s="80"/>
      <c r="H299" s="11"/>
      <c r="I299" s="67"/>
      <c r="J299" s="76"/>
      <c r="K299" s="76"/>
      <c r="L299" s="81"/>
    </row>
    <row r="300" spans="1:12" x14ac:dyDescent="0.25">
      <c r="A300" s="79"/>
      <c r="B300" s="67"/>
      <c r="C300" s="11"/>
      <c r="D300" s="80"/>
      <c r="E300" s="80"/>
      <c r="F300" s="82"/>
      <c r="G300" s="80"/>
      <c r="H300" s="11"/>
      <c r="I300" s="67"/>
      <c r="J300" s="76"/>
      <c r="K300" s="76"/>
      <c r="L300" s="81"/>
    </row>
    <row r="301" spans="1:12" x14ac:dyDescent="0.25">
      <c r="A301" s="79"/>
      <c r="B301" s="67"/>
      <c r="C301" s="11"/>
      <c r="D301" s="80"/>
      <c r="E301" s="80"/>
      <c r="F301" s="82"/>
      <c r="G301" s="80"/>
      <c r="H301" s="11"/>
      <c r="I301" s="67"/>
      <c r="J301" s="76"/>
      <c r="K301" s="76"/>
      <c r="L301" s="81"/>
    </row>
    <row r="302" spans="1:12" x14ac:dyDescent="0.25">
      <c r="A302" s="79"/>
      <c r="B302" s="67"/>
      <c r="C302" s="11"/>
      <c r="D302" s="80"/>
      <c r="E302" s="80"/>
      <c r="F302" s="82"/>
      <c r="G302" s="80"/>
      <c r="H302" s="11"/>
      <c r="I302" s="67"/>
      <c r="J302" s="76"/>
      <c r="K302" s="76"/>
      <c r="L302" s="81"/>
    </row>
    <row r="303" spans="1:12" x14ac:dyDescent="0.25">
      <c r="A303" s="79"/>
      <c r="B303" s="67"/>
      <c r="C303" s="11"/>
      <c r="D303" s="80"/>
      <c r="E303" s="80"/>
      <c r="F303" s="82"/>
      <c r="G303" s="80"/>
      <c r="H303" s="11"/>
      <c r="I303" s="67"/>
      <c r="J303" s="76"/>
      <c r="K303" s="76"/>
      <c r="L303" s="81"/>
    </row>
    <row r="304" spans="1:12" x14ac:dyDescent="0.25">
      <c r="A304" s="79"/>
      <c r="B304" s="67"/>
      <c r="C304" s="11"/>
      <c r="D304" s="80"/>
      <c r="E304" s="80"/>
      <c r="F304" s="82"/>
      <c r="G304" s="80"/>
      <c r="H304" s="11"/>
      <c r="I304" s="67"/>
      <c r="J304" s="76"/>
      <c r="K304" s="76"/>
      <c r="L304" s="81"/>
    </row>
    <row r="305" spans="1:12" x14ac:dyDescent="0.25">
      <c r="A305" s="79"/>
      <c r="B305" s="67"/>
      <c r="C305" s="11"/>
      <c r="D305" s="80"/>
      <c r="E305" s="80"/>
      <c r="F305" s="82"/>
      <c r="G305" s="80"/>
      <c r="H305" s="11"/>
      <c r="I305" s="67"/>
      <c r="J305" s="76"/>
      <c r="K305" s="76"/>
      <c r="L305" s="81"/>
    </row>
    <row r="306" spans="1:12" x14ac:dyDescent="0.25">
      <c r="A306" s="79"/>
      <c r="B306" s="67"/>
      <c r="C306" s="11"/>
      <c r="D306" s="80"/>
      <c r="E306" s="80"/>
      <c r="F306" s="82"/>
      <c r="G306" s="80"/>
      <c r="H306" s="11"/>
      <c r="I306" s="67"/>
      <c r="J306" s="76"/>
      <c r="K306" s="76"/>
      <c r="L306" s="81"/>
    </row>
    <row r="307" spans="1:12" x14ac:dyDescent="0.25">
      <c r="A307" s="79"/>
      <c r="B307" s="67"/>
      <c r="C307" s="11"/>
      <c r="D307" s="80"/>
      <c r="E307" s="80"/>
      <c r="F307" s="82"/>
      <c r="G307" s="80"/>
      <c r="H307" s="11"/>
      <c r="I307" s="67"/>
      <c r="J307" s="76"/>
      <c r="K307" s="76"/>
      <c r="L307" s="81"/>
    </row>
    <row r="308" spans="1:12" x14ac:dyDescent="0.25">
      <c r="A308" s="79"/>
      <c r="B308" s="67"/>
      <c r="C308" s="11"/>
      <c r="D308" s="80"/>
      <c r="E308" s="80"/>
      <c r="F308" s="82"/>
      <c r="G308" s="80"/>
      <c r="H308" s="11"/>
      <c r="I308" s="67"/>
      <c r="J308" s="76"/>
      <c r="K308" s="76"/>
      <c r="L308" s="81"/>
    </row>
    <row r="309" spans="1:12" x14ac:dyDescent="0.25">
      <c r="A309" s="79"/>
      <c r="B309" s="67"/>
      <c r="C309" s="11"/>
      <c r="D309" s="80"/>
      <c r="E309" s="80"/>
      <c r="F309" s="82"/>
      <c r="G309" s="80"/>
      <c r="H309" s="11"/>
      <c r="I309" s="67"/>
      <c r="J309" s="76"/>
      <c r="K309" s="76"/>
      <c r="L309" s="81"/>
    </row>
    <row r="310" spans="1:12" x14ac:dyDescent="0.25">
      <c r="A310" s="79"/>
      <c r="B310" s="67"/>
      <c r="C310" s="11"/>
      <c r="D310" s="80"/>
      <c r="E310" s="80"/>
      <c r="F310" s="82"/>
      <c r="G310" s="80"/>
      <c r="H310" s="11"/>
      <c r="I310" s="67"/>
      <c r="J310" s="76"/>
      <c r="K310" s="76"/>
      <c r="L310" s="81"/>
    </row>
    <row r="311" spans="1:12" x14ac:dyDescent="0.25">
      <c r="A311" s="79"/>
      <c r="B311" s="67"/>
      <c r="C311" s="11"/>
      <c r="D311" s="80"/>
      <c r="E311" s="80"/>
      <c r="F311" s="82"/>
      <c r="G311" s="80"/>
      <c r="H311" s="11"/>
      <c r="I311" s="67"/>
      <c r="J311" s="76"/>
      <c r="K311" s="76"/>
      <c r="L311" s="81"/>
    </row>
    <row r="312" spans="1:12" x14ac:dyDescent="0.25">
      <c r="A312" s="79"/>
      <c r="B312" s="67"/>
      <c r="C312" s="11"/>
      <c r="D312" s="80"/>
      <c r="E312" s="80"/>
      <c r="F312" s="82"/>
      <c r="G312" s="80"/>
      <c r="H312" s="11"/>
      <c r="I312" s="67"/>
      <c r="J312" s="76"/>
      <c r="K312" s="76"/>
      <c r="L312" s="81"/>
    </row>
    <row r="313" spans="1:12" x14ac:dyDescent="0.25">
      <c r="A313" s="79"/>
      <c r="B313" s="67"/>
      <c r="C313" s="11"/>
      <c r="D313" s="80"/>
      <c r="E313" s="80"/>
      <c r="F313" s="82"/>
      <c r="G313" s="80"/>
      <c r="H313" s="11"/>
      <c r="I313" s="67"/>
      <c r="J313" s="76"/>
      <c r="K313" s="76"/>
      <c r="L313" s="81"/>
    </row>
    <row r="314" spans="1:12" x14ac:dyDescent="0.25">
      <c r="A314" s="79"/>
      <c r="B314" s="67"/>
      <c r="C314" s="11"/>
      <c r="D314" s="80"/>
      <c r="E314" s="80"/>
      <c r="F314" s="82"/>
      <c r="G314" s="80"/>
      <c r="H314" s="11"/>
      <c r="I314" s="67"/>
      <c r="J314" s="76"/>
      <c r="K314" s="76"/>
      <c r="L314" s="81"/>
    </row>
    <row r="315" spans="1:12" x14ac:dyDescent="0.25">
      <c r="A315" s="79"/>
      <c r="B315" s="67"/>
      <c r="C315" s="11"/>
      <c r="D315" s="80"/>
      <c r="E315" s="80"/>
      <c r="F315" s="82"/>
      <c r="G315" s="80"/>
      <c r="H315" s="11"/>
      <c r="I315" s="67"/>
      <c r="J315" s="76"/>
      <c r="K315" s="76"/>
      <c r="L315" s="81"/>
    </row>
    <row r="316" spans="1:12" x14ac:dyDescent="0.25">
      <c r="A316" s="79"/>
      <c r="B316" s="67"/>
      <c r="C316" s="11"/>
      <c r="D316" s="80"/>
      <c r="E316" s="80"/>
      <c r="F316" s="82"/>
      <c r="G316" s="80"/>
      <c r="H316" s="11"/>
      <c r="I316" s="67"/>
      <c r="J316" s="76"/>
      <c r="K316" s="76"/>
      <c r="L316" s="81"/>
    </row>
    <row r="317" spans="1:12" x14ac:dyDescent="0.25">
      <c r="A317" s="79"/>
      <c r="B317" s="67"/>
      <c r="C317" s="11"/>
      <c r="D317" s="80"/>
      <c r="E317" s="80"/>
      <c r="F317" s="82"/>
      <c r="G317" s="80"/>
      <c r="H317" s="11"/>
      <c r="I317" s="67"/>
      <c r="J317" s="76"/>
      <c r="K317" s="76"/>
      <c r="L317" s="81"/>
    </row>
    <row r="318" spans="1:12" x14ac:dyDescent="0.25">
      <c r="A318" s="79"/>
      <c r="B318" s="67"/>
      <c r="C318" s="11"/>
      <c r="D318" s="80"/>
      <c r="E318" s="80"/>
      <c r="F318" s="82"/>
      <c r="G318" s="80"/>
      <c r="H318" s="11"/>
      <c r="I318" s="67"/>
      <c r="J318" s="76"/>
      <c r="K318" s="76"/>
      <c r="L318" s="81"/>
    </row>
    <row r="319" spans="1:12" x14ac:dyDescent="0.25">
      <c r="A319" s="79"/>
      <c r="B319" s="67"/>
      <c r="C319" s="11"/>
      <c r="D319" s="80"/>
      <c r="E319" s="80"/>
      <c r="F319" s="82"/>
      <c r="G319" s="80"/>
      <c r="H319" s="11"/>
      <c r="I319" s="67"/>
      <c r="J319" s="76"/>
      <c r="K319" s="76"/>
      <c r="L319" s="81"/>
    </row>
    <row r="320" spans="1:12" x14ac:dyDescent="0.25">
      <c r="A320" s="79"/>
      <c r="B320" s="67"/>
      <c r="C320" s="11"/>
      <c r="D320" s="80"/>
      <c r="E320" s="80"/>
      <c r="F320" s="82"/>
      <c r="G320" s="80"/>
      <c r="H320" s="11"/>
      <c r="I320" s="67"/>
      <c r="J320" s="76"/>
      <c r="K320" s="76"/>
      <c r="L320" s="81"/>
    </row>
    <row r="321" spans="1:12" x14ac:dyDescent="0.25">
      <c r="A321" s="79"/>
      <c r="B321" s="67"/>
      <c r="C321" s="11"/>
      <c r="D321" s="80"/>
      <c r="E321" s="80"/>
      <c r="F321" s="82"/>
      <c r="G321" s="80"/>
      <c r="H321" s="11"/>
      <c r="I321" s="67"/>
      <c r="J321" s="76"/>
      <c r="K321" s="76"/>
      <c r="L321" s="81"/>
    </row>
    <row r="322" spans="1:12" x14ac:dyDescent="0.25">
      <c r="A322" s="79"/>
      <c r="B322" s="67"/>
      <c r="C322" s="11"/>
      <c r="D322" s="80"/>
      <c r="E322" s="80"/>
      <c r="F322" s="82"/>
      <c r="G322" s="80"/>
      <c r="H322" s="11"/>
      <c r="I322" s="67"/>
      <c r="J322" s="76"/>
      <c r="K322" s="76"/>
      <c r="L322" s="81"/>
    </row>
    <row r="323" spans="1:12" x14ac:dyDescent="0.25">
      <c r="A323" s="79"/>
      <c r="B323" s="67"/>
      <c r="C323" s="11"/>
      <c r="D323" s="80"/>
      <c r="E323" s="80"/>
      <c r="F323" s="82"/>
      <c r="G323" s="80"/>
      <c r="H323" s="11"/>
      <c r="I323" s="67"/>
      <c r="J323" s="76"/>
      <c r="K323" s="76"/>
      <c r="L323" s="81"/>
    </row>
    <row r="324" spans="1:12" x14ac:dyDescent="0.25">
      <c r="A324" s="79"/>
      <c r="B324" s="67"/>
      <c r="C324" s="11"/>
      <c r="D324" s="80"/>
      <c r="E324" s="80"/>
      <c r="F324" s="82"/>
      <c r="G324" s="80"/>
      <c r="H324" s="11"/>
      <c r="I324" s="67"/>
      <c r="J324" s="76"/>
      <c r="K324" s="76"/>
      <c r="L324" s="81"/>
    </row>
    <row r="325" spans="1:12" x14ac:dyDescent="0.25">
      <c r="A325" s="79"/>
      <c r="B325" s="67"/>
      <c r="C325" s="11"/>
      <c r="D325" s="80"/>
      <c r="E325" s="80"/>
      <c r="F325" s="82"/>
      <c r="G325" s="80"/>
      <c r="H325" s="11"/>
      <c r="I325" s="67"/>
      <c r="J325" s="76"/>
      <c r="K325" s="76"/>
      <c r="L325" s="81"/>
    </row>
    <row r="326" spans="1:12" x14ac:dyDescent="0.25">
      <c r="A326" s="79"/>
      <c r="B326" s="67"/>
      <c r="C326" s="11"/>
      <c r="D326" s="80"/>
      <c r="E326" s="80"/>
      <c r="F326" s="82"/>
      <c r="G326" s="80"/>
      <c r="H326" s="11"/>
      <c r="I326" s="67"/>
      <c r="J326" s="76"/>
      <c r="K326" s="76"/>
      <c r="L326" s="81"/>
    </row>
    <row r="327" spans="1:12" x14ac:dyDescent="0.25">
      <c r="A327" s="79"/>
      <c r="B327" s="67"/>
      <c r="C327" s="11"/>
      <c r="D327" s="80"/>
      <c r="E327" s="80"/>
      <c r="F327" s="82"/>
      <c r="G327" s="80"/>
      <c r="H327" s="11"/>
      <c r="I327" s="67"/>
      <c r="J327" s="76"/>
      <c r="K327" s="76"/>
      <c r="L327" s="81"/>
    </row>
    <row r="328" spans="1:12" x14ac:dyDescent="0.25">
      <c r="A328" s="79"/>
      <c r="B328" s="67"/>
      <c r="C328" s="11"/>
      <c r="D328" s="80"/>
      <c r="E328" s="80"/>
      <c r="F328" s="82"/>
      <c r="G328" s="80"/>
      <c r="H328" s="11"/>
      <c r="I328" s="67"/>
      <c r="J328" s="76"/>
      <c r="K328" s="76"/>
      <c r="L328" s="81"/>
    </row>
    <row r="329" spans="1:12" x14ac:dyDescent="0.25">
      <c r="A329" s="79"/>
      <c r="B329" s="67"/>
      <c r="C329" s="11"/>
      <c r="D329" s="80"/>
      <c r="E329" s="80"/>
      <c r="F329" s="82"/>
      <c r="G329" s="80"/>
      <c r="H329" s="11"/>
      <c r="I329" s="67"/>
      <c r="J329" s="76"/>
      <c r="K329" s="76"/>
      <c r="L329" s="81"/>
    </row>
    <row r="330" spans="1:12" x14ac:dyDescent="0.25">
      <c r="A330" s="79"/>
      <c r="B330" s="67"/>
      <c r="C330" s="11"/>
      <c r="D330" s="80"/>
      <c r="E330" s="80"/>
      <c r="F330" s="82"/>
      <c r="G330" s="80"/>
      <c r="H330" s="11"/>
      <c r="I330" s="67"/>
      <c r="J330" s="76"/>
      <c r="K330" s="76"/>
      <c r="L330" s="81"/>
    </row>
    <row r="331" spans="1:12" x14ac:dyDescent="0.25">
      <c r="A331" s="79"/>
      <c r="B331" s="67"/>
      <c r="C331" s="11"/>
      <c r="D331" s="80"/>
      <c r="E331" s="80"/>
      <c r="F331" s="82"/>
      <c r="G331" s="80"/>
      <c r="H331" s="11"/>
      <c r="I331" s="67"/>
      <c r="J331" s="76"/>
      <c r="K331" s="76"/>
      <c r="L331" s="81"/>
    </row>
    <row r="332" spans="1:12" x14ac:dyDescent="0.25">
      <c r="A332" s="79"/>
      <c r="B332" s="67"/>
      <c r="C332" s="11"/>
      <c r="D332" s="80"/>
      <c r="E332" s="80"/>
      <c r="F332" s="82"/>
      <c r="G332" s="80"/>
      <c r="H332" s="11"/>
      <c r="I332" s="67"/>
      <c r="J332" s="76"/>
      <c r="K332" s="76"/>
      <c r="L332" s="81"/>
    </row>
    <row r="333" spans="1:12" x14ac:dyDescent="0.25">
      <c r="A333" s="79"/>
      <c r="B333" s="67"/>
      <c r="C333" s="11"/>
      <c r="D333" s="80"/>
      <c r="E333" s="80"/>
      <c r="F333" s="82"/>
      <c r="G333" s="80"/>
      <c r="H333" s="11"/>
      <c r="I333" s="67"/>
      <c r="J333" s="76"/>
      <c r="K333" s="76"/>
      <c r="L333" s="81"/>
    </row>
    <row r="334" spans="1:12" x14ac:dyDescent="0.25">
      <c r="A334" s="79"/>
      <c r="B334" s="67"/>
      <c r="C334" s="11"/>
      <c r="D334" s="80"/>
      <c r="E334" s="80"/>
      <c r="F334" s="82"/>
      <c r="G334" s="80"/>
      <c r="H334" s="11"/>
      <c r="I334" s="67"/>
      <c r="J334" s="76"/>
      <c r="K334" s="76"/>
      <c r="L334" s="81"/>
    </row>
    <row r="335" spans="1:12" x14ac:dyDescent="0.25">
      <c r="A335" s="79"/>
      <c r="B335" s="67"/>
      <c r="C335" s="11"/>
      <c r="D335" s="80"/>
      <c r="E335" s="80"/>
      <c r="F335" s="82"/>
      <c r="G335" s="80"/>
      <c r="H335" s="11"/>
      <c r="I335" s="67"/>
      <c r="J335" s="76"/>
      <c r="K335" s="76"/>
      <c r="L335" s="81"/>
    </row>
    <row r="336" spans="1:12" x14ac:dyDescent="0.25">
      <c r="A336" s="79"/>
      <c r="B336" s="67"/>
      <c r="C336" s="11"/>
      <c r="D336" s="80"/>
      <c r="E336" s="80"/>
      <c r="F336" s="82"/>
      <c r="G336" s="80"/>
      <c r="H336" s="11"/>
      <c r="I336" s="67"/>
      <c r="J336" s="76"/>
      <c r="K336" s="76"/>
      <c r="L336" s="81"/>
    </row>
    <row r="337" spans="1:12" x14ac:dyDescent="0.25">
      <c r="A337" s="79"/>
      <c r="B337" s="67"/>
      <c r="C337" s="11"/>
      <c r="D337" s="80"/>
      <c r="E337" s="80"/>
      <c r="F337" s="82"/>
      <c r="G337" s="80"/>
      <c r="H337" s="11"/>
      <c r="I337" s="67"/>
      <c r="J337" s="76"/>
      <c r="K337" s="76"/>
      <c r="L337" s="81"/>
    </row>
    <row r="338" spans="1:12" x14ac:dyDescent="0.25">
      <c r="A338" s="79"/>
      <c r="B338" s="67"/>
      <c r="C338" s="11"/>
      <c r="D338" s="80"/>
      <c r="E338" s="80"/>
      <c r="F338" s="82"/>
      <c r="G338" s="80"/>
      <c r="H338" s="11"/>
      <c r="I338" s="67"/>
      <c r="J338" s="76"/>
      <c r="K338" s="76"/>
      <c r="L338" s="81"/>
    </row>
    <row r="339" spans="1:12" x14ac:dyDescent="0.25">
      <c r="A339" s="79"/>
      <c r="B339" s="67"/>
      <c r="C339" s="11"/>
      <c r="D339" s="80"/>
      <c r="E339" s="80"/>
      <c r="F339" s="82"/>
      <c r="G339" s="80"/>
      <c r="H339" s="11"/>
      <c r="I339" s="67"/>
      <c r="J339" s="76"/>
      <c r="K339" s="76"/>
      <c r="L339" s="81"/>
    </row>
    <row r="340" spans="1:12" x14ac:dyDescent="0.25">
      <c r="A340" s="79"/>
      <c r="B340" s="67"/>
      <c r="C340" s="11"/>
      <c r="D340" s="80"/>
      <c r="E340" s="80"/>
      <c r="F340" s="82"/>
      <c r="G340" s="80"/>
      <c r="H340" s="11"/>
      <c r="I340" s="67"/>
      <c r="J340" s="76"/>
      <c r="K340" s="76"/>
      <c r="L340" s="81"/>
    </row>
    <row r="341" spans="1:12" x14ac:dyDescent="0.25">
      <c r="A341" s="79"/>
      <c r="B341" s="67"/>
      <c r="C341" s="11"/>
      <c r="D341" s="80"/>
      <c r="E341" s="80"/>
      <c r="F341" s="82"/>
      <c r="G341" s="80"/>
      <c r="H341" s="11"/>
      <c r="I341" s="67"/>
      <c r="J341" s="76"/>
      <c r="K341" s="76"/>
      <c r="L341" s="81"/>
    </row>
    <row r="342" spans="1:12" x14ac:dyDescent="0.25">
      <c r="A342" s="79"/>
      <c r="B342" s="67"/>
      <c r="C342" s="11"/>
      <c r="D342" s="80"/>
      <c r="E342" s="80"/>
      <c r="F342" s="82"/>
      <c r="G342" s="80"/>
      <c r="H342" s="11"/>
      <c r="I342" s="67"/>
      <c r="J342" s="76"/>
      <c r="K342" s="76"/>
      <c r="L342" s="81"/>
    </row>
    <row r="343" spans="1:12" x14ac:dyDescent="0.25">
      <c r="A343" s="79"/>
      <c r="B343" s="67"/>
      <c r="C343" s="11"/>
      <c r="D343" s="80"/>
      <c r="E343" s="80"/>
      <c r="F343" s="82"/>
      <c r="G343" s="80"/>
      <c r="H343" s="11"/>
      <c r="I343" s="67"/>
      <c r="J343" s="76"/>
      <c r="K343" s="76"/>
      <c r="L343" s="81"/>
    </row>
    <row r="344" spans="1:12" x14ac:dyDescent="0.25">
      <c r="A344" s="79"/>
      <c r="B344" s="67"/>
      <c r="C344" s="11"/>
      <c r="D344" s="80"/>
      <c r="E344" s="80"/>
      <c r="F344" s="82"/>
      <c r="G344" s="80"/>
      <c r="H344" s="11"/>
      <c r="I344" s="67"/>
      <c r="J344" s="76"/>
      <c r="K344" s="76"/>
      <c r="L344" s="81"/>
    </row>
    <row r="345" spans="1:12" x14ac:dyDescent="0.25">
      <c r="A345" s="79"/>
      <c r="B345" s="67"/>
      <c r="C345" s="11"/>
      <c r="D345" s="80"/>
      <c r="E345" s="80"/>
      <c r="F345" s="82"/>
      <c r="G345" s="80"/>
      <c r="H345" s="11"/>
      <c r="I345" s="67"/>
      <c r="J345" s="76"/>
      <c r="K345" s="76"/>
      <c r="L345" s="81"/>
    </row>
    <row r="346" spans="1:12" x14ac:dyDescent="0.25">
      <c r="A346" s="79"/>
      <c r="B346" s="67"/>
      <c r="C346" s="11"/>
      <c r="D346" s="80"/>
      <c r="E346" s="80"/>
      <c r="F346" s="82"/>
      <c r="G346" s="80"/>
      <c r="H346" s="11"/>
      <c r="I346" s="67"/>
      <c r="J346" s="76"/>
      <c r="K346" s="76"/>
      <c r="L346" s="81"/>
    </row>
    <row r="347" spans="1:12" x14ac:dyDescent="0.25">
      <c r="A347" s="79"/>
      <c r="B347" s="67"/>
      <c r="C347" s="11"/>
      <c r="D347" s="80"/>
      <c r="E347" s="80"/>
      <c r="F347" s="82"/>
      <c r="G347" s="80"/>
      <c r="H347" s="11"/>
      <c r="I347" s="67"/>
      <c r="J347" s="76"/>
      <c r="K347" s="76"/>
      <c r="L347" s="81"/>
    </row>
    <row r="348" spans="1:12" x14ac:dyDescent="0.25">
      <c r="A348" s="79"/>
      <c r="B348" s="67"/>
      <c r="C348" s="11"/>
      <c r="D348" s="80"/>
      <c r="E348" s="80"/>
      <c r="F348" s="82"/>
      <c r="G348" s="80"/>
      <c r="H348" s="11"/>
      <c r="I348" s="67"/>
      <c r="J348" s="76"/>
      <c r="K348" s="76"/>
      <c r="L348" s="81"/>
    </row>
    <row r="349" spans="1:12" x14ac:dyDescent="0.25">
      <c r="A349" s="79"/>
      <c r="B349" s="67"/>
      <c r="C349" s="11"/>
      <c r="D349" s="80"/>
      <c r="E349" s="80"/>
      <c r="F349" s="82"/>
      <c r="G349" s="80"/>
      <c r="H349" s="11"/>
      <c r="I349" s="67"/>
      <c r="J349" s="76"/>
      <c r="K349" s="76"/>
      <c r="L349" s="81"/>
    </row>
    <row r="350" spans="1:12" x14ac:dyDescent="0.25">
      <c r="A350" s="79"/>
      <c r="B350" s="67"/>
      <c r="C350" s="11"/>
      <c r="D350" s="80"/>
      <c r="E350" s="80"/>
      <c r="F350" s="82"/>
      <c r="G350" s="80"/>
      <c r="H350" s="11"/>
      <c r="I350" s="67"/>
      <c r="J350" s="76"/>
      <c r="K350" s="76"/>
      <c r="L350" s="81"/>
    </row>
    <row r="351" spans="1:12" x14ac:dyDescent="0.25">
      <c r="A351" s="79"/>
      <c r="B351" s="67"/>
      <c r="C351" s="11"/>
      <c r="D351" s="80"/>
      <c r="E351" s="80"/>
      <c r="F351" s="82"/>
      <c r="G351" s="80"/>
      <c r="H351" s="11"/>
      <c r="I351" s="67"/>
      <c r="J351" s="76"/>
      <c r="K351" s="76"/>
      <c r="L351" s="81"/>
    </row>
    <row r="352" spans="1:12" x14ac:dyDescent="0.25">
      <c r="A352" s="79"/>
      <c r="B352" s="67"/>
      <c r="C352" s="11"/>
      <c r="D352" s="80"/>
      <c r="E352" s="80"/>
      <c r="F352" s="82"/>
      <c r="G352" s="80"/>
      <c r="H352" s="11"/>
      <c r="I352" s="67"/>
      <c r="J352" s="76"/>
      <c r="K352" s="76"/>
      <c r="L352" s="81"/>
    </row>
    <row r="353" spans="1:12" x14ac:dyDescent="0.25">
      <c r="A353" s="79"/>
      <c r="B353" s="67"/>
      <c r="C353" s="11"/>
      <c r="D353" s="80"/>
      <c r="E353" s="80"/>
      <c r="F353" s="82"/>
      <c r="G353" s="80"/>
      <c r="H353" s="11"/>
      <c r="I353" s="67"/>
      <c r="J353" s="76"/>
      <c r="K353" s="76"/>
      <c r="L353" s="81"/>
    </row>
    <row r="354" spans="1:12" x14ac:dyDescent="0.25">
      <c r="A354" s="79"/>
      <c r="B354" s="67"/>
      <c r="C354" s="11"/>
      <c r="D354" s="80"/>
      <c r="E354" s="80"/>
      <c r="F354" s="82"/>
      <c r="G354" s="80"/>
      <c r="H354" s="11"/>
      <c r="I354" s="67"/>
      <c r="J354" s="76"/>
      <c r="K354" s="76"/>
      <c r="L354" s="81"/>
    </row>
    <row r="355" spans="1:12" x14ac:dyDescent="0.25">
      <c r="A355" s="79"/>
      <c r="B355" s="67"/>
      <c r="C355" s="11"/>
      <c r="D355" s="80"/>
      <c r="E355" s="80"/>
      <c r="F355" s="82"/>
      <c r="G355" s="80"/>
      <c r="H355" s="11"/>
      <c r="I355" s="67"/>
      <c r="J355" s="76"/>
      <c r="K355" s="76"/>
      <c r="L355" s="81"/>
    </row>
    <row r="356" spans="1:12" x14ac:dyDescent="0.25">
      <c r="A356" s="79"/>
      <c r="B356" s="67"/>
      <c r="C356" s="11"/>
      <c r="D356" s="80"/>
      <c r="E356" s="80"/>
      <c r="F356" s="82"/>
      <c r="G356" s="80"/>
      <c r="H356" s="11"/>
      <c r="I356" s="67"/>
      <c r="J356" s="76"/>
      <c r="K356" s="76"/>
      <c r="L356" s="81"/>
    </row>
    <row r="357" spans="1:12" x14ac:dyDescent="0.25">
      <c r="A357" s="79"/>
      <c r="B357" s="67"/>
      <c r="C357" s="11"/>
      <c r="D357" s="80"/>
      <c r="E357" s="80"/>
      <c r="F357" s="82"/>
      <c r="G357" s="80"/>
      <c r="H357" s="11"/>
      <c r="I357" s="67"/>
      <c r="J357" s="76"/>
      <c r="K357" s="76"/>
      <c r="L357" s="81"/>
    </row>
    <row r="358" spans="1:12" x14ac:dyDescent="0.25">
      <c r="A358" s="79"/>
      <c r="B358" s="67"/>
      <c r="C358" s="11"/>
      <c r="D358" s="80"/>
      <c r="E358" s="80"/>
      <c r="F358" s="82"/>
      <c r="G358" s="80"/>
      <c r="H358" s="11"/>
      <c r="I358" s="67"/>
      <c r="J358" s="76"/>
      <c r="K358" s="76"/>
      <c r="L358" s="81"/>
    </row>
    <row r="359" spans="1:12" x14ac:dyDescent="0.25">
      <c r="A359" s="79"/>
      <c r="B359" s="67"/>
      <c r="C359" s="11"/>
      <c r="D359" s="80"/>
      <c r="E359" s="80"/>
      <c r="F359" s="82"/>
      <c r="G359" s="80"/>
      <c r="H359" s="11"/>
      <c r="I359" s="67"/>
      <c r="J359" s="76"/>
      <c r="K359" s="76"/>
      <c r="L359" s="81"/>
    </row>
    <row r="360" spans="1:12" x14ac:dyDescent="0.25">
      <c r="A360" s="79"/>
      <c r="B360" s="67"/>
      <c r="C360" s="11"/>
      <c r="D360" s="80"/>
      <c r="E360" s="80"/>
      <c r="F360" s="82"/>
      <c r="G360" s="80"/>
      <c r="H360" s="11"/>
      <c r="I360" s="67"/>
      <c r="J360" s="76"/>
      <c r="K360" s="76"/>
      <c r="L360" s="81"/>
    </row>
    <row r="361" spans="1:12" x14ac:dyDescent="0.25">
      <c r="A361" s="79"/>
      <c r="B361" s="67"/>
      <c r="C361" s="11"/>
      <c r="D361" s="80"/>
      <c r="E361" s="80"/>
      <c r="F361" s="82"/>
      <c r="G361" s="80"/>
      <c r="H361" s="11"/>
      <c r="I361" s="67"/>
      <c r="J361" s="76"/>
      <c r="K361" s="76"/>
      <c r="L361" s="81"/>
    </row>
    <row r="362" spans="1:12" x14ac:dyDescent="0.25">
      <c r="A362" s="79"/>
      <c r="B362" s="67"/>
      <c r="C362" s="11"/>
      <c r="D362" s="80"/>
      <c r="E362" s="80"/>
      <c r="F362" s="82"/>
      <c r="G362" s="80"/>
      <c r="H362" s="11"/>
      <c r="I362" s="67"/>
      <c r="J362" s="76"/>
      <c r="K362" s="76"/>
      <c r="L362" s="81"/>
    </row>
    <row r="363" spans="1:12" x14ac:dyDescent="0.25">
      <c r="A363" s="79"/>
      <c r="B363" s="67"/>
      <c r="C363" s="11"/>
      <c r="D363" s="80"/>
      <c r="E363" s="80"/>
      <c r="F363" s="82"/>
      <c r="G363" s="80"/>
      <c r="H363" s="11"/>
      <c r="I363" s="67"/>
      <c r="J363" s="76"/>
      <c r="K363" s="76"/>
      <c r="L363" s="81"/>
    </row>
    <row r="364" spans="1:12" x14ac:dyDescent="0.25">
      <c r="A364" s="79"/>
      <c r="B364" s="67"/>
      <c r="C364" s="11"/>
      <c r="D364" s="80"/>
      <c r="E364" s="80"/>
      <c r="F364" s="82"/>
      <c r="G364" s="80"/>
      <c r="H364" s="11"/>
      <c r="I364" s="67"/>
      <c r="J364" s="76"/>
      <c r="K364" s="76"/>
      <c r="L364" s="81"/>
    </row>
    <row r="365" spans="1:12" x14ac:dyDescent="0.25">
      <c r="A365" s="79"/>
      <c r="B365" s="67"/>
      <c r="C365" s="11"/>
      <c r="D365" s="80"/>
      <c r="E365" s="80"/>
      <c r="F365" s="82"/>
      <c r="G365" s="80"/>
      <c r="H365" s="11"/>
      <c r="I365" s="67"/>
      <c r="J365" s="76"/>
      <c r="K365" s="76"/>
      <c r="L365" s="81"/>
    </row>
    <row r="366" spans="1:12" x14ac:dyDescent="0.25">
      <c r="A366" s="79"/>
      <c r="B366" s="67"/>
      <c r="C366" s="11"/>
      <c r="D366" s="80"/>
      <c r="E366" s="80"/>
      <c r="F366" s="82"/>
      <c r="G366" s="80"/>
      <c r="H366" s="11"/>
      <c r="I366" s="67"/>
      <c r="J366" s="76"/>
      <c r="K366" s="76"/>
      <c r="L366" s="81"/>
    </row>
    <row r="367" spans="1:12" x14ac:dyDescent="0.25">
      <c r="A367" s="79"/>
      <c r="B367" s="67"/>
      <c r="C367" s="11"/>
      <c r="D367" s="80"/>
      <c r="E367" s="80"/>
      <c r="F367" s="82"/>
      <c r="G367" s="80"/>
      <c r="H367" s="11"/>
      <c r="I367" s="67"/>
      <c r="J367" s="76"/>
      <c r="K367" s="76"/>
      <c r="L367" s="81"/>
    </row>
    <row r="368" spans="1:12" x14ac:dyDescent="0.25">
      <c r="A368" s="79"/>
      <c r="B368" s="67"/>
      <c r="C368" s="11"/>
      <c r="D368" s="80"/>
      <c r="E368" s="80"/>
      <c r="F368" s="82"/>
      <c r="G368" s="80"/>
      <c r="H368" s="11"/>
      <c r="I368" s="67"/>
      <c r="J368" s="76"/>
      <c r="K368" s="76"/>
      <c r="L368" s="81"/>
    </row>
    <row r="369" spans="1:12" x14ac:dyDescent="0.25">
      <c r="A369" s="79"/>
      <c r="B369" s="67"/>
      <c r="C369" s="11"/>
      <c r="D369" s="80"/>
      <c r="E369" s="80"/>
      <c r="F369" s="82"/>
      <c r="G369" s="80"/>
      <c r="H369" s="11"/>
      <c r="I369" s="67"/>
      <c r="J369" s="76"/>
      <c r="K369" s="76"/>
      <c r="L369" s="81"/>
    </row>
    <row r="370" spans="1:12" x14ac:dyDescent="0.25">
      <c r="A370" s="79"/>
      <c r="B370" s="67"/>
      <c r="C370" s="11"/>
      <c r="D370" s="80"/>
      <c r="E370" s="80"/>
      <c r="F370" s="82"/>
      <c r="G370" s="80"/>
      <c r="H370" s="11"/>
      <c r="I370" s="67"/>
      <c r="J370" s="76"/>
      <c r="K370" s="76"/>
      <c r="L370" s="81"/>
    </row>
    <row r="371" spans="1:12" x14ac:dyDescent="0.25">
      <c r="A371" s="79"/>
      <c r="B371" s="67"/>
      <c r="C371" s="11"/>
      <c r="D371" s="80"/>
      <c r="E371" s="80"/>
      <c r="F371" s="82"/>
      <c r="G371" s="80"/>
      <c r="H371" s="11"/>
      <c r="I371" s="67"/>
      <c r="J371" s="76"/>
      <c r="K371" s="76"/>
      <c r="L371" s="81"/>
    </row>
    <row r="372" spans="1:12" x14ac:dyDescent="0.25">
      <c r="A372" s="79"/>
      <c r="B372" s="67"/>
      <c r="C372" s="11"/>
      <c r="D372" s="80"/>
      <c r="E372" s="80"/>
      <c r="F372" s="82"/>
      <c r="G372" s="80"/>
      <c r="H372" s="11"/>
      <c r="I372" s="67"/>
      <c r="J372" s="76"/>
      <c r="K372" s="76"/>
      <c r="L372" s="81"/>
    </row>
    <row r="373" spans="1:12" x14ac:dyDescent="0.25">
      <c r="A373" s="79"/>
      <c r="B373" s="67"/>
      <c r="C373" s="11"/>
      <c r="D373" s="80"/>
      <c r="E373" s="80"/>
      <c r="F373" s="82"/>
      <c r="G373" s="80"/>
      <c r="H373" s="11"/>
      <c r="I373" s="67"/>
      <c r="J373" s="76"/>
      <c r="K373" s="76"/>
      <c r="L373" s="81"/>
    </row>
    <row r="374" spans="1:12" x14ac:dyDescent="0.25">
      <c r="A374" s="79"/>
      <c r="B374" s="67"/>
      <c r="C374" s="11"/>
      <c r="D374" s="80"/>
      <c r="E374" s="80"/>
      <c r="F374" s="82"/>
      <c r="G374" s="80"/>
      <c r="H374" s="11"/>
      <c r="I374" s="67"/>
      <c r="J374" s="76"/>
      <c r="K374" s="76"/>
      <c r="L374" s="81"/>
    </row>
    <row r="375" spans="1:12" x14ac:dyDescent="0.25">
      <c r="A375" s="79"/>
      <c r="B375" s="67"/>
      <c r="C375" s="11"/>
      <c r="D375" s="80"/>
      <c r="E375" s="80"/>
      <c r="F375" s="82"/>
      <c r="G375" s="80"/>
      <c r="H375" s="11"/>
      <c r="I375" s="67"/>
      <c r="J375" s="76"/>
      <c r="K375" s="76"/>
      <c r="L375" s="81"/>
    </row>
    <row r="376" spans="1:12" x14ac:dyDescent="0.25">
      <c r="A376" s="79"/>
      <c r="B376" s="67"/>
      <c r="C376" s="11"/>
      <c r="D376" s="80"/>
      <c r="E376" s="80"/>
      <c r="F376" s="82"/>
      <c r="G376" s="80"/>
      <c r="H376" s="11"/>
      <c r="I376" s="67"/>
      <c r="J376" s="76"/>
      <c r="K376" s="76"/>
      <c r="L376" s="81"/>
    </row>
    <row r="377" spans="1:12" x14ac:dyDescent="0.25">
      <c r="A377" s="79"/>
      <c r="B377" s="67"/>
      <c r="C377" s="11"/>
      <c r="D377" s="80"/>
      <c r="E377" s="80"/>
      <c r="F377" s="82"/>
      <c r="G377" s="80"/>
      <c r="H377" s="11"/>
      <c r="I377" s="67"/>
      <c r="J377" s="76"/>
      <c r="K377" s="76"/>
      <c r="L377" s="81"/>
    </row>
    <row r="378" spans="1:12" x14ac:dyDescent="0.25">
      <c r="A378" s="79"/>
      <c r="B378" s="67"/>
      <c r="C378" s="11"/>
      <c r="D378" s="80"/>
      <c r="E378" s="80"/>
      <c r="F378" s="82"/>
      <c r="G378" s="80"/>
      <c r="H378" s="11"/>
      <c r="I378" s="67"/>
      <c r="J378" s="76"/>
      <c r="K378" s="76"/>
      <c r="L378" s="81"/>
    </row>
    <row r="379" spans="1:12" x14ac:dyDescent="0.25">
      <c r="A379" s="79"/>
      <c r="B379" s="67"/>
      <c r="C379" s="11"/>
      <c r="D379" s="80"/>
      <c r="E379" s="80"/>
      <c r="F379" s="82"/>
      <c r="G379" s="80"/>
      <c r="H379" s="11"/>
      <c r="I379" s="67"/>
      <c r="J379" s="76"/>
      <c r="K379" s="76"/>
      <c r="L379" s="81"/>
    </row>
    <row r="380" spans="1:12" x14ac:dyDescent="0.25">
      <c r="A380" s="79"/>
      <c r="B380" s="67"/>
      <c r="C380" s="11"/>
      <c r="D380" s="80"/>
      <c r="E380" s="80"/>
      <c r="F380" s="82"/>
      <c r="G380" s="80"/>
      <c r="H380" s="11"/>
      <c r="I380" s="67"/>
      <c r="J380" s="76"/>
      <c r="K380" s="76"/>
      <c r="L380" s="81"/>
    </row>
    <row r="381" spans="1:12" x14ac:dyDescent="0.25">
      <c r="A381" s="79"/>
      <c r="B381" s="67"/>
      <c r="C381" s="11"/>
      <c r="D381" s="80"/>
      <c r="E381" s="80"/>
      <c r="F381" s="82"/>
      <c r="G381" s="80"/>
      <c r="H381" s="11"/>
      <c r="I381" s="67"/>
      <c r="J381" s="76"/>
      <c r="K381" s="76"/>
      <c r="L381" s="81"/>
    </row>
    <row r="382" spans="1:12" x14ac:dyDescent="0.25">
      <c r="A382" s="79"/>
      <c r="B382" s="67"/>
      <c r="C382" s="11"/>
      <c r="D382" s="80"/>
      <c r="E382" s="80"/>
      <c r="F382" s="82"/>
      <c r="G382" s="80"/>
      <c r="H382" s="11"/>
      <c r="I382" s="67"/>
      <c r="J382" s="76"/>
      <c r="K382" s="76"/>
      <c r="L382" s="81"/>
    </row>
    <row r="383" spans="1:12" x14ac:dyDescent="0.25">
      <c r="A383" s="79"/>
      <c r="B383" s="67"/>
      <c r="C383" s="11"/>
      <c r="D383" s="80"/>
      <c r="E383" s="80"/>
      <c r="F383" s="82"/>
      <c r="G383" s="80"/>
      <c r="H383" s="11"/>
      <c r="I383" s="67"/>
      <c r="J383" s="76"/>
      <c r="K383" s="76"/>
      <c r="L383" s="81"/>
    </row>
    <row r="384" spans="1:12" x14ac:dyDescent="0.25">
      <c r="A384" s="79"/>
      <c r="B384" s="67"/>
      <c r="C384" s="11"/>
      <c r="D384" s="80"/>
      <c r="E384" s="80"/>
      <c r="F384" s="82"/>
      <c r="G384" s="80"/>
      <c r="H384" s="11"/>
      <c r="I384" s="67"/>
      <c r="J384" s="76"/>
      <c r="K384" s="76"/>
      <c r="L384" s="81"/>
    </row>
    <row r="385" spans="1:12" x14ac:dyDescent="0.25">
      <c r="A385" s="79"/>
      <c r="B385" s="67"/>
      <c r="C385" s="11"/>
      <c r="D385" s="80"/>
      <c r="E385" s="80"/>
      <c r="F385" s="82"/>
      <c r="G385" s="80"/>
      <c r="H385" s="11"/>
      <c r="I385" s="67"/>
      <c r="J385" s="76"/>
      <c r="K385" s="76"/>
      <c r="L385" s="81"/>
    </row>
    <row r="386" spans="1:12" x14ac:dyDescent="0.25">
      <c r="A386" s="79"/>
      <c r="B386" s="67"/>
      <c r="C386" s="11"/>
      <c r="D386" s="80"/>
      <c r="E386" s="80"/>
      <c r="F386" s="82"/>
      <c r="G386" s="80"/>
      <c r="H386" s="11"/>
      <c r="I386" s="67"/>
      <c r="J386" s="76"/>
      <c r="K386" s="76"/>
      <c r="L386" s="81"/>
    </row>
    <row r="387" spans="1:12" x14ac:dyDescent="0.25">
      <c r="A387" s="79"/>
      <c r="B387" s="67"/>
      <c r="C387" s="11"/>
      <c r="D387" s="80"/>
      <c r="E387" s="80"/>
      <c r="F387" s="82"/>
      <c r="G387" s="80"/>
      <c r="H387" s="11"/>
      <c r="I387" s="67"/>
      <c r="J387" s="76"/>
      <c r="K387" s="76"/>
      <c r="L387" s="81"/>
    </row>
    <row r="388" spans="1:12" x14ac:dyDescent="0.25">
      <c r="A388" s="79"/>
      <c r="B388" s="67"/>
      <c r="C388" s="11"/>
      <c r="D388" s="80"/>
      <c r="E388" s="80"/>
      <c r="F388" s="82"/>
      <c r="G388" s="80"/>
      <c r="H388" s="11"/>
      <c r="I388" s="67"/>
      <c r="J388" s="76"/>
      <c r="K388" s="76"/>
      <c r="L388" s="81"/>
    </row>
    <row r="389" spans="1:12" x14ac:dyDescent="0.25">
      <c r="A389" s="79"/>
      <c r="B389" s="67"/>
      <c r="C389" s="11"/>
      <c r="D389" s="80"/>
      <c r="E389" s="80"/>
      <c r="F389" s="82"/>
      <c r="G389" s="80"/>
      <c r="H389" s="11"/>
      <c r="I389" s="67"/>
      <c r="J389" s="76"/>
      <c r="K389" s="76"/>
      <c r="L389" s="81"/>
    </row>
    <row r="390" spans="1:12" x14ac:dyDescent="0.25">
      <c r="A390" s="79"/>
      <c r="B390" s="67"/>
      <c r="C390" s="11"/>
      <c r="D390" s="80"/>
      <c r="E390" s="80"/>
      <c r="F390" s="82"/>
      <c r="G390" s="80"/>
      <c r="H390" s="11"/>
      <c r="I390" s="67"/>
      <c r="J390" s="76"/>
      <c r="K390" s="76"/>
      <c r="L390" s="81"/>
    </row>
    <row r="391" spans="1:12" x14ac:dyDescent="0.25">
      <c r="A391" s="79"/>
      <c r="B391" s="67"/>
      <c r="C391" s="11"/>
      <c r="D391" s="80"/>
      <c r="E391" s="80"/>
      <c r="F391" s="82"/>
      <c r="G391" s="80"/>
      <c r="H391" s="11"/>
      <c r="I391" s="67"/>
      <c r="J391" s="76"/>
      <c r="K391" s="76"/>
      <c r="L391" s="81"/>
    </row>
    <row r="392" spans="1:12" x14ac:dyDescent="0.25">
      <c r="A392" s="79"/>
      <c r="B392" s="67"/>
      <c r="C392" s="11"/>
      <c r="D392" s="80"/>
      <c r="E392" s="80"/>
      <c r="F392" s="82"/>
      <c r="G392" s="80"/>
      <c r="H392" s="11"/>
      <c r="I392" s="67"/>
      <c r="J392" s="76"/>
      <c r="K392" s="76"/>
      <c r="L392" s="81"/>
    </row>
    <row r="393" spans="1:12" x14ac:dyDescent="0.25">
      <c r="A393" s="79"/>
      <c r="B393" s="67"/>
      <c r="C393" s="11"/>
      <c r="D393" s="80"/>
      <c r="E393" s="80"/>
      <c r="F393" s="82"/>
      <c r="G393" s="80"/>
      <c r="H393" s="11"/>
      <c r="I393" s="67"/>
      <c r="J393" s="76"/>
      <c r="K393" s="76"/>
      <c r="L393" s="81"/>
    </row>
    <row r="394" spans="1:12" x14ac:dyDescent="0.25">
      <c r="A394" s="79"/>
      <c r="B394" s="67"/>
      <c r="C394" s="11"/>
      <c r="D394" s="80"/>
      <c r="E394" s="80"/>
      <c r="F394" s="82"/>
      <c r="G394" s="80"/>
      <c r="H394" s="11"/>
      <c r="I394" s="67"/>
      <c r="J394" s="76"/>
      <c r="K394" s="76"/>
      <c r="L394" s="81"/>
    </row>
    <row r="395" spans="1:12" x14ac:dyDescent="0.25">
      <c r="A395" s="79"/>
      <c r="B395" s="67"/>
      <c r="C395" s="11"/>
      <c r="D395" s="80"/>
      <c r="E395" s="80"/>
      <c r="F395" s="82"/>
      <c r="G395" s="80"/>
      <c r="H395" s="11"/>
      <c r="I395" s="67"/>
      <c r="J395" s="76"/>
      <c r="K395" s="76"/>
      <c r="L395" s="81"/>
    </row>
    <row r="396" spans="1:12" x14ac:dyDescent="0.25">
      <c r="A396" s="79"/>
      <c r="B396" s="67"/>
      <c r="C396" s="11"/>
      <c r="D396" s="80"/>
      <c r="E396" s="80"/>
      <c r="F396" s="82"/>
      <c r="G396" s="80"/>
      <c r="H396" s="11"/>
      <c r="I396" s="67"/>
      <c r="J396" s="76"/>
      <c r="K396" s="76"/>
      <c r="L396" s="81"/>
    </row>
    <row r="397" spans="1:12" x14ac:dyDescent="0.25">
      <c r="A397" s="79"/>
      <c r="B397" s="67"/>
      <c r="C397" s="11"/>
      <c r="D397" s="80"/>
      <c r="E397" s="80"/>
      <c r="F397" s="82"/>
      <c r="G397" s="80"/>
      <c r="H397" s="11"/>
      <c r="I397" s="67"/>
      <c r="J397" s="76"/>
      <c r="K397" s="76"/>
      <c r="L397" s="81"/>
    </row>
    <row r="398" spans="1:12" x14ac:dyDescent="0.25">
      <c r="A398" s="79"/>
      <c r="B398" s="67"/>
      <c r="C398" s="11"/>
      <c r="D398" s="80"/>
      <c r="E398" s="80"/>
      <c r="F398" s="82"/>
      <c r="G398" s="80"/>
      <c r="H398" s="11"/>
      <c r="I398" s="67"/>
      <c r="J398" s="76"/>
      <c r="K398" s="76"/>
      <c r="L398" s="81"/>
    </row>
    <row r="399" spans="1:12" x14ac:dyDescent="0.25">
      <c r="A399" s="79"/>
      <c r="B399" s="67"/>
      <c r="C399" s="11"/>
      <c r="D399" s="80"/>
      <c r="E399" s="80"/>
      <c r="F399" s="82"/>
      <c r="G399" s="80"/>
      <c r="H399" s="11"/>
      <c r="I399" s="67"/>
      <c r="J399" s="76"/>
      <c r="K399" s="76"/>
      <c r="L399" s="81"/>
    </row>
    <row r="400" spans="1:12" x14ac:dyDescent="0.25">
      <c r="A400" s="79"/>
      <c r="B400" s="67"/>
      <c r="C400" s="11"/>
      <c r="D400" s="80"/>
      <c r="E400" s="80"/>
      <c r="F400" s="82"/>
      <c r="G400" s="80"/>
      <c r="H400" s="11"/>
      <c r="I400" s="67"/>
      <c r="J400" s="76"/>
      <c r="K400" s="76"/>
      <c r="L400" s="81"/>
    </row>
    <row r="401" spans="1:12" x14ac:dyDescent="0.25">
      <c r="A401" s="79"/>
      <c r="B401" s="67"/>
      <c r="C401" s="11"/>
      <c r="D401" s="80"/>
      <c r="E401" s="80"/>
      <c r="F401" s="82"/>
      <c r="G401" s="80"/>
      <c r="H401" s="11"/>
      <c r="I401" s="67"/>
      <c r="J401" s="76"/>
      <c r="K401" s="76"/>
      <c r="L401" s="81"/>
    </row>
    <row r="402" spans="1:12" x14ac:dyDescent="0.25">
      <c r="A402" s="79"/>
      <c r="B402" s="67"/>
      <c r="C402" s="11"/>
      <c r="D402" s="80"/>
      <c r="E402" s="80"/>
      <c r="F402" s="82"/>
      <c r="G402" s="80"/>
      <c r="H402" s="11"/>
      <c r="I402" s="67"/>
      <c r="J402" s="76"/>
      <c r="K402" s="76"/>
      <c r="L402" s="81"/>
    </row>
    <row r="403" spans="1:12" x14ac:dyDescent="0.25">
      <c r="A403" s="79"/>
      <c r="B403" s="67"/>
      <c r="C403" s="11"/>
      <c r="D403" s="80"/>
      <c r="E403" s="80"/>
      <c r="F403" s="82"/>
      <c r="G403" s="80"/>
      <c r="H403" s="11"/>
      <c r="I403" s="67"/>
      <c r="J403" s="76"/>
      <c r="K403" s="76"/>
      <c r="L403" s="81"/>
    </row>
    <row r="404" spans="1:12" x14ac:dyDescent="0.25">
      <c r="A404" s="79"/>
      <c r="B404" s="67"/>
      <c r="C404" s="11"/>
      <c r="D404" s="80"/>
      <c r="E404" s="80"/>
      <c r="F404" s="82"/>
      <c r="G404" s="80"/>
      <c r="H404" s="11"/>
      <c r="I404" s="67"/>
      <c r="J404" s="76"/>
      <c r="K404" s="76"/>
      <c r="L404" s="81"/>
    </row>
    <row r="405" spans="1:12" x14ac:dyDescent="0.25">
      <c r="A405" s="79"/>
      <c r="B405" s="67"/>
      <c r="C405" s="11"/>
      <c r="D405" s="80"/>
      <c r="E405" s="80"/>
      <c r="F405" s="82"/>
      <c r="G405" s="80"/>
      <c r="H405" s="11"/>
      <c r="I405" s="67"/>
      <c r="J405" s="76"/>
      <c r="K405" s="76"/>
      <c r="L405" s="81"/>
    </row>
    <row r="406" spans="1:12" x14ac:dyDescent="0.25">
      <c r="A406" s="79"/>
      <c r="B406" s="67"/>
      <c r="C406" s="11"/>
      <c r="D406" s="80"/>
      <c r="E406" s="80"/>
      <c r="F406" s="82"/>
      <c r="G406" s="80"/>
      <c r="H406" s="11"/>
      <c r="I406" s="67"/>
      <c r="J406" s="76"/>
      <c r="K406" s="76"/>
      <c r="L406" s="81"/>
    </row>
    <row r="407" spans="1:12" x14ac:dyDescent="0.25">
      <c r="A407" s="79"/>
      <c r="B407" s="67"/>
      <c r="C407" s="11"/>
      <c r="D407" s="80"/>
      <c r="E407" s="80"/>
      <c r="F407" s="82"/>
      <c r="G407" s="80"/>
      <c r="H407" s="11"/>
      <c r="I407" s="67"/>
      <c r="J407" s="76"/>
      <c r="K407" s="76"/>
      <c r="L407" s="81"/>
    </row>
    <row r="408" spans="1:12" x14ac:dyDescent="0.25">
      <c r="A408" s="79"/>
      <c r="B408" s="67"/>
      <c r="C408" s="11"/>
      <c r="D408" s="80"/>
      <c r="E408" s="80"/>
      <c r="F408" s="82"/>
      <c r="G408" s="80"/>
      <c r="H408" s="11"/>
      <c r="I408" s="67"/>
      <c r="J408" s="76"/>
      <c r="K408" s="76"/>
      <c r="L408" s="81"/>
    </row>
    <row r="409" spans="1:12" x14ac:dyDescent="0.25">
      <c r="A409" s="79"/>
      <c r="B409" s="67"/>
      <c r="C409" s="11"/>
      <c r="D409" s="80"/>
      <c r="E409" s="80"/>
      <c r="F409" s="82"/>
      <c r="G409" s="80"/>
      <c r="H409" s="11"/>
      <c r="I409" s="67"/>
      <c r="J409" s="76"/>
      <c r="K409" s="76"/>
      <c r="L409" s="81"/>
    </row>
    <row r="410" spans="1:12" x14ac:dyDescent="0.25">
      <c r="A410" s="79"/>
      <c r="B410" s="67"/>
      <c r="C410" s="11"/>
      <c r="D410" s="80"/>
      <c r="E410" s="80"/>
      <c r="F410" s="82"/>
      <c r="G410" s="80"/>
      <c r="H410" s="11"/>
      <c r="I410" s="67"/>
      <c r="J410" s="76"/>
      <c r="K410" s="76"/>
      <c r="L410" s="81"/>
    </row>
    <row r="411" spans="1:12" x14ac:dyDescent="0.25">
      <c r="A411" s="79"/>
      <c r="B411" s="67"/>
      <c r="C411" s="11"/>
      <c r="D411" s="80"/>
      <c r="E411" s="80"/>
      <c r="F411" s="82"/>
      <c r="G411" s="80"/>
      <c r="H411" s="11"/>
      <c r="I411" s="67"/>
      <c r="J411" s="76"/>
      <c r="K411" s="76"/>
      <c r="L411" s="81"/>
    </row>
    <row r="412" spans="1:12" x14ac:dyDescent="0.25">
      <c r="A412" s="79"/>
      <c r="B412" s="67"/>
      <c r="C412" s="11"/>
      <c r="D412" s="80"/>
      <c r="E412" s="80"/>
      <c r="F412" s="82"/>
      <c r="G412" s="80"/>
      <c r="H412" s="11"/>
      <c r="I412" s="67"/>
      <c r="J412" s="76"/>
      <c r="K412" s="76"/>
      <c r="L412" s="81"/>
    </row>
    <row r="413" spans="1:12" x14ac:dyDescent="0.25">
      <c r="A413" s="79"/>
      <c r="B413" s="67"/>
      <c r="C413" s="11"/>
      <c r="D413" s="80"/>
      <c r="E413" s="80"/>
      <c r="F413" s="82"/>
      <c r="G413" s="80"/>
      <c r="H413" s="11"/>
      <c r="I413" s="67"/>
      <c r="J413" s="76"/>
      <c r="K413" s="76"/>
      <c r="L413" s="81"/>
    </row>
    <row r="414" spans="1:12" x14ac:dyDescent="0.25">
      <c r="A414" s="79"/>
      <c r="B414" s="67"/>
      <c r="C414" s="11"/>
      <c r="D414" s="80"/>
      <c r="E414" s="80"/>
      <c r="F414" s="82"/>
      <c r="G414" s="80"/>
      <c r="H414" s="11"/>
      <c r="I414" s="67"/>
      <c r="J414" s="76"/>
      <c r="K414" s="76"/>
      <c r="L414" s="81"/>
    </row>
    <row r="415" spans="1:12" x14ac:dyDescent="0.25">
      <c r="A415" s="79"/>
      <c r="B415" s="67"/>
      <c r="C415" s="11"/>
      <c r="D415" s="80"/>
      <c r="E415" s="80"/>
      <c r="F415" s="82"/>
      <c r="G415" s="80"/>
      <c r="H415" s="11"/>
      <c r="I415" s="67"/>
      <c r="J415" s="76"/>
      <c r="K415" s="76"/>
      <c r="L415" s="81"/>
    </row>
    <row r="416" spans="1:12" x14ac:dyDescent="0.25">
      <c r="A416" s="79"/>
      <c r="B416" s="67"/>
      <c r="C416" s="11"/>
      <c r="D416" s="80"/>
      <c r="E416" s="80"/>
      <c r="F416" s="82"/>
      <c r="G416" s="80"/>
      <c r="H416" s="11"/>
      <c r="I416" s="67"/>
      <c r="J416" s="76"/>
      <c r="K416" s="76"/>
      <c r="L416" s="81"/>
    </row>
    <row r="417" spans="1:12" x14ac:dyDescent="0.25">
      <c r="A417" s="79"/>
      <c r="B417" s="67"/>
      <c r="C417" s="11"/>
      <c r="D417" s="80"/>
      <c r="E417" s="80"/>
      <c r="F417" s="82"/>
      <c r="G417" s="80"/>
      <c r="H417" s="11"/>
      <c r="I417" s="67"/>
      <c r="J417" s="76"/>
      <c r="K417" s="76"/>
      <c r="L417" s="81"/>
    </row>
    <row r="418" spans="1:12" x14ac:dyDescent="0.25">
      <c r="A418" s="79"/>
      <c r="B418" s="67"/>
      <c r="C418" s="11"/>
      <c r="D418" s="80"/>
      <c r="E418" s="80"/>
      <c r="F418" s="82"/>
      <c r="G418" s="80"/>
      <c r="H418" s="11"/>
      <c r="I418" s="67"/>
      <c r="J418" s="76"/>
      <c r="K418" s="76"/>
      <c r="L418" s="81"/>
    </row>
    <row r="419" spans="1:12" x14ac:dyDescent="0.25">
      <c r="A419" s="79"/>
      <c r="B419" s="67"/>
      <c r="C419" s="11"/>
      <c r="D419" s="80"/>
      <c r="E419" s="80"/>
      <c r="F419" s="82"/>
      <c r="G419" s="80"/>
      <c r="H419" s="11"/>
      <c r="I419" s="67"/>
      <c r="J419" s="76"/>
      <c r="K419" s="76"/>
      <c r="L419" s="81"/>
    </row>
    <row r="420" spans="1:12" x14ac:dyDescent="0.25">
      <c r="A420" s="79"/>
      <c r="B420" s="67"/>
      <c r="C420" s="11"/>
      <c r="D420" s="80"/>
      <c r="E420" s="80"/>
      <c r="F420" s="82"/>
      <c r="G420" s="80"/>
      <c r="H420" s="11"/>
      <c r="I420" s="67"/>
      <c r="J420" s="76"/>
      <c r="K420" s="76"/>
      <c r="L420" s="81"/>
    </row>
    <row r="421" spans="1:12" x14ac:dyDescent="0.25">
      <c r="A421" s="79"/>
      <c r="B421" s="67"/>
      <c r="C421" s="11"/>
      <c r="D421" s="80"/>
      <c r="E421" s="80"/>
      <c r="F421" s="82"/>
      <c r="G421" s="80"/>
      <c r="H421" s="11"/>
      <c r="I421" s="67"/>
      <c r="J421" s="76"/>
      <c r="K421" s="76"/>
      <c r="L421" s="81"/>
    </row>
    <row r="422" spans="1:12" x14ac:dyDescent="0.25">
      <c r="A422" s="79"/>
      <c r="B422" s="67"/>
      <c r="C422" s="11"/>
      <c r="D422" s="80"/>
      <c r="E422" s="80"/>
      <c r="F422" s="82"/>
      <c r="G422" s="80"/>
      <c r="H422" s="11"/>
      <c r="I422" s="67"/>
      <c r="J422" s="76"/>
      <c r="K422" s="76"/>
      <c r="L422" s="81"/>
    </row>
    <row r="423" spans="1:12" x14ac:dyDescent="0.25">
      <c r="A423" s="79"/>
      <c r="B423" s="67"/>
      <c r="C423" s="11"/>
      <c r="D423" s="80"/>
      <c r="E423" s="80"/>
      <c r="F423" s="82"/>
      <c r="G423" s="80"/>
      <c r="H423" s="11"/>
      <c r="I423" s="67"/>
      <c r="J423" s="76"/>
      <c r="K423" s="76"/>
      <c r="L423" s="81"/>
    </row>
    <row r="424" spans="1:12" x14ac:dyDescent="0.25">
      <c r="A424" s="79"/>
      <c r="B424" s="67"/>
      <c r="C424" s="11"/>
      <c r="D424" s="80"/>
      <c r="E424" s="80"/>
      <c r="F424" s="82"/>
      <c r="G424" s="80"/>
      <c r="H424" s="11"/>
      <c r="I424" s="67"/>
      <c r="J424" s="76"/>
      <c r="K424" s="76"/>
      <c r="L424" s="81"/>
    </row>
    <row r="425" spans="1:12" x14ac:dyDescent="0.25">
      <c r="A425" s="79"/>
      <c r="B425" s="67"/>
      <c r="C425" s="11"/>
      <c r="D425" s="80"/>
      <c r="E425" s="80"/>
      <c r="F425" s="82"/>
      <c r="G425" s="80"/>
      <c r="H425" s="11"/>
      <c r="I425" s="67"/>
      <c r="J425" s="76"/>
      <c r="K425" s="76"/>
      <c r="L425" s="81"/>
    </row>
    <row r="426" spans="1:12" x14ac:dyDescent="0.25">
      <c r="A426" s="79"/>
      <c r="B426" s="67"/>
      <c r="C426" s="11"/>
      <c r="D426" s="80"/>
      <c r="E426" s="80"/>
      <c r="F426" s="82"/>
      <c r="G426" s="80"/>
      <c r="H426" s="11"/>
      <c r="I426" s="67"/>
      <c r="J426" s="76"/>
      <c r="K426" s="76"/>
      <c r="L426" s="81"/>
    </row>
    <row r="427" spans="1:12" x14ac:dyDescent="0.25">
      <c r="A427" s="79"/>
      <c r="B427" s="67"/>
      <c r="C427" s="11"/>
      <c r="D427" s="80"/>
      <c r="E427" s="80"/>
      <c r="F427" s="82"/>
      <c r="G427" s="80"/>
      <c r="H427" s="11"/>
      <c r="I427" s="67"/>
      <c r="J427" s="76"/>
      <c r="K427" s="76"/>
      <c r="L427" s="81"/>
    </row>
    <row r="428" spans="1:12" x14ac:dyDescent="0.25">
      <c r="A428" s="79"/>
      <c r="B428" s="67"/>
      <c r="C428" s="11"/>
      <c r="D428" s="80"/>
      <c r="E428" s="80"/>
      <c r="F428" s="82"/>
      <c r="G428" s="80"/>
      <c r="H428" s="11"/>
      <c r="I428" s="67"/>
      <c r="J428" s="76"/>
      <c r="K428" s="76"/>
      <c r="L428" s="81"/>
    </row>
    <row r="429" spans="1:12" x14ac:dyDescent="0.25">
      <c r="A429" s="79"/>
      <c r="B429" s="67"/>
      <c r="C429" s="11"/>
      <c r="D429" s="80"/>
      <c r="E429" s="80"/>
      <c r="F429" s="82"/>
      <c r="G429" s="80"/>
      <c r="H429" s="11"/>
      <c r="I429" s="67"/>
      <c r="J429" s="76"/>
      <c r="K429" s="76"/>
      <c r="L429" s="81"/>
    </row>
    <row r="430" spans="1:12" x14ac:dyDescent="0.25">
      <c r="A430" s="79"/>
      <c r="B430" s="67"/>
      <c r="C430" s="11"/>
      <c r="D430" s="80"/>
      <c r="E430" s="80"/>
      <c r="F430" s="82"/>
      <c r="G430" s="80"/>
      <c r="H430" s="11"/>
      <c r="I430" s="67"/>
      <c r="J430" s="76"/>
      <c r="K430" s="76"/>
      <c r="L430" s="81"/>
    </row>
    <row r="431" spans="1:12" x14ac:dyDescent="0.25">
      <c r="A431" s="79"/>
      <c r="B431" s="67"/>
      <c r="C431" s="11"/>
      <c r="D431" s="80"/>
      <c r="E431" s="80"/>
      <c r="F431" s="82"/>
      <c r="G431" s="80"/>
      <c r="H431" s="11"/>
      <c r="I431" s="67"/>
      <c r="J431" s="76"/>
      <c r="K431" s="76"/>
      <c r="L431" s="81"/>
    </row>
    <row r="432" spans="1:12" x14ac:dyDescent="0.25">
      <c r="A432" s="79"/>
      <c r="B432" s="67"/>
      <c r="C432" s="11"/>
      <c r="D432" s="80"/>
      <c r="E432" s="80"/>
      <c r="F432" s="82"/>
      <c r="G432" s="80"/>
      <c r="H432" s="11"/>
      <c r="I432" s="67"/>
      <c r="J432" s="76"/>
      <c r="K432" s="76"/>
      <c r="L432" s="81"/>
    </row>
    <row r="433" spans="1:12" x14ac:dyDescent="0.25">
      <c r="A433" s="79"/>
      <c r="B433" s="67"/>
      <c r="C433" s="11"/>
      <c r="D433" s="80"/>
      <c r="E433" s="80"/>
      <c r="F433" s="82"/>
      <c r="G433" s="80"/>
      <c r="H433" s="11"/>
      <c r="I433" s="67"/>
      <c r="J433" s="76"/>
      <c r="K433" s="76"/>
      <c r="L433" s="81"/>
    </row>
    <row r="434" spans="1:12" x14ac:dyDescent="0.25">
      <c r="A434" s="79"/>
      <c r="B434" s="67"/>
      <c r="C434" s="11"/>
      <c r="D434" s="80"/>
      <c r="E434" s="80"/>
      <c r="F434" s="82"/>
      <c r="G434" s="80"/>
      <c r="H434" s="11"/>
      <c r="I434" s="67"/>
      <c r="J434" s="76"/>
      <c r="K434" s="76"/>
      <c r="L434" s="81"/>
    </row>
    <row r="435" spans="1:12" x14ac:dyDescent="0.25">
      <c r="A435" s="79"/>
      <c r="B435" s="67"/>
      <c r="C435" s="11"/>
      <c r="D435" s="80"/>
      <c r="E435" s="80"/>
      <c r="F435" s="82"/>
      <c r="G435" s="80"/>
      <c r="H435" s="11"/>
      <c r="I435" s="67"/>
      <c r="J435" s="76"/>
      <c r="K435" s="76"/>
      <c r="L435" s="81"/>
    </row>
    <row r="436" spans="1:12" x14ac:dyDescent="0.25">
      <c r="A436" s="79"/>
      <c r="B436" s="67"/>
      <c r="C436" s="11"/>
      <c r="D436" s="80"/>
      <c r="E436" s="80"/>
      <c r="F436" s="82"/>
      <c r="G436" s="80"/>
      <c r="H436" s="11"/>
      <c r="I436" s="67"/>
      <c r="J436" s="76"/>
      <c r="K436" s="76"/>
      <c r="L436" s="81"/>
    </row>
    <row r="437" spans="1:12" x14ac:dyDescent="0.25">
      <c r="A437" s="79"/>
      <c r="B437" s="67"/>
      <c r="C437" s="11"/>
      <c r="D437" s="80"/>
      <c r="E437" s="80"/>
      <c r="F437" s="82"/>
      <c r="G437" s="80"/>
      <c r="H437" s="11"/>
      <c r="I437" s="67"/>
      <c r="J437" s="76"/>
      <c r="K437" s="76"/>
      <c r="L437" s="81"/>
    </row>
    <row r="438" spans="1:12" x14ac:dyDescent="0.25">
      <c r="A438" s="79"/>
      <c r="B438" s="67"/>
      <c r="C438" s="11"/>
      <c r="D438" s="80"/>
      <c r="E438" s="80"/>
      <c r="F438" s="82"/>
      <c r="G438" s="80"/>
      <c r="H438" s="11"/>
      <c r="I438" s="67"/>
      <c r="J438" s="76"/>
      <c r="K438" s="76"/>
      <c r="L438" s="81"/>
    </row>
    <row r="439" spans="1:12" x14ac:dyDescent="0.25">
      <c r="A439" s="79"/>
      <c r="B439" s="67"/>
      <c r="C439" s="11"/>
      <c r="D439" s="80"/>
      <c r="E439" s="80"/>
      <c r="F439" s="82"/>
      <c r="G439" s="80"/>
      <c r="H439" s="11"/>
      <c r="I439" s="67"/>
      <c r="J439" s="76"/>
      <c r="K439" s="76"/>
      <c r="L439" s="81"/>
    </row>
    <row r="440" spans="1:12" x14ac:dyDescent="0.25">
      <c r="A440" s="79"/>
      <c r="B440" s="67"/>
      <c r="C440" s="11"/>
      <c r="D440" s="80"/>
      <c r="E440" s="80"/>
      <c r="F440" s="82"/>
      <c r="G440" s="80"/>
      <c r="H440" s="11"/>
      <c r="I440" s="67"/>
      <c r="J440" s="76"/>
      <c r="K440" s="76"/>
      <c r="L440" s="81"/>
    </row>
    <row r="441" spans="1:12" x14ac:dyDescent="0.25">
      <c r="A441" s="79"/>
      <c r="B441" s="67"/>
      <c r="C441" s="11"/>
      <c r="D441" s="80"/>
      <c r="E441" s="80"/>
      <c r="F441" s="82"/>
      <c r="G441" s="80"/>
      <c r="H441" s="11"/>
      <c r="I441" s="67"/>
      <c r="J441" s="76"/>
      <c r="K441" s="76"/>
      <c r="L441" s="81"/>
    </row>
    <row r="442" spans="1:12" x14ac:dyDescent="0.25">
      <c r="A442" s="79"/>
      <c r="B442" s="67"/>
      <c r="C442" s="11"/>
      <c r="D442" s="80"/>
      <c r="E442" s="80"/>
      <c r="F442" s="82"/>
      <c r="G442" s="80"/>
      <c r="H442" s="11"/>
      <c r="I442" s="67"/>
      <c r="J442" s="76"/>
      <c r="K442" s="76"/>
      <c r="L442" s="81"/>
    </row>
    <row r="443" spans="1:12" x14ac:dyDescent="0.25">
      <c r="A443" s="79"/>
      <c r="B443" s="67"/>
      <c r="C443" s="11"/>
      <c r="D443" s="80"/>
      <c r="E443" s="80"/>
      <c r="F443" s="82"/>
      <c r="G443" s="80"/>
      <c r="H443" s="11"/>
      <c r="I443" s="67"/>
      <c r="J443" s="76"/>
      <c r="K443" s="76"/>
      <c r="L443" s="81"/>
    </row>
    <row r="444" spans="1:12" x14ac:dyDescent="0.25">
      <c r="A444" s="79"/>
      <c r="B444" s="67"/>
      <c r="C444" s="11"/>
      <c r="D444" s="80"/>
      <c r="E444" s="80"/>
      <c r="F444" s="82"/>
      <c r="G444" s="80"/>
      <c r="H444" s="11"/>
      <c r="I444" s="67"/>
      <c r="J444" s="76"/>
      <c r="K444" s="76"/>
      <c r="L444" s="81"/>
    </row>
    <row r="445" spans="1:12" x14ac:dyDescent="0.25">
      <c r="A445" s="79"/>
      <c r="B445" s="67"/>
      <c r="C445" s="11"/>
      <c r="D445" s="80"/>
      <c r="E445" s="80"/>
      <c r="F445" s="82"/>
      <c r="G445" s="80"/>
      <c r="H445" s="11"/>
      <c r="I445" s="67"/>
      <c r="J445" s="76"/>
      <c r="K445" s="76"/>
      <c r="L445" s="81"/>
    </row>
    <row r="446" spans="1:12" x14ac:dyDescent="0.25">
      <c r="A446" s="79"/>
      <c r="B446" s="67"/>
      <c r="C446" s="11"/>
      <c r="D446" s="80"/>
      <c r="E446" s="80"/>
      <c r="F446" s="82"/>
      <c r="G446" s="80"/>
      <c r="H446" s="11"/>
      <c r="I446" s="67"/>
      <c r="J446" s="76"/>
      <c r="K446" s="76"/>
      <c r="L446" s="81"/>
    </row>
    <row r="447" spans="1:12" x14ac:dyDescent="0.25">
      <c r="A447" s="79"/>
      <c r="B447" s="67"/>
      <c r="C447" s="11"/>
      <c r="D447" s="80"/>
      <c r="E447" s="80"/>
      <c r="F447" s="82"/>
      <c r="G447" s="80"/>
      <c r="H447" s="11"/>
      <c r="I447" s="67"/>
      <c r="J447" s="76"/>
      <c r="K447" s="76"/>
      <c r="L447" s="81"/>
    </row>
    <row r="448" spans="1:12" x14ac:dyDescent="0.25">
      <c r="A448" s="79"/>
      <c r="B448" s="67"/>
      <c r="C448" s="11"/>
      <c r="D448" s="80"/>
      <c r="E448" s="80"/>
      <c r="F448" s="82"/>
      <c r="G448" s="80"/>
      <c r="H448" s="11"/>
      <c r="I448" s="67"/>
      <c r="J448" s="76"/>
      <c r="K448" s="76"/>
      <c r="L448" s="81"/>
    </row>
    <row r="449" spans="1:12" x14ac:dyDescent="0.25">
      <c r="A449" s="79"/>
      <c r="B449" s="67"/>
      <c r="C449" s="11"/>
      <c r="D449" s="80"/>
      <c r="E449" s="80"/>
      <c r="F449" s="82"/>
      <c r="G449" s="80"/>
      <c r="H449" s="11"/>
      <c r="I449" s="67"/>
      <c r="J449" s="76"/>
      <c r="K449" s="76"/>
      <c r="L449" s="81"/>
    </row>
    <row r="450" spans="1:12" x14ac:dyDescent="0.25">
      <c r="A450" s="79"/>
      <c r="B450" s="67"/>
      <c r="C450" s="11"/>
      <c r="D450" s="80"/>
      <c r="E450" s="80"/>
      <c r="F450" s="82"/>
      <c r="G450" s="80"/>
      <c r="H450" s="11"/>
      <c r="I450" s="67"/>
      <c r="J450" s="76"/>
      <c r="K450" s="76"/>
      <c r="L450" s="81"/>
    </row>
    <row r="451" spans="1:12" x14ac:dyDescent="0.25">
      <c r="A451" s="79"/>
      <c r="B451" s="67"/>
      <c r="C451" s="11"/>
      <c r="D451" s="80"/>
      <c r="E451" s="80"/>
      <c r="F451" s="82"/>
      <c r="G451" s="80"/>
      <c r="H451" s="11"/>
      <c r="I451" s="67"/>
      <c r="J451" s="76"/>
      <c r="K451" s="76"/>
      <c r="L451" s="81"/>
    </row>
    <row r="452" spans="1:12" x14ac:dyDescent="0.25">
      <c r="A452" s="79"/>
      <c r="B452" s="67"/>
      <c r="C452" s="11"/>
      <c r="D452" s="80"/>
      <c r="E452" s="80"/>
      <c r="F452" s="82"/>
      <c r="G452" s="80"/>
      <c r="H452" s="11"/>
      <c r="I452" s="67"/>
      <c r="J452" s="76"/>
      <c r="K452" s="76"/>
      <c r="L452" s="81"/>
    </row>
    <row r="453" spans="1:12" x14ac:dyDescent="0.25">
      <c r="A453" s="79"/>
      <c r="B453" s="67"/>
      <c r="C453" s="11"/>
      <c r="D453" s="80"/>
      <c r="E453" s="80"/>
      <c r="F453" s="82"/>
      <c r="G453" s="80"/>
      <c r="H453" s="11"/>
      <c r="I453" s="67"/>
      <c r="J453" s="76"/>
      <c r="K453" s="76"/>
      <c r="L453" s="81"/>
    </row>
    <row r="454" spans="1:12" x14ac:dyDescent="0.25">
      <c r="A454" s="79"/>
      <c r="B454" s="67"/>
      <c r="C454" s="11"/>
      <c r="D454" s="80"/>
      <c r="E454" s="80"/>
      <c r="F454" s="82"/>
      <c r="G454" s="80"/>
      <c r="H454" s="11"/>
      <c r="I454" s="67"/>
      <c r="J454" s="76"/>
      <c r="K454" s="76"/>
      <c r="L454" s="81"/>
    </row>
    <row r="455" spans="1:12" x14ac:dyDescent="0.25">
      <c r="A455" s="79"/>
      <c r="B455" s="67"/>
      <c r="C455" s="11"/>
      <c r="D455" s="80"/>
      <c r="E455" s="80"/>
      <c r="F455" s="82"/>
      <c r="G455" s="80"/>
      <c r="H455" s="11"/>
      <c r="I455" s="67"/>
      <c r="J455" s="76"/>
      <c r="K455" s="76"/>
      <c r="L455" s="81"/>
    </row>
    <row r="456" spans="1:12" x14ac:dyDescent="0.25">
      <c r="A456" s="79"/>
      <c r="B456" s="67"/>
      <c r="C456" s="11"/>
      <c r="D456" s="80"/>
      <c r="E456" s="80"/>
      <c r="F456" s="82"/>
      <c r="G456" s="80"/>
      <c r="H456" s="11"/>
      <c r="I456" s="67"/>
      <c r="J456" s="76"/>
      <c r="K456" s="76"/>
      <c r="L456" s="81"/>
    </row>
    <row r="457" spans="1:12" x14ac:dyDescent="0.25">
      <c r="A457" s="79"/>
      <c r="B457" s="67"/>
      <c r="C457" s="11"/>
      <c r="D457" s="80"/>
      <c r="E457" s="80"/>
      <c r="F457" s="82"/>
      <c r="G457" s="80"/>
      <c r="H457" s="11"/>
      <c r="I457" s="67"/>
      <c r="J457" s="76"/>
      <c r="K457" s="76"/>
      <c r="L457" s="81"/>
    </row>
    <row r="458" spans="1:12" x14ac:dyDescent="0.25">
      <c r="A458" s="79"/>
      <c r="B458" s="67"/>
      <c r="C458" s="11"/>
      <c r="D458" s="80"/>
      <c r="E458" s="80"/>
      <c r="F458" s="82"/>
      <c r="G458" s="80"/>
      <c r="H458" s="11"/>
      <c r="I458" s="67"/>
      <c r="J458" s="76"/>
      <c r="K458" s="76"/>
      <c r="L458" s="81"/>
    </row>
    <row r="459" spans="1:12" x14ac:dyDescent="0.25">
      <c r="A459" s="79"/>
      <c r="B459" s="67"/>
      <c r="C459" s="11"/>
      <c r="D459" s="80"/>
      <c r="E459" s="80"/>
      <c r="F459" s="82"/>
      <c r="G459" s="80"/>
      <c r="H459" s="11"/>
      <c r="I459" s="67"/>
      <c r="J459" s="76"/>
      <c r="K459" s="76"/>
      <c r="L459" s="81"/>
    </row>
    <row r="460" spans="1:12" x14ac:dyDescent="0.25">
      <c r="A460" s="79"/>
      <c r="B460" s="67"/>
      <c r="C460" s="11"/>
      <c r="D460" s="80"/>
      <c r="E460" s="80"/>
      <c r="F460" s="82"/>
      <c r="G460" s="80"/>
      <c r="H460" s="11"/>
      <c r="I460" s="67"/>
      <c r="J460" s="76"/>
      <c r="K460" s="76"/>
      <c r="L460" s="81"/>
    </row>
    <row r="461" spans="1:12" x14ac:dyDescent="0.25">
      <c r="A461" s="79"/>
      <c r="B461" s="67"/>
      <c r="C461" s="11"/>
      <c r="D461" s="80"/>
      <c r="E461" s="80"/>
      <c r="F461" s="82"/>
      <c r="G461" s="80"/>
      <c r="H461" s="11"/>
      <c r="I461" s="67"/>
      <c r="J461" s="76"/>
      <c r="K461" s="76"/>
      <c r="L461" s="81"/>
    </row>
    <row r="462" spans="1:12" x14ac:dyDescent="0.25">
      <c r="A462" s="79"/>
      <c r="B462" s="67"/>
      <c r="C462" s="11"/>
      <c r="D462" s="80"/>
      <c r="E462" s="80"/>
      <c r="F462" s="82"/>
      <c r="G462" s="80"/>
      <c r="H462" s="11"/>
      <c r="I462" s="67"/>
      <c r="J462" s="76"/>
      <c r="K462" s="76"/>
      <c r="L462" s="81"/>
    </row>
    <row r="463" spans="1:12" x14ac:dyDescent="0.25">
      <c r="A463" s="79"/>
      <c r="B463" s="67"/>
      <c r="C463" s="11"/>
      <c r="D463" s="80"/>
      <c r="E463" s="80"/>
      <c r="F463" s="82"/>
      <c r="G463" s="80"/>
      <c r="H463" s="11"/>
      <c r="I463" s="67"/>
      <c r="J463" s="76"/>
      <c r="K463" s="76"/>
      <c r="L463" s="81"/>
    </row>
    <row r="464" spans="1:12" x14ac:dyDescent="0.25">
      <c r="A464" s="79"/>
      <c r="B464" s="67"/>
      <c r="C464" s="11"/>
      <c r="D464" s="80"/>
      <c r="E464" s="80"/>
      <c r="F464" s="82"/>
      <c r="G464" s="80"/>
      <c r="H464" s="11"/>
      <c r="I464" s="67"/>
      <c r="J464" s="76"/>
      <c r="K464" s="76"/>
      <c r="L464" s="81"/>
    </row>
    <row r="465" spans="1:12" x14ac:dyDescent="0.25">
      <c r="A465" s="79"/>
      <c r="B465" s="67"/>
      <c r="C465" s="11"/>
      <c r="D465" s="80"/>
      <c r="E465" s="80"/>
      <c r="F465" s="82"/>
      <c r="G465" s="80"/>
      <c r="H465" s="11"/>
      <c r="I465" s="67"/>
      <c r="J465" s="76"/>
      <c r="K465" s="76"/>
      <c r="L465" s="81"/>
    </row>
    <row r="466" spans="1:12" x14ac:dyDescent="0.25">
      <c r="A466" s="79"/>
      <c r="B466" s="67"/>
      <c r="C466" s="11"/>
      <c r="D466" s="80"/>
      <c r="E466" s="80"/>
      <c r="F466" s="82"/>
      <c r="G466" s="80"/>
      <c r="H466" s="11"/>
      <c r="I466" s="67"/>
      <c r="J466" s="76"/>
      <c r="K466" s="76"/>
      <c r="L466" s="81"/>
    </row>
    <row r="467" spans="1:12" x14ac:dyDescent="0.25">
      <c r="A467" s="79"/>
      <c r="B467" s="67"/>
      <c r="C467" s="11"/>
      <c r="D467" s="80"/>
      <c r="E467" s="80"/>
      <c r="F467" s="82"/>
      <c r="G467" s="80"/>
      <c r="H467" s="11"/>
      <c r="I467" s="67"/>
      <c r="J467" s="76"/>
      <c r="K467" s="76"/>
      <c r="L467" s="81"/>
    </row>
    <row r="468" spans="1:12" x14ac:dyDescent="0.25">
      <c r="A468" s="79"/>
      <c r="B468" s="67"/>
      <c r="C468" s="11"/>
      <c r="D468" s="80"/>
      <c r="E468" s="80"/>
      <c r="F468" s="82"/>
      <c r="G468" s="80"/>
      <c r="H468" s="11"/>
      <c r="I468" s="67"/>
      <c r="J468" s="76"/>
      <c r="K468" s="76"/>
      <c r="L468" s="81"/>
    </row>
    <row r="469" spans="1:12" x14ac:dyDescent="0.25">
      <c r="A469" s="79"/>
      <c r="B469" s="67"/>
      <c r="C469" s="11"/>
      <c r="D469" s="80"/>
      <c r="E469" s="80"/>
      <c r="F469" s="82"/>
      <c r="G469" s="80"/>
      <c r="H469" s="11"/>
      <c r="I469" s="67"/>
      <c r="J469" s="76"/>
      <c r="K469" s="76"/>
      <c r="L469" s="81"/>
    </row>
    <row r="470" spans="1:12" x14ac:dyDescent="0.25">
      <c r="A470" s="79"/>
      <c r="B470" s="67"/>
      <c r="C470" s="11"/>
      <c r="D470" s="80"/>
      <c r="E470" s="80"/>
      <c r="F470" s="82"/>
      <c r="G470" s="80"/>
      <c r="H470" s="11"/>
      <c r="I470" s="67"/>
      <c r="J470" s="76"/>
      <c r="K470" s="76"/>
      <c r="L470" s="81"/>
    </row>
    <row r="471" spans="1:12" x14ac:dyDescent="0.25">
      <c r="A471" s="79"/>
      <c r="B471" s="67"/>
      <c r="C471" s="11"/>
      <c r="D471" s="80"/>
      <c r="E471" s="80"/>
      <c r="F471" s="82"/>
      <c r="G471" s="80"/>
      <c r="H471" s="11"/>
      <c r="I471" s="67"/>
      <c r="J471" s="76"/>
      <c r="K471" s="76"/>
      <c r="L471" s="81"/>
    </row>
    <row r="472" spans="1:12" x14ac:dyDescent="0.25">
      <c r="A472" s="79"/>
      <c r="B472" s="67"/>
      <c r="C472" s="11"/>
      <c r="D472" s="80"/>
      <c r="E472" s="80"/>
      <c r="F472" s="82"/>
      <c r="G472" s="80"/>
      <c r="H472" s="11"/>
      <c r="I472" s="67"/>
      <c r="J472" s="76"/>
      <c r="K472" s="76"/>
      <c r="L472" s="81"/>
    </row>
    <row r="473" spans="1:12" x14ac:dyDescent="0.25">
      <c r="A473" s="79"/>
      <c r="B473" s="67"/>
      <c r="C473" s="11"/>
      <c r="D473" s="80"/>
      <c r="E473" s="80"/>
      <c r="F473" s="82"/>
      <c r="G473" s="80"/>
      <c r="H473" s="11"/>
      <c r="I473" s="67"/>
      <c r="J473" s="76"/>
      <c r="K473" s="76"/>
      <c r="L473" s="81"/>
    </row>
    <row r="474" spans="1:12" x14ac:dyDescent="0.25">
      <c r="A474" s="79"/>
      <c r="B474" s="67"/>
      <c r="C474" s="11"/>
      <c r="D474" s="80"/>
      <c r="E474" s="80"/>
      <c r="F474" s="82"/>
      <c r="G474" s="80"/>
      <c r="H474" s="11"/>
      <c r="I474" s="67"/>
      <c r="J474" s="76"/>
      <c r="K474" s="76"/>
      <c r="L474" s="81"/>
    </row>
    <row r="475" spans="1:12" x14ac:dyDescent="0.25">
      <c r="A475" s="79"/>
      <c r="B475" s="67"/>
      <c r="C475" s="11"/>
      <c r="D475" s="80"/>
      <c r="E475" s="80"/>
      <c r="F475" s="82"/>
      <c r="G475" s="80"/>
      <c r="H475" s="11"/>
      <c r="I475" s="67"/>
      <c r="J475" s="76"/>
      <c r="K475" s="76"/>
      <c r="L475" s="81"/>
    </row>
    <row r="476" spans="1:12" x14ac:dyDescent="0.25">
      <c r="A476" s="79"/>
      <c r="B476" s="67"/>
      <c r="C476" s="11"/>
      <c r="D476" s="80"/>
      <c r="E476" s="80"/>
      <c r="F476" s="82"/>
      <c r="G476" s="80"/>
      <c r="H476" s="11"/>
      <c r="I476" s="67"/>
      <c r="J476" s="76"/>
      <c r="K476" s="76"/>
      <c r="L476" s="81"/>
    </row>
    <row r="477" spans="1:12" x14ac:dyDescent="0.25">
      <c r="A477" s="79"/>
      <c r="B477" s="67"/>
      <c r="C477" s="11"/>
      <c r="D477" s="80"/>
      <c r="E477" s="80"/>
      <c r="F477" s="82"/>
      <c r="G477" s="80"/>
      <c r="H477" s="11"/>
      <c r="I477" s="67"/>
      <c r="J477" s="76"/>
      <c r="K477" s="76"/>
      <c r="L477" s="81"/>
    </row>
    <row r="478" spans="1:12" x14ac:dyDescent="0.25">
      <c r="A478" s="79"/>
      <c r="B478" s="67"/>
      <c r="C478" s="11"/>
      <c r="D478" s="80"/>
      <c r="E478" s="80"/>
      <c r="F478" s="82"/>
      <c r="G478" s="80"/>
      <c r="H478" s="11"/>
      <c r="I478" s="67"/>
      <c r="J478" s="76"/>
      <c r="K478" s="76"/>
      <c r="L478" s="81"/>
    </row>
    <row r="479" spans="1:12" x14ac:dyDescent="0.25">
      <c r="A479" s="79"/>
      <c r="B479" s="67"/>
      <c r="C479" s="11"/>
      <c r="D479" s="80"/>
      <c r="E479" s="80"/>
      <c r="F479" s="82"/>
      <c r="G479" s="80"/>
      <c r="H479" s="11"/>
      <c r="I479" s="67"/>
      <c r="J479" s="76"/>
      <c r="K479" s="76"/>
      <c r="L479" s="81"/>
    </row>
    <row r="480" spans="1:12" x14ac:dyDescent="0.25">
      <c r="A480" s="79"/>
      <c r="B480" s="67"/>
      <c r="C480" s="11"/>
      <c r="D480" s="80"/>
      <c r="E480" s="80"/>
      <c r="F480" s="82"/>
      <c r="G480" s="80"/>
      <c r="H480" s="11"/>
      <c r="I480" s="67"/>
      <c r="J480" s="76"/>
      <c r="K480" s="76"/>
      <c r="L480" s="81"/>
    </row>
    <row r="481" spans="1:12" x14ac:dyDescent="0.25">
      <c r="A481" s="79"/>
      <c r="B481" s="67"/>
      <c r="C481" s="11"/>
      <c r="D481" s="80"/>
      <c r="E481" s="80"/>
      <c r="F481" s="82"/>
      <c r="G481" s="80"/>
      <c r="H481" s="11"/>
      <c r="I481" s="67"/>
      <c r="J481" s="76"/>
      <c r="K481" s="76"/>
      <c r="L481" s="81"/>
    </row>
    <row r="482" spans="1:12" x14ac:dyDescent="0.25">
      <c r="A482" s="79"/>
      <c r="B482" s="67"/>
      <c r="C482" s="11"/>
      <c r="D482" s="80"/>
      <c r="E482" s="80"/>
      <c r="F482" s="82"/>
      <c r="G482" s="80"/>
      <c r="H482" s="11"/>
      <c r="I482" s="67"/>
      <c r="J482" s="76"/>
      <c r="K482" s="76"/>
      <c r="L482" s="81"/>
    </row>
    <row r="483" spans="1:12" x14ac:dyDescent="0.25">
      <c r="A483" s="79"/>
      <c r="B483" s="67"/>
      <c r="C483" s="11"/>
      <c r="D483" s="80"/>
      <c r="E483" s="80"/>
      <c r="F483" s="82"/>
      <c r="G483" s="80"/>
      <c r="H483" s="11"/>
      <c r="I483" s="67"/>
      <c r="J483" s="76"/>
      <c r="K483" s="76"/>
      <c r="L483" s="81"/>
    </row>
    <row r="484" spans="1:12" x14ac:dyDescent="0.25">
      <c r="A484" s="79"/>
      <c r="B484" s="67"/>
      <c r="C484" s="11"/>
      <c r="D484" s="80"/>
      <c r="E484" s="80"/>
      <c r="F484" s="82"/>
      <c r="G484" s="80"/>
      <c r="H484" s="11"/>
      <c r="I484" s="67"/>
      <c r="J484" s="76"/>
      <c r="K484" s="76"/>
      <c r="L484" s="81"/>
    </row>
    <row r="485" spans="1:12" x14ac:dyDescent="0.25">
      <c r="A485" s="79"/>
      <c r="B485" s="67"/>
      <c r="C485" s="11"/>
      <c r="D485" s="80"/>
      <c r="E485" s="80"/>
      <c r="F485" s="82"/>
      <c r="G485" s="80"/>
      <c r="H485" s="11"/>
      <c r="I485" s="67"/>
      <c r="J485" s="76"/>
      <c r="K485" s="76"/>
      <c r="L485" s="81"/>
    </row>
    <row r="486" spans="1:12" x14ac:dyDescent="0.25">
      <c r="A486" s="79"/>
      <c r="B486" s="67"/>
      <c r="C486" s="11"/>
      <c r="D486" s="80"/>
      <c r="E486" s="80"/>
      <c r="F486" s="82"/>
      <c r="G486" s="80"/>
      <c r="H486" s="11"/>
      <c r="I486" s="67"/>
      <c r="J486" s="76"/>
      <c r="K486" s="76"/>
      <c r="L486" s="81"/>
    </row>
    <row r="487" spans="1:12" x14ac:dyDescent="0.25">
      <c r="A487" s="79"/>
      <c r="B487" s="67"/>
      <c r="C487" s="11"/>
      <c r="D487" s="80"/>
      <c r="E487" s="80"/>
      <c r="F487" s="82"/>
      <c r="G487" s="80"/>
      <c r="H487" s="11"/>
      <c r="I487" s="67"/>
      <c r="J487" s="76"/>
      <c r="K487" s="76"/>
      <c r="L487" s="81"/>
    </row>
    <row r="488" spans="1:12" x14ac:dyDescent="0.25">
      <c r="A488" s="79"/>
      <c r="B488" s="67"/>
      <c r="C488" s="11"/>
      <c r="D488" s="80"/>
      <c r="E488" s="80"/>
      <c r="F488" s="82"/>
      <c r="G488" s="80"/>
      <c r="H488" s="11"/>
      <c r="I488" s="67"/>
      <c r="J488" s="76"/>
      <c r="K488" s="76"/>
      <c r="L488" s="81"/>
    </row>
    <row r="489" spans="1:12" x14ac:dyDescent="0.25">
      <c r="A489" s="79"/>
      <c r="B489" s="67"/>
      <c r="C489" s="11"/>
      <c r="D489" s="80"/>
      <c r="E489" s="80"/>
      <c r="F489" s="82"/>
      <c r="G489" s="80"/>
      <c r="H489" s="11"/>
      <c r="I489" s="67"/>
      <c r="J489" s="76"/>
      <c r="K489" s="76"/>
      <c r="L489" s="81"/>
    </row>
    <row r="490" spans="1:12" x14ac:dyDescent="0.25">
      <c r="A490" s="79"/>
      <c r="B490" s="67"/>
      <c r="C490" s="11"/>
      <c r="D490" s="80"/>
      <c r="E490" s="80"/>
      <c r="F490" s="82"/>
      <c r="G490" s="80"/>
      <c r="H490" s="11"/>
      <c r="I490" s="67"/>
      <c r="J490" s="76"/>
      <c r="K490" s="76"/>
      <c r="L490" s="81"/>
    </row>
    <row r="491" spans="1:12" x14ac:dyDescent="0.25">
      <c r="A491" s="79"/>
      <c r="B491" s="67"/>
      <c r="C491" s="11"/>
      <c r="D491" s="80"/>
      <c r="E491" s="80"/>
      <c r="F491" s="82"/>
      <c r="G491" s="80"/>
      <c r="H491" s="11"/>
      <c r="I491" s="67"/>
      <c r="J491" s="76"/>
      <c r="K491" s="76"/>
      <c r="L491" s="81"/>
    </row>
    <row r="492" spans="1:12" x14ac:dyDescent="0.25">
      <c r="A492" s="79"/>
      <c r="B492" s="67"/>
      <c r="C492" s="11"/>
      <c r="D492" s="80"/>
      <c r="E492" s="80"/>
      <c r="F492" s="82"/>
      <c r="G492" s="80"/>
      <c r="H492" s="11"/>
      <c r="I492" s="67"/>
      <c r="J492" s="76"/>
      <c r="K492" s="76"/>
      <c r="L492" s="81"/>
    </row>
    <row r="493" spans="1:12" x14ac:dyDescent="0.25">
      <c r="A493" s="79"/>
      <c r="B493" s="67"/>
      <c r="C493" s="11"/>
      <c r="D493" s="80"/>
      <c r="E493" s="80"/>
      <c r="F493" s="82"/>
      <c r="G493" s="80"/>
      <c r="H493" s="11"/>
      <c r="I493" s="67"/>
      <c r="J493" s="76"/>
      <c r="K493" s="76"/>
      <c r="L493" s="81"/>
    </row>
    <row r="494" spans="1:12" x14ac:dyDescent="0.25">
      <c r="A494" s="79"/>
      <c r="B494" s="67"/>
      <c r="C494" s="11"/>
      <c r="D494" s="80"/>
      <c r="E494" s="80"/>
      <c r="F494" s="82"/>
      <c r="G494" s="80"/>
      <c r="H494" s="11"/>
      <c r="I494" s="67"/>
      <c r="J494" s="76"/>
      <c r="K494" s="76"/>
      <c r="L494" s="81"/>
    </row>
    <row r="495" spans="1:12" x14ac:dyDescent="0.25">
      <c r="A495" s="79"/>
      <c r="B495" s="67"/>
      <c r="C495" s="11"/>
      <c r="D495" s="80"/>
      <c r="E495" s="80"/>
      <c r="F495" s="82"/>
      <c r="G495" s="80"/>
      <c r="H495" s="11"/>
      <c r="I495" s="67"/>
      <c r="J495" s="76"/>
      <c r="K495" s="76"/>
      <c r="L495" s="81"/>
    </row>
    <row r="496" spans="1:12" x14ac:dyDescent="0.25">
      <c r="A496" s="79"/>
      <c r="B496" s="67"/>
      <c r="C496" s="11"/>
      <c r="D496" s="80"/>
      <c r="E496" s="80"/>
      <c r="F496" s="82"/>
      <c r="G496" s="80"/>
      <c r="H496" s="11"/>
      <c r="I496" s="67"/>
      <c r="J496" s="76"/>
      <c r="K496" s="76"/>
      <c r="L496" s="81"/>
    </row>
    <row r="497" spans="1:12" x14ac:dyDescent="0.25">
      <c r="A497" s="79"/>
      <c r="B497" s="67"/>
      <c r="C497" s="11"/>
      <c r="D497" s="80"/>
      <c r="E497" s="80"/>
      <c r="F497" s="82"/>
      <c r="G497" s="80"/>
      <c r="H497" s="11"/>
      <c r="I497" s="67"/>
      <c r="J497" s="76"/>
      <c r="K497" s="76"/>
      <c r="L497" s="81"/>
    </row>
    <row r="498" spans="1:12" x14ac:dyDescent="0.25">
      <c r="A498" s="79"/>
      <c r="B498" s="67"/>
      <c r="C498" s="11"/>
      <c r="D498" s="80"/>
      <c r="E498" s="80"/>
      <c r="F498" s="82"/>
      <c r="G498" s="80"/>
      <c r="H498" s="11"/>
      <c r="I498" s="67"/>
      <c r="J498" s="76"/>
      <c r="K498" s="76"/>
      <c r="L498" s="81"/>
    </row>
    <row r="499" spans="1:12" x14ac:dyDescent="0.25">
      <c r="A499" s="79"/>
      <c r="B499" s="67"/>
      <c r="C499" s="11"/>
      <c r="D499" s="80"/>
      <c r="E499" s="80"/>
      <c r="F499" s="82"/>
      <c r="G499" s="80"/>
      <c r="H499" s="11"/>
      <c r="I499" s="67"/>
      <c r="J499" s="76"/>
      <c r="K499" s="76"/>
      <c r="L499" s="81"/>
    </row>
    <row r="500" spans="1:12" x14ac:dyDescent="0.25">
      <c r="A500" s="79"/>
      <c r="B500" s="67"/>
      <c r="C500" s="11"/>
      <c r="D500" s="80"/>
      <c r="E500" s="80"/>
      <c r="F500" s="82"/>
      <c r="G500" s="80"/>
      <c r="H500" s="11"/>
      <c r="I500" s="67"/>
      <c r="J500" s="76"/>
      <c r="K500" s="76"/>
      <c r="L500" s="81"/>
    </row>
    <row r="501" spans="1:12" x14ac:dyDescent="0.25">
      <c r="A501" s="79"/>
      <c r="B501" s="67"/>
      <c r="C501" s="11"/>
      <c r="D501" s="80"/>
      <c r="E501" s="80"/>
      <c r="F501" s="82"/>
      <c r="G501" s="80"/>
      <c r="H501" s="11"/>
      <c r="I501" s="67"/>
      <c r="J501" s="76"/>
      <c r="K501" s="76"/>
      <c r="L501" s="81"/>
    </row>
    <row r="502" spans="1:12" x14ac:dyDescent="0.25">
      <c r="A502" s="79"/>
      <c r="B502" s="67"/>
      <c r="C502" s="11"/>
      <c r="D502" s="80"/>
      <c r="E502" s="80"/>
      <c r="F502" s="82"/>
      <c r="G502" s="80"/>
      <c r="H502" s="11"/>
      <c r="I502" s="67"/>
      <c r="J502" s="76"/>
      <c r="K502" s="76"/>
      <c r="L502" s="81"/>
    </row>
    <row r="503" spans="1:12" x14ac:dyDescent="0.25">
      <c r="A503" s="79"/>
      <c r="B503" s="67"/>
      <c r="C503" s="11"/>
      <c r="D503" s="80"/>
      <c r="E503" s="80"/>
      <c r="F503" s="82"/>
      <c r="G503" s="80"/>
      <c r="H503" s="11"/>
      <c r="I503" s="67"/>
      <c r="J503" s="76"/>
      <c r="K503" s="76"/>
      <c r="L503" s="81"/>
    </row>
    <row r="504" spans="1:12" x14ac:dyDescent="0.25">
      <c r="A504" s="79"/>
      <c r="B504" s="67"/>
      <c r="C504" s="11"/>
      <c r="D504" s="80"/>
      <c r="E504" s="80"/>
      <c r="F504" s="82"/>
      <c r="G504" s="80"/>
      <c r="H504" s="11"/>
      <c r="I504" s="67"/>
      <c r="J504" s="76"/>
      <c r="K504" s="76"/>
      <c r="L504" s="81"/>
    </row>
    <row r="505" spans="1:12" x14ac:dyDescent="0.25">
      <c r="A505" s="79"/>
      <c r="B505" s="67"/>
      <c r="C505" s="11"/>
      <c r="D505" s="80"/>
      <c r="E505" s="80"/>
      <c r="F505" s="82"/>
      <c r="G505" s="80"/>
      <c r="H505" s="11"/>
      <c r="I505" s="67"/>
      <c r="J505" s="76"/>
      <c r="K505" s="76"/>
      <c r="L505" s="81"/>
    </row>
    <row r="506" spans="1:12" x14ac:dyDescent="0.25">
      <c r="A506" s="79"/>
      <c r="B506" s="67"/>
      <c r="C506" s="11"/>
      <c r="D506" s="80"/>
      <c r="E506" s="80"/>
      <c r="F506" s="82"/>
      <c r="G506" s="80"/>
      <c r="H506" s="11"/>
      <c r="I506" s="67"/>
      <c r="J506" s="76"/>
      <c r="K506" s="76"/>
      <c r="L506" s="81"/>
    </row>
    <row r="507" spans="1:12" x14ac:dyDescent="0.25">
      <c r="A507" s="79"/>
      <c r="B507" s="67"/>
      <c r="C507" s="11"/>
      <c r="D507" s="80"/>
      <c r="E507" s="80"/>
      <c r="F507" s="82"/>
      <c r="G507" s="80"/>
      <c r="H507" s="11"/>
      <c r="I507" s="67"/>
      <c r="J507" s="76"/>
      <c r="K507" s="76"/>
      <c r="L507" s="81"/>
    </row>
    <row r="508" spans="1:12" x14ac:dyDescent="0.25">
      <c r="A508" s="79"/>
      <c r="B508" s="67"/>
      <c r="C508" s="11"/>
      <c r="D508" s="80"/>
      <c r="E508" s="80"/>
      <c r="F508" s="82"/>
      <c r="G508" s="80"/>
      <c r="H508" s="11"/>
      <c r="I508" s="67"/>
      <c r="J508" s="76"/>
      <c r="K508" s="76"/>
      <c r="L508" s="81"/>
    </row>
    <row r="509" spans="1:12" x14ac:dyDescent="0.25">
      <c r="A509" s="79"/>
      <c r="B509" s="67"/>
      <c r="C509" s="11"/>
      <c r="D509" s="80"/>
      <c r="E509" s="80"/>
      <c r="F509" s="82"/>
      <c r="G509" s="80"/>
      <c r="H509" s="11"/>
      <c r="I509" s="67"/>
      <c r="J509" s="76"/>
      <c r="K509" s="76"/>
      <c r="L509" s="81"/>
    </row>
    <row r="510" spans="1:12" x14ac:dyDescent="0.25">
      <c r="A510" s="79"/>
      <c r="B510" s="67"/>
      <c r="C510" s="11"/>
      <c r="D510" s="80"/>
      <c r="E510" s="80"/>
      <c r="F510" s="82"/>
      <c r="G510" s="80"/>
      <c r="H510" s="11"/>
      <c r="I510" s="67"/>
      <c r="J510" s="76"/>
      <c r="K510" s="76"/>
      <c r="L510" s="81"/>
    </row>
    <row r="511" spans="1:12" x14ac:dyDescent="0.25">
      <c r="A511" s="79"/>
      <c r="B511" s="67"/>
      <c r="C511" s="11"/>
      <c r="D511" s="80"/>
      <c r="E511" s="80"/>
      <c r="F511" s="82"/>
      <c r="G511" s="80"/>
      <c r="H511" s="11"/>
      <c r="I511" s="67"/>
      <c r="J511" s="76"/>
      <c r="K511" s="76"/>
      <c r="L511" s="81"/>
    </row>
    <row r="512" spans="1:12" x14ac:dyDescent="0.25">
      <c r="A512" s="79"/>
      <c r="B512" s="67"/>
      <c r="C512" s="11"/>
      <c r="D512" s="80"/>
      <c r="E512" s="80"/>
      <c r="F512" s="82"/>
      <c r="G512" s="80"/>
      <c r="H512" s="11"/>
      <c r="I512" s="67"/>
      <c r="J512" s="76"/>
      <c r="K512" s="76"/>
      <c r="L512" s="81"/>
    </row>
    <row r="513" spans="1:12" x14ac:dyDescent="0.25">
      <c r="A513" s="79"/>
      <c r="B513" s="67"/>
      <c r="C513" s="11"/>
      <c r="D513" s="80"/>
      <c r="E513" s="80"/>
      <c r="F513" s="82"/>
      <c r="G513" s="80"/>
      <c r="H513" s="11"/>
      <c r="I513" s="67"/>
      <c r="J513" s="76"/>
      <c r="K513" s="76"/>
      <c r="L513" s="81"/>
    </row>
    <row r="514" spans="1:12" x14ac:dyDescent="0.25">
      <c r="A514" s="79"/>
      <c r="B514" s="67"/>
      <c r="C514" s="11"/>
      <c r="D514" s="80"/>
      <c r="E514" s="80"/>
      <c r="F514" s="82"/>
      <c r="G514" s="80"/>
      <c r="H514" s="11"/>
      <c r="I514" s="67"/>
      <c r="J514" s="76"/>
      <c r="K514" s="76"/>
      <c r="L514" s="81"/>
    </row>
    <row r="515" spans="1:12" x14ac:dyDescent="0.25">
      <c r="A515" s="79"/>
      <c r="B515" s="67"/>
      <c r="C515" s="11"/>
      <c r="D515" s="80"/>
      <c r="E515" s="80"/>
      <c r="F515" s="82"/>
      <c r="G515" s="80"/>
      <c r="H515" s="11"/>
      <c r="I515" s="67"/>
      <c r="J515" s="76"/>
      <c r="K515" s="76"/>
      <c r="L515" s="81"/>
    </row>
    <row r="516" spans="1:12" x14ac:dyDescent="0.25">
      <c r="A516" s="79"/>
      <c r="B516" s="67"/>
      <c r="C516" s="11"/>
      <c r="D516" s="80"/>
      <c r="E516" s="80"/>
      <c r="F516" s="82"/>
      <c r="G516" s="80"/>
      <c r="H516" s="11"/>
      <c r="I516" s="67"/>
      <c r="J516" s="76"/>
      <c r="K516" s="76"/>
      <c r="L516" s="81"/>
    </row>
    <row r="517" spans="1:12" x14ac:dyDescent="0.25">
      <c r="A517" s="79"/>
      <c r="B517" s="67"/>
      <c r="C517" s="11"/>
      <c r="D517" s="80"/>
      <c r="E517" s="80"/>
      <c r="F517" s="82"/>
      <c r="G517" s="80"/>
      <c r="H517" s="11"/>
      <c r="I517" s="67"/>
      <c r="J517" s="76"/>
      <c r="K517" s="76"/>
      <c r="L517" s="81"/>
    </row>
    <row r="518" spans="1:12" x14ac:dyDescent="0.25">
      <c r="A518" s="79"/>
      <c r="B518" s="67"/>
      <c r="C518" s="11"/>
      <c r="D518" s="80"/>
      <c r="E518" s="80"/>
      <c r="F518" s="82"/>
      <c r="G518" s="80"/>
      <c r="H518" s="11"/>
      <c r="I518" s="67"/>
      <c r="J518" s="76"/>
      <c r="K518" s="76"/>
      <c r="L518" s="81"/>
    </row>
    <row r="519" spans="1:12" x14ac:dyDescent="0.25">
      <c r="A519" s="79"/>
      <c r="B519" s="67"/>
      <c r="C519" s="11"/>
      <c r="D519" s="80"/>
      <c r="E519" s="80"/>
      <c r="F519" s="82"/>
      <c r="G519" s="80"/>
      <c r="H519" s="11"/>
      <c r="I519" s="67"/>
      <c r="J519" s="76"/>
      <c r="K519" s="76"/>
      <c r="L519" s="81"/>
    </row>
    <row r="520" spans="1:12" x14ac:dyDescent="0.25">
      <c r="A520" s="79"/>
      <c r="B520" s="67"/>
      <c r="C520" s="11"/>
      <c r="D520" s="80"/>
      <c r="E520" s="80"/>
      <c r="F520" s="82"/>
      <c r="G520" s="80"/>
      <c r="H520" s="11"/>
      <c r="I520" s="67"/>
      <c r="J520" s="76"/>
      <c r="K520" s="76"/>
      <c r="L520" s="81"/>
    </row>
    <row r="521" spans="1:12" x14ac:dyDescent="0.25">
      <c r="A521" s="79"/>
      <c r="B521" s="67"/>
      <c r="C521" s="11"/>
      <c r="D521" s="80"/>
      <c r="E521" s="80"/>
      <c r="F521" s="82"/>
      <c r="G521" s="80"/>
      <c r="H521" s="11"/>
      <c r="I521" s="67"/>
      <c r="J521" s="76"/>
      <c r="K521" s="76"/>
      <c r="L521" s="81"/>
    </row>
    <row r="522" spans="1:12" x14ac:dyDescent="0.25">
      <c r="A522" s="79"/>
      <c r="B522" s="67"/>
      <c r="C522" s="11"/>
      <c r="D522" s="80"/>
      <c r="E522" s="80"/>
      <c r="F522" s="82"/>
      <c r="G522" s="80"/>
      <c r="H522" s="11"/>
      <c r="I522" s="67"/>
      <c r="J522" s="76"/>
      <c r="K522" s="76"/>
      <c r="L522" s="81"/>
    </row>
    <row r="523" spans="1:12" x14ac:dyDescent="0.25">
      <c r="A523" s="79"/>
      <c r="B523" s="67"/>
      <c r="C523" s="11"/>
      <c r="D523" s="80"/>
      <c r="E523" s="80"/>
      <c r="F523" s="82"/>
      <c r="G523" s="80"/>
      <c r="H523" s="11"/>
      <c r="I523" s="67"/>
      <c r="J523" s="76"/>
      <c r="K523" s="76"/>
      <c r="L523" s="81"/>
    </row>
    <row r="524" spans="1:12" x14ac:dyDescent="0.25">
      <c r="A524" s="79"/>
      <c r="B524" s="67"/>
      <c r="C524" s="11"/>
      <c r="D524" s="80"/>
      <c r="E524" s="80"/>
      <c r="F524" s="82"/>
      <c r="G524" s="80"/>
      <c r="H524" s="11"/>
      <c r="I524" s="67"/>
      <c r="J524" s="76"/>
      <c r="K524" s="76"/>
      <c r="L524" s="81"/>
    </row>
    <row r="525" spans="1:12" x14ac:dyDescent="0.25">
      <c r="A525" s="79"/>
      <c r="B525" s="67"/>
      <c r="C525" s="11"/>
      <c r="D525" s="80"/>
      <c r="E525" s="80"/>
      <c r="F525" s="82"/>
      <c r="G525" s="80"/>
      <c r="H525" s="11"/>
      <c r="I525" s="67"/>
      <c r="J525" s="76"/>
      <c r="K525" s="76"/>
      <c r="L525" s="81"/>
    </row>
    <row r="526" spans="1:12" x14ac:dyDescent="0.25">
      <c r="A526" s="79"/>
      <c r="B526" s="67"/>
      <c r="C526" s="11"/>
      <c r="D526" s="80"/>
      <c r="E526" s="80"/>
      <c r="F526" s="82"/>
      <c r="G526" s="80"/>
      <c r="H526" s="11"/>
      <c r="I526" s="67"/>
      <c r="J526" s="76"/>
      <c r="K526" s="76"/>
      <c r="L526" s="81"/>
    </row>
    <row r="527" spans="1:12" x14ac:dyDescent="0.25">
      <c r="A527" s="79"/>
      <c r="B527" s="67"/>
      <c r="C527" s="11"/>
      <c r="D527" s="80"/>
      <c r="E527" s="80"/>
      <c r="F527" s="82"/>
      <c r="G527" s="80"/>
      <c r="H527" s="11"/>
      <c r="I527" s="67"/>
      <c r="J527" s="76"/>
      <c r="K527" s="76"/>
      <c r="L527" s="81"/>
    </row>
    <row r="528" spans="1:12" x14ac:dyDescent="0.25">
      <c r="A528" s="79"/>
      <c r="B528" s="67"/>
      <c r="C528" s="11"/>
      <c r="D528" s="80"/>
      <c r="E528" s="80"/>
      <c r="F528" s="82"/>
      <c r="G528" s="80"/>
      <c r="H528" s="11"/>
      <c r="I528" s="67"/>
      <c r="J528" s="76"/>
      <c r="K528" s="76"/>
      <c r="L528" s="81"/>
    </row>
    <row r="529" spans="1:12" x14ac:dyDescent="0.25">
      <c r="A529" s="79"/>
      <c r="B529" s="67"/>
      <c r="C529" s="11"/>
      <c r="D529" s="80"/>
      <c r="E529" s="80"/>
      <c r="F529" s="82"/>
      <c r="G529" s="80"/>
      <c r="H529" s="11"/>
      <c r="I529" s="67"/>
      <c r="J529" s="76"/>
      <c r="K529" s="76"/>
      <c r="L529" s="81"/>
    </row>
    <row r="530" spans="1:12" x14ac:dyDescent="0.25">
      <c r="A530" s="79"/>
      <c r="B530" s="67"/>
      <c r="C530" s="11"/>
      <c r="D530" s="80"/>
      <c r="E530" s="80"/>
      <c r="F530" s="82"/>
      <c r="G530" s="80"/>
      <c r="H530" s="11"/>
      <c r="I530" s="67"/>
      <c r="J530" s="76"/>
      <c r="K530" s="76"/>
      <c r="L530" s="81"/>
    </row>
    <row r="531" spans="1:12" x14ac:dyDescent="0.25">
      <c r="A531" s="79"/>
      <c r="B531" s="67"/>
      <c r="C531" s="11"/>
      <c r="D531" s="80"/>
      <c r="E531" s="80"/>
      <c r="F531" s="82"/>
      <c r="G531" s="80"/>
      <c r="H531" s="11"/>
      <c r="I531" s="67"/>
      <c r="J531" s="76"/>
      <c r="K531" s="76"/>
      <c r="L531" s="81"/>
    </row>
    <row r="532" spans="1:12" x14ac:dyDescent="0.25">
      <c r="A532" s="79"/>
      <c r="B532" s="67"/>
      <c r="C532" s="11"/>
      <c r="D532" s="80"/>
      <c r="E532" s="80"/>
      <c r="F532" s="82"/>
      <c r="G532" s="80"/>
      <c r="H532" s="11"/>
      <c r="I532" s="67"/>
      <c r="J532" s="76"/>
      <c r="K532" s="76"/>
      <c r="L532" s="81"/>
    </row>
    <row r="533" spans="1:12" x14ac:dyDescent="0.25">
      <c r="A533" s="79"/>
      <c r="B533" s="67"/>
      <c r="C533" s="11"/>
      <c r="D533" s="80"/>
      <c r="E533" s="80"/>
      <c r="F533" s="82"/>
      <c r="G533" s="80"/>
      <c r="H533" s="11"/>
      <c r="I533" s="67"/>
      <c r="J533" s="76"/>
      <c r="K533" s="76"/>
      <c r="L533" s="81"/>
    </row>
    <row r="534" spans="1:12" x14ac:dyDescent="0.25">
      <c r="A534" s="79"/>
      <c r="B534" s="67"/>
      <c r="C534" s="11"/>
      <c r="D534" s="80"/>
      <c r="E534" s="80"/>
      <c r="F534" s="82"/>
      <c r="G534" s="80"/>
      <c r="H534" s="11"/>
      <c r="I534" s="67"/>
      <c r="J534" s="76"/>
      <c r="K534" s="76"/>
      <c r="L534" s="81"/>
    </row>
    <row r="535" spans="1:12" x14ac:dyDescent="0.25">
      <c r="A535" s="79"/>
      <c r="B535" s="67"/>
      <c r="C535" s="11"/>
      <c r="D535" s="80"/>
      <c r="E535" s="80"/>
      <c r="F535" s="82"/>
      <c r="G535" s="80"/>
      <c r="H535" s="11"/>
      <c r="I535" s="67"/>
      <c r="J535" s="76"/>
      <c r="K535" s="76"/>
      <c r="L535" s="81"/>
    </row>
    <row r="536" spans="1:12" x14ac:dyDescent="0.25">
      <c r="A536" s="79"/>
      <c r="B536" s="67"/>
      <c r="C536" s="11"/>
      <c r="D536" s="80"/>
      <c r="E536" s="80"/>
      <c r="F536" s="82"/>
      <c r="G536" s="80"/>
      <c r="H536" s="11"/>
      <c r="I536" s="67"/>
      <c r="J536" s="76"/>
      <c r="K536" s="76"/>
      <c r="L536" s="81"/>
    </row>
    <row r="537" spans="1:12" x14ac:dyDescent="0.25">
      <c r="A537" s="79"/>
      <c r="B537" s="67"/>
      <c r="C537" s="11"/>
      <c r="D537" s="80"/>
      <c r="E537" s="80"/>
      <c r="F537" s="82"/>
      <c r="G537" s="80"/>
      <c r="H537" s="11"/>
      <c r="I537" s="67"/>
      <c r="J537" s="76"/>
      <c r="K537" s="76"/>
      <c r="L537" s="81"/>
    </row>
    <row r="538" spans="1:12" x14ac:dyDescent="0.25">
      <c r="A538" s="79"/>
      <c r="B538" s="67"/>
      <c r="C538" s="11"/>
      <c r="D538" s="80"/>
      <c r="E538" s="80"/>
      <c r="F538" s="82"/>
      <c r="G538" s="80"/>
      <c r="H538" s="11"/>
      <c r="I538" s="67"/>
      <c r="J538" s="76"/>
      <c r="K538" s="76"/>
      <c r="L538" s="81"/>
    </row>
    <row r="539" spans="1:12" x14ac:dyDescent="0.25">
      <c r="A539" s="79"/>
      <c r="B539" s="67"/>
      <c r="C539" s="11"/>
      <c r="D539" s="80"/>
      <c r="E539" s="80"/>
      <c r="F539" s="82"/>
      <c r="G539" s="80"/>
      <c r="H539" s="11"/>
      <c r="I539" s="67"/>
      <c r="J539" s="76"/>
      <c r="K539" s="76"/>
      <c r="L539" s="81"/>
    </row>
    <row r="540" spans="1:12" x14ac:dyDescent="0.25">
      <c r="A540" s="79"/>
      <c r="B540" s="67"/>
      <c r="C540" s="11"/>
      <c r="D540" s="80"/>
      <c r="E540" s="80"/>
      <c r="F540" s="82"/>
      <c r="G540" s="80"/>
      <c r="H540" s="11"/>
      <c r="I540" s="67"/>
      <c r="J540" s="76"/>
      <c r="K540" s="76"/>
      <c r="L540" s="81"/>
    </row>
    <row r="541" spans="1:12" x14ac:dyDescent="0.25">
      <c r="A541" s="79"/>
      <c r="B541" s="67"/>
      <c r="C541" s="11"/>
      <c r="D541" s="80"/>
      <c r="E541" s="80"/>
      <c r="F541" s="82"/>
      <c r="G541" s="80"/>
      <c r="H541" s="11"/>
      <c r="I541" s="67"/>
      <c r="J541" s="76"/>
      <c r="K541" s="76"/>
      <c r="L541" s="81"/>
    </row>
    <row r="542" spans="1:12" x14ac:dyDescent="0.25">
      <c r="A542" s="79"/>
      <c r="B542" s="67"/>
      <c r="C542" s="11"/>
      <c r="D542" s="80"/>
      <c r="E542" s="80"/>
      <c r="F542" s="82"/>
      <c r="G542" s="80"/>
      <c r="H542" s="11"/>
      <c r="I542" s="67"/>
      <c r="J542" s="76"/>
      <c r="K542" s="76"/>
      <c r="L542" s="81"/>
    </row>
    <row r="543" spans="1:12" x14ac:dyDescent="0.25">
      <c r="A543" s="79"/>
      <c r="B543" s="67"/>
      <c r="C543" s="11"/>
      <c r="D543" s="80"/>
      <c r="E543" s="80"/>
      <c r="F543" s="82"/>
      <c r="G543" s="80"/>
      <c r="H543" s="11"/>
      <c r="I543" s="67"/>
      <c r="J543" s="76"/>
      <c r="K543" s="76"/>
      <c r="L543" s="81"/>
    </row>
    <row r="544" spans="1:12" x14ac:dyDescent="0.25">
      <c r="A544" s="79"/>
      <c r="B544" s="67"/>
      <c r="C544" s="11"/>
      <c r="D544" s="80"/>
      <c r="E544" s="80"/>
      <c r="F544" s="82"/>
      <c r="G544" s="80"/>
      <c r="H544" s="11"/>
      <c r="I544" s="67"/>
      <c r="J544" s="76"/>
      <c r="K544" s="76"/>
      <c r="L544" s="81"/>
    </row>
    <row r="545" spans="1:12" x14ac:dyDescent="0.25">
      <c r="A545" s="79"/>
      <c r="B545" s="67"/>
      <c r="C545" s="11"/>
      <c r="D545" s="80"/>
      <c r="E545" s="80"/>
      <c r="F545" s="82"/>
      <c r="G545" s="80"/>
      <c r="H545" s="11"/>
      <c r="I545" s="67"/>
      <c r="J545" s="76"/>
      <c r="K545" s="76"/>
      <c r="L545" s="81"/>
    </row>
    <row r="546" spans="1:12" x14ac:dyDescent="0.25">
      <c r="A546" s="79"/>
      <c r="B546" s="67"/>
      <c r="C546" s="11"/>
      <c r="D546" s="80"/>
      <c r="E546" s="80"/>
      <c r="F546" s="82"/>
      <c r="G546" s="80"/>
      <c r="H546" s="11"/>
      <c r="I546" s="67"/>
      <c r="J546" s="76"/>
      <c r="K546" s="76"/>
      <c r="L546" s="81"/>
    </row>
    <row r="547" spans="1:12" x14ac:dyDescent="0.25">
      <c r="A547" s="79"/>
      <c r="B547" s="67"/>
      <c r="C547" s="11"/>
      <c r="D547" s="80"/>
      <c r="E547" s="80"/>
      <c r="F547" s="82"/>
      <c r="G547" s="80"/>
      <c r="H547" s="11"/>
      <c r="I547" s="67"/>
      <c r="J547" s="76"/>
      <c r="K547" s="76"/>
      <c r="L547" s="81"/>
    </row>
    <row r="548" spans="1:12" x14ac:dyDescent="0.25">
      <c r="A548" s="79"/>
      <c r="B548" s="67"/>
      <c r="C548" s="11"/>
      <c r="D548" s="80"/>
      <c r="E548" s="80"/>
      <c r="F548" s="82"/>
      <c r="G548" s="80"/>
      <c r="H548" s="11"/>
      <c r="I548" s="67"/>
      <c r="J548" s="76"/>
      <c r="K548" s="76"/>
      <c r="L548" s="81"/>
    </row>
    <row r="549" spans="1:12" x14ac:dyDescent="0.25">
      <c r="A549" s="79"/>
      <c r="B549" s="67"/>
      <c r="C549" s="11"/>
      <c r="D549" s="80"/>
      <c r="E549" s="80"/>
      <c r="F549" s="82"/>
      <c r="G549" s="80"/>
      <c r="H549" s="11"/>
      <c r="I549" s="67"/>
      <c r="J549" s="76"/>
      <c r="K549" s="76"/>
      <c r="L549" s="81"/>
    </row>
    <row r="550" spans="1:12" x14ac:dyDescent="0.25">
      <c r="A550" s="79"/>
      <c r="B550" s="67"/>
      <c r="C550" s="11"/>
      <c r="D550" s="80"/>
      <c r="E550" s="80"/>
      <c r="F550" s="82"/>
      <c r="G550" s="80"/>
      <c r="H550" s="11"/>
      <c r="I550" s="67"/>
      <c r="J550" s="76"/>
      <c r="K550" s="76"/>
      <c r="L550" s="81"/>
    </row>
    <row r="551" spans="1:12" x14ac:dyDescent="0.25">
      <c r="A551" s="79"/>
      <c r="B551" s="67"/>
      <c r="C551" s="11"/>
      <c r="D551" s="80"/>
      <c r="E551" s="80"/>
      <c r="F551" s="82"/>
      <c r="G551" s="80"/>
      <c r="H551" s="11"/>
      <c r="I551" s="67"/>
      <c r="J551" s="76"/>
      <c r="K551" s="76"/>
      <c r="L551" s="81"/>
    </row>
    <row r="552" spans="1:12" x14ac:dyDescent="0.25">
      <c r="A552" s="79"/>
      <c r="B552" s="67"/>
      <c r="C552" s="11"/>
      <c r="D552" s="80"/>
      <c r="E552" s="80"/>
      <c r="F552" s="82"/>
      <c r="G552" s="80"/>
      <c r="H552" s="11"/>
      <c r="I552" s="67"/>
      <c r="J552" s="76"/>
      <c r="K552" s="76"/>
      <c r="L552" s="81"/>
    </row>
    <row r="553" spans="1:12" x14ac:dyDescent="0.25">
      <c r="A553" s="79"/>
      <c r="B553" s="67"/>
      <c r="C553" s="11"/>
      <c r="D553" s="80"/>
      <c r="E553" s="80"/>
      <c r="F553" s="82"/>
      <c r="G553" s="80"/>
      <c r="H553" s="11"/>
      <c r="I553" s="67"/>
      <c r="J553" s="76"/>
      <c r="K553" s="76"/>
      <c r="L553" s="81"/>
    </row>
    <row r="554" spans="1:12" x14ac:dyDescent="0.25">
      <c r="A554" s="79"/>
      <c r="B554" s="67"/>
      <c r="C554" s="11"/>
      <c r="D554" s="80"/>
      <c r="E554" s="80"/>
      <c r="F554" s="82"/>
      <c r="G554" s="80"/>
      <c r="H554" s="11"/>
      <c r="I554" s="67"/>
      <c r="J554" s="76"/>
      <c r="K554" s="76"/>
      <c r="L554" s="81"/>
    </row>
    <row r="555" spans="1:12" x14ac:dyDescent="0.25">
      <c r="A555" s="79"/>
      <c r="B555" s="67"/>
      <c r="C555" s="11"/>
      <c r="D555" s="80"/>
      <c r="E555" s="80"/>
      <c r="F555" s="82"/>
      <c r="G555" s="80"/>
      <c r="H555" s="11"/>
      <c r="I555" s="67"/>
      <c r="J555" s="76"/>
      <c r="K555" s="76"/>
      <c r="L555" s="81"/>
    </row>
    <row r="556" spans="1:12" x14ac:dyDescent="0.25">
      <c r="A556" s="79"/>
      <c r="B556" s="67"/>
      <c r="C556" s="11"/>
      <c r="D556" s="80"/>
      <c r="E556" s="80"/>
      <c r="F556" s="82"/>
      <c r="G556" s="80"/>
      <c r="H556" s="11"/>
      <c r="I556" s="67"/>
      <c r="J556" s="76"/>
      <c r="K556" s="76"/>
      <c r="L556" s="81"/>
    </row>
    <row r="557" spans="1:12" x14ac:dyDescent="0.25">
      <c r="A557" s="79"/>
      <c r="B557" s="67"/>
      <c r="C557" s="11"/>
      <c r="D557" s="80"/>
      <c r="E557" s="80"/>
      <c r="F557" s="82"/>
      <c r="G557" s="80"/>
      <c r="H557" s="11"/>
      <c r="I557" s="67"/>
      <c r="J557" s="76"/>
      <c r="K557" s="76"/>
      <c r="L557" s="81"/>
    </row>
    <row r="558" spans="1:12" x14ac:dyDescent="0.25">
      <c r="A558" s="79"/>
      <c r="B558" s="67"/>
      <c r="C558" s="11"/>
      <c r="D558" s="80"/>
      <c r="E558" s="80"/>
      <c r="F558" s="82"/>
      <c r="G558" s="80"/>
      <c r="H558" s="11"/>
      <c r="I558" s="67"/>
      <c r="J558" s="76"/>
      <c r="K558" s="76"/>
      <c r="L558" s="81"/>
    </row>
    <row r="559" spans="1:12" x14ac:dyDescent="0.25">
      <c r="A559" s="79"/>
      <c r="B559" s="67"/>
      <c r="C559" s="11"/>
      <c r="D559" s="80"/>
      <c r="E559" s="80"/>
      <c r="F559" s="82"/>
      <c r="G559" s="80"/>
      <c r="H559" s="11"/>
      <c r="I559" s="67"/>
      <c r="J559" s="76"/>
      <c r="K559" s="76"/>
      <c r="L559" s="81"/>
    </row>
    <row r="560" spans="1:12" x14ac:dyDescent="0.25">
      <c r="A560" s="79"/>
      <c r="B560" s="67"/>
      <c r="C560" s="11"/>
      <c r="D560" s="80"/>
      <c r="E560" s="80"/>
      <c r="F560" s="82"/>
      <c r="G560" s="80"/>
      <c r="H560" s="11"/>
      <c r="I560" s="67"/>
      <c r="J560" s="76"/>
      <c r="K560" s="76"/>
      <c r="L560" s="81"/>
    </row>
    <row r="561" spans="1:12" x14ac:dyDescent="0.25">
      <c r="A561" s="79"/>
      <c r="B561" s="67"/>
      <c r="C561" s="11"/>
      <c r="D561" s="80"/>
      <c r="E561" s="80"/>
      <c r="F561" s="82"/>
      <c r="G561" s="80"/>
      <c r="H561" s="11"/>
      <c r="I561" s="67"/>
      <c r="J561" s="76"/>
      <c r="K561" s="76"/>
      <c r="L561" s="81"/>
    </row>
    <row r="562" spans="1:12" x14ac:dyDescent="0.25">
      <c r="A562" s="79"/>
      <c r="B562" s="67"/>
      <c r="C562" s="11"/>
      <c r="D562" s="80"/>
      <c r="E562" s="80"/>
      <c r="F562" s="82"/>
      <c r="G562" s="80"/>
      <c r="H562" s="11"/>
      <c r="I562" s="67"/>
      <c r="J562" s="76"/>
      <c r="K562" s="76"/>
      <c r="L562" s="81"/>
    </row>
    <row r="563" spans="1:12" x14ac:dyDescent="0.25">
      <c r="A563" s="79"/>
      <c r="B563" s="67"/>
      <c r="C563" s="11"/>
      <c r="D563" s="80"/>
      <c r="E563" s="80"/>
      <c r="F563" s="82"/>
      <c r="G563" s="80"/>
      <c r="H563" s="11"/>
      <c r="I563" s="67"/>
      <c r="J563" s="76"/>
      <c r="K563" s="76"/>
      <c r="L563" s="81"/>
    </row>
    <row r="564" spans="1:12" x14ac:dyDescent="0.25">
      <c r="A564" s="79"/>
      <c r="B564" s="67"/>
      <c r="C564" s="11"/>
      <c r="D564" s="80"/>
      <c r="E564" s="80"/>
      <c r="F564" s="82"/>
      <c r="G564" s="80"/>
      <c r="H564" s="11"/>
      <c r="I564" s="67"/>
      <c r="J564" s="76"/>
      <c r="K564" s="76"/>
      <c r="L564" s="81"/>
    </row>
    <row r="565" spans="1:12" x14ac:dyDescent="0.25">
      <c r="A565" s="79"/>
      <c r="B565" s="67"/>
      <c r="C565" s="11"/>
      <c r="D565" s="80"/>
      <c r="E565" s="80"/>
      <c r="F565" s="82"/>
      <c r="G565" s="80"/>
      <c r="H565" s="11"/>
      <c r="I565" s="67"/>
      <c r="J565" s="76"/>
      <c r="K565" s="76"/>
      <c r="L565" s="81"/>
    </row>
    <row r="566" spans="1:12" x14ac:dyDescent="0.25">
      <c r="A566" s="79"/>
      <c r="B566" s="67"/>
      <c r="C566" s="11"/>
      <c r="D566" s="80"/>
      <c r="E566" s="80"/>
      <c r="F566" s="82"/>
      <c r="G566" s="80"/>
      <c r="H566" s="11"/>
      <c r="I566" s="67"/>
      <c r="J566" s="76"/>
      <c r="K566" s="76"/>
      <c r="L566" s="81"/>
    </row>
    <row r="567" spans="1:12" x14ac:dyDescent="0.25">
      <c r="A567" s="79"/>
      <c r="B567" s="67"/>
      <c r="C567" s="11"/>
      <c r="D567" s="80"/>
      <c r="E567" s="80"/>
      <c r="F567" s="82"/>
      <c r="G567" s="80"/>
      <c r="H567" s="11"/>
      <c r="I567" s="67"/>
      <c r="J567" s="76"/>
      <c r="K567" s="76"/>
      <c r="L567" s="81"/>
    </row>
    <row r="568" spans="1:12" x14ac:dyDescent="0.25">
      <c r="A568" s="79"/>
      <c r="B568" s="67"/>
      <c r="C568" s="11"/>
      <c r="D568" s="80"/>
      <c r="E568" s="80"/>
      <c r="F568" s="82"/>
      <c r="G568" s="80"/>
      <c r="H568" s="11"/>
      <c r="I568" s="67"/>
      <c r="J568" s="76"/>
      <c r="K568" s="76"/>
      <c r="L568" s="81"/>
    </row>
    <row r="569" spans="1:12" x14ac:dyDescent="0.25">
      <c r="A569" s="79"/>
      <c r="B569" s="67"/>
      <c r="C569" s="11"/>
      <c r="D569" s="80"/>
      <c r="E569" s="80"/>
      <c r="F569" s="82"/>
      <c r="G569" s="80"/>
      <c r="H569" s="11"/>
      <c r="I569" s="67"/>
      <c r="J569" s="76"/>
      <c r="K569" s="76"/>
      <c r="L569" s="81"/>
    </row>
    <row r="570" spans="1:12" x14ac:dyDescent="0.25">
      <c r="A570" s="79"/>
      <c r="B570" s="67"/>
      <c r="C570" s="11"/>
      <c r="D570" s="80"/>
      <c r="E570" s="80"/>
      <c r="F570" s="82"/>
      <c r="G570" s="80"/>
      <c r="H570" s="11"/>
      <c r="I570" s="67"/>
      <c r="J570" s="76"/>
      <c r="K570" s="76"/>
      <c r="L570" s="81"/>
    </row>
    <row r="571" spans="1:12" x14ac:dyDescent="0.25">
      <c r="A571" s="79"/>
      <c r="B571" s="67"/>
      <c r="C571" s="11"/>
      <c r="D571" s="80"/>
      <c r="E571" s="80"/>
      <c r="F571" s="82"/>
      <c r="G571" s="80"/>
      <c r="H571" s="11"/>
      <c r="I571" s="67"/>
      <c r="J571" s="76"/>
      <c r="K571" s="76"/>
      <c r="L571" s="81"/>
    </row>
    <row r="572" spans="1:12" x14ac:dyDescent="0.25">
      <c r="A572" s="79"/>
      <c r="B572" s="67"/>
      <c r="C572" s="11"/>
      <c r="D572" s="80"/>
      <c r="E572" s="80"/>
      <c r="F572" s="82"/>
      <c r="G572" s="80"/>
      <c r="H572" s="11"/>
      <c r="I572" s="67"/>
      <c r="J572" s="76"/>
      <c r="K572" s="76"/>
      <c r="L572" s="81"/>
    </row>
    <row r="573" spans="1:12" x14ac:dyDescent="0.25">
      <c r="A573" s="79"/>
      <c r="B573" s="67"/>
      <c r="C573" s="11"/>
      <c r="D573" s="80"/>
      <c r="E573" s="80"/>
      <c r="F573" s="82"/>
      <c r="G573" s="80"/>
      <c r="H573" s="11"/>
      <c r="I573" s="67"/>
      <c r="J573" s="76"/>
      <c r="K573" s="76"/>
      <c r="L573" s="81"/>
    </row>
    <row r="574" spans="1:12" x14ac:dyDescent="0.25">
      <c r="A574" s="79"/>
      <c r="B574" s="67"/>
      <c r="C574" s="11"/>
      <c r="D574" s="80"/>
      <c r="E574" s="80"/>
      <c r="F574" s="82"/>
      <c r="G574" s="80"/>
      <c r="H574" s="11"/>
      <c r="I574" s="67"/>
      <c r="J574" s="76"/>
      <c r="K574" s="76"/>
      <c r="L574" s="81"/>
    </row>
    <row r="575" spans="1:12" x14ac:dyDescent="0.25">
      <c r="A575" s="79"/>
      <c r="B575" s="67"/>
      <c r="C575" s="11"/>
      <c r="D575" s="80"/>
      <c r="E575" s="80"/>
      <c r="F575" s="82"/>
      <c r="G575" s="80"/>
      <c r="H575" s="11"/>
      <c r="I575" s="67"/>
      <c r="J575" s="76"/>
      <c r="K575" s="76"/>
      <c r="L575" s="81"/>
    </row>
    <row r="576" spans="1:12" x14ac:dyDescent="0.25">
      <c r="A576" s="79"/>
      <c r="B576" s="67"/>
      <c r="C576" s="11"/>
      <c r="D576" s="80"/>
      <c r="E576" s="80"/>
      <c r="F576" s="82"/>
      <c r="G576" s="80"/>
      <c r="H576" s="11"/>
      <c r="I576" s="67"/>
      <c r="J576" s="76"/>
      <c r="K576" s="76"/>
      <c r="L576" s="81"/>
    </row>
    <row r="577" spans="1:12" x14ac:dyDescent="0.25">
      <c r="A577" s="79"/>
      <c r="B577" s="67"/>
      <c r="C577" s="11"/>
      <c r="D577" s="80"/>
      <c r="E577" s="80"/>
      <c r="F577" s="82"/>
      <c r="G577" s="80"/>
      <c r="H577" s="11"/>
      <c r="I577" s="67"/>
      <c r="J577" s="76"/>
      <c r="K577" s="76"/>
      <c r="L577" s="81"/>
    </row>
    <row r="578" spans="1:12" x14ac:dyDescent="0.25">
      <c r="A578" s="79"/>
      <c r="B578" s="67"/>
      <c r="C578" s="11"/>
      <c r="D578" s="80"/>
      <c r="E578" s="80"/>
      <c r="F578" s="82"/>
      <c r="G578" s="80"/>
      <c r="H578" s="11"/>
      <c r="I578" s="67"/>
      <c r="J578" s="76"/>
      <c r="K578" s="76"/>
      <c r="L578" s="81"/>
    </row>
    <row r="579" spans="1:12" x14ac:dyDescent="0.25">
      <c r="A579" s="79"/>
      <c r="B579" s="67"/>
      <c r="C579" s="11"/>
      <c r="D579" s="80"/>
      <c r="E579" s="80"/>
      <c r="F579" s="82"/>
      <c r="G579" s="80"/>
      <c r="H579" s="11"/>
      <c r="I579" s="67"/>
      <c r="J579" s="76"/>
      <c r="K579" s="76"/>
      <c r="L579" s="81"/>
    </row>
    <row r="580" spans="1:12" x14ac:dyDescent="0.25">
      <c r="A580" s="79"/>
      <c r="B580" s="67"/>
      <c r="C580" s="11"/>
      <c r="D580" s="80"/>
      <c r="E580" s="80"/>
      <c r="F580" s="82"/>
      <c r="G580" s="80"/>
      <c r="H580" s="11"/>
      <c r="I580" s="67"/>
      <c r="J580" s="76"/>
      <c r="K580" s="76"/>
      <c r="L580" s="81"/>
    </row>
    <row r="581" spans="1:12" x14ac:dyDescent="0.25">
      <c r="A581" s="79"/>
      <c r="B581" s="67"/>
      <c r="C581" s="11"/>
      <c r="D581" s="80"/>
      <c r="E581" s="80"/>
      <c r="F581" s="82"/>
      <c r="G581" s="80"/>
      <c r="H581" s="11"/>
      <c r="I581" s="67"/>
      <c r="J581" s="76"/>
      <c r="K581" s="76"/>
      <c r="L581" s="81"/>
    </row>
    <row r="582" spans="1:12" x14ac:dyDescent="0.25">
      <c r="A582" s="79"/>
      <c r="B582" s="67"/>
      <c r="C582" s="11"/>
      <c r="D582" s="80"/>
      <c r="E582" s="80"/>
      <c r="F582" s="82"/>
      <c r="G582" s="80"/>
      <c r="H582" s="11"/>
      <c r="I582" s="67"/>
      <c r="J582" s="76"/>
      <c r="K582" s="76"/>
      <c r="L582" s="81"/>
    </row>
    <row r="583" spans="1:12" x14ac:dyDescent="0.25">
      <c r="A583" s="79"/>
      <c r="B583" s="67"/>
      <c r="C583" s="11"/>
      <c r="D583" s="80"/>
      <c r="E583" s="80"/>
      <c r="F583" s="82"/>
      <c r="G583" s="80"/>
      <c r="H583" s="11"/>
      <c r="I583" s="67"/>
      <c r="J583" s="76"/>
      <c r="K583" s="76"/>
      <c r="L583" s="81"/>
    </row>
    <row r="584" spans="1:12" x14ac:dyDescent="0.25">
      <c r="A584" s="79"/>
      <c r="B584" s="67"/>
      <c r="C584" s="11"/>
      <c r="D584" s="80"/>
      <c r="E584" s="80"/>
      <c r="F584" s="82"/>
      <c r="G584" s="80"/>
      <c r="H584" s="11"/>
      <c r="I584" s="67"/>
      <c r="J584" s="76"/>
      <c r="K584" s="76"/>
      <c r="L584" s="81"/>
    </row>
    <row r="585" spans="1:12" x14ac:dyDescent="0.25">
      <c r="A585" s="79"/>
      <c r="B585" s="67"/>
      <c r="C585" s="11"/>
      <c r="D585" s="80"/>
      <c r="E585" s="80"/>
      <c r="F585" s="82"/>
      <c r="G585" s="80"/>
      <c r="H585" s="11"/>
      <c r="I585" s="67"/>
      <c r="J585" s="76"/>
      <c r="K585" s="76"/>
      <c r="L585" s="81"/>
    </row>
    <row r="586" spans="1:12" x14ac:dyDescent="0.25">
      <c r="A586" s="79"/>
      <c r="B586" s="67"/>
      <c r="C586" s="11"/>
      <c r="D586" s="80"/>
      <c r="E586" s="80"/>
      <c r="F586" s="82"/>
      <c r="G586" s="80"/>
      <c r="H586" s="11"/>
      <c r="I586" s="67"/>
      <c r="J586" s="76"/>
      <c r="K586" s="76"/>
      <c r="L586" s="81"/>
    </row>
    <row r="587" spans="1:12" x14ac:dyDescent="0.25">
      <c r="A587" s="79"/>
      <c r="B587" s="67"/>
      <c r="C587" s="11"/>
      <c r="D587" s="80"/>
      <c r="E587" s="80"/>
      <c r="F587" s="82"/>
      <c r="G587" s="80"/>
      <c r="H587" s="11"/>
      <c r="I587" s="67"/>
      <c r="J587" s="76"/>
      <c r="K587" s="76"/>
      <c r="L587" s="81"/>
    </row>
    <row r="588" spans="1:12" x14ac:dyDescent="0.25">
      <c r="A588" s="79"/>
      <c r="B588" s="67"/>
      <c r="C588" s="11"/>
      <c r="D588" s="80"/>
      <c r="E588" s="80"/>
      <c r="F588" s="82"/>
      <c r="G588" s="80"/>
      <c r="H588" s="11"/>
      <c r="I588" s="67"/>
      <c r="J588" s="76"/>
      <c r="K588" s="76"/>
      <c r="L588" s="81"/>
    </row>
    <row r="589" spans="1:12" x14ac:dyDescent="0.25">
      <c r="A589" s="79"/>
      <c r="B589" s="67"/>
      <c r="C589" s="11"/>
      <c r="D589" s="80"/>
      <c r="E589" s="80"/>
      <c r="F589" s="82"/>
      <c r="G589" s="80"/>
      <c r="H589" s="11"/>
      <c r="I589" s="67"/>
      <c r="J589" s="76"/>
      <c r="K589" s="76"/>
      <c r="L589" s="81"/>
    </row>
    <row r="590" spans="1:12" x14ac:dyDescent="0.25">
      <c r="A590" s="79"/>
      <c r="B590" s="67"/>
      <c r="C590" s="11"/>
      <c r="D590" s="80"/>
      <c r="E590" s="80"/>
      <c r="F590" s="82"/>
      <c r="G590" s="80"/>
      <c r="H590" s="11"/>
      <c r="I590" s="67"/>
      <c r="J590" s="76"/>
      <c r="K590" s="76"/>
      <c r="L590" s="81"/>
    </row>
    <row r="591" spans="1:12" x14ac:dyDescent="0.25">
      <c r="A591" s="79"/>
      <c r="B591" s="67"/>
      <c r="C591" s="11"/>
      <c r="D591" s="80"/>
      <c r="E591" s="80"/>
      <c r="F591" s="82"/>
      <c r="G591" s="80"/>
      <c r="H591" s="11"/>
      <c r="I591" s="67"/>
      <c r="J591" s="76"/>
      <c r="K591" s="76"/>
      <c r="L591" s="81"/>
    </row>
    <row r="592" spans="1:12" x14ac:dyDescent="0.25">
      <c r="A592" s="79"/>
      <c r="B592" s="67"/>
      <c r="C592" s="11"/>
      <c r="D592" s="80"/>
      <c r="E592" s="80"/>
      <c r="F592" s="82"/>
      <c r="G592" s="80"/>
      <c r="H592" s="11"/>
      <c r="I592" s="67"/>
      <c r="J592" s="76"/>
      <c r="K592" s="76"/>
      <c r="L592" s="81"/>
    </row>
    <row r="593" spans="1:12" x14ac:dyDescent="0.25">
      <c r="A593" s="79"/>
      <c r="B593" s="67"/>
      <c r="C593" s="11"/>
      <c r="D593" s="80"/>
      <c r="E593" s="80"/>
      <c r="F593" s="82"/>
      <c r="G593" s="80"/>
      <c r="H593" s="11"/>
      <c r="I593" s="67"/>
      <c r="J593" s="76"/>
      <c r="K593" s="76"/>
      <c r="L593" s="81"/>
    </row>
    <row r="594" spans="1:12" x14ac:dyDescent="0.25">
      <c r="A594" s="79"/>
      <c r="B594" s="67"/>
      <c r="C594" s="11"/>
      <c r="D594" s="80"/>
      <c r="E594" s="80"/>
      <c r="F594" s="82"/>
      <c r="G594" s="80"/>
      <c r="H594" s="11"/>
      <c r="I594" s="67"/>
      <c r="J594" s="76"/>
      <c r="K594" s="76"/>
      <c r="L594" s="81"/>
    </row>
    <row r="595" spans="1:12" x14ac:dyDescent="0.25">
      <c r="A595" s="79"/>
      <c r="B595" s="67"/>
      <c r="C595" s="11"/>
      <c r="D595" s="80"/>
      <c r="E595" s="80"/>
      <c r="F595" s="82"/>
      <c r="G595" s="80"/>
      <c r="H595" s="11"/>
      <c r="I595" s="67"/>
      <c r="J595" s="76"/>
      <c r="K595" s="76"/>
      <c r="L595" s="81"/>
    </row>
    <row r="596" spans="1:12" x14ac:dyDescent="0.25">
      <c r="A596" s="79"/>
      <c r="B596" s="67"/>
      <c r="C596" s="11"/>
      <c r="D596" s="80"/>
      <c r="E596" s="80"/>
      <c r="F596" s="82"/>
      <c r="G596" s="80"/>
      <c r="H596" s="11"/>
      <c r="I596" s="67"/>
      <c r="J596" s="76"/>
      <c r="K596" s="76"/>
      <c r="L596" s="81"/>
    </row>
    <row r="597" spans="1:12" x14ac:dyDescent="0.25">
      <c r="A597" s="79"/>
      <c r="B597" s="67"/>
      <c r="C597" s="11"/>
      <c r="D597" s="80"/>
      <c r="E597" s="80"/>
      <c r="F597" s="82"/>
      <c r="G597" s="80"/>
      <c r="H597" s="11"/>
      <c r="I597" s="67"/>
      <c r="J597" s="76"/>
      <c r="K597" s="76"/>
      <c r="L597" s="81"/>
    </row>
    <row r="598" spans="1:12" x14ac:dyDescent="0.25">
      <c r="A598" s="79"/>
      <c r="B598" s="67"/>
      <c r="C598" s="11"/>
      <c r="D598" s="80"/>
      <c r="E598" s="80"/>
      <c r="F598" s="82"/>
      <c r="G598" s="80"/>
      <c r="H598" s="11"/>
      <c r="I598" s="67"/>
      <c r="J598" s="76"/>
      <c r="K598" s="76"/>
      <c r="L598" s="81"/>
    </row>
    <row r="599" spans="1:12" x14ac:dyDescent="0.25">
      <c r="A599" s="79"/>
      <c r="B599" s="67"/>
      <c r="C599" s="11"/>
      <c r="D599" s="80"/>
      <c r="E599" s="80"/>
      <c r="F599" s="82"/>
      <c r="G599" s="80"/>
      <c r="H599" s="11"/>
      <c r="I599" s="67"/>
      <c r="J599" s="76"/>
      <c r="K599" s="76"/>
      <c r="L599" s="81"/>
    </row>
    <row r="600" spans="1:12" x14ac:dyDescent="0.25">
      <c r="A600" s="79"/>
      <c r="B600" s="67"/>
      <c r="C600" s="11"/>
      <c r="D600" s="80"/>
      <c r="E600" s="80"/>
      <c r="F600" s="82"/>
      <c r="G600" s="80"/>
      <c r="H600" s="11"/>
      <c r="I600" s="67"/>
      <c r="J600" s="76"/>
      <c r="K600" s="76"/>
      <c r="L600" s="81"/>
    </row>
    <row r="601" spans="1:12" x14ac:dyDescent="0.25">
      <c r="A601" s="79"/>
      <c r="B601" s="67"/>
      <c r="C601" s="11"/>
      <c r="D601" s="80"/>
      <c r="E601" s="80"/>
      <c r="F601" s="82"/>
      <c r="G601" s="80"/>
      <c r="H601" s="11"/>
      <c r="I601" s="67"/>
      <c r="J601" s="76"/>
      <c r="K601" s="76"/>
      <c r="L601" s="81"/>
    </row>
    <row r="602" spans="1:12" x14ac:dyDescent="0.25">
      <c r="A602" s="79"/>
      <c r="B602" s="67"/>
      <c r="C602" s="11"/>
      <c r="D602" s="80"/>
      <c r="E602" s="80"/>
      <c r="F602" s="82"/>
      <c r="G602" s="80"/>
      <c r="H602" s="11"/>
      <c r="I602" s="67"/>
      <c r="J602" s="76"/>
      <c r="K602" s="76"/>
      <c r="L602" s="81"/>
    </row>
    <row r="603" spans="1:12" x14ac:dyDescent="0.25">
      <c r="A603" s="79"/>
      <c r="B603" s="67"/>
      <c r="C603" s="11"/>
      <c r="D603" s="80"/>
      <c r="E603" s="80"/>
      <c r="F603" s="82"/>
      <c r="G603" s="80"/>
      <c r="H603" s="11"/>
      <c r="I603" s="67"/>
      <c r="J603" s="76"/>
      <c r="K603" s="76"/>
      <c r="L603" s="81"/>
    </row>
    <row r="604" spans="1:12" x14ac:dyDescent="0.25">
      <c r="A604" s="79"/>
      <c r="B604" s="67"/>
      <c r="C604" s="11"/>
      <c r="D604" s="80"/>
      <c r="E604" s="80"/>
      <c r="F604" s="82"/>
      <c r="G604" s="80"/>
      <c r="H604" s="11"/>
      <c r="I604" s="67"/>
      <c r="J604" s="76"/>
      <c r="K604" s="76"/>
      <c r="L604" s="81"/>
    </row>
    <row r="605" spans="1:12" x14ac:dyDescent="0.25">
      <c r="A605" s="79"/>
      <c r="B605" s="67"/>
      <c r="C605" s="11"/>
      <c r="D605" s="80"/>
      <c r="E605" s="80"/>
      <c r="F605" s="82"/>
      <c r="G605" s="80"/>
      <c r="H605" s="11"/>
      <c r="I605" s="67"/>
      <c r="J605" s="76"/>
      <c r="K605" s="76"/>
      <c r="L605" s="81"/>
    </row>
    <row r="606" spans="1:12" x14ac:dyDescent="0.25">
      <c r="A606" s="79"/>
      <c r="B606" s="67"/>
      <c r="C606" s="11"/>
      <c r="D606" s="80"/>
      <c r="E606" s="80"/>
      <c r="F606" s="82"/>
      <c r="G606" s="80"/>
      <c r="H606" s="11"/>
      <c r="I606" s="67"/>
      <c r="J606" s="76"/>
      <c r="K606" s="76"/>
      <c r="L606" s="81"/>
    </row>
    <row r="607" spans="1:12" x14ac:dyDescent="0.25">
      <c r="A607" s="79"/>
      <c r="B607" s="67"/>
      <c r="C607" s="11"/>
      <c r="D607" s="80"/>
      <c r="E607" s="80"/>
      <c r="F607" s="82"/>
      <c r="G607" s="80"/>
      <c r="H607" s="11"/>
      <c r="I607" s="67"/>
      <c r="J607" s="76"/>
      <c r="K607" s="76"/>
      <c r="L607" s="81"/>
    </row>
    <row r="608" spans="1:12" x14ac:dyDescent="0.25">
      <c r="A608" s="79"/>
      <c r="B608" s="67"/>
      <c r="C608" s="11"/>
      <c r="D608" s="80"/>
      <c r="E608" s="80"/>
      <c r="F608" s="82"/>
      <c r="G608" s="80"/>
      <c r="H608" s="11"/>
      <c r="I608" s="67"/>
      <c r="J608" s="76"/>
      <c r="K608" s="76"/>
      <c r="L608" s="81"/>
    </row>
    <row r="609" spans="1:12" x14ac:dyDescent="0.25">
      <c r="A609" s="79"/>
      <c r="B609" s="67"/>
      <c r="C609" s="11"/>
      <c r="D609" s="80"/>
      <c r="E609" s="80"/>
      <c r="F609" s="82"/>
      <c r="G609" s="80"/>
      <c r="H609" s="11"/>
      <c r="I609" s="67"/>
      <c r="J609" s="76"/>
      <c r="K609" s="76"/>
      <c r="L609" s="81"/>
    </row>
    <row r="610" spans="1:12" x14ac:dyDescent="0.25">
      <c r="A610" s="79"/>
      <c r="B610" s="67"/>
      <c r="C610" s="11"/>
      <c r="D610" s="80"/>
      <c r="E610" s="80"/>
      <c r="F610" s="82"/>
      <c r="G610" s="80"/>
      <c r="H610" s="11"/>
      <c r="I610" s="67"/>
      <c r="J610" s="76"/>
      <c r="K610" s="76"/>
      <c r="L610" s="81"/>
    </row>
    <row r="611" spans="1:12" x14ac:dyDescent="0.25">
      <c r="A611" s="79"/>
      <c r="B611" s="67"/>
      <c r="C611" s="11"/>
      <c r="D611" s="80"/>
      <c r="E611" s="80"/>
      <c r="F611" s="82"/>
      <c r="G611" s="80"/>
      <c r="H611" s="11"/>
      <c r="I611" s="67"/>
      <c r="J611" s="76"/>
      <c r="K611" s="76"/>
      <c r="L611" s="81"/>
    </row>
    <row r="612" spans="1:12" x14ac:dyDescent="0.25">
      <c r="A612" s="79"/>
      <c r="B612" s="67"/>
      <c r="C612" s="11"/>
      <c r="D612" s="80"/>
      <c r="E612" s="80"/>
      <c r="F612" s="82"/>
      <c r="G612" s="80"/>
      <c r="H612" s="11"/>
      <c r="I612" s="67"/>
      <c r="J612" s="76"/>
      <c r="K612" s="76"/>
      <c r="L612" s="81"/>
    </row>
    <row r="613" spans="1:12" x14ac:dyDescent="0.25">
      <c r="A613" s="79"/>
      <c r="B613" s="67"/>
      <c r="C613" s="11"/>
      <c r="D613" s="80"/>
      <c r="E613" s="80"/>
      <c r="F613" s="82"/>
      <c r="G613" s="80"/>
      <c r="H613" s="11"/>
      <c r="I613" s="67"/>
      <c r="J613" s="76"/>
      <c r="K613" s="76"/>
      <c r="L613" s="81"/>
    </row>
    <row r="614" spans="1:12" x14ac:dyDescent="0.25">
      <c r="A614" s="79"/>
      <c r="B614" s="67"/>
      <c r="C614" s="11"/>
      <c r="D614" s="80"/>
      <c r="E614" s="80"/>
      <c r="F614" s="82"/>
      <c r="G614" s="80"/>
      <c r="H614" s="11"/>
      <c r="I614" s="67"/>
      <c r="J614" s="76"/>
      <c r="K614" s="76"/>
      <c r="L614" s="81"/>
    </row>
  </sheetData>
  <pageMargins left="0.7" right="0.7" top="0.75" bottom="0.75" header="0.3" footer="0.3"/>
  <pageSetup paperSize="0" orientation="portrait" horizontalDpi="0" verticalDpi="0" copie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F61A-243C-489C-AD16-29E65D1B174D}">
  <sheetPr>
    <tabColor rgb="FF00B050"/>
  </sheetPr>
  <dimension ref="A1"/>
  <sheetViews>
    <sheetView workbookViewId="0">
      <selection activeCell="G14" sqref="G14"/>
    </sheetView>
  </sheetViews>
  <sheetFormatPr baseColWidth="10"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22B7C-CE85-4632-96CC-8174C4AA6F67}">
  <sheetPr>
    <tabColor rgb="FF00B050"/>
  </sheetPr>
  <dimension ref="A1:AG67"/>
  <sheetViews>
    <sheetView topLeftCell="R37" zoomScaleNormal="100" workbookViewId="0">
      <selection activeCell="Z54" sqref="Z54"/>
    </sheetView>
  </sheetViews>
  <sheetFormatPr baseColWidth="10" defaultRowHeight="15" x14ac:dyDescent="0.25"/>
  <cols>
    <col min="1" max="1" width="8" style="36" bestFit="1" customWidth="1"/>
    <col min="2" max="2" width="51.42578125" style="36" bestFit="1" customWidth="1"/>
    <col min="3" max="3" width="16.85546875" style="37" hidden="1" customWidth="1"/>
    <col min="4" max="4" width="12.42578125" style="37" hidden="1" customWidth="1"/>
    <col min="5" max="5" width="13.28515625" style="37" hidden="1" customWidth="1"/>
    <col min="6" max="6" width="23.7109375" style="37" hidden="1" customWidth="1"/>
    <col min="7" max="7" width="32.140625" style="37" hidden="1" customWidth="1"/>
    <col min="8" max="8" width="17.5703125" style="37" hidden="1" customWidth="1"/>
    <col min="9" max="9" width="16.85546875" style="36" hidden="1" customWidth="1"/>
    <col min="10" max="10" width="17.140625" style="37" hidden="1" customWidth="1"/>
    <col min="11" max="12" width="19.85546875" style="36" hidden="1" customWidth="1"/>
    <col min="13" max="13" width="77.140625" style="37" hidden="1" customWidth="1"/>
    <col min="14" max="14" width="15.42578125" style="37" hidden="1" customWidth="1"/>
    <col min="15" max="15" width="25.140625" style="36" hidden="1" customWidth="1"/>
    <col min="16" max="16" width="12.28515625" style="36" hidden="1" customWidth="1"/>
    <col min="17" max="17" width="16.140625" style="36" hidden="1" customWidth="1"/>
    <col min="18" max="18" width="20.42578125" style="36" customWidth="1"/>
    <col min="19" max="19" width="13.85546875" style="36" customWidth="1"/>
    <col min="20" max="21" width="8.28515625" style="36" customWidth="1"/>
    <col min="22" max="22" width="7.28515625" style="36" customWidth="1"/>
    <col min="23" max="23" width="10.7109375" style="36" customWidth="1"/>
    <col min="24" max="25" width="11.28515625" style="36" customWidth="1"/>
    <col min="26" max="27" width="20" style="36" customWidth="1"/>
    <col min="28" max="28" width="17" style="36" customWidth="1"/>
    <col min="29" max="30" width="15.42578125" style="36" customWidth="1"/>
    <col min="31" max="31" width="16.5703125" style="36" customWidth="1"/>
    <col min="32" max="32" width="8.28515625" style="36" bestFit="1" customWidth="1"/>
    <col min="33" max="33" width="9.85546875" style="36" bestFit="1" customWidth="1"/>
  </cols>
  <sheetData>
    <row r="1" spans="1:33" s="38" customFormat="1" x14ac:dyDescent="0.25">
      <c r="A1" s="39" t="s">
        <v>759</v>
      </c>
      <c r="B1" s="39" t="s">
        <v>760</v>
      </c>
      <c r="C1" s="39" t="s">
        <v>761</v>
      </c>
      <c r="D1" s="39" t="s">
        <v>1033</v>
      </c>
      <c r="E1" s="39" t="s">
        <v>903</v>
      </c>
      <c r="F1" s="39" t="s">
        <v>762</v>
      </c>
      <c r="G1" s="39" t="s">
        <v>763</v>
      </c>
      <c r="H1" s="39" t="s">
        <v>764</v>
      </c>
      <c r="I1" s="39" t="s">
        <v>765</v>
      </c>
      <c r="J1" s="39" t="s">
        <v>766</v>
      </c>
      <c r="K1" s="39" t="s">
        <v>767</v>
      </c>
      <c r="L1" s="39" t="s">
        <v>768</v>
      </c>
      <c r="M1" s="39" t="s">
        <v>769</v>
      </c>
      <c r="N1" s="45" t="s">
        <v>770</v>
      </c>
      <c r="O1" s="39" t="s">
        <v>771</v>
      </c>
      <c r="P1" s="39" t="s">
        <v>772</v>
      </c>
      <c r="Q1" s="39" t="s">
        <v>773</v>
      </c>
      <c r="R1" s="39" t="s">
        <v>899</v>
      </c>
      <c r="S1" s="39" t="s">
        <v>1020</v>
      </c>
      <c r="T1" s="39" t="s">
        <v>1023</v>
      </c>
      <c r="U1" s="39" t="s">
        <v>207</v>
      </c>
      <c r="V1" s="39" t="s">
        <v>515</v>
      </c>
      <c r="W1" s="39" t="s">
        <v>29</v>
      </c>
      <c r="X1" s="39" t="s">
        <v>34</v>
      </c>
      <c r="Y1" s="39" t="s">
        <v>48</v>
      </c>
      <c r="Z1" s="39" t="s">
        <v>43</v>
      </c>
      <c r="AA1" s="39" t="s">
        <v>558</v>
      </c>
      <c r="AB1" s="39" t="s">
        <v>82</v>
      </c>
      <c r="AC1" s="39" t="s">
        <v>38</v>
      </c>
      <c r="AD1" s="39" t="s">
        <v>86</v>
      </c>
      <c r="AE1" s="39" t="s">
        <v>6298</v>
      </c>
      <c r="AF1" s="39" t="s">
        <v>56</v>
      </c>
      <c r="AG1" s="39" t="s">
        <v>550</v>
      </c>
    </row>
    <row r="2" spans="1:33" x14ac:dyDescent="0.25">
      <c r="A2" s="40">
        <v>2000001</v>
      </c>
      <c r="B2" s="40" t="s">
        <v>146</v>
      </c>
      <c r="C2" s="41" t="s">
        <v>774</v>
      </c>
      <c r="D2" s="44">
        <f>SUMIF(CREANCES!$B$2:$B$99999,'INFO CLIENTS'!B2,CREANCES!$J$2:$J$99999) - SUMIF(CREANCES!$B$2:$B$99999,'INFO CLIENTS'!B2,CREANCES!$K$2:$K$99999)</f>
        <v>332685.37799999962</v>
      </c>
      <c r="E2" s="41" t="s">
        <v>1015</v>
      </c>
      <c r="F2" s="41" t="s">
        <v>804</v>
      </c>
      <c r="G2" s="41" t="s">
        <v>26</v>
      </c>
      <c r="H2" s="41" t="s">
        <v>777</v>
      </c>
      <c r="I2" s="43">
        <v>44440</v>
      </c>
      <c r="J2" s="41" t="s">
        <v>818</v>
      </c>
      <c r="K2" s="41" t="s">
        <v>6783</v>
      </c>
      <c r="L2" s="41" t="s">
        <v>820</v>
      </c>
      <c r="M2" s="41" t="s">
        <v>822</v>
      </c>
      <c r="N2" s="41" t="s">
        <v>839</v>
      </c>
      <c r="O2" s="48">
        <v>1</v>
      </c>
      <c r="P2" s="41" t="s">
        <v>840</v>
      </c>
      <c r="Q2" s="41" t="s">
        <v>842</v>
      </c>
      <c r="R2" s="41" t="s">
        <v>907</v>
      </c>
      <c r="S2" s="41" t="s">
        <v>1018</v>
      </c>
      <c r="T2" s="41" t="s">
        <v>854</v>
      </c>
      <c r="U2" s="49" t="s">
        <v>848</v>
      </c>
      <c r="V2" s="49" t="s">
        <v>848</v>
      </c>
      <c r="W2" s="49" t="s">
        <v>897</v>
      </c>
      <c r="X2" s="49" t="s">
        <v>849</v>
      </c>
      <c r="Y2" s="49" t="s">
        <v>849</v>
      </c>
      <c r="Z2" s="49" t="s">
        <v>849</v>
      </c>
      <c r="AA2" s="49" t="s">
        <v>845</v>
      </c>
      <c r="AB2" s="49" t="s">
        <v>848</v>
      </c>
      <c r="AC2" s="49" t="s">
        <v>848</v>
      </c>
      <c r="AD2" s="49" t="s">
        <v>848</v>
      </c>
      <c r="AE2" s="49" t="s">
        <v>848</v>
      </c>
      <c r="AF2" s="49" t="s">
        <v>848</v>
      </c>
      <c r="AG2" s="49" t="s">
        <v>848</v>
      </c>
    </row>
    <row r="3" spans="1:33" x14ac:dyDescent="0.25">
      <c r="A3" s="40">
        <v>2000002</v>
      </c>
      <c r="B3" s="40" t="s">
        <v>4424</v>
      </c>
      <c r="C3" s="41" t="s">
        <v>901</v>
      </c>
      <c r="D3" s="44">
        <f>SUMIF(CREANCES!$B$2:$B$99999,'INFO CLIENTS'!B3,CREANCES!$J$2:$J$99999) - SUMIF(CREANCES!$B$2:$B$99999,'INFO CLIENTS'!B3,CREANCES!$K$2:$K$99999)</f>
        <v>32396.268000000011</v>
      </c>
      <c r="E3" s="41" t="s">
        <v>1015</v>
      </c>
      <c r="F3" s="41" t="s">
        <v>803</v>
      </c>
      <c r="G3" s="42" t="s">
        <v>791</v>
      </c>
      <c r="H3" s="41" t="s">
        <v>792</v>
      </c>
      <c r="I3" s="43">
        <v>45627</v>
      </c>
      <c r="J3" s="44" t="s">
        <v>1049</v>
      </c>
      <c r="K3" s="41" t="s">
        <v>6782</v>
      </c>
      <c r="L3" s="46">
        <v>140000</v>
      </c>
      <c r="M3" s="41" t="s">
        <v>823</v>
      </c>
      <c r="N3" s="41" t="s">
        <v>839</v>
      </c>
      <c r="O3" s="48">
        <v>1</v>
      </c>
      <c r="P3" s="41" t="s">
        <v>840</v>
      </c>
      <c r="Q3" s="41" t="s">
        <v>1014</v>
      </c>
      <c r="R3" s="41" t="s">
        <v>6785</v>
      </c>
      <c r="S3" s="41" t="s">
        <v>1019</v>
      </c>
      <c r="T3" s="41" t="s">
        <v>895</v>
      </c>
      <c r="U3" s="49" t="s">
        <v>848</v>
      </c>
      <c r="V3" s="49" t="s">
        <v>848</v>
      </c>
      <c r="W3" s="49" t="s">
        <v>848</v>
      </c>
      <c r="X3" s="49" t="s">
        <v>850</v>
      </c>
      <c r="Y3" s="49" t="s">
        <v>848</v>
      </c>
      <c r="Z3" s="49" t="s">
        <v>848</v>
      </c>
      <c r="AA3" s="49" t="s">
        <v>845</v>
      </c>
      <c r="AB3" s="49" t="s">
        <v>848</v>
      </c>
      <c r="AC3" s="49" t="s">
        <v>848</v>
      </c>
      <c r="AD3" s="49" t="s">
        <v>848</v>
      </c>
      <c r="AE3" s="49" t="s">
        <v>848</v>
      </c>
      <c r="AF3" s="49" t="s">
        <v>848</v>
      </c>
      <c r="AG3" s="49" t="s">
        <v>848</v>
      </c>
    </row>
    <row r="4" spans="1:33" x14ac:dyDescent="0.25">
      <c r="A4" s="40">
        <v>2000003</v>
      </c>
      <c r="B4" s="40" t="s">
        <v>4444</v>
      </c>
      <c r="C4" s="41" t="s">
        <v>775</v>
      </c>
      <c r="D4" s="44">
        <f>SUMIF(CREANCES!$B$2:$B$99999,'INFO CLIENTS'!B4,CREANCES!$J$2:$J$99999) - SUMIF(CREANCES!$B$2:$B$99999,'INFO CLIENTS'!B4,CREANCES!$K$2:$K$99999)</f>
        <v>-34919.4</v>
      </c>
      <c r="E4" s="41" t="s">
        <v>1016</v>
      </c>
      <c r="F4" s="41" t="s">
        <v>1032</v>
      </c>
      <c r="G4" s="41" t="s">
        <v>26</v>
      </c>
      <c r="H4" s="41" t="s">
        <v>1024</v>
      </c>
      <c r="I4" s="43">
        <v>45627</v>
      </c>
      <c r="J4" s="41" t="s">
        <v>818</v>
      </c>
      <c r="K4" s="41" t="s">
        <v>819</v>
      </c>
      <c r="L4" s="41" t="s">
        <v>820</v>
      </c>
      <c r="M4" s="41" t="s">
        <v>824</v>
      </c>
      <c r="N4" s="41" t="s">
        <v>839</v>
      </c>
      <c r="O4" s="48">
        <v>0</v>
      </c>
      <c r="P4" s="41" t="s">
        <v>840</v>
      </c>
      <c r="Q4" s="41" t="s">
        <v>843</v>
      </c>
      <c r="R4" s="41" t="s">
        <v>900</v>
      </c>
      <c r="S4" s="41" t="s">
        <v>848</v>
      </c>
      <c r="T4" s="41" t="s">
        <v>848</v>
      </c>
      <c r="U4" s="49" t="s">
        <v>848</v>
      </c>
      <c r="V4" s="49" t="s">
        <v>848</v>
      </c>
      <c r="W4" s="49" t="s">
        <v>848</v>
      </c>
      <c r="X4" s="49" t="s">
        <v>848</v>
      </c>
      <c r="Y4" s="49" t="s">
        <v>865</v>
      </c>
      <c r="Z4" s="49" t="s">
        <v>848</v>
      </c>
      <c r="AA4" s="49" t="s">
        <v>845</v>
      </c>
      <c r="AB4" s="49" t="s">
        <v>848</v>
      </c>
      <c r="AC4" s="49" t="s">
        <v>851</v>
      </c>
      <c r="AD4" s="49" t="s">
        <v>851</v>
      </c>
      <c r="AE4" s="49" t="s">
        <v>851</v>
      </c>
      <c r="AF4" s="49" t="s">
        <v>852</v>
      </c>
      <c r="AG4" s="49" t="s">
        <v>848</v>
      </c>
    </row>
    <row r="5" spans="1:33" x14ac:dyDescent="0.25">
      <c r="A5" s="40">
        <v>2000004</v>
      </c>
      <c r="B5" s="40" t="s">
        <v>141</v>
      </c>
      <c r="C5" s="41" t="s">
        <v>902</v>
      </c>
      <c r="D5" s="44">
        <f>SUMIF(CREANCES!$B$2:$B$99999,'INFO CLIENTS'!B5,CREANCES!$J$2:$J$99999) - SUMIF(CREANCES!$B$2:$B$99999,'INFO CLIENTS'!B5,CREANCES!$K$2:$K$99999)</f>
        <v>-76238.103999999934</v>
      </c>
      <c r="E5" s="41" t="s">
        <v>1016</v>
      </c>
      <c r="F5" s="41" t="s">
        <v>801</v>
      </c>
      <c r="G5" s="41" t="s">
        <v>26</v>
      </c>
      <c r="H5" s="41" t="s">
        <v>778</v>
      </c>
      <c r="I5" s="43">
        <v>45505</v>
      </c>
      <c r="J5" s="41" t="s">
        <v>818</v>
      </c>
      <c r="K5" s="41" t="s">
        <v>819</v>
      </c>
      <c r="L5" s="41" t="s">
        <v>820</v>
      </c>
      <c r="M5" s="41" t="s">
        <v>821</v>
      </c>
      <c r="N5" s="41" t="s">
        <v>839</v>
      </c>
      <c r="O5" s="48">
        <v>0</v>
      </c>
      <c r="P5" s="41" t="s">
        <v>840</v>
      </c>
      <c r="Q5" s="41" t="s">
        <v>842</v>
      </c>
      <c r="R5" s="41" t="s">
        <v>6786</v>
      </c>
      <c r="S5" s="41" t="s">
        <v>848</v>
      </c>
      <c r="T5" s="41" t="s">
        <v>848</v>
      </c>
      <c r="U5" s="49" t="s">
        <v>848</v>
      </c>
      <c r="V5" s="49" t="s">
        <v>848</v>
      </c>
      <c r="W5" s="49" t="s">
        <v>848</v>
      </c>
      <c r="X5" s="49" t="s">
        <v>854</v>
      </c>
      <c r="Y5" s="49" t="s">
        <v>854</v>
      </c>
      <c r="Z5" s="49" t="s">
        <v>854</v>
      </c>
      <c r="AA5" s="49" t="s">
        <v>845</v>
      </c>
      <c r="AB5" s="49" t="s">
        <v>853</v>
      </c>
      <c r="AC5" s="49" t="s">
        <v>853</v>
      </c>
      <c r="AD5" s="49" t="s">
        <v>853</v>
      </c>
      <c r="AE5" s="49" t="s">
        <v>853</v>
      </c>
      <c r="AF5" s="49" t="s">
        <v>852</v>
      </c>
      <c r="AG5" s="49" t="s">
        <v>847</v>
      </c>
    </row>
    <row r="6" spans="1:33" x14ac:dyDescent="0.25">
      <c r="A6" s="40">
        <v>2000005</v>
      </c>
      <c r="B6" s="40" t="s">
        <v>4445</v>
      </c>
      <c r="C6" s="41" t="s">
        <v>775</v>
      </c>
      <c r="D6" s="44">
        <f>SUMIF(CREANCES!$B$2:$B$99999,'INFO CLIENTS'!B6,CREANCES!$J$2:$J$99999) - SUMIF(CREANCES!$B$2:$B$99999,'INFO CLIENTS'!B6,CREANCES!$K$2:$K$99999)</f>
        <v>-148.80000000000018</v>
      </c>
      <c r="E6" s="41" t="s">
        <v>1015</v>
      </c>
      <c r="F6" s="41" t="s">
        <v>802</v>
      </c>
      <c r="G6" s="42" t="s">
        <v>793</v>
      </c>
      <c r="H6" s="41" t="s">
        <v>779</v>
      </c>
      <c r="I6" s="43">
        <v>45383</v>
      </c>
      <c r="J6" s="41" t="s">
        <v>818</v>
      </c>
      <c r="K6" s="41" t="s">
        <v>819</v>
      </c>
      <c r="L6" s="41" t="s">
        <v>820</v>
      </c>
      <c r="M6" s="41" t="s">
        <v>825</v>
      </c>
      <c r="N6" s="41" t="s">
        <v>839</v>
      </c>
      <c r="O6" s="48">
        <v>1</v>
      </c>
      <c r="P6" s="41" t="s">
        <v>841</v>
      </c>
      <c r="Q6" s="41" t="s">
        <v>1014</v>
      </c>
      <c r="R6" s="41" t="s">
        <v>907</v>
      </c>
      <c r="S6" s="41" t="s">
        <v>1022</v>
      </c>
      <c r="T6" s="41" t="s">
        <v>896</v>
      </c>
      <c r="U6" s="41" t="s">
        <v>855</v>
      </c>
      <c r="V6" s="41" t="s">
        <v>855</v>
      </c>
      <c r="W6" s="49" t="s">
        <v>855</v>
      </c>
      <c r="X6" s="49" t="s">
        <v>855</v>
      </c>
      <c r="Y6" s="49" t="s">
        <v>855</v>
      </c>
      <c r="Z6" s="49" t="s">
        <v>855</v>
      </c>
      <c r="AA6" s="49" t="s">
        <v>845</v>
      </c>
      <c r="AB6" s="49" t="s">
        <v>856</v>
      </c>
      <c r="AC6" s="49" t="s">
        <v>856</v>
      </c>
      <c r="AD6" s="49" t="s">
        <v>856</v>
      </c>
      <c r="AE6" s="49" t="s">
        <v>856</v>
      </c>
      <c r="AF6" s="49" t="s">
        <v>857</v>
      </c>
      <c r="AG6" s="49" t="s">
        <v>848</v>
      </c>
    </row>
    <row r="7" spans="1:33" x14ac:dyDescent="0.25">
      <c r="A7" s="40">
        <v>2000006</v>
      </c>
      <c r="B7" s="40" t="s">
        <v>565</v>
      </c>
      <c r="C7" s="41" t="s">
        <v>24</v>
      </c>
      <c r="D7" s="44">
        <f>SUMIF(CREANCES!$B$2:$B$99999,'INFO CLIENTS'!B7,CREANCES!$J$2:$J$99999) - SUMIF(CREANCES!$B$2:$B$99999,'INFO CLIENTS'!B7,CREANCES!$K$2:$K$99999)</f>
        <v>-68582.599999999977</v>
      </c>
      <c r="E7" s="41" t="s">
        <v>1016</v>
      </c>
      <c r="F7" s="41" t="s">
        <v>805</v>
      </c>
      <c r="G7" s="41" t="s">
        <v>26</v>
      </c>
      <c r="H7" s="41" t="s">
        <v>780</v>
      </c>
      <c r="I7" s="43">
        <v>45536</v>
      </c>
      <c r="J7" s="41" t="s">
        <v>818</v>
      </c>
      <c r="K7" s="41" t="s">
        <v>819</v>
      </c>
      <c r="L7" s="41" t="s">
        <v>820</v>
      </c>
      <c r="M7" s="41" t="s">
        <v>826</v>
      </c>
      <c r="N7" s="41" t="s">
        <v>839</v>
      </c>
      <c r="O7" s="48">
        <v>0</v>
      </c>
      <c r="P7" s="41" t="s">
        <v>841</v>
      </c>
      <c r="Q7" s="41" t="s">
        <v>1014</v>
      </c>
      <c r="R7" s="41" t="s">
        <v>6786</v>
      </c>
      <c r="S7" s="41" t="s">
        <v>848</v>
      </c>
      <c r="T7" s="41" t="s">
        <v>855</v>
      </c>
      <c r="U7" s="41" t="s">
        <v>855</v>
      </c>
      <c r="V7" s="41" t="s">
        <v>855</v>
      </c>
      <c r="W7" s="49" t="s">
        <v>858</v>
      </c>
      <c r="X7" s="49" t="s">
        <v>859</v>
      </c>
      <c r="Y7" s="49" t="s">
        <v>859</v>
      </c>
      <c r="Z7" s="49" t="s">
        <v>860</v>
      </c>
      <c r="AA7" s="49" t="s">
        <v>845</v>
      </c>
      <c r="AB7" s="49" t="s">
        <v>861</v>
      </c>
      <c r="AC7" s="49" t="s">
        <v>861</v>
      </c>
      <c r="AD7" s="49" t="s">
        <v>861</v>
      </c>
      <c r="AE7" s="49" t="s">
        <v>861</v>
      </c>
      <c r="AF7" s="49" t="s">
        <v>862</v>
      </c>
      <c r="AG7" s="49" t="s">
        <v>847</v>
      </c>
    </row>
    <row r="8" spans="1:33" x14ac:dyDescent="0.25">
      <c r="A8" s="40">
        <v>2000007</v>
      </c>
      <c r="B8" s="40" t="s">
        <v>4446</v>
      </c>
      <c r="C8" s="41" t="s">
        <v>774</v>
      </c>
      <c r="D8" s="44">
        <f>SUMIF(CREANCES!$B$2:$B$99999,'INFO CLIENTS'!B8,CREANCES!$J$2:$J$99999) - SUMIF(CREANCES!$B$2:$B$99999,'INFO CLIENTS'!B8,CREANCES!$K$2:$K$99999)</f>
        <v>259063.34000000003</v>
      </c>
      <c r="E8" s="41" t="s">
        <v>1016</v>
      </c>
      <c r="F8" s="41" t="s">
        <v>806</v>
      </c>
      <c r="G8" s="41" t="s">
        <v>26</v>
      </c>
      <c r="H8" s="41" t="s">
        <v>1025</v>
      </c>
      <c r="I8" s="43">
        <v>45536</v>
      </c>
      <c r="J8" s="41" t="s">
        <v>818</v>
      </c>
      <c r="K8" s="41" t="s">
        <v>6781</v>
      </c>
      <c r="L8" s="44">
        <v>300000</v>
      </c>
      <c r="M8" s="41" t="s">
        <v>827</v>
      </c>
      <c r="N8" s="41" t="s">
        <v>839</v>
      </c>
      <c r="O8" s="48">
        <v>1</v>
      </c>
      <c r="P8" s="41" t="s">
        <v>840</v>
      </c>
      <c r="Q8" s="41" t="s">
        <v>842</v>
      </c>
      <c r="R8" s="41" t="s">
        <v>1013</v>
      </c>
      <c r="S8" s="41" t="s">
        <v>848</v>
      </c>
      <c r="T8" s="41" t="s">
        <v>848</v>
      </c>
      <c r="U8" s="49" t="s">
        <v>848</v>
      </c>
      <c r="V8" s="49" t="s">
        <v>848</v>
      </c>
      <c r="W8" s="49" t="s">
        <v>863</v>
      </c>
      <c r="X8" s="49" t="s">
        <v>864</v>
      </c>
      <c r="Y8" s="49" t="s">
        <v>864</v>
      </c>
      <c r="Z8" s="49" t="s">
        <v>865</v>
      </c>
      <c r="AA8" s="49" t="s">
        <v>845</v>
      </c>
      <c r="AB8" s="49" t="s">
        <v>848</v>
      </c>
      <c r="AC8" s="49" t="s">
        <v>848</v>
      </c>
      <c r="AD8" s="49" t="s">
        <v>848</v>
      </c>
      <c r="AE8" s="49" t="s">
        <v>848</v>
      </c>
      <c r="AF8" s="49" t="s">
        <v>848</v>
      </c>
      <c r="AG8" s="49" t="s">
        <v>848</v>
      </c>
    </row>
    <row r="9" spans="1:33" x14ac:dyDescent="0.25">
      <c r="A9" s="40">
        <v>2000008</v>
      </c>
      <c r="B9" s="40" t="s">
        <v>36</v>
      </c>
      <c r="C9" s="41" t="s">
        <v>776</v>
      </c>
      <c r="D9" s="44">
        <f>SUMIF(CREANCES!$B$2:$B$99999,'INFO CLIENTS'!B9,CREANCES!$J$2:$J$99999) - SUMIF(CREANCES!$B$2:$B$99999,'INFO CLIENTS'!B9,CREANCES!$K$2:$K$99999)</f>
        <v>0</v>
      </c>
      <c r="E9" s="41" t="s">
        <v>1016</v>
      </c>
      <c r="F9" s="41" t="s">
        <v>1047</v>
      </c>
      <c r="G9" s="41" t="s">
        <v>26</v>
      </c>
      <c r="H9" s="41" t="s">
        <v>26</v>
      </c>
      <c r="I9" s="43">
        <v>42370</v>
      </c>
      <c r="J9" s="41" t="s">
        <v>818</v>
      </c>
      <c r="K9" s="41" t="s">
        <v>819</v>
      </c>
      <c r="L9" s="41" t="s">
        <v>820</v>
      </c>
      <c r="M9" s="41" t="s">
        <v>26</v>
      </c>
      <c r="N9" s="41" t="s">
        <v>839</v>
      </c>
      <c r="O9" s="48">
        <v>0</v>
      </c>
      <c r="P9" s="41" t="s">
        <v>840</v>
      </c>
      <c r="Q9" s="41" t="s">
        <v>1014</v>
      </c>
      <c r="R9" s="41" t="s">
        <v>900</v>
      </c>
      <c r="S9" s="41" t="s">
        <v>855</v>
      </c>
      <c r="T9" s="41" t="s">
        <v>848</v>
      </c>
      <c r="U9" s="49" t="s">
        <v>848</v>
      </c>
      <c r="V9" s="49" t="s">
        <v>848</v>
      </c>
      <c r="W9" s="49" t="s">
        <v>866</v>
      </c>
      <c r="X9" s="49" t="s">
        <v>867</v>
      </c>
      <c r="Y9" s="49" t="s">
        <v>867</v>
      </c>
      <c r="Z9" s="49" t="s">
        <v>845</v>
      </c>
      <c r="AA9" s="49" t="s">
        <v>846</v>
      </c>
      <c r="AB9" s="49" t="s">
        <v>868</v>
      </c>
      <c r="AC9" s="49" t="s">
        <v>868</v>
      </c>
      <c r="AD9" s="49" t="s">
        <v>868</v>
      </c>
      <c r="AE9" s="49" t="s">
        <v>868</v>
      </c>
      <c r="AF9" s="49" t="s">
        <v>869</v>
      </c>
      <c r="AG9" s="49" t="s">
        <v>848</v>
      </c>
    </row>
    <row r="10" spans="1:33" x14ac:dyDescent="0.25">
      <c r="A10" s="40">
        <v>2000009</v>
      </c>
      <c r="B10" s="40" t="s">
        <v>66</v>
      </c>
      <c r="C10" s="41" t="s">
        <v>24</v>
      </c>
      <c r="D10" s="44">
        <f>SUMIF(CREANCES!$B$2:$B$99999,'INFO CLIENTS'!B10,CREANCES!$J$2:$J$99999) - SUMIF(CREANCES!$B$2:$B$99999,'INFO CLIENTS'!B10,CREANCES!$K$2:$K$99999)</f>
        <v>171590.00000000003</v>
      </c>
      <c r="E10" s="41" t="s">
        <v>1016</v>
      </c>
      <c r="F10" s="41" t="s">
        <v>807</v>
      </c>
      <c r="G10" s="42" t="s">
        <v>794</v>
      </c>
      <c r="H10" s="41" t="s">
        <v>781</v>
      </c>
      <c r="I10" s="43">
        <v>45292</v>
      </c>
      <c r="J10" s="44" t="s">
        <v>1049</v>
      </c>
      <c r="K10" s="41" t="s">
        <v>6783</v>
      </c>
      <c r="L10" s="46">
        <v>500000</v>
      </c>
      <c r="M10" s="41" t="s">
        <v>828</v>
      </c>
      <c r="N10" s="41" t="s">
        <v>839</v>
      </c>
      <c r="O10" s="48">
        <v>1</v>
      </c>
      <c r="P10" s="41" t="s">
        <v>841</v>
      </c>
      <c r="Q10" s="41" t="s">
        <v>844</v>
      </c>
      <c r="R10" s="41" t="s">
        <v>1013</v>
      </c>
      <c r="S10" s="41" t="s">
        <v>855</v>
      </c>
      <c r="T10" s="41" t="s">
        <v>855</v>
      </c>
      <c r="U10" s="41" t="s">
        <v>855</v>
      </c>
      <c r="V10" s="41" t="s">
        <v>855</v>
      </c>
      <c r="W10" s="49" t="s">
        <v>870</v>
      </c>
      <c r="X10" s="49" t="s">
        <v>871</v>
      </c>
      <c r="Y10" s="49" t="s">
        <v>872</v>
      </c>
      <c r="Z10" s="49" t="s">
        <v>873</v>
      </c>
      <c r="AA10" s="49" t="s">
        <v>845</v>
      </c>
      <c r="AB10" s="49" t="s">
        <v>874</v>
      </c>
      <c r="AC10" s="49" t="s">
        <v>875</v>
      </c>
      <c r="AD10" s="49" t="s">
        <v>875</v>
      </c>
      <c r="AE10" s="49" t="s">
        <v>875</v>
      </c>
      <c r="AF10" s="49" t="s">
        <v>857</v>
      </c>
      <c r="AG10" s="49" t="s">
        <v>848</v>
      </c>
    </row>
    <row r="11" spans="1:33" x14ac:dyDescent="0.25">
      <c r="A11" s="40">
        <v>2000010</v>
      </c>
      <c r="B11" s="40" t="s">
        <v>4447</v>
      </c>
      <c r="C11" s="41" t="s">
        <v>24</v>
      </c>
      <c r="D11" s="44">
        <f>SUMIF(CREANCES!$B$2:$B$99999,'INFO CLIENTS'!B11,CREANCES!$J$2:$J$99999) - SUMIF(CREANCES!$B$2:$B$99999,'INFO CLIENTS'!B11,CREANCES!$K$2:$K$99999)</f>
        <v>-30052.499999999996</v>
      </c>
      <c r="E11" s="41" t="s">
        <v>1016</v>
      </c>
      <c r="F11" s="41" t="s">
        <v>808</v>
      </c>
      <c r="G11" s="42" t="s">
        <v>795</v>
      </c>
      <c r="H11" s="41" t="s">
        <v>782</v>
      </c>
      <c r="I11" s="43">
        <v>45505</v>
      </c>
      <c r="J11" s="41" t="s">
        <v>818</v>
      </c>
      <c r="K11" s="41" t="s">
        <v>819</v>
      </c>
      <c r="L11" s="41" t="s">
        <v>820</v>
      </c>
      <c r="M11" s="41" t="s">
        <v>829</v>
      </c>
      <c r="N11" s="41" t="s">
        <v>839</v>
      </c>
      <c r="O11" s="48">
        <v>0</v>
      </c>
      <c r="P11" s="41" t="s">
        <v>841</v>
      </c>
      <c r="Q11" s="41" t="s">
        <v>1014</v>
      </c>
      <c r="R11" s="41" t="s">
        <v>900</v>
      </c>
      <c r="S11" s="41" t="s">
        <v>848</v>
      </c>
      <c r="T11" s="41" t="s">
        <v>855</v>
      </c>
      <c r="U11" s="41" t="s">
        <v>855</v>
      </c>
      <c r="V11" s="41" t="s">
        <v>855</v>
      </c>
      <c r="W11" s="49" t="s">
        <v>876</v>
      </c>
      <c r="X11" s="49" t="s">
        <v>877</v>
      </c>
      <c r="Y11" s="49" t="s">
        <v>877</v>
      </c>
      <c r="Z11" s="49" t="s">
        <v>878</v>
      </c>
      <c r="AA11" s="49" t="s">
        <v>845</v>
      </c>
      <c r="AB11" s="49" t="s">
        <v>879</v>
      </c>
      <c r="AC11" s="49" t="s">
        <v>879</v>
      </c>
      <c r="AD11" s="49" t="s">
        <v>879</v>
      </c>
      <c r="AE11" s="49" t="s">
        <v>879</v>
      </c>
      <c r="AF11" s="49" t="s">
        <v>862</v>
      </c>
      <c r="AG11" s="49" t="s">
        <v>848</v>
      </c>
    </row>
    <row r="12" spans="1:33" x14ac:dyDescent="0.25">
      <c r="A12" s="40">
        <v>2000011</v>
      </c>
      <c r="B12" s="40" t="s">
        <v>6328</v>
      </c>
      <c r="C12" s="41" t="s">
        <v>24</v>
      </c>
      <c r="D12" s="44">
        <f>SUMIF(CREANCES!$B$2:$B$99999,'INFO CLIENTS'!B12,CREANCES!$J$2:$J$99999) - SUMIF(CREANCES!$B$2:$B$99999,'INFO CLIENTS'!B12,CREANCES!$K$2:$K$99999)</f>
        <v>-55003.75</v>
      </c>
      <c r="E12" s="41" t="s">
        <v>1016</v>
      </c>
      <c r="F12" s="41" t="s">
        <v>809</v>
      </c>
      <c r="G12" s="41" t="s">
        <v>26</v>
      </c>
      <c r="H12" s="41" t="s">
        <v>783</v>
      </c>
      <c r="I12" s="43">
        <v>44927</v>
      </c>
      <c r="J12" s="41" t="s">
        <v>818</v>
      </c>
      <c r="K12" s="41" t="s">
        <v>819</v>
      </c>
      <c r="L12" s="41" t="s">
        <v>820</v>
      </c>
      <c r="M12" s="41" t="s">
        <v>830</v>
      </c>
      <c r="N12" s="41" t="s">
        <v>839</v>
      </c>
      <c r="O12" s="48">
        <v>0</v>
      </c>
      <c r="P12" s="41" t="s">
        <v>840</v>
      </c>
      <c r="Q12" s="41" t="s">
        <v>1014</v>
      </c>
      <c r="R12" s="41" t="s">
        <v>6786</v>
      </c>
      <c r="S12" s="41" t="s">
        <v>855</v>
      </c>
      <c r="T12" s="41" t="s">
        <v>848</v>
      </c>
      <c r="U12" s="49" t="s">
        <v>848</v>
      </c>
      <c r="V12" s="49" t="s">
        <v>848</v>
      </c>
      <c r="W12" s="49" t="s">
        <v>853</v>
      </c>
      <c r="X12" s="49" t="s">
        <v>864</v>
      </c>
      <c r="Y12" s="49" t="s">
        <v>864</v>
      </c>
      <c r="Z12" s="49" t="s">
        <v>880</v>
      </c>
      <c r="AA12" s="49" t="s">
        <v>845</v>
      </c>
      <c r="AB12" s="49" t="s">
        <v>851</v>
      </c>
      <c r="AC12" s="49" t="s">
        <v>851</v>
      </c>
      <c r="AD12" s="49" t="s">
        <v>851</v>
      </c>
      <c r="AE12" s="49" t="s">
        <v>851</v>
      </c>
      <c r="AF12" s="49" t="s">
        <v>852</v>
      </c>
      <c r="AG12" s="49" t="s">
        <v>848</v>
      </c>
    </row>
    <row r="13" spans="1:33" x14ac:dyDescent="0.25">
      <c r="A13" s="40">
        <v>2000012</v>
      </c>
      <c r="B13" s="40" t="s">
        <v>41</v>
      </c>
      <c r="C13" s="41" t="s">
        <v>24</v>
      </c>
      <c r="D13" s="44">
        <f>SUMIF(CREANCES!$B$2:$B$99999,'INFO CLIENTS'!B13,CREANCES!$J$2:$J$99999) - SUMIF(CREANCES!$B$2:$B$99999,'INFO CLIENTS'!B13,CREANCES!$K$2:$K$99999)</f>
        <v>-95248.28999999995</v>
      </c>
      <c r="E13" s="41" t="s">
        <v>1016</v>
      </c>
      <c r="F13" s="41" t="s">
        <v>812</v>
      </c>
      <c r="G13" s="42" t="s">
        <v>796</v>
      </c>
      <c r="H13" s="41" t="s">
        <v>784</v>
      </c>
      <c r="I13" s="43">
        <v>42736</v>
      </c>
      <c r="J13" s="41" t="s">
        <v>818</v>
      </c>
      <c r="K13" s="41" t="s">
        <v>819</v>
      </c>
      <c r="L13" s="41" t="s">
        <v>820</v>
      </c>
      <c r="M13" s="41" t="s">
        <v>831</v>
      </c>
      <c r="N13" s="41" t="s">
        <v>839</v>
      </c>
      <c r="O13" s="48">
        <v>0</v>
      </c>
      <c r="P13" s="41" t="s">
        <v>841</v>
      </c>
      <c r="Q13" s="41" t="s">
        <v>1014</v>
      </c>
      <c r="R13" s="41" t="s">
        <v>6786</v>
      </c>
      <c r="S13" s="41" t="s">
        <v>848</v>
      </c>
      <c r="T13" s="41" t="s">
        <v>855</v>
      </c>
      <c r="U13" s="41" t="s">
        <v>855</v>
      </c>
      <c r="V13" s="41" t="s">
        <v>855</v>
      </c>
      <c r="W13" s="49" t="s">
        <v>858</v>
      </c>
      <c r="X13" s="49" t="s">
        <v>859</v>
      </c>
      <c r="Y13" s="49" t="s">
        <v>859</v>
      </c>
      <c r="Z13" s="49" t="s">
        <v>860</v>
      </c>
      <c r="AA13" s="49" t="s">
        <v>845</v>
      </c>
      <c r="AB13" s="49" t="s">
        <v>861</v>
      </c>
      <c r="AC13" s="49" t="s">
        <v>861</v>
      </c>
      <c r="AD13" s="49" t="s">
        <v>861</v>
      </c>
      <c r="AE13" s="49" t="s">
        <v>861</v>
      </c>
      <c r="AF13" s="49" t="s">
        <v>862</v>
      </c>
      <c r="AG13" s="49" t="s">
        <v>847</v>
      </c>
    </row>
    <row r="14" spans="1:33" x14ac:dyDescent="0.25">
      <c r="A14" s="40">
        <v>2000013</v>
      </c>
      <c r="B14" s="40" t="s">
        <v>1034</v>
      </c>
      <c r="C14" s="41" t="s">
        <v>24</v>
      </c>
      <c r="D14" s="44">
        <f>SUMIF(CREANCES!$B$2:$B$99999,'INFO CLIENTS'!B14,CREANCES!$J$2:$J$99999) - SUMIF(CREANCES!$B$2:$B$99999,'INFO CLIENTS'!B14,CREANCES!$K$2:$K$99999)</f>
        <v>432448.63459999964</v>
      </c>
      <c r="E14" s="41" t="s">
        <v>1016</v>
      </c>
      <c r="F14" s="41" t="s">
        <v>812</v>
      </c>
      <c r="G14" s="42" t="s">
        <v>796</v>
      </c>
      <c r="H14" s="41" t="s">
        <v>784</v>
      </c>
      <c r="I14" s="43">
        <v>42736</v>
      </c>
      <c r="J14" s="41" t="s">
        <v>818</v>
      </c>
      <c r="K14" s="41" t="s">
        <v>819</v>
      </c>
      <c r="L14" s="41" t="s">
        <v>820</v>
      </c>
      <c r="M14" s="41" t="s">
        <v>831</v>
      </c>
      <c r="N14" s="41" t="s">
        <v>839</v>
      </c>
      <c r="O14" s="48">
        <v>1</v>
      </c>
      <c r="P14" s="41" t="s">
        <v>841</v>
      </c>
      <c r="Q14" s="41" t="s">
        <v>1014</v>
      </c>
      <c r="R14" s="41" t="s">
        <v>6784</v>
      </c>
      <c r="S14" s="41" t="s">
        <v>848</v>
      </c>
      <c r="T14" s="41" t="s">
        <v>855</v>
      </c>
      <c r="U14" s="41" t="s">
        <v>855</v>
      </c>
      <c r="V14" s="41" t="s">
        <v>855</v>
      </c>
      <c r="W14" s="49" t="s">
        <v>858</v>
      </c>
      <c r="X14" s="49" t="s">
        <v>859</v>
      </c>
      <c r="Y14" s="49" t="s">
        <v>859</v>
      </c>
      <c r="Z14" s="49" t="s">
        <v>860</v>
      </c>
      <c r="AA14" s="49" t="s">
        <v>845</v>
      </c>
      <c r="AB14" s="49" t="s">
        <v>861</v>
      </c>
      <c r="AC14" s="49" t="s">
        <v>861</v>
      </c>
      <c r="AD14" s="49" t="s">
        <v>861</v>
      </c>
      <c r="AE14" s="49" t="s">
        <v>861</v>
      </c>
      <c r="AF14" s="49" t="s">
        <v>862</v>
      </c>
      <c r="AG14" s="49" t="s">
        <v>848</v>
      </c>
    </row>
    <row r="15" spans="1:33" x14ac:dyDescent="0.25">
      <c r="A15" s="40">
        <v>2000014</v>
      </c>
      <c r="B15" s="40" t="s">
        <v>4448</v>
      </c>
      <c r="C15" s="41" t="s">
        <v>24</v>
      </c>
      <c r="D15" s="44">
        <f>SUMIF(CREANCES!$B$2:$B$99999,'INFO CLIENTS'!B15,CREANCES!$J$2:$J$99999) - SUMIF(CREANCES!$B$2:$B$99999,'INFO CLIENTS'!B15,CREANCES!$K$2:$K$99999)</f>
        <v>1.6433999995933846</v>
      </c>
      <c r="E15" s="41" t="s">
        <v>1016</v>
      </c>
      <c r="F15" s="41" t="s">
        <v>810</v>
      </c>
      <c r="G15" s="42" t="s">
        <v>797</v>
      </c>
      <c r="H15" s="41" t="s">
        <v>1026</v>
      </c>
      <c r="I15" s="43">
        <v>42736</v>
      </c>
      <c r="J15" s="44" t="s">
        <v>1049</v>
      </c>
      <c r="K15" s="41" t="s">
        <v>6783</v>
      </c>
      <c r="L15" s="46">
        <v>600000</v>
      </c>
      <c r="M15" s="41" t="s">
        <v>832</v>
      </c>
      <c r="N15" s="41" t="s">
        <v>839</v>
      </c>
      <c r="O15" s="48">
        <v>0.7</v>
      </c>
      <c r="P15" s="41" t="s">
        <v>840</v>
      </c>
      <c r="Q15" s="41" t="s">
        <v>842</v>
      </c>
      <c r="R15" s="41" t="s">
        <v>6787</v>
      </c>
      <c r="S15" s="41" t="s">
        <v>855</v>
      </c>
      <c r="T15" s="41" t="s">
        <v>848</v>
      </c>
      <c r="U15" s="49" t="s">
        <v>848</v>
      </c>
      <c r="V15" s="49" t="s">
        <v>848</v>
      </c>
      <c r="W15" s="49" t="s">
        <v>881</v>
      </c>
      <c r="X15" s="49" t="s">
        <v>882</v>
      </c>
      <c r="Y15" s="49" t="s">
        <v>883</v>
      </c>
      <c r="Z15" s="49" t="s">
        <v>880</v>
      </c>
      <c r="AA15" s="49" t="s">
        <v>894</v>
      </c>
      <c r="AB15" s="49" t="s">
        <v>884</v>
      </c>
      <c r="AC15" s="49" t="s">
        <v>884</v>
      </c>
      <c r="AD15" s="49" t="s">
        <v>884</v>
      </c>
      <c r="AE15" s="49" t="s">
        <v>884</v>
      </c>
      <c r="AF15" s="49" t="s">
        <v>852</v>
      </c>
      <c r="AG15" s="49" t="s">
        <v>847</v>
      </c>
    </row>
    <row r="16" spans="1:33" x14ac:dyDescent="0.25">
      <c r="A16" s="40">
        <v>2000015</v>
      </c>
      <c r="B16" s="40" t="s">
        <v>4423</v>
      </c>
      <c r="C16" s="41" t="s">
        <v>774</v>
      </c>
      <c r="D16" s="44">
        <f>SUMIF(CREANCES!$B$2:$B$99999,'INFO CLIENTS'!B16,CREANCES!$J$2:$J$99999) - SUMIF(CREANCES!$B$2:$B$99999,'INFO CLIENTS'!B16,CREANCES!$K$2:$K$99999)</f>
        <v>175081.13300000085</v>
      </c>
      <c r="E16" s="41" t="s">
        <v>1015</v>
      </c>
      <c r="F16" s="41" t="s">
        <v>811</v>
      </c>
      <c r="G16" s="42" t="s">
        <v>798</v>
      </c>
      <c r="H16" s="41" t="s">
        <v>785</v>
      </c>
      <c r="I16" s="43">
        <v>44562</v>
      </c>
      <c r="J16" s="41" t="s">
        <v>818</v>
      </c>
      <c r="K16" s="41" t="s">
        <v>6781</v>
      </c>
      <c r="L16" s="44">
        <v>400000</v>
      </c>
      <c r="M16" s="41" t="s">
        <v>833</v>
      </c>
      <c r="N16" s="41" t="s">
        <v>839</v>
      </c>
      <c r="O16" s="48">
        <v>1</v>
      </c>
      <c r="P16" s="41" t="s">
        <v>840</v>
      </c>
      <c r="Q16" s="41" t="s">
        <v>842</v>
      </c>
      <c r="R16" s="41" t="s">
        <v>1013</v>
      </c>
      <c r="S16" s="41" t="s">
        <v>854</v>
      </c>
      <c r="T16" s="41" t="s">
        <v>897</v>
      </c>
      <c r="U16" s="49" t="s">
        <v>848</v>
      </c>
      <c r="V16" s="49" t="s">
        <v>848</v>
      </c>
      <c r="W16" s="49" t="s">
        <v>851</v>
      </c>
      <c r="X16" s="49" t="s">
        <v>845</v>
      </c>
      <c r="Y16" s="49" t="s">
        <v>885</v>
      </c>
      <c r="Z16" s="49" t="s">
        <v>865</v>
      </c>
      <c r="AA16" s="49" t="s">
        <v>845</v>
      </c>
      <c r="AB16" s="49" t="s">
        <v>886</v>
      </c>
      <c r="AC16" s="49" t="s">
        <v>886</v>
      </c>
      <c r="AD16" s="49" t="s">
        <v>866</v>
      </c>
      <c r="AE16" s="49" t="s">
        <v>851</v>
      </c>
      <c r="AF16" s="49" t="s">
        <v>887</v>
      </c>
      <c r="AG16" s="49" t="s">
        <v>848</v>
      </c>
    </row>
    <row r="17" spans="1:33" x14ac:dyDescent="0.25">
      <c r="A17" s="40">
        <v>2000016</v>
      </c>
      <c r="B17" s="40" t="s">
        <v>163</v>
      </c>
      <c r="C17" s="41" t="s">
        <v>24</v>
      </c>
      <c r="D17" s="44">
        <f>SUMIF(CREANCES!$B$2:$B$99999,'INFO CLIENTS'!B17,CREANCES!$J$2:$J$99999) - SUMIF(CREANCES!$B$2:$B$99999,'INFO CLIENTS'!B17,CREANCES!$K$2:$K$99999)</f>
        <v>-144655.85999999999</v>
      </c>
      <c r="E17" s="41" t="s">
        <v>1016</v>
      </c>
      <c r="F17" s="41" t="s">
        <v>813</v>
      </c>
      <c r="G17" s="41" t="s">
        <v>26</v>
      </c>
      <c r="H17" s="41" t="s">
        <v>786</v>
      </c>
      <c r="I17" s="43">
        <v>44927</v>
      </c>
      <c r="J17" s="41" t="s">
        <v>818</v>
      </c>
      <c r="K17" s="41" t="s">
        <v>819</v>
      </c>
      <c r="L17" s="41" t="s">
        <v>820</v>
      </c>
      <c r="M17" s="41" t="s">
        <v>834</v>
      </c>
      <c r="N17" s="41" t="s">
        <v>839</v>
      </c>
      <c r="O17" s="48">
        <v>0</v>
      </c>
      <c r="P17" s="41" t="s">
        <v>841</v>
      </c>
      <c r="Q17" s="41" t="s">
        <v>842</v>
      </c>
      <c r="R17" s="41" t="s">
        <v>900</v>
      </c>
      <c r="S17" s="41" t="s">
        <v>855</v>
      </c>
      <c r="T17" s="41" t="s">
        <v>855</v>
      </c>
      <c r="U17" s="41" t="s">
        <v>855</v>
      </c>
      <c r="V17" s="41" t="s">
        <v>855</v>
      </c>
      <c r="W17" s="49" t="s">
        <v>858</v>
      </c>
      <c r="X17" s="49" t="s">
        <v>859</v>
      </c>
      <c r="Y17" s="49" t="s">
        <v>859</v>
      </c>
      <c r="Z17" s="49" t="s">
        <v>860</v>
      </c>
      <c r="AA17" s="49" t="s">
        <v>845</v>
      </c>
      <c r="AB17" s="49" t="s">
        <v>861</v>
      </c>
      <c r="AC17" s="49" t="s">
        <v>861</v>
      </c>
      <c r="AD17" s="49" t="s">
        <v>861</v>
      </c>
      <c r="AE17" s="49" t="s">
        <v>861</v>
      </c>
      <c r="AF17" s="49" t="s">
        <v>862</v>
      </c>
      <c r="AG17" s="49" t="s">
        <v>847</v>
      </c>
    </row>
    <row r="18" spans="1:33" x14ac:dyDescent="0.25">
      <c r="A18" s="40">
        <v>2000017</v>
      </c>
      <c r="B18" s="40" t="s">
        <v>4422</v>
      </c>
      <c r="C18" s="41" t="s">
        <v>774</v>
      </c>
      <c r="D18" s="44">
        <f>SUMIF(CREANCES!$B$2:$B$99999,'INFO CLIENTS'!B18,CREANCES!$J$2:$J$99999) - SUMIF(CREANCES!$B$2:$B$99999,'INFO CLIENTS'!B18,CREANCES!$K$2:$K$99999)</f>
        <v>1173468.2339999999</v>
      </c>
      <c r="E18" s="41" t="s">
        <v>1015</v>
      </c>
      <c r="F18" s="41" t="s">
        <v>814</v>
      </c>
      <c r="G18" s="42" t="s">
        <v>799</v>
      </c>
      <c r="H18" s="41" t="s">
        <v>787</v>
      </c>
      <c r="I18" s="43">
        <v>44562</v>
      </c>
      <c r="J18" s="41" t="s">
        <v>818</v>
      </c>
      <c r="K18" s="41" t="s">
        <v>6782</v>
      </c>
      <c r="L18" s="41" t="s">
        <v>820</v>
      </c>
      <c r="M18" s="41" t="s">
        <v>835</v>
      </c>
      <c r="N18" s="41" t="s">
        <v>839</v>
      </c>
      <c r="O18" s="48">
        <v>1</v>
      </c>
      <c r="P18" s="41" t="s">
        <v>840</v>
      </c>
      <c r="Q18" s="41" t="s">
        <v>842</v>
      </c>
      <c r="R18" s="41" t="s">
        <v>1013</v>
      </c>
      <c r="S18" s="41" t="s">
        <v>1018</v>
      </c>
      <c r="T18" s="41" t="s">
        <v>898</v>
      </c>
      <c r="U18" s="49" t="s">
        <v>848</v>
      </c>
      <c r="V18" s="49" t="s">
        <v>848</v>
      </c>
      <c r="W18" s="49" t="s">
        <v>848</v>
      </c>
      <c r="X18" s="49" t="s">
        <v>850</v>
      </c>
      <c r="Y18" s="49" t="s">
        <v>888</v>
      </c>
      <c r="Z18" s="49" t="s">
        <v>845</v>
      </c>
      <c r="AA18" s="49" t="s">
        <v>845</v>
      </c>
      <c r="AB18" s="49" t="s">
        <v>848</v>
      </c>
      <c r="AC18" s="49" t="s">
        <v>848</v>
      </c>
      <c r="AD18" s="49" t="s">
        <v>848</v>
      </c>
      <c r="AE18" s="49" t="s">
        <v>848</v>
      </c>
      <c r="AF18" s="49" t="s">
        <v>848</v>
      </c>
      <c r="AG18" s="49" t="s">
        <v>848</v>
      </c>
    </row>
    <row r="19" spans="1:33" x14ac:dyDescent="0.25">
      <c r="A19" s="40">
        <v>2000018</v>
      </c>
      <c r="B19" s="40" t="s">
        <v>70</v>
      </c>
      <c r="C19" s="41" t="s">
        <v>24</v>
      </c>
      <c r="D19" s="44">
        <f>SUMIF(CREANCES!$B$2:$B$99999,'INFO CLIENTS'!B19,CREANCES!$J$2:$J$99999) - SUMIF(CREANCES!$B$2:$B$99999,'INFO CLIENTS'!B19,CREANCES!$K$2:$K$99999)</f>
        <v>-110959.21999999994</v>
      </c>
      <c r="E19" s="41" t="s">
        <v>1016</v>
      </c>
      <c r="F19" s="41" t="s">
        <v>815</v>
      </c>
      <c r="G19" s="41" t="s">
        <v>26</v>
      </c>
      <c r="H19" s="41" t="s">
        <v>788</v>
      </c>
      <c r="I19" s="43">
        <v>44562</v>
      </c>
      <c r="J19" s="41" t="s">
        <v>818</v>
      </c>
      <c r="K19" s="41" t="s">
        <v>819</v>
      </c>
      <c r="L19" s="41" t="s">
        <v>820</v>
      </c>
      <c r="M19" s="41" t="s">
        <v>836</v>
      </c>
      <c r="N19" s="41" t="s">
        <v>839</v>
      </c>
      <c r="O19" s="48">
        <v>0</v>
      </c>
      <c r="P19" s="41" t="s">
        <v>841</v>
      </c>
      <c r="Q19" s="41" t="s">
        <v>1014</v>
      </c>
      <c r="R19" s="41" t="s">
        <v>6786</v>
      </c>
      <c r="S19" s="41" t="s">
        <v>848</v>
      </c>
      <c r="T19" s="41" t="s">
        <v>855</v>
      </c>
      <c r="U19" s="41" t="s">
        <v>855</v>
      </c>
      <c r="V19" s="41" t="s">
        <v>855</v>
      </c>
      <c r="W19" s="49" t="s">
        <v>858</v>
      </c>
      <c r="X19" s="49" t="s">
        <v>859</v>
      </c>
      <c r="Y19" s="49" t="s">
        <v>859</v>
      </c>
      <c r="Z19" s="49" t="s">
        <v>860</v>
      </c>
      <c r="AA19" s="49" t="s">
        <v>845</v>
      </c>
      <c r="AB19" s="49" t="s">
        <v>861</v>
      </c>
      <c r="AC19" s="49" t="s">
        <v>861</v>
      </c>
      <c r="AD19" s="49" t="s">
        <v>861</v>
      </c>
      <c r="AE19" s="49" t="s">
        <v>861</v>
      </c>
      <c r="AF19" s="49" t="s">
        <v>862</v>
      </c>
      <c r="AG19" s="49" t="s">
        <v>848</v>
      </c>
    </row>
    <row r="20" spans="1:33" x14ac:dyDescent="0.25">
      <c r="A20" s="40">
        <v>2000019</v>
      </c>
      <c r="B20" s="40" t="s">
        <v>45</v>
      </c>
      <c r="C20" s="41" t="s">
        <v>24</v>
      </c>
      <c r="D20" s="44">
        <f>SUMIF(CREANCES!$B$2:$B$99999,'INFO CLIENTS'!B20,CREANCES!$J$2:$J$99999) - SUMIF(CREANCES!$B$2:$B$99999,'INFO CLIENTS'!B20,CREANCES!$K$2:$K$99999)</f>
        <v>-158974.18000000028</v>
      </c>
      <c r="E20" s="41" t="s">
        <v>1016</v>
      </c>
      <c r="F20" s="41" t="s">
        <v>816</v>
      </c>
      <c r="G20" s="41" t="s">
        <v>26</v>
      </c>
      <c r="H20" s="41" t="s">
        <v>789</v>
      </c>
      <c r="I20" s="43">
        <v>44927</v>
      </c>
      <c r="J20" s="41" t="s">
        <v>818</v>
      </c>
      <c r="K20" s="41" t="s">
        <v>819</v>
      </c>
      <c r="L20" s="41" t="s">
        <v>820</v>
      </c>
      <c r="M20" s="41" t="s">
        <v>837</v>
      </c>
      <c r="N20" s="41" t="s">
        <v>839</v>
      </c>
      <c r="O20" s="48">
        <v>0</v>
      </c>
      <c r="P20" s="41" t="s">
        <v>841</v>
      </c>
      <c r="Q20" s="41" t="s">
        <v>842</v>
      </c>
      <c r="R20" s="41" t="s">
        <v>6786</v>
      </c>
      <c r="S20" s="41" t="s">
        <v>848</v>
      </c>
      <c r="T20" s="41" t="s">
        <v>855</v>
      </c>
      <c r="U20" s="41" t="s">
        <v>855</v>
      </c>
      <c r="V20" s="41" t="s">
        <v>855</v>
      </c>
      <c r="W20" s="49" t="s">
        <v>889</v>
      </c>
      <c r="X20" s="49" t="s">
        <v>890</v>
      </c>
      <c r="Y20" s="49" t="s">
        <v>890</v>
      </c>
      <c r="Z20" s="49" t="s">
        <v>891</v>
      </c>
      <c r="AA20" s="49" t="s">
        <v>845</v>
      </c>
      <c r="AB20" s="49" t="s">
        <v>892</v>
      </c>
      <c r="AC20" s="49" t="s">
        <v>892</v>
      </c>
      <c r="AD20" s="49" t="s">
        <v>892</v>
      </c>
      <c r="AE20" s="49" t="s">
        <v>892</v>
      </c>
      <c r="AF20" s="49" t="s">
        <v>893</v>
      </c>
      <c r="AG20" s="49" t="s">
        <v>848</v>
      </c>
    </row>
    <row r="21" spans="1:33" x14ac:dyDescent="0.25">
      <c r="A21" s="40">
        <v>2000020</v>
      </c>
      <c r="B21" s="40" t="s">
        <v>140</v>
      </c>
      <c r="C21" s="41" t="s">
        <v>24</v>
      </c>
      <c r="D21" s="44">
        <f>SUMIF(CREANCES!$B$2:$B$99999,'INFO CLIENTS'!B21,CREANCES!$J$2:$J$99999) - SUMIF(CREANCES!$B$2:$B$99999,'INFO CLIENTS'!B21,CREANCES!$K$2:$K$99999)</f>
        <v>-222205.80000000005</v>
      </c>
      <c r="E21" s="41" t="s">
        <v>1016</v>
      </c>
      <c r="F21" s="41" t="s">
        <v>817</v>
      </c>
      <c r="G21" s="42" t="s">
        <v>800</v>
      </c>
      <c r="H21" s="41" t="s">
        <v>790</v>
      </c>
      <c r="I21" s="43">
        <v>45017</v>
      </c>
      <c r="J21" s="41" t="s">
        <v>818</v>
      </c>
      <c r="K21" s="41" t="s">
        <v>819</v>
      </c>
      <c r="L21" s="41" t="s">
        <v>820</v>
      </c>
      <c r="M21" s="47" t="s">
        <v>838</v>
      </c>
      <c r="N21" s="41" t="s">
        <v>839</v>
      </c>
      <c r="O21" s="48">
        <v>0</v>
      </c>
      <c r="P21" s="41" t="s">
        <v>840</v>
      </c>
      <c r="Q21" s="41" t="s">
        <v>842</v>
      </c>
      <c r="R21" s="41" t="s">
        <v>6786</v>
      </c>
      <c r="S21" s="41" t="s">
        <v>855</v>
      </c>
      <c r="T21" s="41" t="s">
        <v>848</v>
      </c>
      <c r="U21" s="49" t="s">
        <v>848</v>
      </c>
      <c r="V21" s="49" t="s">
        <v>848</v>
      </c>
      <c r="W21" s="49" t="s">
        <v>848</v>
      </c>
      <c r="X21" s="49" t="s">
        <v>854</v>
      </c>
      <c r="Y21" s="49" t="s">
        <v>854</v>
      </c>
      <c r="Z21" s="49" t="s">
        <v>854</v>
      </c>
      <c r="AA21" s="49" t="s">
        <v>845</v>
      </c>
      <c r="AB21" s="49" t="s">
        <v>853</v>
      </c>
      <c r="AC21" s="49" t="s">
        <v>853</v>
      </c>
      <c r="AD21" s="49" t="s">
        <v>853</v>
      </c>
      <c r="AE21" s="49" t="s">
        <v>853</v>
      </c>
      <c r="AF21" s="49" t="s">
        <v>852</v>
      </c>
      <c r="AG21" s="49" t="s">
        <v>847</v>
      </c>
    </row>
    <row r="22" spans="1:33" x14ac:dyDescent="0.25">
      <c r="A22" s="40">
        <v>2000021</v>
      </c>
      <c r="B22" s="40" t="s">
        <v>4449</v>
      </c>
      <c r="C22" s="41" t="s">
        <v>902</v>
      </c>
      <c r="D22" s="44">
        <f>SUMIF(CREANCES!$B$2:$B$99999,'INFO CLIENTS'!B22,CREANCES!$J$2:$J$99999) - SUMIF(CREANCES!$B$2:$B$99999,'INFO CLIENTS'!B22,CREANCES!$K$2:$K$99999)</f>
        <v>-39640.44</v>
      </c>
      <c r="E22" s="41" t="s">
        <v>1016</v>
      </c>
      <c r="F22" s="41" t="s">
        <v>1048</v>
      </c>
      <c r="G22" s="50" t="s">
        <v>904</v>
      </c>
      <c r="H22" s="41" t="s">
        <v>905</v>
      </c>
      <c r="I22" s="43">
        <v>45658</v>
      </c>
      <c r="J22" s="41" t="s">
        <v>818</v>
      </c>
      <c r="K22" s="41" t="s">
        <v>819</v>
      </c>
      <c r="L22" s="44">
        <f>72000/1.2</f>
        <v>60000</v>
      </c>
      <c r="M22" s="47" t="s">
        <v>906</v>
      </c>
      <c r="N22" s="41" t="s">
        <v>839</v>
      </c>
      <c r="O22" s="48">
        <v>1</v>
      </c>
      <c r="P22" s="41" t="s">
        <v>840</v>
      </c>
      <c r="Q22" s="41" t="s">
        <v>1014</v>
      </c>
      <c r="R22" s="41" t="s">
        <v>907</v>
      </c>
      <c r="S22" s="41" t="s">
        <v>848</v>
      </c>
      <c r="T22" s="41" t="s">
        <v>848</v>
      </c>
      <c r="U22" s="49" t="s">
        <v>848</v>
      </c>
      <c r="V22" s="49" t="s">
        <v>848</v>
      </c>
      <c r="W22" s="49" t="s">
        <v>848</v>
      </c>
      <c r="X22" s="49" t="s">
        <v>848</v>
      </c>
      <c r="Y22" s="49" t="s">
        <v>848</v>
      </c>
      <c r="Z22" s="49" t="s">
        <v>848</v>
      </c>
      <c r="AA22" s="49" t="s">
        <v>845</v>
      </c>
      <c r="AB22" s="49" t="s">
        <v>848</v>
      </c>
      <c r="AC22" s="49" t="s">
        <v>848</v>
      </c>
      <c r="AD22" s="49" t="s">
        <v>848</v>
      </c>
      <c r="AE22" s="49" t="s">
        <v>848</v>
      </c>
      <c r="AF22" s="49" t="s">
        <v>852</v>
      </c>
      <c r="AG22" s="49" t="s">
        <v>848</v>
      </c>
    </row>
    <row r="23" spans="1:33" x14ac:dyDescent="0.25">
      <c r="A23" s="40">
        <v>2000022</v>
      </c>
      <c r="B23" s="40" t="s">
        <v>4450</v>
      </c>
      <c r="C23" s="41" t="s">
        <v>901</v>
      </c>
      <c r="D23" s="44">
        <f>SUMIF(CREANCES!$B$2:$B$99999,'INFO CLIENTS'!B23,CREANCES!$J$2:$J$99999) - SUMIF(CREANCES!$B$2:$B$99999,'INFO CLIENTS'!B23,CREANCES!$K$2:$K$99999)</f>
        <v>150973.6</v>
      </c>
      <c r="E23" s="41" t="s">
        <v>1016</v>
      </c>
      <c r="F23" s="41" t="s">
        <v>917</v>
      </c>
      <c r="G23" s="50" t="s">
        <v>26</v>
      </c>
      <c r="H23" s="41" t="s">
        <v>938</v>
      </c>
      <c r="I23" s="43">
        <v>44197</v>
      </c>
      <c r="J23" s="41" t="s">
        <v>818</v>
      </c>
      <c r="K23" s="41" t="s">
        <v>6783</v>
      </c>
      <c r="L23" s="41" t="s">
        <v>820</v>
      </c>
      <c r="M23" s="47" t="s">
        <v>939</v>
      </c>
      <c r="N23" s="41" t="s">
        <v>1009</v>
      </c>
      <c r="O23" s="48">
        <v>1</v>
      </c>
      <c r="P23" s="41" t="s">
        <v>841</v>
      </c>
      <c r="Q23" s="41" t="s">
        <v>1014</v>
      </c>
      <c r="R23" s="41" t="s">
        <v>907</v>
      </c>
      <c r="S23" s="41" t="s">
        <v>855</v>
      </c>
      <c r="T23" s="41" t="s">
        <v>848</v>
      </c>
      <c r="U23" s="49" t="s">
        <v>848</v>
      </c>
      <c r="V23" s="49" t="s">
        <v>848</v>
      </c>
      <c r="W23" s="49" t="s">
        <v>848</v>
      </c>
      <c r="X23" s="49" t="s">
        <v>872</v>
      </c>
      <c r="Y23" s="49" t="s">
        <v>872</v>
      </c>
      <c r="Z23" s="49" t="s">
        <v>873</v>
      </c>
      <c r="AA23" s="49" t="s">
        <v>845</v>
      </c>
      <c r="AB23" s="49" t="s">
        <v>995</v>
      </c>
      <c r="AC23" s="49" t="s">
        <v>994</v>
      </c>
      <c r="AD23" s="49" t="s">
        <v>855</v>
      </c>
      <c r="AE23" s="49" t="s">
        <v>855</v>
      </c>
      <c r="AF23" s="49" t="s">
        <v>855</v>
      </c>
      <c r="AG23" s="49" t="s">
        <v>855</v>
      </c>
    </row>
    <row r="24" spans="1:33" x14ac:dyDescent="0.25">
      <c r="A24" s="40">
        <v>2000023</v>
      </c>
      <c r="B24" s="40" t="s">
        <v>908</v>
      </c>
      <c r="C24" s="41" t="s">
        <v>774</v>
      </c>
      <c r="D24" s="44">
        <f>SUMIF(CREANCES!$B$2:$B$99999,'INFO CLIENTS'!B24,CREANCES!$J$2:$J$99999) - SUMIF(CREANCES!$B$2:$B$99999,'INFO CLIENTS'!B24,CREANCES!$K$2:$K$99999)</f>
        <v>7794.976000000318</v>
      </c>
      <c r="E24" s="41" t="s">
        <v>1015</v>
      </c>
      <c r="F24" s="41" t="s">
        <v>918</v>
      </c>
      <c r="G24" s="50" t="s">
        <v>940</v>
      </c>
      <c r="H24" s="41" t="s">
        <v>941</v>
      </c>
      <c r="I24" s="43">
        <v>44197</v>
      </c>
      <c r="J24" s="41" t="s">
        <v>818</v>
      </c>
      <c r="K24" s="41" t="s">
        <v>6783</v>
      </c>
      <c r="L24" s="41" t="s">
        <v>820</v>
      </c>
      <c r="M24" s="47" t="s">
        <v>942</v>
      </c>
      <c r="N24" s="41" t="s">
        <v>1009</v>
      </c>
      <c r="O24" s="48">
        <v>1</v>
      </c>
      <c r="P24" s="41" t="s">
        <v>840</v>
      </c>
      <c r="Q24" s="41" t="s">
        <v>842</v>
      </c>
      <c r="R24" s="41" t="s">
        <v>1013</v>
      </c>
      <c r="S24" s="41" t="s">
        <v>869</v>
      </c>
      <c r="T24" s="41" t="s">
        <v>1017</v>
      </c>
      <c r="U24" s="49" t="s">
        <v>848</v>
      </c>
      <c r="V24" s="49" t="s">
        <v>848</v>
      </c>
      <c r="W24" s="49" t="s">
        <v>854</v>
      </c>
      <c r="X24" s="49" t="s">
        <v>888</v>
      </c>
      <c r="Y24" s="49" t="s">
        <v>888</v>
      </c>
      <c r="Z24" s="49" t="s">
        <v>845</v>
      </c>
      <c r="AA24" s="49" t="s">
        <v>845</v>
      </c>
      <c r="AB24" s="49" t="s">
        <v>848</v>
      </c>
      <c r="AC24" s="49" t="s">
        <v>848</v>
      </c>
      <c r="AD24" s="49" t="s">
        <v>848</v>
      </c>
      <c r="AE24" s="49" t="s">
        <v>848</v>
      </c>
      <c r="AF24" s="49" t="s">
        <v>848</v>
      </c>
      <c r="AG24" s="49" t="s">
        <v>848</v>
      </c>
    </row>
    <row r="25" spans="1:33" x14ac:dyDescent="0.25">
      <c r="A25" s="40">
        <v>2000024</v>
      </c>
      <c r="B25" s="40" t="s">
        <v>147</v>
      </c>
      <c r="C25" s="41" t="s">
        <v>24</v>
      </c>
      <c r="D25" s="44">
        <f>SUMIF(CREANCES!$B$2:$B$99999,'INFO CLIENTS'!B25,CREANCES!$J$2:$J$99999) - SUMIF(CREANCES!$B$2:$B$99999,'INFO CLIENTS'!B25,CREANCES!$K$2:$K$99999)</f>
        <v>1200</v>
      </c>
      <c r="E25" s="41" t="s">
        <v>1016</v>
      </c>
      <c r="F25" s="41" t="s">
        <v>919</v>
      </c>
      <c r="G25" s="50" t="s">
        <v>943</v>
      </c>
      <c r="H25" s="41" t="s">
        <v>944</v>
      </c>
      <c r="I25" s="43">
        <v>44197</v>
      </c>
      <c r="J25" s="41" t="s">
        <v>818</v>
      </c>
      <c r="K25" s="41" t="s">
        <v>6783</v>
      </c>
      <c r="L25" s="41" t="s">
        <v>820</v>
      </c>
      <c r="M25" s="47" t="s">
        <v>965</v>
      </c>
      <c r="N25" s="41" t="s">
        <v>1009</v>
      </c>
      <c r="O25" s="48">
        <v>1</v>
      </c>
      <c r="P25" s="41" t="s">
        <v>841</v>
      </c>
      <c r="Q25" s="41" t="s">
        <v>1014</v>
      </c>
      <c r="R25" s="41" t="s">
        <v>1013</v>
      </c>
      <c r="S25" s="41" t="s">
        <v>855</v>
      </c>
      <c r="T25" s="41" t="s">
        <v>855</v>
      </c>
      <c r="U25" s="41" t="s">
        <v>855</v>
      </c>
      <c r="V25" s="41" t="s">
        <v>855</v>
      </c>
      <c r="W25" s="49" t="s">
        <v>996</v>
      </c>
      <c r="X25" s="49" t="s">
        <v>997</v>
      </c>
      <c r="Y25" s="49" t="s">
        <v>997</v>
      </c>
      <c r="Z25" s="49" t="s">
        <v>873</v>
      </c>
      <c r="AA25" s="49" t="s">
        <v>845</v>
      </c>
      <c r="AB25" s="49" t="s">
        <v>879</v>
      </c>
      <c r="AC25" s="49" t="s">
        <v>879</v>
      </c>
      <c r="AD25" s="49" t="s">
        <v>879</v>
      </c>
      <c r="AE25" s="49" t="s">
        <v>879</v>
      </c>
      <c r="AF25" s="49" t="s">
        <v>857</v>
      </c>
      <c r="AG25" s="49" t="s">
        <v>855</v>
      </c>
    </row>
    <row r="26" spans="1:33" x14ac:dyDescent="0.25">
      <c r="A26" s="40">
        <v>2000025</v>
      </c>
      <c r="B26" s="40" t="s">
        <v>139</v>
      </c>
      <c r="C26" s="41" t="s">
        <v>24</v>
      </c>
      <c r="D26" s="44">
        <f>SUMIF(CREANCES!$B$2:$B$99999,'INFO CLIENTS'!B26,CREANCES!$J$2:$J$99999) - SUMIF(CREANCES!$B$2:$B$99999,'INFO CLIENTS'!B26,CREANCES!$K$2:$K$99999)</f>
        <v>227223.47400000002</v>
      </c>
      <c r="E26" s="41" t="s">
        <v>1016</v>
      </c>
      <c r="F26" s="41" t="s">
        <v>805</v>
      </c>
      <c r="G26" s="50" t="s">
        <v>945</v>
      </c>
      <c r="H26" s="41" t="s">
        <v>780</v>
      </c>
      <c r="I26" s="43">
        <v>44197</v>
      </c>
      <c r="J26" s="41" t="s">
        <v>818</v>
      </c>
      <c r="K26" s="41" t="s">
        <v>6783</v>
      </c>
      <c r="L26" s="41" t="s">
        <v>820</v>
      </c>
      <c r="M26" s="47" t="s">
        <v>826</v>
      </c>
      <c r="N26" s="41" t="s">
        <v>1010</v>
      </c>
      <c r="O26" s="48">
        <v>0.7</v>
      </c>
      <c r="P26" s="41" t="s">
        <v>841</v>
      </c>
      <c r="Q26" s="41" t="s">
        <v>1011</v>
      </c>
      <c r="R26" s="41" t="s">
        <v>4486</v>
      </c>
      <c r="S26" s="41" t="s">
        <v>855</v>
      </c>
      <c r="T26" s="41" t="s">
        <v>848</v>
      </c>
      <c r="U26" s="41" t="s">
        <v>855</v>
      </c>
      <c r="V26" s="41" t="s">
        <v>855</v>
      </c>
      <c r="W26" s="49" t="s">
        <v>996</v>
      </c>
      <c r="X26" s="49" t="s">
        <v>850</v>
      </c>
      <c r="Y26" s="49" t="s">
        <v>998</v>
      </c>
      <c r="Z26" s="49" t="s">
        <v>859</v>
      </c>
      <c r="AA26" s="49" t="s">
        <v>845</v>
      </c>
      <c r="AB26" s="49" t="s">
        <v>999</v>
      </c>
      <c r="AC26" s="49" t="s">
        <v>999</v>
      </c>
      <c r="AD26" s="49" t="s">
        <v>999</v>
      </c>
      <c r="AE26" s="49" t="s">
        <v>999</v>
      </c>
      <c r="AF26" s="49" t="s">
        <v>852</v>
      </c>
      <c r="AG26" s="49" t="s">
        <v>848</v>
      </c>
    </row>
    <row r="27" spans="1:33" x14ac:dyDescent="0.25">
      <c r="A27" s="40">
        <v>2000026</v>
      </c>
      <c r="B27" s="40" t="s">
        <v>909</v>
      </c>
      <c r="C27" s="41" t="s">
        <v>24</v>
      </c>
      <c r="D27" s="44">
        <f>SUMIF(CREANCES!$B$2:$B$99999,'INFO CLIENTS'!B27,CREANCES!$J$2:$J$99999) - SUMIF(CREANCES!$B$2:$B$99999,'INFO CLIENTS'!B27,CREANCES!$K$2:$K$99999)</f>
        <v>49719.399999999994</v>
      </c>
      <c r="E27" s="41" t="s">
        <v>1016</v>
      </c>
      <c r="F27" s="41" t="s">
        <v>1031</v>
      </c>
      <c r="G27" s="50" t="s">
        <v>26</v>
      </c>
      <c r="H27" s="41" t="s">
        <v>1030</v>
      </c>
      <c r="I27" s="43">
        <v>44197</v>
      </c>
      <c r="J27" s="41" t="s">
        <v>818</v>
      </c>
      <c r="K27" s="41" t="s">
        <v>6783</v>
      </c>
      <c r="L27" s="41" t="s">
        <v>820</v>
      </c>
      <c r="M27" s="47" t="s">
        <v>966</v>
      </c>
      <c r="N27" s="41" t="s">
        <v>839</v>
      </c>
      <c r="O27" s="48">
        <v>0.5</v>
      </c>
      <c r="P27" s="41" t="s">
        <v>841</v>
      </c>
      <c r="Q27" s="41" t="s">
        <v>844</v>
      </c>
      <c r="R27" s="41" t="s">
        <v>1013</v>
      </c>
      <c r="S27" s="41" t="s">
        <v>855</v>
      </c>
      <c r="T27" s="41" t="s">
        <v>855</v>
      </c>
      <c r="U27" s="41" t="s">
        <v>998</v>
      </c>
      <c r="V27" s="41" t="s">
        <v>855</v>
      </c>
      <c r="W27" s="49" t="s">
        <v>859</v>
      </c>
      <c r="X27" s="49" t="s">
        <v>997</v>
      </c>
      <c r="Y27" s="49" t="s">
        <v>997</v>
      </c>
      <c r="Z27" s="49" t="s">
        <v>997</v>
      </c>
      <c r="AA27" s="49" t="s">
        <v>997</v>
      </c>
      <c r="AB27" s="49" t="s">
        <v>859</v>
      </c>
      <c r="AC27" s="49" t="s">
        <v>859</v>
      </c>
      <c r="AD27" s="49" t="s">
        <v>859</v>
      </c>
      <c r="AE27" s="49" t="s">
        <v>859</v>
      </c>
      <c r="AF27" s="49" t="s">
        <v>857</v>
      </c>
      <c r="AG27" s="49" t="s">
        <v>855</v>
      </c>
    </row>
    <row r="28" spans="1:33" x14ac:dyDescent="0.25">
      <c r="A28" s="40">
        <v>2000027</v>
      </c>
      <c r="B28" s="40" t="s">
        <v>161</v>
      </c>
      <c r="C28" s="41" t="s">
        <v>901</v>
      </c>
      <c r="D28" s="44">
        <f>SUMIF(CREANCES!$B$2:$B$99999,'INFO CLIENTS'!B28,CREANCES!$J$2:$J$99999) - SUMIF(CREANCES!$B$2:$B$99999,'INFO CLIENTS'!B28,CREANCES!$K$2:$K$99999)</f>
        <v>287524.69199999998</v>
      </c>
      <c r="E28" s="41" t="s">
        <v>1016</v>
      </c>
      <c r="F28" s="41" t="s">
        <v>920</v>
      </c>
      <c r="G28" s="50" t="s">
        <v>946</v>
      </c>
      <c r="H28" s="41" t="s">
        <v>947</v>
      </c>
      <c r="I28" s="43">
        <v>44197</v>
      </c>
      <c r="J28" s="41" t="s">
        <v>818</v>
      </c>
      <c r="K28" s="41" t="s">
        <v>6783</v>
      </c>
      <c r="L28" s="41" t="s">
        <v>820</v>
      </c>
      <c r="M28" s="47" t="s">
        <v>967</v>
      </c>
      <c r="N28" s="41" t="s">
        <v>1010</v>
      </c>
      <c r="O28" s="48">
        <v>1</v>
      </c>
      <c r="P28" s="41" t="s">
        <v>841</v>
      </c>
      <c r="Q28" s="41" t="s">
        <v>844</v>
      </c>
      <c r="R28" s="41" t="s">
        <v>1013</v>
      </c>
      <c r="S28" s="41" t="s">
        <v>848</v>
      </c>
      <c r="T28" s="41" t="s">
        <v>855</v>
      </c>
      <c r="U28" s="41" t="s">
        <v>855</v>
      </c>
      <c r="V28" s="41" t="s">
        <v>855</v>
      </c>
      <c r="W28" s="49" t="s">
        <v>994</v>
      </c>
      <c r="X28" s="49" t="s">
        <v>872</v>
      </c>
      <c r="Y28" s="49" t="s">
        <v>997</v>
      </c>
      <c r="Z28" s="49" t="s">
        <v>871</v>
      </c>
      <c r="AA28" s="49" t="s">
        <v>845</v>
      </c>
      <c r="AB28" s="49" t="s">
        <v>1000</v>
      </c>
      <c r="AC28" s="49" t="s">
        <v>1000</v>
      </c>
      <c r="AD28" s="49" t="s">
        <v>1000</v>
      </c>
      <c r="AE28" s="49" t="s">
        <v>1000</v>
      </c>
      <c r="AF28" s="49" t="s">
        <v>857</v>
      </c>
      <c r="AG28" s="49" t="s">
        <v>855</v>
      </c>
    </row>
    <row r="29" spans="1:33" x14ac:dyDescent="0.25">
      <c r="A29" s="40">
        <v>2000028</v>
      </c>
      <c r="B29" s="40" t="s">
        <v>4451</v>
      </c>
      <c r="C29" s="41" t="s">
        <v>24</v>
      </c>
      <c r="D29" s="44">
        <f>SUMIF(CREANCES!$B$2:$B$99999,'INFO CLIENTS'!B29,CREANCES!$J$2:$J$99999) - SUMIF(CREANCES!$B$2:$B$99999,'INFO CLIENTS'!B29,CREANCES!$K$2:$K$99999)</f>
        <v>20453</v>
      </c>
      <c r="E29" s="41" t="s">
        <v>1016</v>
      </c>
      <c r="F29" s="41" t="s">
        <v>921</v>
      </c>
      <c r="G29" s="50" t="s">
        <v>26</v>
      </c>
      <c r="H29" s="41" t="s">
        <v>948</v>
      </c>
      <c r="I29" s="43">
        <v>44197</v>
      </c>
      <c r="J29" s="41" t="s">
        <v>818</v>
      </c>
      <c r="K29" s="41" t="s">
        <v>6783</v>
      </c>
      <c r="L29" s="41" t="s">
        <v>820</v>
      </c>
      <c r="M29" s="47" t="s">
        <v>968</v>
      </c>
      <c r="N29" s="41" t="s">
        <v>1010</v>
      </c>
      <c r="O29" s="48">
        <v>1</v>
      </c>
      <c r="P29" s="41" t="s">
        <v>841</v>
      </c>
      <c r="Q29" s="41" t="s">
        <v>844</v>
      </c>
      <c r="R29" s="41" t="s">
        <v>1013</v>
      </c>
      <c r="S29" s="41" t="s">
        <v>848</v>
      </c>
      <c r="T29" s="41" t="s">
        <v>855</v>
      </c>
      <c r="U29" s="41" t="s">
        <v>873</v>
      </c>
      <c r="V29" s="41" t="s">
        <v>855</v>
      </c>
      <c r="W29" s="49" t="s">
        <v>994</v>
      </c>
      <c r="X29" s="49" t="s">
        <v>1002</v>
      </c>
      <c r="Y29" s="49" t="s">
        <v>1001</v>
      </c>
      <c r="Z29" s="49" t="s">
        <v>873</v>
      </c>
      <c r="AA29" s="49" t="s">
        <v>845</v>
      </c>
      <c r="AB29" s="49" t="s">
        <v>859</v>
      </c>
      <c r="AC29" s="49" t="s">
        <v>859</v>
      </c>
      <c r="AD29" s="49" t="s">
        <v>859</v>
      </c>
      <c r="AE29" s="49" t="s">
        <v>859</v>
      </c>
      <c r="AF29" s="49" t="s">
        <v>857</v>
      </c>
      <c r="AG29" s="49" t="s">
        <v>855</v>
      </c>
    </row>
    <row r="30" spans="1:33" x14ac:dyDescent="0.25">
      <c r="A30" s="40">
        <v>2000029</v>
      </c>
      <c r="B30" s="40" t="s">
        <v>148</v>
      </c>
      <c r="C30" s="41" t="s">
        <v>901</v>
      </c>
      <c r="D30" s="44">
        <f>SUMIF(CREANCES!$B$2:$B$99999,'INFO CLIENTS'!B30,CREANCES!$J$2:$J$99999) - SUMIF(CREANCES!$B$2:$B$99999,'INFO CLIENTS'!B30,CREANCES!$K$2:$K$99999)</f>
        <v>3786130.0999999996</v>
      </c>
      <c r="E30" s="41" t="s">
        <v>1016</v>
      </c>
      <c r="F30" s="41" t="s">
        <v>922</v>
      </c>
      <c r="G30" s="50" t="s">
        <v>26</v>
      </c>
      <c r="H30" s="41" t="s">
        <v>1027</v>
      </c>
      <c r="I30" s="43">
        <v>44197</v>
      </c>
      <c r="J30" s="41" t="s">
        <v>818</v>
      </c>
      <c r="K30" s="41" t="s">
        <v>6783</v>
      </c>
      <c r="L30" s="41" t="s">
        <v>820</v>
      </c>
      <c r="M30" s="47" t="s">
        <v>969</v>
      </c>
      <c r="N30" s="41" t="s">
        <v>1010</v>
      </c>
      <c r="O30" s="48">
        <v>1</v>
      </c>
      <c r="P30" s="41" t="s">
        <v>841</v>
      </c>
      <c r="Q30" s="41" t="s">
        <v>1012</v>
      </c>
      <c r="R30" s="41" t="s">
        <v>1013</v>
      </c>
      <c r="S30" s="41" t="s">
        <v>848</v>
      </c>
      <c r="T30" s="41" t="s">
        <v>855</v>
      </c>
      <c r="U30" s="41" t="s">
        <v>855</v>
      </c>
      <c r="V30" s="41" t="s">
        <v>855</v>
      </c>
      <c r="W30" s="49" t="s">
        <v>859</v>
      </c>
      <c r="X30" s="49" t="s">
        <v>871</v>
      </c>
      <c r="Y30" s="49" t="s">
        <v>871</v>
      </c>
      <c r="Z30" s="49" t="s">
        <v>871</v>
      </c>
      <c r="AA30" s="49" t="s">
        <v>845</v>
      </c>
      <c r="AB30" s="49" t="s">
        <v>859</v>
      </c>
      <c r="AC30" s="49" t="s">
        <v>859</v>
      </c>
      <c r="AD30" s="49" t="s">
        <v>859</v>
      </c>
      <c r="AE30" s="49" t="s">
        <v>859</v>
      </c>
      <c r="AF30" s="49" t="s">
        <v>857</v>
      </c>
      <c r="AG30" s="49" t="s">
        <v>855</v>
      </c>
    </row>
    <row r="31" spans="1:33" x14ac:dyDescent="0.25">
      <c r="A31" s="40">
        <v>2000030</v>
      </c>
      <c r="B31" s="40" t="s">
        <v>162</v>
      </c>
      <c r="C31" s="41" t="s">
        <v>24</v>
      </c>
      <c r="D31" s="44">
        <f>SUMIF(CREANCES!$B$2:$B$99999,'INFO CLIENTS'!B31,CREANCES!$J$2:$J$99999) - SUMIF(CREANCES!$B$2:$B$99999,'INFO CLIENTS'!B31,CREANCES!$K$2:$K$99999)</f>
        <v>1656491.0799999996</v>
      </c>
      <c r="E31" s="41" t="s">
        <v>1016</v>
      </c>
      <c r="F31" s="41" t="s">
        <v>923</v>
      </c>
      <c r="G31" s="50" t="s">
        <v>950</v>
      </c>
      <c r="H31" s="41" t="s">
        <v>949</v>
      </c>
      <c r="I31" s="43">
        <v>42736</v>
      </c>
      <c r="J31" s="41" t="s">
        <v>818</v>
      </c>
      <c r="K31" s="41" t="s">
        <v>6783</v>
      </c>
      <c r="L31" s="41" t="s">
        <v>820</v>
      </c>
      <c r="M31" s="47" t="s">
        <v>970</v>
      </c>
      <c r="N31" s="41" t="s">
        <v>1010</v>
      </c>
      <c r="O31" s="48">
        <v>0.3</v>
      </c>
      <c r="P31" s="41" t="s">
        <v>841</v>
      </c>
      <c r="Q31" s="41" t="s">
        <v>1012</v>
      </c>
      <c r="R31" s="41" t="s">
        <v>6786</v>
      </c>
      <c r="S31" s="41" t="s">
        <v>848</v>
      </c>
      <c r="T31" s="41" t="s">
        <v>855</v>
      </c>
      <c r="U31" s="41" t="s">
        <v>855</v>
      </c>
      <c r="V31" s="41" t="s">
        <v>855</v>
      </c>
      <c r="W31" s="49" t="s">
        <v>994</v>
      </c>
      <c r="X31" s="49" t="s">
        <v>1003</v>
      </c>
      <c r="Y31" s="49" t="s">
        <v>1003</v>
      </c>
      <c r="Z31" s="49" t="s">
        <v>1003</v>
      </c>
      <c r="AA31" s="49" t="s">
        <v>845</v>
      </c>
      <c r="AB31" s="49" t="s">
        <v>994</v>
      </c>
      <c r="AC31" s="49" t="s">
        <v>994</v>
      </c>
      <c r="AD31" s="49" t="s">
        <v>994</v>
      </c>
      <c r="AE31" s="49" t="s">
        <v>994</v>
      </c>
      <c r="AF31" s="49" t="s">
        <v>857</v>
      </c>
      <c r="AG31" s="49" t="s">
        <v>855</v>
      </c>
    </row>
    <row r="32" spans="1:33" x14ac:dyDescent="0.25">
      <c r="A32" s="40">
        <v>2000031</v>
      </c>
      <c r="B32" s="40" t="s">
        <v>149</v>
      </c>
      <c r="C32" s="41" t="s">
        <v>774</v>
      </c>
      <c r="D32" s="44">
        <f>SUMIF(CREANCES!$B$2:$B$99999,'INFO CLIENTS'!B32,CREANCES!$J$2:$J$99999) - SUMIF(CREANCES!$B$2:$B$99999,'INFO CLIENTS'!B32,CREANCES!$K$2:$K$99999)</f>
        <v>272886.86400000018</v>
      </c>
      <c r="E32" s="41" t="s">
        <v>1016</v>
      </c>
      <c r="F32" s="41" t="s">
        <v>924</v>
      </c>
      <c r="G32" s="50" t="s">
        <v>26</v>
      </c>
      <c r="H32" s="41" t="s">
        <v>951</v>
      </c>
      <c r="I32" s="43">
        <v>44197</v>
      </c>
      <c r="J32" s="41" t="s">
        <v>818</v>
      </c>
      <c r="K32" s="41" t="s">
        <v>6783</v>
      </c>
      <c r="L32" s="41" t="s">
        <v>820</v>
      </c>
      <c r="M32" s="47" t="s">
        <v>971</v>
      </c>
      <c r="N32" s="41" t="s">
        <v>1010</v>
      </c>
      <c r="O32" s="48">
        <v>1</v>
      </c>
      <c r="P32" s="41" t="s">
        <v>840</v>
      </c>
      <c r="Q32" s="41" t="s">
        <v>844</v>
      </c>
      <c r="R32" s="41" t="s">
        <v>6784</v>
      </c>
      <c r="S32" s="41" t="s">
        <v>848</v>
      </c>
      <c r="T32" s="41" t="s">
        <v>848</v>
      </c>
      <c r="U32" s="49" t="s">
        <v>848</v>
      </c>
      <c r="V32" s="49" t="s">
        <v>848</v>
      </c>
      <c r="W32" s="49" t="s">
        <v>848</v>
      </c>
      <c r="X32" s="49" t="s">
        <v>998</v>
      </c>
      <c r="Y32" s="49" t="s">
        <v>867</v>
      </c>
      <c r="Z32" s="49" t="s">
        <v>864</v>
      </c>
      <c r="AA32" s="49" t="s">
        <v>845</v>
      </c>
      <c r="AB32" s="49" t="s">
        <v>848</v>
      </c>
      <c r="AC32" s="49" t="s">
        <v>848</v>
      </c>
      <c r="AD32" s="49" t="s">
        <v>848</v>
      </c>
      <c r="AE32" s="49" t="s">
        <v>848</v>
      </c>
      <c r="AF32" s="49" t="s">
        <v>852</v>
      </c>
      <c r="AG32" s="49" t="s">
        <v>848</v>
      </c>
    </row>
    <row r="33" spans="1:33" x14ac:dyDescent="0.25">
      <c r="A33" s="40">
        <v>2000032</v>
      </c>
      <c r="B33" s="40" t="s">
        <v>4452</v>
      </c>
      <c r="C33" s="41" t="s">
        <v>901</v>
      </c>
      <c r="D33" s="44">
        <f>SUMIF(CREANCES!$B$2:$B$99999,'INFO CLIENTS'!B33,CREANCES!$J$2:$J$99999) - SUMIF(CREANCES!$B$2:$B$99999,'INFO CLIENTS'!B33,CREANCES!$K$2:$K$99999)</f>
        <v>404191.53</v>
      </c>
      <c r="E33" s="41" t="s">
        <v>1016</v>
      </c>
      <c r="F33" s="41" t="s">
        <v>925</v>
      </c>
      <c r="G33" s="50" t="s">
        <v>26</v>
      </c>
      <c r="H33" s="41" t="s">
        <v>952</v>
      </c>
      <c r="I33" s="43">
        <v>44197</v>
      </c>
      <c r="J33" s="41" t="s">
        <v>818</v>
      </c>
      <c r="K33" s="41" t="s">
        <v>6783</v>
      </c>
      <c r="L33" s="41" t="s">
        <v>820</v>
      </c>
      <c r="M33" s="47" t="s">
        <v>972</v>
      </c>
      <c r="N33" s="41" t="s">
        <v>1009</v>
      </c>
      <c r="O33" s="48">
        <v>1</v>
      </c>
      <c r="P33" s="41" t="s">
        <v>841</v>
      </c>
      <c r="Q33" s="41" t="s">
        <v>1012</v>
      </c>
      <c r="R33" s="41" t="s">
        <v>6784</v>
      </c>
      <c r="S33" s="41" t="s">
        <v>848</v>
      </c>
      <c r="T33" s="41" t="s">
        <v>848</v>
      </c>
      <c r="U33" s="41" t="s">
        <v>855</v>
      </c>
      <c r="V33" s="41" t="s">
        <v>855</v>
      </c>
      <c r="W33" s="49" t="s">
        <v>859</v>
      </c>
      <c r="X33" s="49" t="s">
        <v>997</v>
      </c>
      <c r="Y33" s="49" t="s">
        <v>997</v>
      </c>
      <c r="Z33" s="49" t="s">
        <v>997</v>
      </c>
      <c r="AA33" s="49" t="s">
        <v>845</v>
      </c>
      <c r="AB33" s="49" t="s">
        <v>859</v>
      </c>
      <c r="AC33" s="49" t="s">
        <v>859</v>
      </c>
      <c r="AD33" s="49" t="s">
        <v>859</v>
      </c>
      <c r="AE33" s="49" t="s">
        <v>859</v>
      </c>
      <c r="AF33" s="49" t="s">
        <v>857</v>
      </c>
      <c r="AG33" s="49" t="s">
        <v>855</v>
      </c>
    </row>
    <row r="34" spans="1:33" x14ac:dyDescent="0.25">
      <c r="A34" s="40">
        <v>2000033</v>
      </c>
      <c r="B34" s="40" t="s">
        <v>4453</v>
      </c>
      <c r="C34" s="41" t="s">
        <v>901</v>
      </c>
      <c r="D34" s="44">
        <f>SUMIF(CREANCES!$B$2:$B$99999,'INFO CLIENTS'!B34,CREANCES!$J$2:$J$99999) - SUMIF(CREANCES!$B$2:$B$99999,'INFO CLIENTS'!B34,CREANCES!$K$2:$K$99999)</f>
        <v>162783.98800000007</v>
      </c>
      <c r="E34" s="41" t="s">
        <v>1016</v>
      </c>
      <c r="F34" s="41" t="s">
        <v>926</v>
      </c>
      <c r="G34" s="50" t="s">
        <v>26</v>
      </c>
      <c r="H34" s="41" t="s">
        <v>953</v>
      </c>
      <c r="I34" s="43">
        <v>44197</v>
      </c>
      <c r="J34" s="41" t="s">
        <v>818</v>
      </c>
      <c r="K34" s="41" t="s">
        <v>6783</v>
      </c>
      <c r="L34" s="41" t="s">
        <v>820</v>
      </c>
      <c r="M34" s="47" t="s">
        <v>26</v>
      </c>
      <c r="N34" s="41" t="s">
        <v>1010</v>
      </c>
      <c r="O34" s="48">
        <v>1</v>
      </c>
      <c r="P34" s="41" t="s">
        <v>840</v>
      </c>
      <c r="Q34" s="41" t="s">
        <v>1012</v>
      </c>
      <c r="R34" s="41" t="s">
        <v>4486</v>
      </c>
      <c r="S34" s="41" t="s">
        <v>848</v>
      </c>
      <c r="T34" s="41" t="s">
        <v>848</v>
      </c>
      <c r="U34" s="49" t="s">
        <v>848</v>
      </c>
      <c r="V34" s="49" t="s">
        <v>848</v>
      </c>
      <c r="W34" s="49" t="s">
        <v>848</v>
      </c>
      <c r="X34" s="49" t="s">
        <v>998</v>
      </c>
      <c r="Y34" s="49" t="s">
        <v>998</v>
      </c>
      <c r="Z34" s="49" t="s">
        <v>885</v>
      </c>
      <c r="AA34" s="49" t="s">
        <v>845</v>
      </c>
      <c r="AB34" s="49" t="s">
        <v>868</v>
      </c>
      <c r="AC34" s="49" t="s">
        <v>868</v>
      </c>
      <c r="AD34" s="49" t="s">
        <v>868</v>
      </c>
      <c r="AE34" s="49" t="s">
        <v>868</v>
      </c>
      <c r="AF34" s="49" t="s">
        <v>852</v>
      </c>
      <c r="AG34" s="49" t="s">
        <v>848</v>
      </c>
    </row>
    <row r="35" spans="1:33" x14ac:dyDescent="0.25">
      <c r="A35" s="40">
        <v>2000034</v>
      </c>
      <c r="B35" s="40" t="s">
        <v>910</v>
      </c>
      <c r="C35" s="41" t="s">
        <v>24</v>
      </c>
      <c r="D35" s="44">
        <f>SUMIF(CREANCES!$B$2:$B$99999,'INFO CLIENTS'!B35,CREANCES!$J$2:$J$99999) - SUMIF(CREANCES!$B$2:$B$99999,'INFO CLIENTS'!B35,CREANCES!$K$2:$K$99999)</f>
        <v>38973.555999999997</v>
      </c>
      <c r="E35" s="41" t="s">
        <v>1016</v>
      </c>
      <c r="F35" s="41" t="s">
        <v>26</v>
      </c>
      <c r="G35" s="50" t="s">
        <v>26</v>
      </c>
      <c r="H35" s="41" t="s">
        <v>26</v>
      </c>
      <c r="I35" s="43">
        <v>44197</v>
      </c>
      <c r="J35" s="41" t="s">
        <v>818</v>
      </c>
      <c r="K35" s="41" t="s">
        <v>6783</v>
      </c>
      <c r="L35" s="41" t="s">
        <v>820</v>
      </c>
      <c r="M35" s="47" t="s">
        <v>973</v>
      </c>
      <c r="N35" s="41" t="s">
        <v>1010</v>
      </c>
      <c r="O35" s="48">
        <v>0</v>
      </c>
      <c r="P35" s="41" t="s">
        <v>841</v>
      </c>
      <c r="Q35" s="41" t="s">
        <v>1012</v>
      </c>
      <c r="R35" s="41" t="s">
        <v>900</v>
      </c>
      <c r="S35" s="41" t="s">
        <v>848</v>
      </c>
      <c r="T35" s="41" t="s">
        <v>848</v>
      </c>
      <c r="U35" s="41" t="s">
        <v>855</v>
      </c>
      <c r="V35" s="41" t="s">
        <v>855</v>
      </c>
      <c r="W35" s="49" t="s">
        <v>994</v>
      </c>
      <c r="X35" s="49" t="s">
        <v>873</v>
      </c>
      <c r="Y35" s="49" t="s">
        <v>871</v>
      </c>
      <c r="Z35" s="49" t="s">
        <v>873</v>
      </c>
      <c r="AA35" s="49" t="s">
        <v>845</v>
      </c>
      <c r="AB35" s="49" t="s">
        <v>994</v>
      </c>
      <c r="AC35" s="49" t="s">
        <v>994</v>
      </c>
      <c r="AD35" s="49" t="s">
        <v>994</v>
      </c>
      <c r="AE35" s="49" t="s">
        <v>994</v>
      </c>
      <c r="AF35" s="49" t="s">
        <v>857</v>
      </c>
      <c r="AG35" s="49" t="s">
        <v>855</v>
      </c>
    </row>
    <row r="36" spans="1:33" x14ac:dyDescent="0.25">
      <c r="A36" s="40">
        <v>2000035</v>
      </c>
      <c r="B36" s="40" t="s">
        <v>911</v>
      </c>
      <c r="C36" s="41" t="s">
        <v>24</v>
      </c>
      <c r="D36" s="44">
        <f>SUMIF(CREANCES!$B$2:$B$99999,'INFO CLIENTS'!B36,CREANCES!$J$2:$J$99999) - SUMIF(CREANCES!$B$2:$B$99999,'INFO CLIENTS'!B36,CREANCES!$K$2:$K$99999)</f>
        <v>2411812.6999999997</v>
      </c>
      <c r="E36" s="41" t="s">
        <v>1016</v>
      </c>
      <c r="F36" s="41" t="s">
        <v>1029</v>
      </c>
      <c r="G36" s="50" t="s">
        <v>26</v>
      </c>
      <c r="H36" s="41" t="s">
        <v>26</v>
      </c>
      <c r="I36" s="43">
        <v>44197</v>
      </c>
      <c r="J36" s="41" t="s">
        <v>818</v>
      </c>
      <c r="K36" s="41" t="s">
        <v>6783</v>
      </c>
      <c r="L36" s="41" t="s">
        <v>820</v>
      </c>
      <c r="M36" s="47" t="s">
        <v>974</v>
      </c>
      <c r="N36" s="41" t="s">
        <v>1010</v>
      </c>
      <c r="O36" s="48">
        <v>1</v>
      </c>
      <c r="P36" s="41" t="s">
        <v>841</v>
      </c>
      <c r="Q36" s="41" t="s">
        <v>1012</v>
      </c>
      <c r="R36" s="41" t="s">
        <v>1013</v>
      </c>
      <c r="S36" s="41" t="s">
        <v>848</v>
      </c>
      <c r="T36" s="41" t="s">
        <v>848</v>
      </c>
      <c r="U36" s="41" t="s">
        <v>855</v>
      </c>
      <c r="V36" s="41" t="s">
        <v>855</v>
      </c>
      <c r="W36" s="49" t="s">
        <v>996</v>
      </c>
      <c r="X36" s="49" t="s">
        <v>871</v>
      </c>
      <c r="Y36" s="49" t="s">
        <v>1001</v>
      </c>
      <c r="Z36" s="49" t="s">
        <v>873</v>
      </c>
      <c r="AA36" s="49" t="s">
        <v>845</v>
      </c>
      <c r="AB36" s="49" t="s">
        <v>996</v>
      </c>
      <c r="AC36" s="49" t="s">
        <v>996</v>
      </c>
      <c r="AD36" s="49" t="s">
        <v>996</v>
      </c>
      <c r="AE36" s="49" t="s">
        <v>996</v>
      </c>
      <c r="AF36" s="49" t="s">
        <v>857</v>
      </c>
      <c r="AG36" s="49" t="s">
        <v>855</v>
      </c>
    </row>
    <row r="37" spans="1:33" x14ac:dyDescent="0.25">
      <c r="A37" s="40">
        <v>2000036</v>
      </c>
      <c r="B37" s="40" t="s">
        <v>4454</v>
      </c>
      <c r="C37" s="41" t="s">
        <v>901</v>
      </c>
      <c r="D37" s="44">
        <f>SUMIF(CREANCES!$B$2:$B$99999,'INFO CLIENTS'!B37,CREANCES!$J$2:$J$99999) - SUMIF(CREANCES!$B$2:$B$99999,'INFO CLIENTS'!B37,CREANCES!$K$2:$K$99999)</f>
        <v>75909.393999999986</v>
      </c>
      <c r="E37" s="41" t="s">
        <v>1016</v>
      </c>
      <c r="F37" s="41" t="s">
        <v>26</v>
      </c>
      <c r="G37" s="50" t="s">
        <v>26</v>
      </c>
      <c r="H37" s="41" t="s">
        <v>26</v>
      </c>
      <c r="I37" s="43">
        <v>44197</v>
      </c>
      <c r="J37" s="41" t="s">
        <v>818</v>
      </c>
      <c r="K37" s="41" t="s">
        <v>6783</v>
      </c>
      <c r="L37" s="41" t="s">
        <v>820</v>
      </c>
      <c r="M37" s="47" t="s">
        <v>975</v>
      </c>
      <c r="N37" s="41" t="s">
        <v>1010</v>
      </c>
      <c r="O37" s="48">
        <v>0.7</v>
      </c>
      <c r="P37" s="41" t="s">
        <v>840</v>
      </c>
      <c r="Q37" s="41" t="s">
        <v>844</v>
      </c>
      <c r="R37" s="41" t="s">
        <v>907</v>
      </c>
      <c r="S37" s="41" t="s">
        <v>848</v>
      </c>
      <c r="T37" s="41" t="s">
        <v>848</v>
      </c>
      <c r="U37" s="49" t="s">
        <v>848</v>
      </c>
      <c r="V37" s="49" t="s">
        <v>848</v>
      </c>
      <c r="W37" s="49" t="s">
        <v>848</v>
      </c>
      <c r="X37" s="49" t="s">
        <v>850</v>
      </c>
      <c r="Y37" s="49" t="s">
        <v>998</v>
      </c>
      <c r="Z37" s="49" t="s">
        <v>885</v>
      </c>
      <c r="AA37" s="49" t="s">
        <v>845</v>
      </c>
      <c r="AB37" s="49" t="s">
        <v>848</v>
      </c>
      <c r="AC37" s="49" t="s">
        <v>866</v>
      </c>
      <c r="AD37" s="49" t="s">
        <v>848</v>
      </c>
      <c r="AE37" s="49" t="s">
        <v>851</v>
      </c>
      <c r="AF37" s="49" t="s">
        <v>1004</v>
      </c>
      <c r="AG37" s="49" t="s">
        <v>848</v>
      </c>
    </row>
    <row r="38" spans="1:33" x14ac:dyDescent="0.25">
      <c r="A38" s="40">
        <v>2000037</v>
      </c>
      <c r="B38" s="40" t="s">
        <v>4455</v>
      </c>
      <c r="C38" s="41" t="s">
        <v>24</v>
      </c>
      <c r="D38" s="44">
        <f>SUMIF(CREANCES!$B$2:$B$99999,'INFO CLIENTS'!B38,CREANCES!$J$2:$J$99999) - SUMIF(CREANCES!$B$2:$B$99999,'INFO CLIENTS'!B38,CREANCES!$K$2:$K$99999)</f>
        <v>3007.3439999999978</v>
      </c>
      <c r="E38" s="41" t="s">
        <v>1016</v>
      </c>
      <c r="F38" s="41" t="s">
        <v>26</v>
      </c>
      <c r="G38" s="50" t="s">
        <v>26</v>
      </c>
      <c r="H38" s="41" t="s">
        <v>26</v>
      </c>
      <c r="I38" s="43">
        <v>44197</v>
      </c>
      <c r="J38" s="41" t="s">
        <v>818</v>
      </c>
      <c r="K38" s="41" t="s">
        <v>6783</v>
      </c>
      <c r="L38" s="41" t="s">
        <v>820</v>
      </c>
      <c r="M38" s="47" t="s">
        <v>976</v>
      </c>
      <c r="N38" s="41" t="s">
        <v>1009</v>
      </c>
      <c r="O38" s="48">
        <v>1</v>
      </c>
      <c r="P38" s="41" t="s">
        <v>840</v>
      </c>
      <c r="Q38" s="41" t="s">
        <v>844</v>
      </c>
      <c r="R38" s="41" t="s">
        <v>4486</v>
      </c>
      <c r="S38" s="41" t="s">
        <v>848</v>
      </c>
      <c r="T38" s="41" t="s">
        <v>848</v>
      </c>
      <c r="U38" s="49" t="s">
        <v>848</v>
      </c>
      <c r="V38" s="49" t="s">
        <v>848</v>
      </c>
      <c r="W38" s="49" t="s">
        <v>848</v>
      </c>
      <c r="X38" s="49" t="s">
        <v>998</v>
      </c>
      <c r="Y38" s="49" t="s">
        <v>998</v>
      </c>
      <c r="Z38" s="49" t="s">
        <v>885</v>
      </c>
      <c r="AA38" s="49" t="s">
        <v>845</v>
      </c>
      <c r="AB38" s="49" t="s">
        <v>848</v>
      </c>
      <c r="AC38" s="49" t="s">
        <v>848</v>
      </c>
      <c r="AD38" s="49" t="s">
        <v>848</v>
      </c>
      <c r="AE38" s="49" t="s">
        <v>848</v>
      </c>
      <c r="AF38" s="49" t="s">
        <v>848</v>
      </c>
      <c r="AG38" s="49" t="s">
        <v>848</v>
      </c>
    </row>
    <row r="39" spans="1:33" x14ac:dyDescent="0.25">
      <c r="A39" s="40">
        <v>2000038</v>
      </c>
      <c r="B39" s="40" t="s">
        <v>4456</v>
      </c>
      <c r="C39" s="41" t="s">
        <v>774</v>
      </c>
      <c r="D39" s="44">
        <f>SUMIF(CREANCES!$B$2:$B$99999,'INFO CLIENTS'!B39,CREANCES!$J$2:$J$99999) - SUMIF(CREANCES!$B$2:$B$99999,'INFO CLIENTS'!B39,CREANCES!$K$2:$K$99999)</f>
        <v>2463.7439999999997</v>
      </c>
      <c r="E39" s="41" t="s">
        <v>1016</v>
      </c>
      <c r="F39" s="41" t="s">
        <v>927</v>
      </c>
      <c r="G39" s="50" t="s">
        <v>26</v>
      </c>
      <c r="H39" s="41" t="s">
        <v>954</v>
      </c>
      <c r="I39" s="43">
        <v>44197</v>
      </c>
      <c r="J39" s="41" t="s">
        <v>818</v>
      </c>
      <c r="K39" s="41" t="s">
        <v>6783</v>
      </c>
      <c r="L39" s="41" t="s">
        <v>820</v>
      </c>
      <c r="M39" s="47" t="s">
        <v>977</v>
      </c>
      <c r="N39" s="41" t="s">
        <v>1009</v>
      </c>
      <c r="O39" s="48">
        <v>1</v>
      </c>
      <c r="P39" s="41" t="s">
        <v>840</v>
      </c>
      <c r="Q39" s="41" t="s">
        <v>842</v>
      </c>
      <c r="R39" s="41" t="s">
        <v>4486</v>
      </c>
      <c r="S39" s="41" t="s">
        <v>848</v>
      </c>
      <c r="T39" s="41" t="s">
        <v>848</v>
      </c>
      <c r="U39" s="49" t="s">
        <v>848</v>
      </c>
      <c r="V39" s="49" t="s">
        <v>848</v>
      </c>
      <c r="W39" s="49" t="s">
        <v>866</v>
      </c>
      <c r="X39" s="49" t="s">
        <v>848</v>
      </c>
      <c r="Y39" s="49" t="s">
        <v>848</v>
      </c>
      <c r="Z39" s="49" t="s">
        <v>848</v>
      </c>
      <c r="AA39" s="49" t="s">
        <v>845</v>
      </c>
      <c r="AB39" s="49" t="s">
        <v>848</v>
      </c>
      <c r="AC39" s="49" t="s">
        <v>848</v>
      </c>
      <c r="AD39" s="49" t="s">
        <v>848</v>
      </c>
      <c r="AE39" s="49" t="s">
        <v>848</v>
      </c>
      <c r="AF39" s="49" t="s">
        <v>848</v>
      </c>
      <c r="AG39" s="49" t="s">
        <v>848</v>
      </c>
    </row>
    <row r="40" spans="1:33" x14ac:dyDescent="0.25">
      <c r="A40" s="40">
        <v>2000039</v>
      </c>
      <c r="B40" s="40" t="s">
        <v>4457</v>
      </c>
      <c r="C40" s="41" t="s">
        <v>901</v>
      </c>
      <c r="D40" s="44">
        <f>SUMIF(CREANCES!$B$2:$B$99999,'INFO CLIENTS'!B40,CREANCES!$J$2:$J$99999) - SUMIF(CREANCES!$B$2:$B$99999,'INFO CLIENTS'!B40,CREANCES!$K$2:$K$99999)</f>
        <v>-9839.6680000000633</v>
      </c>
      <c r="E40" s="41" t="s">
        <v>1015</v>
      </c>
      <c r="F40" s="41" t="s">
        <v>928</v>
      </c>
      <c r="G40" s="50" t="s">
        <v>26</v>
      </c>
      <c r="H40" s="41" t="s">
        <v>955</v>
      </c>
      <c r="I40" s="43">
        <v>44197</v>
      </c>
      <c r="J40" s="41" t="s">
        <v>818</v>
      </c>
      <c r="K40" s="41" t="s">
        <v>819</v>
      </c>
      <c r="L40" s="41" t="s">
        <v>820</v>
      </c>
      <c r="M40" s="47" t="s">
        <v>978</v>
      </c>
      <c r="N40" s="41" t="s">
        <v>839</v>
      </c>
      <c r="O40" s="48">
        <v>1</v>
      </c>
      <c r="P40" s="41" t="s">
        <v>840</v>
      </c>
      <c r="Q40" s="41" t="s">
        <v>842</v>
      </c>
      <c r="R40" s="41" t="s">
        <v>907</v>
      </c>
      <c r="S40" s="41" t="s">
        <v>854</v>
      </c>
      <c r="T40" s="41" t="s">
        <v>897</v>
      </c>
      <c r="U40" s="49" t="s">
        <v>848</v>
      </c>
      <c r="V40" s="49" t="s">
        <v>848</v>
      </c>
      <c r="W40" s="49" t="s">
        <v>886</v>
      </c>
      <c r="X40" s="49" t="s">
        <v>850</v>
      </c>
      <c r="Y40" s="49" t="s">
        <v>888</v>
      </c>
      <c r="Z40" s="49" t="s">
        <v>885</v>
      </c>
      <c r="AA40" s="49" t="s">
        <v>845</v>
      </c>
      <c r="AB40" s="49" t="s">
        <v>1005</v>
      </c>
      <c r="AC40" s="49" t="s">
        <v>1005</v>
      </c>
      <c r="AD40" s="49" t="s">
        <v>1005</v>
      </c>
      <c r="AE40" s="49" t="s">
        <v>1005</v>
      </c>
      <c r="AF40" s="49" t="s">
        <v>848</v>
      </c>
      <c r="AG40" s="49" t="s">
        <v>848</v>
      </c>
    </row>
    <row r="41" spans="1:33" x14ac:dyDescent="0.25">
      <c r="A41" s="40">
        <v>2000040</v>
      </c>
      <c r="B41" s="40" t="s">
        <v>4458</v>
      </c>
      <c r="C41" s="41" t="s">
        <v>901</v>
      </c>
      <c r="D41" s="44">
        <f>SUMIF(CREANCES!$B$2:$B$99999,'INFO CLIENTS'!B41,CREANCES!$J$2:$J$99999) - SUMIF(CREANCES!$B$2:$B$99999,'INFO CLIENTS'!B41,CREANCES!$K$2:$K$99999)</f>
        <v>690873</v>
      </c>
      <c r="E41" s="41" t="s">
        <v>1016</v>
      </c>
      <c r="F41" s="41" t="s">
        <v>929</v>
      </c>
      <c r="G41" s="50" t="s">
        <v>26</v>
      </c>
      <c r="H41" s="41" t="s">
        <v>1028</v>
      </c>
      <c r="I41" s="43">
        <v>44197</v>
      </c>
      <c r="J41" s="41" t="s">
        <v>818</v>
      </c>
      <c r="K41" s="41" t="s">
        <v>6783</v>
      </c>
      <c r="L41" s="41" t="s">
        <v>820</v>
      </c>
      <c r="M41" s="47" t="s">
        <v>979</v>
      </c>
      <c r="N41" s="41" t="s">
        <v>1010</v>
      </c>
      <c r="O41" s="48">
        <v>1</v>
      </c>
      <c r="P41" s="41" t="s">
        <v>841</v>
      </c>
      <c r="Q41" s="41" t="s">
        <v>1012</v>
      </c>
      <c r="R41" s="41" t="s">
        <v>1013</v>
      </c>
      <c r="S41" s="41" t="s">
        <v>848</v>
      </c>
      <c r="T41" s="41" t="s">
        <v>848</v>
      </c>
      <c r="U41" s="41" t="s">
        <v>855</v>
      </c>
      <c r="V41" s="41" t="s">
        <v>855</v>
      </c>
      <c r="W41" s="49" t="s">
        <v>1006</v>
      </c>
      <c r="X41" s="49" t="s">
        <v>871</v>
      </c>
      <c r="Y41" s="49" t="s">
        <v>1001</v>
      </c>
      <c r="Z41" s="49" t="s">
        <v>873</v>
      </c>
      <c r="AA41" s="49" t="s">
        <v>845</v>
      </c>
      <c r="AB41" s="49" t="s">
        <v>994</v>
      </c>
      <c r="AC41" s="49" t="s">
        <v>994</v>
      </c>
      <c r="AD41" s="49" t="s">
        <v>994</v>
      </c>
      <c r="AE41" s="49" t="s">
        <v>994</v>
      </c>
      <c r="AF41" s="49" t="s">
        <v>857</v>
      </c>
      <c r="AG41" s="49" t="s">
        <v>855</v>
      </c>
    </row>
    <row r="42" spans="1:33" x14ac:dyDescent="0.25">
      <c r="A42" s="40">
        <v>2000041</v>
      </c>
      <c r="B42" s="40" t="s">
        <v>4459</v>
      </c>
      <c r="C42" s="41" t="s">
        <v>24</v>
      </c>
      <c r="D42" s="44">
        <f>SUMIF(CREANCES!$B$2:$B$99999,'INFO CLIENTS'!B42,CREANCES!$J$2:$J$99999) - SUMIF(CREANCES!$B$2:$B$99999,'INFO CLIENTS'!B42,CREANCES!$K$2:$K$99999)</f>
        <v>27345.599999999991</v>
      </c>
      <c r="E42" s="41" t="s">
        <v>1016</v>
      </c>
      <c r="F42" s="41" t="s">
        <v>930</v>
      </c>
      <c r="G42" s="50" t="s">
        <v>26</v>
      </c>
      <c r="H42" s="41" t="s">
        <v>956</v>
      </c>
      <c r="I42" s="43">
        <v>44197</v>
      </c>
      <c r="J42" s="41" t="s">
        <v>818</v>
      </c>
      <c r="K42" s="41" t="s">
        <v>819</v>
      </c>
      <c r="L42" s="41" t="s">
        <v>820</v>
      </c>
      <c r="M42" s="47" t="s">
        <v>980</v>
      </c>
      <c r="N42" s="41" t="s">
        <v>1010</v>
      </c>
      <c r="O42" s="48">
        <v>1</v>
      </c>
      <c r="P42" s="41" t="s">
        <v>841</v>
      </c>
      <c r="Q42" s="41" t="s">
        <v>1014</v>
      </c>
      <c r="R42" s="41" t="s">
        <v>4486</v>
      </c>
      <c r="S42" s="41" t="s">
        <v>848</v>
      </c>
      <c r="T42" s="41" t="s">
        <v>848</v>
      </c>
      <c r="U42" s="41" t="s">
        <v>855</v>
      </c>
      <c r="V42" s="41" t="s">
        <v>855</v>
      </c>
      <c r="W42" s="49" t="s">
        <v>994</v>
      </c>
      <c r="X42" s="49" t="s">
        <v>871</v>
      </c>
      <c r="Y42" s="49" t="s">
        <v>1001</v>
      </c>
      <c r="Z42" s="49" t="s">
        <v>873</v>
      </c>
      <c r="AA42" s="49" t="s">
        <v>845</v>
      </c>
      <c r="AB42" s="49" t="s">
        <v>996</v>
      </c>
      <c r="AC42" s="49" t="s">
        <v>996</v>
      </c>
      <c r="AD42" s="49" t="s">
        <v>996</v>
      </c>
      <c r="AE42" s="49" t="s">
        <v>996</v>
      </c>
      <c r="AF42" s="49" t="s">
        <v>855</v>
      </c>
      <c r="AG42" s="49" t="s">
        <v>855</v>
      </c>
    </row>
    <row r="43" spans="1:33" x14ac:dyDescent="0.25">
      <c r="A43" s="40">
        <v>2000042</v>
      </c>
      <c r="B43" s="40" t="s">
        <v>150</v>
      </c>
      <c r="C43" s="41" t="s">
        <v>901</v>
      </c>
      <c r="D43" s="44">
        <f>SUMIF(CREANCES!$B$2:$B$99999,'INFO CLIENTS'!B43,CREANCES!$J$2:$J$99999) - SUMIF(CREANCES!$B$2:$B$99999,'INFO CLIENTS'!B43,CREANCES!$K$2:$K$99999)</f>
        <v>906180.2</v>
      </c>
      <c r="E43" s="41" t="s">
        <v>1016</v>
      </c>
      <c r="F43" s="41" t="s">
        <v>1029</v>
      </c>
      <c r="G43" s="50" t="s">
        <v>26</v>
      </c>
      <c r="H43" s="41" t="s">
        <v>26</v>
      </c>
      <c r="I43" s="43">
        <v>44197</v>
      </c>
      <c r="J43" s="41" t="s">
        <v>818</v>
      </c>
      <c r="K43" s="41" t="s">
        <v>6783</v>
      </c>
      <c r="L43" s="41" t="s">
        <v>820</v>
      </c>
      <c r="M43" s="47" t="s">
        <v>981</v>
      </c>
      <c r="N43" s="41" t="s">
        <v>1010</v>
      </c>
      <c r="O43" s="48">
        <v>1</v>
      </c>
      <c r="P43" s="41" t="s">
        <v>841</v>
      </c>
      <c r="Q43" s="41" t="s">
        <v>1012</v>
      </c>
      <c r="R43" s="41" t="s">
        <v>1013</v>
      </c>
      <c r="S43" s="41" t="s">
        <v>848</v>
      </c>
      <c r="T43" s="41" t="s">
        <v>848</v>
      </c>
      <c r="U43" s="41" t="s">
        <v>855</v>
      </c>
      <c r="V43" s="41" t="s">
        <v>855</v>
      </c>
      <c r="W43" s="49" t="s">
        <v>996</v>
      </c>
      <c r="X43" s="49" t="s">
        <v>1002</v>
      </c>
      <c r="Y43" s="49" t="s">
        <v>1001</v>
      </c>
      <c r="Z43" s="49" t="s">
        <v>873</v>
      </c>
      <c r="AA43" s="49" t="s">
        <v>845</v>
      </c>
      <c r="AB43" s="49" t="s">
        <v>1006</v>
      </c>
      <c r="AC43" s="49" t="s">
        <v>1006</v>
      </c>
      <c r="AD43" s="49" t="s">
        <v>1006</v>
      </c>
      <c r="AE43" s="49" t="s">
        <v>1006</v>
      </c>
      <c r="AF43" s="49" t="s">
        <v>857</v>
      </c>
      <c r="AG43" s="49" t="s">
        <v>855</v>
      </c>
    </row>
    <row r="44" spans="1:33" x14ac:dyDescent="0.25">
      <c r="A44" s="40">
        <v>2000043</v>
      </c>
      <c r="B44" s="40" t="s">
        <v>912</v>
      </c>
      <c r="C44" s="41" t="s">
        <v>24</v>
      </c>
      <c r="D44" s="44">
        <f>SUMIF(CREANCES!$B$2:$B$99999,'INFO CLIENTS'!B44,CREANCES!$J$2:$J$99999) - SUMIF(CREANCES!$B$2:$B$99999,'INFO CLIENTS'!B44,CREANCES!$K$2:$K$99999)</f>
        <v>5397.0959999999977</v>
      </c>
      <c r="E44" s="41" t="s">
        <v>1016</v>
      </c>
      <c r="F44" s="41" t="s">
        <v>931</v>
      </c>
      <c r="G44" s="50" t="s">
        <v>26</v>
      </c>
      <c r="H44" s="41" t="s">
        <v>957</v>
      </c>
      <c r="I44" s="43">
        <v>44197</v>
      </c>
      <c r="J44" s="41" t="s">
        <v>818</v>
      </c>
      <c r="K44" s="41" t="s">
        <v>819</v>
      </c>
      <c r="L44" s="41" t="s">
        <v>820</v>
      </c>
      <c r="M44" s="47" t="s">
        <v>26</v>
      </c>
      <c r="N44" s="41" t="s">
        <v>839</v>
      </c>
      <c r="O44" s="48">
        <v>1</v>
      </c>
      <c r="P44" s="41" t="s">
        <v>840</v>
      </c>
      <c r="Q44" s="41" t="s">
        <v>1014</v>
      </c>
      <c r="R44" s="41" t="s">
        <v>907</v>
      </c>
      <c r="S44" s="41" t="s">
        <v>848</v>
      </c>
      <c r="T44" s="41" t="s">
        <v>848</v>
      </c>
      <c r="U44" s="49" t="s">
        <v>848</v>
      </c>
      <c r="V44" s="49" t="s">
        <v>848</v>
      </c>
      <c r="W44" s="49" t="s">
        <v>848</v>
      </c>
      <c r="X44" s="49" t="s">
        <v>845</v>
      </c>
      <c r="Y44" s="49" t="s">
        <v>848</v>
      </c>
      <c r="Z44" s="49" t="s">
        <v>1007</v>
      </c>
      <c r="AA44" s="49" t="s">
        <v>845</v>
      </c>
      <c r="AB44" s="49" t="s">
        <v>848</v>
      </c>
      <c r="AC44" s="49" t="s">
        <v>848</v>
      </c>
      <c r="AD44" s="49" t="s">
        <v>848</v>
      </c>
      <c r="AE44" s="49" t="s">
        <v>848</v>
      </c>
      <c r="AF44" s="49" t="s">
        <v>848</v>
      </c>
      <c r="AG44" s="49" t="s">
        <v>848</v>
      </c>
    </row>
    <row r="45" spans="1:33" x14ac:dyDescent="0.25">
      <c r="A45" s="40">
        <v>2000044</v>
      </c>
      <c r="B45" s="40" t="s">
        <v>51</v>
      </c>
      <c r="C45" s="41" t="s">
        <v>24</v>
      </c>
      <c r="D45" s="44">
        <f>SUMIF(CREANCES!$B$2:$B$99999,'INFO CLIENTS'!B45,CREANCES!$J$2:$J$99999) - SUMIF(CREANCES!$B$2:$B$99999,'INFO CLIENTS'!B45,CREANCES!$K$2:$K$99999)</f>
        <v>553197.69999999995</v>
      </c>
      <c r="E45" s="41" t="s">
        <v>1016</v>
      </c>
      <c r="F45" s="41" t="s">
        <v>932</v>
      </c>
      <c r="G45" s="50" t="s">
        <v>26</v>
      </c>
      <c r="H45" s="41" t="s">
        <v>958</v>
      </c>
      <c r="I45" s="43">
        <v>44197</v>
      </c>
      <c r="J45" s="41" t="s">
        <v>818</v>
      </c>
      <c r="K45" s="41" t="s">
        <v>6783</v>
      </c>
      <c r="L45" s="41" t="s">
        <v>820</v>
      </c>
      <c r="M45" s="47" t="s">
        <v>982</v>
      </c>
      <c r="N45" s="41" t="s">
        <v>1010</v>
      </c>
      <c r="O45" s="48">
        <v>1</v>
      </c>
      <c r="P45" s="41" t="s">
        <v>841</v>
      </c>
      <c r="Q45" s="41" t="s">
        <v>1012</v>
      </c>
      <c r="R45" s="41" t="s">
        <v>1013</v>
      </c>
      <c r="S45" s="41" t="s">
        <v>848</v>
      </c>
      <c r="T45" s="41" t="s">
        <v>848</v>
      </c>
      <c r="U45" s="41" t="s">
        <v>855</v>
      </c>
      <c r="V45" s="41" t="s">
        <v>855</v>
      </c>
      <c r="W45" s="49" t="s">
        <v>870</v>
      </c>
      <c r="X45" s="49" t="s">
        <v>873</v>
      </c>
      <c r="Y45" s="49" t="s">
        <v>871</v>
      </c>
      <c r="Z45" s="49" t="s">
        <v>873</v>
      </c>
      <c r="AA45" s="49" t="s">
        <v>845</v>
      </c>
      <c r="AB45" s="49" t="s">
        <v>996</v>
      </c>
      <c r="AC45" s="49" t="s">
        <v>996</v>
      </c>
      <c r="AD45" s="49" t="s">
        <v>996</v>
      </c>
      <c r="AE45" s="49" t="s">
        <v>996</v>
      </c>
      <c r="AF45" s="49" t="s">
        <v>857</v>
      </c>
      <c r="AG45" s="49" t="s">
        <v>855</v>
      </c>
    </row>
    <row r="46" spans="1:33" x14ac:dyDescent="0.25">
      <c r="A46" s="40">
        <v>2000045</v>
      </c>
      <c r="B46" s="40" t="s">
        <v>913</v>
      </c>
      <c r="C46" s="41" t="s">
        <v>24</v>
      </c>
      <c r="D46" s="44">
        <f>SUMIF(CREANCES!$B$2:$B$99999,'INFO CLIENTS'!B46,CREANCES!$J$2:$J$99999) - SUMIF(CREANCES!$B$2:$B$99999,'INFO CLIENTS'!B46,CREANCES!$K$2:$K$99999)</f>
        <v>955.34</v>
      </c>
      <c r="E46" s="41" t="s">
        <v>1016</v>
      </c>
      <c r="F46" s="41" t="s">
        <v>930</v>
      </c>
      <c r="G46" s="50" t="s">
        <v>26</v>
      </c>
      <c r="H46" s="41" t="s">
        <v>956</v>
      </c>
      <c r="I46" s="43">
        <v>44197</v>
      </c>
      <c r="J46" s="41" t="s">
        <v>818</v>
      </c>
      <c r="K46" s="41" t="s">
        <v>819</v>
      </c>
      <c r="L46" s="41" t="s">
        <v>820</v>
      </c>
      <c r="M46" s="47" t="s">
        <v>983</v>
      </c>
      <c r="N46" s="41" t="s">
        <v>839</v>
      </c>
      <c r="O46" s="48">
        <v>0</v>
      </c>
      <c r="P46" s="41" t="s">
        <v>840</v>
      </c>
      <c r="Q46" s="41" t="s">
        <v>1014</v>
      </c>
      <c r="R46" s="41" t="s">
        <v>900</v>
      </c>
      <c r="S46" s="41" t="s">
        <v>848</v>
      </c>
      <c r="T46" s="41" t="s">
        <v>848</v>
      </c>
      <c r="U46" s="49" t="s">
        <v>848</v>
      </c>
      <c r="V46" s="49" t="s">
        <v>848</v>
      </c>
      <c r="W46" s="49" t="s">
        <v>863</v>
      </c>
      <c r="X46" s="49" t="s">
        <v>865</v>
      </c>
      <c r="Y46" s="49" t="s">
        <v>865</v>
      </c>
      <c r="Z46" s="49" t="s">
        <v>895</v>
      </c>
      <c r="AA46" s="49" t="s">
        <v>845</v>
      </c>
      <c r="AB46" s="49" t="s">
        <v>851</v>
      </c>
      <c r="AC46" s="49" t="s">
        <v>851</v>
      </c>
      <c r="AD46" s="49" t="s">
        <v>851</v>
      </c>
      <c r="AE46" s="49" t="s">
        <v>851</v>
      </c>
      <c r="AF46" s="49" t="s">
        <v>855</v>
      </c>
      <c r="AG46" s="49" t="s">
        <v>855</v>
      </c>
    </row>
    <row r="47" spans="1:33" x14ac:dyDescent="0.25">
      <c r="A47" s="40">
        <v>2000046</v>
      </c>
      <c r="B47" s="40" t="s">
        <v>4460</v>
      </c>
      <c r="C47" s="41" t="s">
        <v>901</v>
      </c>
      <c r="D47" s="44">
        <f>SUMIF(CREANCES!$B$2:$B$99999,'INFO CLIENTS'!B47,CREANCES!$J$2:$J$99999) - SUMIF(CREANCES!$B$2:$B$99999,'INFO CLIENTS'!B47,CREANCES!$K$2:$K$99999)</f>
        <v>-802.22</v>
      </c>
      <c r="E47" s="41" t="s">
        <v>1015</v>
      </c>
      <c r="F47" s="41" t="s">
        <v>959</v>
      </c>
      <c r="G47" s="50" t="s">
        <v>26</v>
      </c>
      <c r="H47" s="41" t="s">
        <v>960</v>
      </c>
      <c r="I47" s="43">
        <v>44197</v>
      </c>
      <c r="J47" s="41" t="s">
        <v>818</v>
      </c>
      <c r="K47" s="41" t="s">
        <v>819</v>
      </c>
      <c r="L47" s="41" t="s">
        <v>820</v>
      </c>
      <c r="M47" s="47" t="s">
        <v>984</v>
      </c>
      <c r="N47" s="41" t="s">
        <v>839</v>
      </c>
      <c r="O47" s="48">
        <v>1</v>
      </c>
      <c r="P47" s="41" t="s">
        <v>840</v>
      </c>
      <c r="Q47" s="41" t="s">
        <v>1014</v>
      </c>
      <c r="R47" s="41" t="s">
        <v>907</v>
      </c>
      <c r="S47" s="41" t="s">
        <v>1021</v>
      </c>
      <c r="T47" s="41" t="s">
        <v>852</v>
      </c>
      <c r="U47" s="49" t="s">
        <v>848</v>
      </c>
      <c r="V47" s="41" t="s">
        <v>850</v>
      </c>
      <c r="W47" s="49" t="s">
        <v>848</v>
      </c>
      <c r="X47" s="49" t="s">
        <v>845</v>
      </c>
      <c r="Y47" s="49" t="s">
        <v>848</v>
      </c>
      <c r="Z47" s="49" t="s">
        <v>848</v>
      </c>
      <c r="AA47" s="49" t="s">
        <v>845</v>
      </c>
      <c r="AB47" s="49" t="s">
        <v>866</v>
      </c>
      <c r="AC47" s="49" t="s">
        <v>866</v>
      </c>
      <c r="AD47" s="49" t="s">
        <v>866</v>
      </c>
      <c r="AE47" s="49" t="s">
        <v>866</v>
      </c>
      <c r="AF47" s="49" t="s">
        <v>848</v>
      </c>
      <c r="AG47" s="49" t="s">
        <v>848</v>
      </c>
    </row>
    <row r="48" spans="1:33" x14ac:dyDescent="0.25">
      <c r="A48" s="40">
        <v>2000047</v>
      </c>
      <c r="B48" s="40" t="s">
        <v>914</v>
      </c>
      <c r="C48" s="41" t="s">
        <v>24</v>
      </c>
      <c r="D48" s="44">
        <f>SUMIF(CREANCES!$B$2:$B$99999,'INFO CLIENTS'!B48,CREANCES!$J$2:$J$99999) - SUMIF(CREANCES!$B$2:$B$99999,'INFO CLIENTS'!B48,CREANCES!$K$2:$K$99999)</f>
        <v>20669.471999999994</v>
      </c>
      <c r="E48" s="41" t="s">
        <v>1016</v>
      </c>
      <c r="F48" s="41" t="s">
        <v>933</v>
      </c>
      <c r="G48" s="50" t="s">
        <v>26</v>
      </c>
      <c r="H48" s="41" t="s">
        <v>961</v>
      </c>
      <c r="I48" s="43">
        <v>44197</v>
      </c>
      <c r="J48" s="41" t="s">
        <v>818</v>
      </c>
      <c r="K48" s="41" t="s">
        <v>819</v>
      </c>
      <c r="L48" s="41" t="s">
        <v>820</v>
      </c>
      <c r="M48" s="47" t="s">
        <v>985</v>
      </c>
      <c r="N48" s="41" t="s">
        <v>839</v>
      </c>
      <c r="O48" s="48">
        <v>0</v>
      </c>
      <c r="P48" s="41" t="s">
        <v>840</v>
      </c>
      <c r="Q48" s="41" t="s">
        <v>1014</v>
      </c>
      <c r="R48" s="41" t="s">
        <v>6786</v>
      </c>
      <c r="S48" s="41" t="s">
        <v>848</v>
      </c>
      <c r="T48" s="41" t="s">
        <v>848</v>
      </c>
      <c r="U48" s="49" t="s">
        <v>848</v>
      </c>
      <c r="V48" s="41" t="s">
        <v>848</v>
      </c>
      <c r="W48" s="41" t="s">
        <v>848</v>
      </c>
      <c r="X48" s="41" t="s">
        <v>848</v>
      </c>
      <c r="Y48" s="41" t="s">
        <v>848</v>
      </c>
      <c r="Z48" s="41" t="s">
        <v>998</v>
      </c>
      <c r="AA48" s="49" t="s">
        <v>845</v>
      </c>
      <c r="AB48" s="49" t="s">
        <v>1005</v>
      </c>
      <c r="AC48" s="49" t="s">
        <v>1005</v>
      </c>
      <c r="AD48" s="49" t="s">
        <v>1005</v>
      </c>
      <c r="AE48" s="49" t="s">
        <v>1005</v>
      </c>
      <c r="AF48" s="49" t="s">
        <v>848</v>
      </c>
      <c r="AG48" s="49" t="s">
        <v>848</v>
      </c>
    </row>
    <row r="49" spans="1:33" x14ac:dyDescent="0.25">
      <c r="A49" s="40">
        <v>2000048</v>
      </c>
      <c r="B49" s="40" t="s">
        <v>4461</v>
      </c>
      <c r="C49" s="41" t="s">
        <v>774</v>
      </c>
      <c r="D49" s="44">
        <f>SUMIF(CREANCES!$B$2:$B$99999,'INFO CLIENTS'!B49,CREANCES!$J$2:$J$99999) - SUMIF(CREANCES!$B$2:$B$99999,'INFO CLIENTS'!B49,CREANCES!$K$2:$K$99999)</f>
        <v>691211.74280000012</v>
      </c>
      <c r="E49" s="41" t="s">
        <v>1016</v>
      </c>
      <c r="F49" s="41" t="s">
        <v>934</v>
      </c>
      <c r="G49" s="50" t="s">
        <v>26</v>
      </c>
      <c r="H49" s="41" t="s">
        <v>962</v>
      </c>
      <c r="I49" s="43">
        <v>44197</v>
      </c>
      <c r="J49" s="41" t="s">
        <v>818</v>
      </c>
      <c r="K49" s="41" t="s">
        <v>6783</v>
      </c>
      <c r="L49" s="41" t="s">
        <v>820</v>
      </c>
      <c r="M49" s="47" t="s">
        <v>986</v>
      </c>
      <c r="N49" s="41" t="s">
        <v>1010</v>
      </c>
      <c r="O49" s="48">
        <v>1</v>
      </c>
      <c r="P49" s="41" t="s">
        <v>840</v>
      </c>
      <c r="Q49" s="41" t="s">
        <v>1012</v>
      </c>
      <c r="R49" s="41" t="s">
        <v>1013</v>
      </c>
      <c r="S49" s="41" t="s">
        <v>848</v>
      </c>
      <c r="T49" s="41" t="s">
        <v>848</v>
      </c>
      <c r="U49" s="49" t="s">
        <v>848</v>
      </c>
      <c r="V49" s="41" t="s">
        <v>848</v>
      </c>
      <c r="W49" s="49" t="s">
        <v>851</v>
      </c>
      <c r="X49" s="49" t="s">
        <v>885</v>
      </c>
      <c r="Y49" s="49" t="s">
        <v>998</v>
      </c>
      <c r="Z49" s="49" t="s">
        <v>897</v>
      </c>
      <c r="AA49" s="49" t="s">
        <v>845</v>
      </c>
      <c r="AB49" s="49" t="s">
        <v>866</v>
      </c>
      <c r="AC49" s="49" t="s">
        <v>848</v>
      </c>
      <c r="AD49" s="49" t="s">
        <v>866</v>
      </c>
      <c r="AE49" s="49" t="s">
        <v>848</v>
      </c>
      <c r="AF49" s="49" t="s">
        <v>852</v>
      </c>
      <c r="AG49" s="49" t="s">
        <v>848</v>
      </c>
    </row>
    <row r="50" spans="1:33" x14ac:dyDescent="0.25">
      <c r="A50" s="40">
        <v>2000049</v>
      </c>
      <c r="B50" s="40" t="s">
        <v>4462</v>
      </c>
      <c r="C50" s="41" t="s">
        <v>774</v>
      </c>
      <c r="D50" s="44">
        <f>SUMIF(CREANCES!$B$2:$B$99999,'INFO CLIENTS'!B50,CREANCES!$J$2:$J$99999) - SUMIF(CREANCES!$B$2:$B$99999,'INFO CLIENTS'!B50,CREANCES!$K$2:$K$99999)</f>
        <v>107800.00000000001</v>
      </c>
      <c r="E50" s="41" t="s">
        <v>1016</v>
      </c>
      <c r="F50" s="41" t="s">
        <v>935</v>
      </c>
      <c r="G50" s="50" t="s">
        <v>26</v>
      </c>
      <c r="H50" s="41" t="s">
        <v>26</v>
      </c>
      <c r="I50" s="43">
        <v>44197</v>
      </c>
      <c r="J50" s="41" t="s">
        <v>818</v>
      </c>
      <c r="K50" s="41" t="s">
        <v>6783</v>
      </c>
      <c r="L50" s="41" t="s">
        <v>820</v>
      </c>
      <c r="M50" s="47" t="s">
        <v>987</v>
      </c>
      <c r="N50" s="41" t="s">
        <v>1010</v>
      </c>
      <c r="O50" s="48">
        <v>1</v>
      </c>
      <c r="P50" s="41" t="s">
        <v>841</v>
      </c>
      <c r="Q50" s="41" t="s">
        <v>1012</v>
      </c>
      <c r="R50" s="41" t="s">
        <v>1013</v>
      </c>
      <c r="S50" s="41" t="s">
        <v>848</v>
      </c>
      <c r="T50" s="41" t="s">
        <v>848</v>
      </c>
      <c r="U50" s="41" t="s">
        <v>855</v>
      </c>
      <c r="V50" s="41" t="s">
        <v>855</v>
      </c>
      <c r="W50" s="41" t="s">
        <v>994</v>
      </c>
      <c r="X50" s="49" t="s">
        <v>873</v>
      </c>
      <c r="Y50" s="49" t="s">
        <v>1001</v>
      </c>
      <c r="Z50" s="49" t="s">
        <v>873</v>
      </c>
      <c r="AA50" s="49" t="s">
        <v>845</v>
      </c>
      <c r="AB50" s="49" t="s">
        <v>994</v>
      </c>
      <c r="AC50" s="49" t="s">
        <v>994</v>
      </c>
      <c r="AD50" s="49" t="s">
        <v>994</v>
      </c>
      <c r="AE50" s="49" t="s">
        <v>994</v>
      </c>
      <c r="AF50" s="49" t="s">
        <v>855</v>
      </c>
      <c r="AG50" s="49" t="s">
        <v>855</v>
      </c>
    </row>
    <row r="51" spans="1:33" x14ac:dyDescent="0.25">
      <c r="A51" s="40">
        <v>2000050</v>
      </c>
      <c r="B51" s="40" t="s">
        <v>4463</v>
      </c>
      <c r="C51" s="41" t="s">
        <v>774</v>
      </c>
      <c r="D51" s="44">
        <f>SUMIF(CREANCES!$B$2:$B$99999,'INFO CLIENTS'!B51,CREANCES!$J$2:$J$99999) - SUMIF(CREANCES!$B$2:$B$99999,'INFO CLIENTS'!B51,CREANCES!$K$2:$K$99999)</f>
        <v>623610</v>
      </c>
      <c r="E51" s="41" t="s">
        <v>1016</v>
      </c>
      <c r="F51" s="41" t="s">
        <v>936</v>
      </c>
      <c r="G51" s="50" t="s">
        <v>26</v>
      </c>
      <c r="H51" s="41" t="s">
        <v>26</v>
      </c>
      <c r="I51" s="43">
        <v>44197</v>
      </c>
      <c r="J51" s="41" t="s">
        <v>818</v>
      </c>
      <c r="K51" s="41" t="s">
        <v>6783</v>
      </c>
      <c r="L51" s="41" t="s">
        <v>820</v>
      </c>
      <c r="M51" s="47" t="s">
        <v>988</v>
      </c>
      <c r="N51" s="41" t="s">
        <v>1010</v>
      </c>
      <c r="O51" s="48">
        <v>1</v>
      </c>
      <c r="P51" s="41" t="s">
        <v>841</v>
      </c>
      <c r="Q51" s="41" t="s">
        <v>1012</v>
      </c>
      <c r="R51" s="41" t="s">
        <v>1013</v>
      </c>
      <c r="S51" s="41" t="s">
        <v>848</v>
      </c>
      <c r="T51" s="41" t="s">
        <v>848</v>
      </c>
      <c r="U51" s="41" t="s">
        <v>855</v>
      </c>
      <c r="V51" s="41" t="s">
        <v>855</v>
      </c>
      <c r="W51" s="41" t="s">
        <v>994</v>
      </c>
      <c r="X51" s="49" t="s">
        <v>873</v>
      </c>
      <c r="Y51" s="49" t="s">
        <v>1001</v>
      </c>
      <c r="Z51" s="49" t="s">
        <v>873</v>
      </c>
      <c r="AA51" s="49" t="s">
        <v>845</v>
      </c>
      <c r="AB51" s="49" t="s">
        <v>994</v>
      </c>
      <c r="AC51" s="49" t="s">
        <v>994</v>
      </c>
      <c r="AD51" s="49" t="s">
        <v>994</v>
      </c>
      <c r="AE51" s="49" t="s">
        <v>994</v>
      </c>
      <c r="AF51" s="49" t="s">
        <v>855</v>
      </c>
      <c r="AG51" s="49" t="s">
        <v>855</v>
      </c>
    </row>
    <row r="52" spans="1:33" x14ac:dyDescent="0.25">
      <c r="A52" s="40">
        <v>2000051</v>
      </c>
      <c r="B52" s="40" t="s">
        <v>915</v>
      </c>
      <c r="C52" s="41" t="s">
        <v>774</v>
      </c>
      <c r="D52" s="44">
        <f>SUMIF(CREANCES!$B$2:$B$99999,'INFO CLIENTS'!B52,CREANCES!$J$2:$J$99999) - SUMIF(CREANCES!$B$2:$B$99999,'INFO CLIENTS'!B52,CREANCES!$K$2:$K$99999)</f>
        <v>191611.31</v>
      </c>
      <c r="E52" s="41" t="s">
        <v>1016</v>
      </c>
      <c r="F52" s="41" t="s">
        <v>26</v>
      </c>
      <c r="G52" s="50" t="s">
        <v>26</v>
      </c>
      <c r="H52" s="41" t="s">
        <v>26</v>
      </c>
      <c r="I52" s="43">
        <v>44197</v>
      </c>
      <c r="J52" s="41" t="s">
        <v>818</v>
      </c>
      <c r="K52" s="41" t="s">
        <v>6783</v>
      </c>
      <c r="L52" s="41" t="s">
        <v>820</v>
      </c>
      <c r="M52" s="47" t="s">
        <v>989</v>
      </c>
      <c r="N52" s="41" t="s">
        <v>1010</v>
      </c>
      <c r="O52" s="48">
        <v>0.7</v>
      </c>
      <c r="P52" s="41" t="s">
        <v>840</v>
      </c>
      <c r="Q52" s="41" t="s">
        <v>844</v>
      </c>
      <c r="R52" s="41" t="s">
        <v>1013</v>
      </c>
      <c r="S52" s="41" t="s">
        <v>848</v>
      </c>
      <c r="T52" s="41" t="s">
        <v>848</v>
      </c>
      <c r="U52" s="41" t="s">
        <v>881</v>
      </c>
      <c r="V52" s="41" t="s">
        <v>848</v>
      </c>
      <c r="W52" s="49" t="s">
        <v>851</v>
      </c>
      <c r="X52" s="49" t="s">
        <v>888</v>
      </c>
      <c r="Y52" s="49" t="s">
        <v>867</v>
      </c>
      <c r="Z52" s="49" t="s">
        <v>998</v>
      </c>
      <c r="AA52" s="49" t="s">
        <v>845</v>
      </c>
      <c r="AB52" s="49" t="s">
        <v>848</v>
      </c>
      <c r="AC52" s="49" t="s">
        <v>848</v>
      </c>
      <c r="AD52" s="49" t="s">
        <v>848</v>
      </c>
      <c r="AE52" s="49" t="s">
        <v>848</v>
      </c>
      <c r="AF52" s="49" t="s">
        <v>848</v>
      </c>
      <c r="AG52" s="49" t="s">
        <v>848</v>
      </c>
    </row>
    <row r="53" spans="1:33" x14ac:dyDescent="0.25">
      <c r="A53" s="40">
        <v>2000052</v>
      </c>
      <c r="B53" s="40" t="s">
        <v>916</v>
      </c>
      <c r="C53" s="41" t="s">
        <v>774</v>
      </c>
      <c r="D53" s="44">
        <f>SUMIF(CREANCES!$B$2:$B$99999,'INFO CLIENTS'!B53,CREANCES!$J$2:$J$99999) - SUMIF(CREANCES!$B$2:$B$99999,'INFO CLIENTS'!B53,CREANCES!$K$2:$K$99999)</f>
        <v>22800</v>
      </c>
      <c r="E53" s="41" t="s">
        <v>1016</v>
      </c>
      <c r="F53" s="41" t="s">
        <v>26</v>
      </c>
      <c r="G53" s="50" t="s">
        <v>26</v>
      </c>
      <c r="H53" s="41" t="s">
        <v>26</v>
      </c>
      <c r="I53" s="43">
        <v>44197</v>
      </c>
      <c r="J53" s="41" t="s">
        <v>818</v>
      </c>
      <c r="K53" s="41" t="s">
        <v>6783</v>
      </c>
      <c r="L53" s="41" t="s">
        <v>820</v>
      </c>
      <c r="M53" s="47" t="s">
        <v>990</v>
      </c>
      <c r="N53" s="41" t="s">
        <v>1010</v>
      </c>
      <c r="O53" s="48">
        <v>1</v>
      </c>
      <c r="P53" s="41" t="s">
        <v>841</v>
      </c>
      <c r="Q53" s="41" t="s">
        <v>844</v>
      </c>
      <c r="R53" s="41" t="s">
        <v>1013</v>
      </c>
      <c r="S53" s="41" t="s">
        <v>848</v>
      </c>
      <c r="T53" s="41" t="s">
        <v>848</v>
      </c>
      <c r="U53" s="41" t="s">
        <v>855</v>
      </c>
      <c r="V53" s="41" t="s">
        <v>855</v>
      </c>
      <c r="W53" s="41" t="s">
        <v>855</v>
      </c>
      <c r="X53" s="41" t="s">
        <v>855</v>
      </c>
      <c r="Y53" s="41" t="s">
        <v>855</v>
      </c>
      <c r="Z53" s="41" t="s">
        <v>855</v>
      </c>
      <c r="AA53" s="49" t="s">
        <v>845</v>
      </c>
      <c r="AB53" s="41" t="s">
        <v>855</v>
      </c>
      <c r="AC53" s="41" t="s">
        <v>855</v>
      </c>
      <c r="AD53" s="41" t="s">
        <v>855</v>
      </c>
      <c r="AE53" s="41" t="s">
        <v>855</v>
      </c>
      <c r="AF53" s="41" t="s">
        <v>855</v>
      </c>
      <c r="AG53" s="41" t="s">
        <v>855</v>
      </c>
    </row>
    <row r="54" spans="1:33" x14ac:dyDescent="0.25">
      <c r="A54" s="40">
        <v>2000053</v>
      </c>
      <c r="B54" s="40" t="s">
        <v>4464</v>
      </c>
      <c r="C54" s="41" t="s">
        <v>24</v>
      </c>
      <c r="D54" s="44">
        <f>SUMIF(CREANCES!$B$2:$B$99999,'INFO CLIENTS'!B54,CREANCES!$J$2:$J$99999) - SUMIF(CREANCES!$B$2:$B$99999,'INFO CLIENTS'!B54,CREANCES!$K$2:$K$99999)</f>
        <v>12000</v>
      </c>
      <c r="E54" s="41" t="s">
        <v>1016</v>
      </c>
      <c r="F54" s="41" t="s">
        <v>26</v>
      </c>
      <c r="G54" s="50" t="s">
        <v>26</v>
      </c>
      <c r="H54" s="41" t="s">
        <v>26</v>
      </c>
      <c r="I54" s="43">
        <v>44197</v>
      </c>
      <c r="J54" s="41" t="s">
        <v>818</v>
      </c>
      <c r="K54" s="41" t="s">
        <v>6783</v>
      </c>
      <c r="L54" s="41" t="s">
        <v>820</v>
      </c>
      <c r="M54" s="47" t="s">
        <v>991</v>
      </c>
      <c r="N54" s="41" t="s">
        <v>1010</v>
      </c>
      <c r="O54" s="48">
        <v>1</v>
      </c>
      <c r="P54" s="41" t="s">
        <v>841</v>
      </c>
      <c r="Q54" s="41" t="s">
        <v>844</v>
      </c>
      <c r="R54" s="41" t="s">
        <v>4486</v>
      </c>
      <c r="S54" s="41" t="s">
        <v>848</v>
      </c>
      <c r="T54" s="41" t="s">
        <v>848</v>
      </c>
      <c r="U54" s="41" t="s">
        <v>855</v>
      </c>
      <c r="V54" s="41" t="s">
        <v>855</v>
      </c>
      <c r="W54" s="41" t="s">
        <v>855</v>
      </c>
      <c r="X54" s="41" t="s">
        <v>855</v>
      </c>
      <c r="Y54" s="41" t="s">
        <v>855</v>
      </c>
      <c r="Z54" s="41" t="s">
        <v>855</v>
      </c>
      <c r="AA54" s="49" t="s">
        <v>845</v>
      </c>
      <c r="AB54" s="41" t="s">
        <v>855</v>
      </c>
      <c r="AC54" s="41" t="s">
        <v>855</v>
      </c>
      <c r="AD54" s="41" t="s">
        <v>855</v>
      </c>
      <c r="AE54" s="41" t="s">
        <v>855</v>
      </c>
      <c r="AF54" s="41" t="s">
        <v>855</v>
      </c>
      <c r="AG54" s="41" t="s">
        <v>855</v>
      </c>
    </row>
    <row r="55" spans="1:33" x14ac:dyDescent="0.25">
      <c r="A55" s="40">
        <v>2000054</v>
      </c>
      <c r="B55" s="40" t="s">
        <v>4465</v>
      </c>
      <c r="C55" s="41" t="s">
        <v>24</v>
      </c>
      <c r="D55" s="44">
        <f>SUMIF(CREANCES!$B$2:$B$99999,'INFO CLIENTS'!B55,CREANCES!$J$2:$J$99999) - SUMIF(CREANCES!$B$2:$B$99999,'INFO CLIENTS'!B55,CREANCES!$K$2:$K$99999)</f>
        <v>72875</v>
      </c>
      <c r="E55" s="41" t="s">
        <v>1016</v>
      </c>
      <c r="F55" s="41" t="s">
        <v>26</v>
      </c>
      <c r="G55" s="50" t="s">
        <v>26</v>
      </c>
      <c r="H55" s="41" t="s">
        <v>26</v>
      </c>
      <c r="I55" s="43">
        <v>44197</v>
      </c>
      <c r="J55" s="41" t="s">
        <v>818</v>
      </c>
      <c r="K55" s="41" t="s">
        <v>6783</v>
      </c>
      <c r="L55" s="41" t="s">
        <v>820</v>
      </c>
      <c r="M55" s="47" t="s">
        <v>992</v>
      </c>
      <c r="N55" s="41" t="s">
        <v>1010</v>
      </c>
      <c r="O55" s="48">
        <v>1</v>
      </c>
      <c r="P55" s="41" t="s">
        <v>841</v>
      </c>
      <c r="Q55" s="41" t="s">
        <v>844</v>
      </c>
      <c r="R55" s="41" t="s">
        <v>1013</v>
      </c>
      <c r="S55" s="41" t="s">
        <v>848</v>
      </c>
      <c r="T55" s="41" t="s">
        <v>848</v>
      </c>
      <c r="U55" s="41" t="s">
        <v>855</v>
      </c>
      <c r="V55" s="41" t="s">
        <v>855</v>
      </c>
      <c r="W55" s="49" t="s">
        <v>855</v>
      </c>
      <c r="X55" s="49" t="s">
        <v>997</v>
      </c>
      <c r="Y55" s="49" t="s">
        <v>997</v>
      </c>
      <c r="Z55" s="49" t="s">
        <v>997</v>
      </c>
      <c r="AA55" s="49" t="s">
        <v>845</v>
      </c>
      <c r="AB55" s="49" t="s">
        <v>859</v>
      </c>
      <c r="AC55" s="49" t="s">
        <v>859</v>
      </c>
      <c r="AD55" s="49" t="s">
        <v>859</v>
      </c>
      <c r="AE55" s="49" t="s">
        <v>859</v>
      </c>
      <c r="AF55" s="49" t="s">
        <v>857</v>
      </c>
      <c r="AG55" s="49" t="s">
        <v>855</v>
      </c>
    </row>
    <row r="56" spans="1:33" x14ac:dyDescent="0.25">
      <c r="A56" s="40">
        <v>2000055</v>
      </c>
      <c r="B56" s="40" t="s">
        <v>4466</v>
      </c>
      <c r="C56" s="41" t="s">
        <v>901</v>
      </c>
      <c r="D56" s="44">
        <f>SUMIF(CREANCES!$B$2:$B$99999,'INFO CLIENTS'!B56,CREANCES!$J$2:$J$99999) - SUMIF(CREANCES!$B$2:$B$99999,'INFO CLIENTS'!B56,CREANCES!$K$2:$K$99999)</f>
        <v>74379.600000000093</v>
      </c>
      <c r="E56" s="41" t="s">
        <v>1015</v>
      </c>
      <c r="F56" s="41" t="s">
        <v>937</v>
      </c>
      <c r="G56" s="50" t="s">
        <v>964</v>
      </c>
      <c r="H56" s="41" t="s">
        <v>963</v>
      </c>
      <c r="I56" s="43">
        <v>44197</v>
      </c>
      <c r="J56" s="41" t="s">
        <v>818</v>
      </c>
      <c r="K56" s="41" t="s">
        <v>6781</v>
      </c>
      <c r="L56" s="41" t="s">
        <v>820</v>
      </c>
      <c r="M56" s="47" t="s">
        <v>993</v>
      </c>
      <c r="N56" s="41" t="s">
        <v>839</v>
      </c>
      <c r="O56" s="48">
        <v>1</v>
      </c>
      <c r="P56" s="41" t="s">
        <v>841</v>
      </c>
      <c r="Q56" s="41" t="s">
        <v>842</v>
      </c>
      <c r="R56" s="41" t="s">
        <v>1013</v>
      </c>
      <c r="S56" s="41" t="s">
        <v>996</v>
      </c>
      <c r="T56" s="41" t="s">
        <v>996</v>
      </c>
      <c r="U56" s="41" t="s">
        <v>855</v>
      </c>
      <c r="V56" s="41" t="s">
        <v>855</v>
      </c>
      <c r="W56" s="49" t="s">
        <v>855</v>
      </c>
      <c r="X56" s="49" t="s">
        <v>1003</v>
      </c>
      <c r="Y56" s="49" t="s">
        <v>1008</v>
      </c>
      <c r="Z56" s="49" t="s">
        <v>1008</v>
      </c>
      <c r="AA56" s="49" t="s">
        <v>845</v>
      </c>
      <c r="AB56" s="49" t="s">
        <v>855</v>
      </c>
      <c r="AC56" s="49" t="s">
        <v>1006</v>
      </c>
      <c r="AD56" s="41" t="s">
        <v>855</v>
      </c>
      <c r="AE56" s="41" t="s">
        <v>856</v>
      </c>
      <c r="AF56" s="49" t="s">
        <v>893</v>
      </c>
      <c r="AG56" s="49" t="s">
        <v>855</v>
      </c>
    </row>
    <row r="57" spans="1:33" x14ac:dyDescent="0.25">
      <c r="A57" s="40">
        <v>2000056</v>
      </c>
      <c r="B57" s="40" t="s">
        <v>4467</v>
      </c>
      <c r="C57" s="41" t="s">
        <v>901</v>
      </c>
      <c r="D57" s="44">
        <f>SUMIF(CREANCES!$B$2:$B$99999,'INFO CLIENTS'!B57,CREANCES!$J$2:$J$99999) - SUMIF(CREANCES!$B$2:$B$99999,'INFO CLIENTS'!B57,CREANCES!$K$2:$K$99999)</f>
        <v>0</v>
      </c>
      <c r="E57" s="41" t="s">
        <v>1016</v>
      </c>
      <c r="F57" s="41" t="s">
        <v>937</v>
      </c>
      <c r="G57" s="50" t="s">
        <v>964</v>
      </c>
      <c r="H57" s="41"/>
      <c r="I57" s="43">
        <v>44197</v>
      </c>
      <c r="J57" s="41" t="s">
        <v>818</v>
      </c>
      <c r="K57" s="41" t="s">
        <v>819</v>
      </c>
      <c r="L57" s="41" t="s">
        <v>820</v>
      </c>
      <c r="M57" s="47" t="s">
        <v>1043</v>
      </c>
      <c r="N57" s="41" t="s">
        <v>839</v>
      </c>
      <c r="O57" s="48">
        <v>1</v>
      </c>
      <c r="P57" s="41" t="s">
        <v>840</v>
      </c>
      <c r="Q57" s="41" t="s">
        <v>1014</v>
      </c>
      <c r="R57" s="41" t="s">
        <v>907</v>
      </c>
      <c r="S57" s="41" t="s">
        <v>848</v>
      </c>
      <c r="T57" s="41" t="s">
        <v>848</v>
      </c>
      <c r="U57" s="41" t="s">
        <v>845</v>
      </c>
      <c r="V57" s="41" t="s">
        <v>848</v>
      </c>
      <c r="W57" s="49" t="s">
        <v>848</v>
      </c>
      <c r="X57" s="49" t="s">
        <v>998</v>
      </c>
      <c r="Y57" s="49" t="s">
        <v>888</v>
      </c>
      <c r="Z57" s="49" t="s">
        <v>885</v>
      </c>
      <c r="AA57" s="49" t="s">
        <v>845</v>
      </c>
      <c r="AB57" s="41" t="s">
        <v>848</v>
      </c>
      <c r="AC57" s="41" t="s">
        <v>848</v>
      </c>
      <c r="AD57" s="41" t="s">
        <v>848</v>
      </c>
      <c r="AE57" s="41" t="s">
        <v>848</v>
      </c>
      <c r="AF57" s="49" t="s">
        <v>852</v>
      </c>
      <c r="AG57" s="41" t="s">
        <v>848</v>
      </c>
    </row>
    <row r="58" spans="1:33" x14ac:dyDescent="0.25">
      <c r="A58" s="40">
        <v>2000057</v>
      </c>
      <c r="B58" s="40" t="s">
        <v>1035</v>
      </c>
      <c r="C58" s="41" t="s">
        <v>776</v>
      </c>
      <c r="D58" s="44">
        <f>SUMIF(CREANCES!$B$2:$B$99999,'INFO CLIENTS'!B58,CREANCES!$J$2:$J$99999) - SUMIF(CREANCES!$B$2:$B$99999,'INFO CLIENTS'!B58,CREANCES!$K$2:$K$99999)</f>
        <v>6375</v>
      </c>
      <c r="E58" s="41" t="s">
        <v>1016</v>
      </c>
      <c r="F58" s="41" t="s">
        <v>26</v>
      </c>
      <c r="G58" s="50" t="s">
        <v>26</v>
      </c>
      <c r="H58" s="41" t="s">
        <v>26</v>
      </c>
      <c r="I58" s="43">
        <v>42736</v>
      </c>
      <c r="J58" s="41" t="s">
        <v>818</v>
      </c>
      <c r="K58" s="41" t="s">
        <v>819</v>
      </c>
      <c r="L58" s="41" t="s">
        <v>820</v>
      </c>
      <c r="M58" s="47" t="s">
        <v>26</v>
      </c>
      <c r="N58" s="41" t="s">
        <v>1009</v>
      </c>
      <c r="O58" s="48">
        <v>0</v>
      </c>
      <c r="P58" s="41" t="s">
        <v>1036</v>
      </c>
      <c r="Q58" s="41" t="s">
        <v>1012</v>
      </c>
      <c r="R58" s="41" t="s">
        <v>900</v>
      </c>
      <c r="S58" s="41" t="s">
        <v>855</v>
      </c>
      <c r="T58" s="41" t="s">
        <v>855</v>
      </c>
      <c r="U58" s="41" t="s">
        <v>855</v>
      </c>
      <c r="V58" s="41" t="s">
        <v>855</v>
      </c>
      <c r="W58" s="41" t="s">
        <v>855</v>
      </c>
      <c r="X58" s="41" t="s">
        <v>855</v>
      </c>
      <c r="Y58" s="41" t="s">
        <v>855</v>
      </c>
      <c r="Z58" s="41" t="s">
        <v>855</v>
      </c>
      <c r="AA58" s="49" t="s">
        <v>845</v>
      </c>
      <c r="AB58" s="41" t="s">
        <v>855</v>
      </c>
      <c r="AC58" s="41" t="s">
        <v>855</v>
      </c>
      <c r="AD58" s="41" t="s">
        <v>855</v>
      </c>
      <c r="AE58" s="41" t="s">
        <v>855</v>
      </c>
      <c r="AF58" s="41" t="s">
        <v>855</v>
      </c>
      <c r="AG58" s="41" t="s">
        <v>855</v>
      </c>
    </row>
    <row r="59" spans="1:33" x14ac:dyDescent="0.25">
      <c r="A59" s="40">
        <v>2000058</v>
      </c>
      <c r="B59" s="40" t="s">
        <v>4484</v>
      </c>
      <c r="C59" s="41" t="s">
        <v>24</v>
      </c>
      <c r="D59" s="44">
        <f>SUMIF(CREANCES!$B$2:$B$99999,'INFO CLIENTS'!B59,CREANCES!$J$2:$J$99999) - SUMIF(CREANCES!$B$2:$B$99999,'INFO CLIENTS'!B59,CREANCES!$K$2:$K$99999)</f>
        <v>108872.23999999999</v>
      </c>
      <c r="E59" s="41" t="s">
        <v>1016</v>
      </c>
      <c r="F59" s="41" t="s">
        <v>26</v>
      </c>
      <c r="G59" s="50" t="s">
        <v>26</v>
      </c>
      <c r="H59" s="41" t="s">
        <v>26</v>
      </c>
      <c r="I59" s="43">
        <v>44927</v>
      </c>
      <c r="J59" s="41" t="s">
        <v>818</v>
      </c>
      <c r="K59" s="41" t="s">
        <v>819</v>
      </c>
      <c r="L59" s="41" t="s">
        <v>820</v>
      </c>
      <c r="M59" s="47" t="s">
        <v>1044</v>
      </c>
      <c r="N59" s="41" t="s">
        <v>1010</v>
      </c>
      <c r="O59" s="48">
        <v>0</v>
      </c>
      <c r="P59" s="41" t="s">
        <v>840</v>
      </c>
      <c r="Q59" s="41" t="s">
        <v>1012</v>
      </c>
      <c r="R59" s="41" t="s">
        <v>900</v>
      </c>
      <c r="S59" s="41" t="s">
        <v>848</v>
      </c>
      <c r="T59" s="41" t="s">
        <v>848</v>
      </c>
      <c r="U59" s="41" t="s">
        <v>855</v>
      </c>
      <c r="V59" s="41" t="s">
        <v>855</v>
      </c>
      <c r="W59" s="49" t="s">
        <v>851</v>
      </c>
      <c r="X59" s="49" t="s">
        <v>873</v>
      </c>
      <c r="Y59" s="49" t="s">
        <v>873</v>
      </c>
      <c r="Z59" s="49" t="s">
        <v>873</v>
      </c>
      <c r="AA59" s="49" t="s">
        <v>845</v>
      </c>
      <c r="AB59" s="41" t="s">
        <v>848</v>
      </c>
      <c r="AC59" s="41" t="s">
        <v>1005</v>
      </c>
      <c r="AD59" s="41" t="s">
        <v>847</v>
      </c>
      <c r="AE59" s="41" t="s">
        <v>847</v>
      </c>
      <c r="AF59" s="49" t="s">
        <v>857</v>
      </c>
      <c r="AG59" s="41" t="s">
        <v>848</v>
      </c>
    </row>
    <row r="60" spans="1:33" x14ac:dyDescent="0.25">
      <c r="A60" s="40">
        <v>2000059</v>
      </c>
      <c r="B60" s="40" t="s">
        <v>204</v>
      </c>
      <c r="C60" s="41" t="s">
        <v>26</v>
      </c>
      <c r="D60" s="44">
        <f>SUMIF(CREANCES!$B$2:$B$99999,'INFO CLIENTS'!B60,CREANCES!$J$2:$J$99999) - SUMIF(CREANCES!$B$2:$B$99999,'INFO CLIENTS'!B60,CREANCES!$K$2:$K$99999)</f>
        <v>-26159.520000000019</v>
      </c>
      <c r="E60" s="41" t="s">
        <v>1016</v>
      </c>
      <c r="F60" s="41" t="s">
        <v>1037</v>
      </c>
      <c r="G60" s="50" t="s">
        <v>1038</v>
      </c>
      <c r="H60" s="41" t="s">
        <v>1039</v>
      </c>
      <c r="I60" s="43">
        <v>44927</v>
      </c>
      <c r="J60" s="41" t="s">
        <v>818</v>
      </c>
      <c r="K60" s="41" t="s">
        <v>819</v>
      </c>
      <c r="L60" s="41" t="s">
        <v>820</v>
      </c>
      <c r="M60" s="47" t="s">
        <v>1045</v>
      </c>
      <c r="N60" s="41" t="s">
        <v>839</v>
      </c>
      <c r="O60" s="48">
        <v>0</v>
      </c>
      <c r="P60" s="41" t="s">
        <v>840</v>
      </c>
      <c r="Q60" s="41" t="s">
        <v>1014</v>
      </c>
      <c r="R60" s="41" t="s">
        <v>6786</v>
      </c>
      <c r="S60" s="41" t="s">
        <v>848</v>
      </c>
      <c r="T60" s="41" t="s">
        <v>848</v>
      </c>
      <c r="U60" s="41" t="s">
        <v>855</v>
      </c>
      <c r="V60" s="41" t="s">
        <v>855</v>
      </c>
      <c r="W60" s="41" t="s">
        <v>996</v>
      </c>
      <c r="X60" s="41" t="s">
        <v>1003</v>
      </c>
      <c r="Y60" s="41" t="s">
        <v>1040</v>
      </c>
      <c r="Z60" s="41" t="s">
        <v>1040</v>
      </c>
      <c r="AA60" s="49" t="s">
        <v>845</v>
      </c>
      <c r="AB60" s="41" t="s">
        <v>875</v>
      </c>
      <c r="AC60" s="41" t="s">
        <v>875</v>
      </c>
      <c r="AD60" s="41" t="s">
        <v>875</v>
      </c>
      <c r="AE60" s="41" t="s">
        <v>875</v>
      </c>
      <c r="AF60" s="41" t="s">
        <v>855</v>
      </c>
      <c r="AG60" s="41" t="s">
        <v>855</v>
      </c>
    </row>
    <row r="61" spans="1:33" x14ac:dyDescent="0.25">
      <c r="A61" s="40">
        <v>2000060</v>
      </c>
      <c r="B61" s="40" t="s">
        <v>4468</v>
      </c>
      <c r="C61" s="41" t="s">
        <v>901</v>
      </c>
      <c r="D61" s="44">
        <f>SUMIF(CREANCES!$B$2:$B$99999,'INFO CLIENTS'!B61,CREANCES!$J$2:$J$99999) - SUMIF(CREANCES!$B$2:$B$99999,'INFO CLIENTS'!B61,CREANCES!$K$2:$K$99999)</f>
        <v>1018.7999999999302</v>
      </c>
      <c r="E61" s="41" t="s">
        <v>1015</v>
      </c>
      <c r="F61" s="41" t="s">
        <v>26</v>
      </c>
      <c r="G61" s="50" t="s">
        <v>26</v>
      </c>
      <c r="H61" s="41" t="s">
        <v>26</v>
      </c>
      <c r="I61" s="43">
        <v>45292</v>
      </c>
      <c r="J61" s="41" t="s">
        <v>818</v>
      </c>
      <c r="K61" s="41" t="s">
        <v>819</v>
      </c>
      <c r="L61" s="41" t="s">
        <v>820</v>
      </c>
      <c r="M61" s="47" t="s">
        <v>1046</v>
      </c>
      <c r="N61" s="41" t="s">
        <v>839</v>
      </c>
      <c r="O61" s="48">
        <v>1</v>
      </c>
      <c r="P61" s="41" t="s">
        <v>840</v>
      </c>
      <c r="Q61" s="41" t="s">
        <v>842</v>
      </c>
      <c r="R61" s="41" t="s">
        <v>900</v>
      </c>
      <c r="S61" s="41" t="s">
        <v>1041</v>
      </c>
      <c r="T61" s="41" t="s">
        <v>1042</v>
      </c>
      <c r="U61" s="41" t="s">
        <v>848</v>
      </c>
      <c r="V61" s="41" t="s">
        <v>845</v>
      </c>
      <c r="W61" s="41" t="s">
        <v>848</v>
      </c>
      <c r="X61" s="41" t="s">
        <v>848</v>
      </c>
      <c r="Y61" s="41" t="s">
        <v>848</v>
      </c>
      <c r="Z61" s="41" t="s">
        <v>848</v>
      </c>
      <c r="AA61" s="49" t="s">
        <v>845</v>
      </c>
      <c r="AB61" s="41" t="s">
        <v>848</v>
      </c>
      <c r="AC61" s="41" t="s">
        <v>848</v>
      </c>
      <c r="AD61" s="41" t="s">
        <v>848</v>
      </c>
      <c r="AE61" s="41" t="s">
        <v>848</v>
      </c>
      <c r="AF61" s="41" t="s">
        <v>848</v>
      </c>
      <c r="AG61" s="41" t="s">
        <v>848</v>
      </c>
    </row>
    <row r="62" spans="1:33" x14ac:dyDescent="0.25">
      <c r="A62" s="40">
        <v>2000061</v>
      </c>
      <c r="B62" s="40" t="s">
        <v>4442</v>
      </c>
      <c r="C62" s="41" t="s">
        <v>901</v>
      </c>
      <c r="D62" s="44">
        <f>SUMIF(CREANCES!$B$2:$B$99999,'INFO CLIENTS'!B62,CREANCES!$J$2:$J$99999) - SUMIF(CREANCES!$B$2:$B$99999,'INFO CLIENTS'!B62,CREANCES!$K$2:$K$99999)</f>
        <v>-15784.416000000001</v>
      </c>
      <c r="E62" s="41" t="s">
        <v>1016</v>
      </c>
      <c r="F62" s="41" t="s">
        <v>4441</v>
      </c>
      <c r="G62" s="50" t="s">
        <v>4440</v>
      </c>
      <c r="H62" s="41" t="s">
        <v>26</v>
      </c>
      <c r="I62" s="43">
        <v>45658</v>
      </c>
      <c r="J62" s="41" t="s">
        <v>818</v>
      </c>
      <c r="K62" s="41" t="s">
        <v>819</v>
      </c>
      <c r="L62" s="44">
        <f>D62</f>
        <v>-15784.416000000001</v>
      </c>
      <c r="M62" s="47" t="s">
        <v>4443</v>
      </c>
      <c r="N62" s="41" t="s">
        <v>839</v>
      </c>
      <c r="O62" s="48">
        <v>1</v>
      </c>
      <c r="P62" s="41" t="s">
        <v>840</v>
      </c>
      <c r="Q62" s="41" t="s">
        <v>842</v>
      </c>
      <c r="R62" s="41" t="s">
        <v>907</v>
      </c>
      <c r="S62" s="41" t="s">
        <v>848</v>
      </c>
      <c r="T62" s="41" t="s">
        <v>848</v>
      </c>
      <c r="U62" s="41" t="s">
        <v>848</v>
      </c>
      <c r="V62" s="41" t="s">
        <v>848</v>
      </c>
      <c r="W62" s="41" t="s">
        <v>848</v>
      </c>
      <c r="X62" s="41" t="s">
        <v>865</v>
      </c>
      <c r="Y62" s="41" t="s">
        <v>848</v>
      </c>
      <c r="Z62" s="41" t="s">
        <v>895</v>
      </c>
      <c r="AA62" s="49" t="s">
        <v>845</v>
      </c>
      <c r="AB62" s="41" t="s">
        <v>848</v>
      </c>
      <c r="AC62" s="41" t="s">
        <v>848</v>
      </c>
      <c r="AD62" s="41" t="s">
        <v>848</v>
      </c>
      <c r="AE62" s="41" t="s">
        <v>848</v>
      </c>
      <c r="AF62" s="41" t="s">
        <v>848</v>
      </c>
      <c r="AG62" s="41" t="s">
        <v>848</v>
      </c>
    </row>
    <row r="63" spans="1:33" x14ac:dyDescent="0.25">
      <c r="A63" s="40">
        <v>2000062</v>
      </c>
      <c r="B63" s="40" t="s">
        <v>71</v>
      </c>
      <c r="C63" s="41" t="s">
        <v>24</v>
      </c>
      <c r="D63" s="44">
        <f>SUMIF(CREANCES!$B$2:$B$99999,'INFO CLIENTS'!B63,CREANCES!$J$2:$J$99999) - SUMIF(CREANCES!$B$2:$B$99999,'INFO CLIENTS'!B63,CREANCES!$K$2:$K$99999)</f>
        <v>0</v>
      </c>
      <c r="E63" s="41" t="s">
        <v>1016</v>
      </c>
      <c r="F63" s="41" t="s">
        <v>6159</v>
      </c>
      <c r="G63" s="50" t="s">
        <v>26</v>
      </c>
      <c r="H63" s="41" t="s">
        <v>6160</v>
      </c>
      <c r="I63" s="43">
        <v>44927</v>
      </c>
      <c r="J63" s="41" t="s">
        <v>818</v>
      </c>
      <c r="K63" s="41" t="s">
        <v>819</v>
      </c>
      <c r="L63" s="41" t="s">
        <v>820</v>
      </c>
      <c r="M63" s="47" t="s">
        <v>6161</v>
      </c>
      <c r="N63" s="41" t="s">
        <v>839</v>
      </c>
      <c r="O63" s="48">
        <v>0</v>
      </c>
      <c r="P63" s="41" t="s">
        <v>1036</v>
      </c>
      <c r="Q63" s="41" t="s">
        <v>842</v>
      </c>
      <c r="R63" s="41" t="s">
        <v>900</v>
      </c>
      <c r="S63" s="41" t="s">
        <v>855</v>
      </c>
      <c r="T63" s="41" t="s">
        <v>855</v>
      </c>
      <c r="U63" s="41" t="s">
        <v>855</v>
      </c>
      <c r="V63" s="41" t="s">
        <v>855</v>
      </c>
      <c r="W63" s="41" t="s">
        <v>855</v>
      </c>
      <c r="X63" s="41" t="s">
        <v>6162</v>
      </c>
      <c r="Y63" s="41" t="s">
        <v>1003</v>
      </c>
      <c r="Z63" s="41" t="s">
        <v>855</v>
      </c>
      <c r="AA63" s="49" t="s">
        <v>845</v>
      </c>
      <c r="AB63" s="41" t="s">
        <v>855</v>
      </c>
      <c r="AC63" s="41" t="s">
        <v>855</v>
      </c>
      <c r="AD63" s="41" t="s">
        <v>855</v>
      </c>
      <c r="AE63" s="41" t="s">
        <v>855</v>
      </c>
      <c r="AF63" s="41" t="s">
        <v>857</v>
      </c>
      <c r="AG63" s="41" t="s">
        <v>855</v>
      </c>
    </row>
    <row r="64" spans="1:33" x14ac:dyDescent="0.25">
      <c r="A64" s="40">
        <v>2000063</v>
      </c>
      <c r="B64" s="40" t="s">
        <v>6163</v>
      </c>
      <c r="C64" s="41" t="s">
        <v>24</v>
      </c>
      <c r="D64" s="44">
        <f>SUMIF(CREANCES!$B$2:$B$99999,'INFO CLIENTS'!B64,CREANCES!$J$2:$J$99999) - SUMIF(CREANCES!$B$2:$B$99999,'INFO CLIENTS'!B64,CREANCES!$K$2:$K$99999)</f>
        <v>0</v>
      </c>
      <c r="E64" s="41" t="s">
        <v>1016</v>
      </c>
      <c r="F64" s="41" t="s">
        <v>6164</v>
      </c>
      <c r="G64" s="50" t="s">
        <v>26</v>
      </c>
      <c r="H64" s="41" t="s">
        <v>6165</v>
      </c>
      <c r="I64" s="43">
        <v>45292</v>
      </c>
      <c r="J64" s="41" t="s">
        <v>818</v>
      </c>
      <c r="K64" s="41" t="s">
        <v>819</v>
      </c>
      <c r="L64" s="41" t="s">
        <v>820</v>
      </c>
      <c r="M64" s="47" t="s">
        <v>6166</v>
      </c>
      <c r="N64" s="41" t="s">
        <v>839</v>
      </c>
      <c r="O64" s="48">
        <v>0</v>
      </c>
      <c r="P64" s="41" t="s">
        <v>840</v>
      </c>
      <c r="Q64" s="41" t="s">
        <v>842</v>
      </c>
      <c r="R64" s="41" t="s">
        <v>900</v>
      </c>
      <c r="S64" s="41" t="s">
        <v>848</v>
      </c>
      <c r="T64" s="41" t="s">
        <v>848</v>
      </c>
      <c r="U64" s="41" t="s">
        <v>848</v>
      </c>
      <c r="V64" s="41" t="s">
        <v>848</v>
      </c>
      <c r="W64" s="41" t="s">
        <v>848</v>
      </c>
      <c r="X64" s="41" t="s">
        <v>848</v>
      </c>
      <c r="Y64" s="41" t="s">
        <v>848</v>
      </c>
      <c r="Z64" s="41" t="s">
        <v>848</v>
      </c>
      <c r="AA64" s="49" t="s">
        <v>845</v>
      </c>
      <c r="AB64" s="41" t="s">
        <v>848</v>
      </c>
      <c r="AC64" s="41" t="s">
        <v>851</v>
      </c>
      <c r="AD64" s="41" t="s">
        <v>851</v>
      </c>
      <c r="AE64" s="41" t="s">
        <v>848</v>
      </c>
      <c r="AF64" s="41" t="s">
        <v>848</v>
      </c>
      <c r="AG64" s="41" t="s">
        <v>848</v>
      </c>
    </row>
    <row r="65" spans="1:33" x14ac:dyDescent="0.25">
      <c r="A65" s="40">
        <v>2000064</v>
      </c>
      <c r="B65" s="40" t="s">
        <v>6167</v>
      </c>
      <c r="C65" s="41" t="s">
        <v>776</v>
      </c>
      <c r="D65" s="44">
        <f>SUMIF(CREANCES!$B$2:$B$99999,'INFO CLIENTS'!B65,CREANCES!$J$2:$J$99999) - SUMIF(CREANCES!$B$2:$B$99999,'INFO CLIENTS'!B65,CREANCES!$K$2:$K$99999)</f>
        <v>0</v>
      </c>
      <c r="E65" s="41" t="s">
        <v>1016</v>
      </c>
      <c r="F65" s="41" t="s">
        <v>6168</v>
      </c>
      <c r="G65" s="50" t="s">
        <v>26</v>
      </c>
      <c r="H65" s="41" t="s">
        <v>6169</v>
      </c>
      <c r="I65" s="43">
        <v>44927</v>
      </c>
      <c r="J65" s="44">
        <v>20000</v>
      </c>
      <c r="K65" s="41" t="s">
        <v>6783</v>
      </c>
      <c r="L65" s="78">
        <f>J65</f>
        <v>20000</v>
      </c>
      <c r="M65" s="47" t="s">
        <v>6170</v>
      </c>
      <c r="N65" s="41" t="s">
        <v>839</v>
      </c>
      <c r="O65" s="48">
        <v>1</v>
      </c>
      <c r="P65" s="41" t="s">
        <v>1036</v>
      </c>
      <c r="Q65" s="41" t="s">
        <v>6171</v>
      </c>
      <c r="R65" s="41" t="s">
        <v>4486</v>
      </c>
      <c r="S65" s="41" t="s">
        <v>855</v>
      </c>
      <c r="T65" s="41" t="s">
        <v>855</v>
      </c>
      <c r="U65" s="41" t="s">
        <v>855</v>
      </c>
      <c r="V65" s="41" t="s">
        <v>855</v>
      </c>
      <c r="W65" s="41" t="s">
        <v>994</v>
      </c>
      <c r="X65" s="41" t="s">
        <v>871</v>
      </c>
      <c r="Y65" s="41" t="s">
        <v>1001</v>
      </c>
      <c r="Z65" s="41" t="s">
        <v>873</v>
      </c>
      <c r="AA65" s="49" t="s">
        <v>845</v>
      </c>
      <c r="AB65" s="41" t="s">
        <v>855</v>
      </c>
      <c r="AC65" s="41" t="s">
        <v>855</v>
      </c>
      <c r="AD65" s="41" t="s">
        <v>855</v>
      </c>
      <c r="AE65" s="41" t="s">
        <v>855</v>
      </c>
      <c r="AF65" s="41" t="s">
        <v>855</v>
      </c>
      <c r="AG65" s="41" t="s">
        <v>855</v>
      </c>
    </row>
    <row r="66" spans="1:33" x14ac:dyDescent="0.25">
      <c r="A66" s="40">
        <v>2000065</v>
      </c>
      <c r="B66" s="40" t="s">
        <v>4482</v>
      </c>
      <c r="C66" s="41" t="s">
        <v>776</v>
      </c>
      <c r="D66" s="44">
        <f>SUMIF(CREANCES!$B$2:$B$99999,'INFO CLIENTS'!B66,CREANCES!$J$2:$J$99999) - SUMIF(CREANCES!$B$2:$B$99999,'INFO CLIENTS'!B66,CREANCES!$K$2:$K$99999)</f>
        <v>1637.54</v>
      </c>
      <c r="E66" s="41" t="s">
        <v>1016</v>
      </c>
      <c r="F66" s="41" t="s">
        <v>26</v>
      </c>
      <c r="G66" s="50" t="s">
        <v>26</v>
      </c>
      <c r="H66" s="41" t="s">
        <v>26</v>
      </c>
      <c r="I66" s="43">
        <v>42736</v>
      </c>
      <c r="J66" s="44" t="s">
        <v>818</v>
      </c>
      <c r="K66" s="41" t="s">
        <v>6782</v>
      </c>
      <c r="L66" s="78" t="s">
        <v>820</v>
      </c>
      <c r="M66" s="47" t="s">
        <v>6675</v>
      </c>
      <c r="N66" s="41" t="s">
        <v>1009</v>
      </c>
      <c r="O66" s="48" t="s">
        <v>26</v>
      </c>
      <c r="P66" s="41" t="s">
        <v>840</v>
      </c>
      <c r="Q66" s="41" t="s">
        <v>1014</v>
      </c>
      <c r="R66" s="41" t="s">
        <v>26</v>
      </c>
      <c r="S66" s="41" t="s">
        <v>848</v>
      </c>
      <c r="T66" s="41" t="s">
        <v>848</v>
      </c>
      <c r="U66" s="41" t="s">
        <v>848</v>
      </c>
      <c r="V66" s="41" t="s">
        <v>848</v>
      </c>
      <c r="W66" s="41" t="s">
        <v>848</v>
      </c>
      <c r="X66" s="41" t="s">
        <v>848</v>
      </c>
      <c r="Y66" s="41" t="s">
        <v>848</v>
      </c>
      <c r="Z66" s="41" t="s">
        <v>848</v>
      </c>
      <c r="AA66" s="49" t="s">
        <v>845</v>
      </c>
      <c r="AB66" s="41" t="s">
        <v>898</v>
      </c>
      <c r="AC66" s="41" t="s">
        <v>898</v>
      </c>
      <c r="AD66" s="41" t="s">
        <v>898</v>
      </c>
      <c r="AE66" s="41" t="s">
        <v>898</v>
      </c>
      <c r="AF66" s="41" t="s">
        <v>6676</v>
      </c>
      <c r="AG66" s="41" t="s">
        <v>848</v>
      </c>
    </row>
    <row r="67" spans="1:33" x14ac:dyDescent="0.25">
      <c r="A67" s="40">
        <v>2000066</v>
      </c>
      <c r="B67" s="40" t="s">
        <v>4483</v>
      </c>
      <c r="C67" s="41" t="s">
        <v>6670</v>
      </c>
      <c r="D67" s="44">
        <f>SUMIF(CREANCES!$B$2:$B$99999,'INFO CLIENTS'!B67,CREANCES!$J$2:$J$99999) - SUMIF(CREANCES!$B$2:$B$99999,'INFO CLIENTS'!B67,CREANCES!$K$2:$K$99999)</f>
        <v>0</v>
      </c>
      <c r="E67" s="41" t="s">
        <v>1016</v>
      </c>
      <c r="F67" s="41" t="s">
        <v>6671</v>
      </c>
      <c r="G67" s="50" t="s">
        <v>6672</v>
      </c>
      <c r="H67" s="41" t="s">
        <v>6673</v>
      </c>
      <c r="I67" s="43">
        <v>42736</v>
      </c>
      <c r="J67" s="44" t="s">
        <v>818</v>
      </c>
      <c r="K67" s="41" t="s">
        <v>6782</v>
      </c>
      <c r="L67" s="78" t="s">
        <v>820</v>
      </c>
      <c r="M67" s="47" t="s">
        <v>6674</v>
      </c>
      <c r="N67" s="41" t="s">
        <v>839</v>
      </c>
      <c r="O67" s="48">
        <v>0</v>
      </c>
      <c r="P67" s="41" t="s">
        <v>1036</v>
      </c>
      <c r="Q67" s="41" t="s">
        <v>6171</v>
      </c>
      <c r="R67" s="41" t="s">
        <v>900</v>
      </c>
      <c r="S67" s="41" t="s">
        <v>855</v>
      </c>
      <c r="T67" s="41" t="s">
        <v>855</v>
      </c>
      <c r="U67" s="41" t="s">
        <v>855</v>
      </c>
      <c r="V67" s="41" t="s">
        <v>996</v>
      </c>
      <c r="W67" s="41" t="s">
        <v>855</v>
      </c>
      <c r="X67" s="41" t="s">
        <v>873</v>
      </c>
      <c r="Y67" s="41" t="s">
        <v>873</v>
      </c>
      <c r="Z67" s="41" t="s">
        <v>873</v>
      </c>
      <c r="AA67" s="49" t="s">
        <v>845</v>
      </c>
      <c r="AB67" s="41" t="s">
        <v>994</v>
      </c>
      <c r="AC67" s="41" t="s">
        <v>994</v>
      </c>
      <c r="AD67" s="41" t="s">
        <v>994</v>
      </c>
      <c r="AE67" s="41" t="s">
        <v>994</v>
      </c>
      <c r="AF67" s="41" t="s">
        <v>857</v>
      </c>
      <c r="AG67" s="41" t="s">
        <v>855</v>
      </c>
    </row>
  </sheetData>
  <autoFilter ref="A1:AG67" xr:uid="{7BB22B7C-CE85-4632-96CC-8174C4AA6F67}"/>
  <hyperlinks>
    <hyperlink ref="G3" r:id="rId1" xr:uid="{4D0F8A08-6560-4992-95C4-1341BB214456}"/>
    <hyperlink ref="G6" r:id="rId2" xr:uid="{C1D2B10C-7C73-477A-8267-853F00497EE9}"/>
    <hyperlink ref="G10" r:id="rId3" xr:uid="{0A73DEC4-7E35-4525-80A8-04C810A27A46}"/>
    <hyperlink ref="G11" r:id="rId4" xr:uid="{EC7B1A4B-BFDD-4A94-9E56-2F63CC036C7B}"/>
    <hyperlink ref="G14" r:id="rId5" xr:uid="{10336E0D-D62A-4BB1-9BA7-C4216A28E4E3}"/>
    <hyperlink ref="G15" r:id="rId6" xr:uid="{B2A1152F-3FF1-4E06-B54C-E1FD904DB811}"/>
    <hyperlink ref="G16" r:id="rId7" xr:uid="{60F2A9CA-E90A-4024-B1CD-4A4C548B5306}"/>
    <hyperlink ref="G18" r:id="rId8" xr:uid="{2A38932F-BB06-4C9B-AA54-5EBB58090A03}"/>
    <hyperlink ref="G21" r:id="rId9" xr:uid="{0EF92435-1EB6-4DAF-9587-1B198EDF563D}"/>
    <hyperlink ref="G22" r:id="rId10" xr:uid="{AFEEC163-9A9D-4EBA-9BB1-39BEF374A180}"/>
    <hyperlink ref="G24" r:id="rId11" xr:uid="{4644016B-B358-4933-8180-52C58FBFFD2A}"/>
    <hyperlink ref="G25" r:id="rId12" xr:uid="{EB412F6E-9DE0-4A85-B0E4-3C1E0ADB22D8}"/>
    <hyperlink ref="G26" r:id="rId13" xr:uid="{3B485654-3160-4637-ABB0-9D9FAA4C3822}"/>
    <hyperlink ref="G28" r:id="rId14" xr:uid="{B188147D-6ED2-4514-92FA-3DBC29ACFACA}"/>
    <hyperlink ref="G31" r:id="rId15" xr:uid="{B57DA36E-AE7B-4CE6-8BA3-ED5B92A04EED}"/>
    <hyperlink ref="G56" r:id="rId16" xr:uid="{9D0A6FD0-6D9A-4DAB-A300-055D0699A40B}"/>
    <hyperlink ref="G57" r:id="rId17" xr:uid="{4A075282-B01D-427A-831A-415502698A7D}"/>
    <hyperlink ref="G13" r:id="rId18" xr:uid="{33905EC5-A430-424D-815F-8466610AC3C4}"/>
    <hyperlink ref="G58" r:id="rId19" display="khadija.fallouz@tgcc.ma" xr:uid="{FD2EFAAC-DACF-4E87-8377-EDB01945E84C}"/>
    <hyperlink ref="G59" r:id="rId20" display="khadija.fallouz@tgcc.ma" xr:uid="{8D441D3D-1B34-4EB8-AC71-940AF2B56E05}"/>
    <hyperlink ref="G60" r:id="rId21" xr:uid="{939C3342-34A7-47A2-BAF0-17AD313121FF}"/>
    <hyperlink ref="G61" r:id="rId22" display="khadija.fallouz@tgcc.ma" xr:uid="{5CADB096-2E00-4BCE-A544-B1F9F78FC8D8}"/>
    <hyperlink ref="G62" r:id="rId23" xr:uid="{BE5F913E-B871-4CE9-AFE3-7A1F0B7C47BB}"/>
    <hyperlink ref="G63" r:id="rId24" display="khadija.fallouz@tgcc.ma" xr:uid="{93B7067E-AD67-42B1-8A90-7F5FB8BBA4FD}"/>
    <hyperlink ref="G64" r:id="rId25" display="khadija.fallouz@tgcc.ma" xr:uid="{C1838DA3-1682-4AF8-AB16-FAA7086974DC}"/>
    <hyperlink ref="G65" r:id="rId26" display="khadija.fallouz@tgcc.ma" xr:uid="{B32E49D5-F6B4-4E70-B2CD-994319A1A5C7}"/>
    <hyperlink ref="G67" r:id="rId27" xr:uid="{6CC51DEC-57B7-4B68-BF2C-35CBE4DBCB0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A95D-5BBF-44D1-A746-E4F1478ABF97}">
  <dimension ref="A1:P3"/>
  <sheetViews>
    <sheetView workbookViewId="0">
      <selection activeCell="J16" sqref="J16"/>
    </sheetView>
  </sheetViews>
  <sheetFormatPr baseColWidth="10" defaultRowHeight="15" x14ac:dyDescent="0.25"/>
  <cols>
    <col min="1" max="1" width="15.7109375" bestFit="1" customWidth="1"/>
    <col min="2" max="2" width="10.7109375" customWidth="1"/>
    <col min="3" max="3" width="7" bestFit="1" customWidth="1"/>
    <col min="4" max="4" width="7.140625" bestFit="1" customWidth="1"/>
    <col min="5" max="5" width="10.85546875" bestFit="1" customWidth="1"/>
    <col min="6" max="7" width="11.42578125" bestFit="1" customWidth="1"/>
    <col min="8" max="9" width="20.140625" bestFit="1" customWidth="1"/>
    <col min="10" max="10" width="17.140625" bestFit="1" customWidth="1"/>
    <col min="11" max="12" width="15.5703125" bestFit="1" customWidth="1"/>
    <col min="13" max="13" width="16.7109375" bestFit="1" customWidth="1"/>
    <col min="14" max="14" width="7.28515625" bestFit="1" customWidth="1"/>
    <col min="15" max="15" width="10" bestFit="1" customWidth="1"/>
  </cols>
  <sheetData>
    <row r="1" spans="1:16" x14ac:dyDescent="0.25">
      <c r="A1" s="39" t="s">
        <v>6776</v>
      </c>
      <c r="B1" s="39" t="s">
        <v>6777</v>
      </c>
      <c r="C1" s="39" t="s">
        <v>207</v>
      </c>
      <c r="D1" s="39" t="s">
        <v>515</v>
      </c>
      <c r="E1" s="39" t="s">
        <v>29</v>
      </c>
      <c r="F1" s="39" t="s">
        <v>34</v>
      </c>
      <c r="G1" s="39" t="s">
        <v>48</v>
      </c>
      <c r="H1" s="39" t="s">
        <v>43</v>
      </c>
      <c r="I1" s="39" t="s">
        <v>558</v>
      </c>
      <c r="J1" s="39" t="s">
        <v>82</v>
      </c>
      <c r="K1" s="39" t="s">
        <v>38</v>
      </c>
      <c r="L1" s="39" t="s">
        <v>86</v>
      </c>
      <c r="M1" s="39" t="s">
        <v>6298</v>
      </c>
      <c r="N1" s="39" t="s">
        <v>56</v>
      </c>
      <c r="O1" s="39" t="s">
        <v>550</v>
      </c>
    </row>
    <row r="2" spans="1:16" x14ac:dyDescent="0.25">
      <c r="A2" s="12" t="s">
        <v>6779</v>
      </c>
      <c r="B2" s="11" t="s">
        <v>6778</v>
      </c>
      <c r="C2" s="29">
        <v>40</v>
      </c>
      <c r="D2" s="29">
        <v>30</v>
      </c>
      <c r="E2" s="35">
        <v>20</v>
      </c>
      <c r="F2" s="35">
        <v>35</v>
      </c>
      <c r="G2" s="35">
        <v>36</v>
      </c>
      <c r="H2" s="35">
        <v>31</v>
      </c>
      <c r="I2" s="35">
        <v>31</v>
      </c>
      <c r="J2" s="35">
        <v>25</v>
      </c>
      <c r="K2" s="35">
        <v>25</v>
      </c>
      <c r="L2" s="35">
        <v>25</v>
      </c>
      <c r="M2" s="35">
        <v>25</v>
      </c>
      <c r="N2" s="35">
        <v>15</v>
      </c>
      <c r="O2" s="35">
        <v>30</v>
      </c>
    </row>
    <row r="3" spans="1:16" x14ac:dyDescent="0.25">
      <c r="A3" s="12" t="s">
        <v>6780</v>
      </c>
      <c r="B3" s="11" t="s">
        <v>1036</v>
      </c>
      <c r="C3" s="86">
        <f>C2*1.5</f>
        <v>60</v>
      </c>
      <c r="D3" s="86">
        <f t="shared" ref="D3:G3" si="0">D2*1.5</f>
        <v>45</v>
      </c>
      <c r="E3" s="86">
        <f t="shared" si="0"/>
        <v>30</v>
      </c>
      <c r="F3" s="86">
        <f t="shared" si="0"/>
        <v>52.5</v>
      </c>
      <c r="G3" s="86">
        <f t="shared" si="0"/>
        <v>54</v>
      </c>
      <c r="H3" s="86">
        <f>H2*1.6</f>
        <v>49.6</v>
      </c>
      <c r="I3" s="86">
        <f>I2*1.6</f>
        <v>49.6</v>
      </c>
      <c r="J3" s="86">
        <f>J2*1.5</f>
        <v>37.5</v>
      </c>
      <c r="K3" s="86">
        <f t="shared" ref="K3:O3" si="1">K2*1.5</f>
        <v>37.5</v>
      </c>
      <c r="L3" s="86">
        <f t="shared" si="1"/>
        <v>37.5</v>
      </c>
      <c r="M3" s="86">
        <f t="shared" si="1"/>
        <v>37.5</v>
      </c>
      <c r="N3" s="86">
        <f t="shared" si="1"/>
        <v>22.5</v>
      </c>
      <c r="O3" s="86">
        <f t="shared" si="1"/>
        <v>45</v>
      </c>
      <c r="P3" s="8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VENTES</vt:lpstr>
      <vt:lpstr>RECOUVREMENT</vt:lpstr>
      <vt:lpstr>ETAT FINANCIER</vt:lpstr>
      <vt:lpstr>V.RENDUS</vt:lpstr>
      <vt:lpstr>OBJECTIFS</vt:lpstr>
      <vt:lpstr>CREANCES</vt:lpstr>
      <vt:lpstr>Feuil1</vt:lpstr>
      <vt:lpstr>INFO CLIENTS</vt:lpstr>
      <vt:lpstr>COUT REVIEN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NOUINOU</dc:creator>
  <cp:lastModifiedBy>hamza.nouinou.pro@outlook.com</cp:lastModifiedBy>
  <dcterms:created xsi:type="dcterms:W3CDTF">2024-12-30T21:11:29Z</dcterms:created>
  <dcterms:modified xsi:type="dcterms:W3CDTF">2025-03-09T00:03:37Z</dcterms:modified>
</cp:coreProperties>
</file>